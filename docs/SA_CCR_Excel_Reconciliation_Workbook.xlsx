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ables/table4.xml" ContentType="application/vnd.openxmlformats-officedocument.spreadsheetml.table+xml"/>
  <Override PartName="/xl/worksheets/sheet15.xml" ContentType="application/vnd.openxmlformats-officedocument.spreadsheetml.worksheet+xml"/>
  <Override PartName="/xl/tables/table5.xml" ContentType="application/vnd.openxmlformats-officedocument.spreadsheetml.table+xml"/>
  <Override PartName="/xl/worksheets/sheet16.xml" ContentType="application/vnd.openxmlformats-officedocument.spreadsheetml.worksheet+xml"/>
  <Override PartName="/xl/tables/table6.xml" ContentType="application/vnd.openxmlformats-officedocument.spreadsheetml.table+xml"/>
  <Override PartName="/xl/worksheets/sheet17.xml" ContentType="application/vnd.openxmlformats-officedocument.spreadsheetml.worksheet+xml"/>
  <Override PartName="/xl/tables/table7.xml" ContentType="application/vnd.openxmlformats-officedocument.spreadsheetml.table+xml"/>
  <Override PartName="/xl/worksheets/sheet1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f1c599f77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7c5f3e4f2f344b9"/>
    <x:sheet xmlns:r="http://schemas.openxmlformats.org/officeDocument/2006/relationships" name="Checks" sheetId="2" r:id="Recca4dcf48b14249"/>
    <x:sheet xmlns:r="http://schemas.openxmlformats.org/officeDocument/2006/relationships" name="Parameters" sheetId="3" r:id="R9c2a73fc873d4fb5"/>
    <x:sheet xmlns:r="http://schemas.openxmlformats.org/officeDocument/2006/relationships" name="Inputs_Trades" sheetId="4" r:id="Re639aaef540a428c"/>
    <x:sheet xmlns:r="http://schemas.openxmlformats.org/officeDocument/2006/relationships" name="Inputs_Collateral" sheetId="5" r:id="Rd7bcc835b36040cf"/>
    <x:sheet xmlns:r="http://schemas.openxmlformats.org/officeDocument/2006/relationships" name="Inputs_Counterparties" sheetId="6" r:id="R3977873730884692"/>
    <x:sheet xmlns:r="http://schemas.openxmlformats.org/officeDocument/2006/relationships" name="Trade_Calc" sheetId="7" r:id="R2dd8f20f332b4679"/>
    <x:sheet xmlns:r="http://schemas.openxmlformats.org/officeDocument/2006/relationships" name="Entity_Helper" sheetId="8" r:id="R9463d4b6d7c24ec9"/>
    <x:sheet xmlns:r="http://schemas.openxmlformats.org/officeDocument/2006/relationships" name="Commodity_Helper" sheetId="9" r:id="R7cb33eba5ab44784"/>
    <x:sheet xmlns:r="http://schemas.openxmlformats.org/officeDocument/2006/relationships" name="AddOn_Calc" sheetId="10" r:id="Re8ab61e60ace43fd"/>
    <x:sheet xmlns:r="http://schemas.openxmlformats.org/officeDocument/2006/relationships" name="Asset_Class_AddOn" sheetId="11" r:id="Rce23ce5336304b0f"/>
    <x:sheet xmlns:r="http://schemas.openxmlformats.org/officeDocument/2006/relationships" name="Netting_Set_Calc" sheetId="12" r:id="R1b7c0d53d6a5476a"/>
    <x:sheet xmlns:r="http://schemas.openxmlformats.org/officeDocument/2006/relationships" name="Counterparty_Calc" sheetId="13" r:id="Rd8d62bf8f8a54c6c"/>
    <x:sheet xmlns:r="http://schemas.openxmlformats.org/officeDocument/2006/relationships" name="Python_Trade_Output" sheetId="14" r:id="R1530ee6a3c9e4d34"/>
    <x:sheet xmlns:r="http://schemas.openxmlformats.org/officeDocument/2006/relationships" name="Python_AddOn_Output" sheetId="15" r:id="Rc9b6c3811cb241ee"/>
    <x:sheet xmlns:r="http://schemas.openxmlformats.org/officeDocument/2006/relationships" name="Python_Asset_Output" sheetId="16" r:id="R5f5162f914464c6b"/>
    <x:sheet xmlns:r="http://schemas.openxmlformats.org/officeDocument/2006/relationships" name="Python_Netting_Output" sheetId="17" r:id="R82439d10da094428"/>
    <x:sheet xmlns:r="http://schemas.openxmlformats.org/officeDocument/2006/relationships" name="Python_Cpty_Output" sheetId="18" r:id="R7d28ed419b5443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.0000"/>
    <x:numFmt numFmtId="203" formatCode="0.00"/>
    <x:numFmt numFmtId="204" formatCode="#,##0.00"/>
    <x:numFmt numFmtId="205" formatCode="$#,##0.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2867B2"/>
      </x:patternFill>
    </x:fill>
    <x:fill>
      <x:patternFill patternType="solid">
        <x:fgColor rgb="FFF5F7FB"/>
      </x:patternFill>
    </x:fill>
  </x:fills>
  <x:borders count="2">
    <x:border/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1" xfId="0" applyNumberFormat="1" applyFont="1" applyFill="1" applyBorder="1"/>
    <x:xf numFmtId="205" fontId="4" fillId="0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/>
    <x:xf numFmtId="0" fontId="3" fillId="2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0"/>
    </x:xf>
    <x:xf numFmtId="0" fontId="3" fillId="3" borderId="1" xfId="0" applyNumberFormat="1" applyFont="1" applyFill="1" applyBorder="1" applyAlignment="1">
      <x:alignment wrapText="0"/>
    </x:xf>
    <x:xf numFmtId="0" fontId="4" fillId="0" borderId="1" xfId="0" applyNumberFormat="1" applyFont="1" applyFill="1" applyBorder="1" applyAlignment="1">
      <x:alignment wrapText="0"/>
    </x:xf>
    <x:xf numFmtId="205" fontId="4" fillId="0" borderId="1" xfId="0" applyNumberFormat="1" applyFont="1" applyFill="1" applyBorder="1" applyAlignment="1">
      <x:alignment wrapText="0"/>
    </x:xf>
    <x:xf numFmtId="0" fontId="4" fillId="4" borderId="1" xfId="0" applyNumberFormat="1" applyFont="1" applyFill="1" applyBorder="1" applyAlignment="1">
      <x:alignment wrapText="0"/>
    </x:xf>
    <x:xf numFmtId="204" fontId="4" fillId="0" borderId="1" xfId="0" applyNumberFormat="1" applyFont="1" applyFill="1" applyBorder="1"/>
    <x:xf numFmtId="204" fontId="4" fillId="0" borderId="1" xfId="0" applyNumberFormat="1" applyFont="1" applyFill="1" applyBorder="1" applyAlignment="1">
      <x:alignment wrapText="0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0"/>
    </x:xf>
    <x:xf numFmtId="201" fontId="4" fillId="0" borderId="0" xfId="0" applyNumberFormat="1" applyFont="1" applyFill="1" applyBorder="1" applyAlignment="1">
      <x:alignment wrapText="0"/>
    </x:xf>
    <x:xf numFmtId="202" fontId="4" fillId="0" borderId="0" xfId="0" applyNumberFormat="1" applyFont="1" applyFill="1" applyBorder="1" applyAlignment="1">
      <x:alignment wrapText="0"/>
    </x:xf>
    <x:xf numFmtId="203" fontId="4" fillId="0" borderId="0" xfId="0" applyNumberFormat="1" applyFont="1" applyFill="1" applyBorder="1" applyAlignment="1">
      <x:alignment wrapText="0"/>
    </x:xf>
    <x:xf numFmtId="204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ca7ffca262427b" /><Relationship Type="http://schemas.openxmlformats.org/officeDocument/2006/relationships/theme" Target="/xl/theme/theme1.xml" Id="Rb31d3038022540ec" /><Relationship Type="http://schemas.microsoft.com/office/2022/11/relationships/FeaturePropertyBag" Target="/xl/featurePropertyBag/featurePropertyBag.xml" Id="Rb7029adab6134042" /><Relationship Type="http://schemas.openxmlformats.org/officeDocument/2006/relationships/sharedStrings" Target="/xl/sharedStrings.xml" Id="Rd0d9ff99ea2d44e5" /><Relationship Type="http://schemas.openxmlformats.org/officeDocument/2006/relationships/worksheet" Target="/xl/worksheets/sheet1.xml" Id="Rc7c5f3e4f2f344b9" /><Relationship Type="http://schemas.openxmlformats.org/officeDocument/2006/relationships/worksheet" Target="/xl/worksheets/sheet2.xml" Id="Recca4dcf48b14249" /><Relationship Type="http://schemas.openxmlformats.org/officeDocument/2006/relationships/worksheet" Target="/xl/worksheets/sheet3.xml" Id="R9c2a73fc873d4fb5" /><Relationship Type="http://schemas.openxmlformats.org/officeDocument/2006/relationships/worksheet" Target="/xl/worksheets/sheet4.xml" Id="Re639aaef540a428c" /><Relationship Type="http://schemas.openxmlformats.org/officeDocument/2006/relationships/worksheet" Target="/xl/worksheets/sheet5.xml" Id="Rd7bcc835b36040cf" /><Relationship Type="http://schemas.openxmlformats.org/officeDocument/2006/relationships/worksheet" Target="/xl/worksheets/sheet6.xml" Id="R3977873730884692" /><Relationship Type="http://schemas.openxmlformats.org/officeDocument/2006/relationships/worksheet" Target="/xl/worksheets/sheet7.xml" Id="R2dd8f20f332b4679" /><Relationship Type="http://schemas.openxmlformats.org/officeDocument/2006/relationships/worksheet" Target="/xl/worksheets/sheet8.xml" Id="R9463d4b6d7c24ec9" /><Relationship Type="http://schemas.openxmlformats.org/officeDocument/2006/relationships/worksheet" Target="/xl/worksheets/sheet9.xml" Id="R7cb33eba5ab44784" /><Relationship Type="http://schemas.openxmlformats.org/officeDocument/2006/relationships/worksheet" Target="/xl/worksheets/sheet10.xml" Id="Re8ab61e60ace43fd" /><Relationship Type="http://schemas.openxmlformats.org/officeDocument/2006/relationships/worksheet" Target="/xl/worksheets/sheet11.xml" Id="Rce23ce5336304b0f" /><Relationship Type="http://schemas.openxmlformats.org/officeDocument/2006/relationships/worksheet" Target="/xl/worksheets/sheet12.xml" Id="R1b7c0d53d6a5476a" /><Relationship Type="http://schemas.openxmlformats.org/officeDocument/2006/relationships/worksheet" Target="/xl/worksheets/sheet13.xml" Id="Rd8d62bf8f8a54c6c" /><Relationship Type="http://schemas.openxmlformats.org/officeDocument/2006/relationships/worksheet" Target="/xl/worksheets/sheet14.xml" Id="R1530ee6a3c9e4d34" /><Relationship Type="http://schemas.openxmlformats.org/officeDocument/2006/relationships/worksheet" Target="/xl/worksheets/sheet15.xml" Id="Rc9b6c3811cb241ee" /><Relationship Type="http://schemas.openxmlformats.org/officeDocument/2006/relationships/worksheet" Target="/xl/worksheets/sheet16.xml" Id="R5f5162f914464c6b" /><Relationship Type="http://schemas.openxmlformats.org/officeDocument/2006/relationships/worksheet" Target="/xl/worksheets/sheet17.xml" Id="R82439d10da094428" /><Relationship Type="http://schemas.openxmlformats.org/officeDocument/2006/relationships/worksheet" Target="/xl/worksheets/sheet18.xml" Id="R7d28ed419b54439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d6fe155dfb442f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Excel AddOn by Asset Class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Excel AddOn</c:v>
          </c:tx>
          <c:cat>
            <c:strRef>
              <c:f>'Summary'!$G$4:$G$8</c:f>
              <c:strCache>
                <c:ptCount val="0"/>
              </c:strCache>
            </c:strRef>
          </c:cat>
          <c:val>
            <c:numRef>
              <c:f>'Summary'!$H$4:$H$8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17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d6fe155dfb442f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radeInputTable" displayName="TradeInputTable" ref="A3:AI301" headerRowCount="1">
  <x:autoFilter ref="A3:AI301"/>
  <x:tableColumns count="35">
    <x:tableColumn id="1" name="COB Date"/>
    <x:tableColumn id="2" name="Counterparty ID"/>
    <x:tableColumn id="3" name="Netting Set ID"/>
    <x:tableColumn id="4" name="Ticket Number"/>
    <x:tableColumn id="5" name="Trade Type"/>
    <x:tableColumn id="6" name="Asset Class"/>
    <x:tableColumn id="7" name="Sub Class"/>
    <x:tableColumn id="8" name="Trade Leg 1 Currency"/>
    <x:tableColumn id="9" name="Trade Leg 2 Currency"/>
    <x:tableColumn id="10" name="Base Currency"/>
    <x:tableColumn id="11" name="Basis/Volatility Indicator"/>
    <x:tableColumn id="12" name="Specific Basis"/>
    <x:tableColumn id="13" name="Underlying Entity Name"/>
    <x:tableColumn id="14" name="Underlying Entity Type"/>
    <x:tableColumn id="15" name="Underlying Entity Rating"/>
    <x:tableColumn id="16" name="Maturity Date"/>
    <x:tableColumn id="17" name="Start Date"/>
    <x:tableColumn id="18" name="End Date"/>
    <x:tableColumn id="19" name="Leg 1 Notional"/>
    <x:tableColumn id="20" name="Leg 2 Notional"/>
    <x:tableColumn id="21" name="Base Notional"/>
    <x:tableColumn id="22" name="Margined/ Unmargined"/>
    <x:tableColumn id="23" name="CCP"/>
    <x:tableColumn id="24" name="Margin Frequency (Business Days)"/>
    <x:tableColumn id="25" name="Buy/Sell Indicator"/>
    <x:tableColumn id="26" name="Contractual Exercise Date"/>
    <x:tableColumn id="27" name="Put/Call Indicator"/>
    <x:tableColumn id="28" name="Strike Price (Ki)"/>
    <x:tableColumn id="29" name="Underlying Price (Pi)"/>
    <x:tableColumn id="30" name="MtM"/>
    <x:tableColumn id="31" name="Source"/>
    <x:tableColumn id="32" name="Source Dissemination Identifier"/>
    <x:tableColumn id="33" name="Source Product Name"/>
    <x:tableColumn id="34" name="Source UPI FISN"/>
    <x:tableColumn id="35" name="Source UPI Underlier Name"/>
  </x:tableColumns>
  <x:tableStyleInfo name="TableStyleMedium2" showRowStripes="1"/>
</x:table>
</file>

<file path=xl/tables/table2.xml><?xml version="1.0" encoding="utf-8"?>
<x:table xmlns:x="http://schemas.openxmlformats.org/spreadsheetml/2006/main" id="2" name="CollateralInputTable" displayName="CollateralInputTable" ref="A3:G98" headerRowCount="1">
  <x:autoFilter ref="A3:G98"/>
  <x:tableColumns count="7">
    <x:tableColumn id="1" name="Counterparty ID"/>
    <x:tableColumn id="2" name="Netting Set ID"/>
    <x:tableColumn id="3" name="Margin Agreement ID"/>
    <x:tableColumn id="4" name="Collateral Amount"/>
    <x:tableColumn id="5" name="Threshold Amount"/>
    <x:tableColumn id="6" name="Minimum Transfer Amount"/>
    <x:tableColumn id="7" name="Net Independent Collateral Amount"/>
  </x:tableColumns>
  <x:tableStyleInfo name="TableStyleMedium2" showRowStripes="1"/>
</x:table>
</file>

<file path=xl/tables/table3.xml><?xml version="1.0" encoding="utf-8"?>
<x:table xmlns:x="http://schemas.openxmlformats.org/spreadsheetml/2006/main" id="3" name="CounterpartyInputTable" displayName="CounterpartyInputTable" ref="A3:D15" headerRowCount="1">
  <x:autoFilter ref="A3:D15"/>
  <x:tableColumns count="4">
    <x:tableColumn id="1" name="Counterparty ID"/>
    <x:tableColumn id="2" name="Counterparty Type"/>
    <x:tableColumn id="3" name="Credit Rating"/>
    <x:tableColumn id="4" name="Risk Weight"/>
  </x:tableColumns>
  <x:tableStyleInfo name="TableStyleMedium2" showRowStripes="1"/>
</x:table>
</file>

<file path=xl/tables/table4.xml><?xml version="1.0" encoding="utf-8"?>
<x:table xmlns:x="http://schemas.openxmlformats.org/spreadsheetml/2006/main" id="4" name="PythonTradeOutputTable" displayName="PythonTradeOutputTable" ref="A3:AZ301" headerRowCount="1">
  <x:autoFilter ref="A3:AZ301"/>
  <x:tableColumns count="52">
    <x:tableColumn id="1" name="COB Date"/>
    <x:tableColumn id="2" name="Counterparty ID"/>
    <x:tableColumn id="3" name="Netting Set ID"/>
    <x:tableColumn id="4" name="Ticket Number"/>
    <x:tableColumn id="5" name="Trade Type"/>
    <x:tableColumn id="6" name="Asset Class"/>
    <x:tableColumn id="7" name="Sub Class"/>
    <x:tableColumn id="8" name="Trade Leg 1 Currency"/>
    <x:tableColumn id="9" name="Trade Leg 2 Currency"/>
    <x:tableColumn id="10" name="Base Currency"/>
    <x:tableColumn id="11" name="Basis/Volatility Indicator"/>
    <x:tableColumn id="12" name="Specific Basis"/>
    <x:tableColumn id="13" name="Underlying Entity Name"/>
    <x:tableColumn id="14" name="Underlying Entity Type"/>
    <x:tableColumn id="15" name="Underlying Entity Rating"/>
    <x:tableColumn id="16" name="Maturity Date"/>
    <x:tableColumn id="17" name="Start Date"/>
    <x:tableColumn id="18" name="End Date"/>
    <x:tableColumn id="19" name="Leg 1 Notional"/>
    <x:tableColumn id="20" name="Leg 2 Notional"/>
    <x:tableColumn id="21" name="Base Notional"/>
    <x:tableColumn id="22" name="Margined/ Unmargined"/>
    <x:tableColumn id="23" name="CCP"/>
    <x:tableColumn id="24" name="Margin Frequency (Business Days)"/>
    <x:tableColumn id="25" name="Buy/Sell Indicator"/>
    <x:tableColumn id="26" name="Contractual Exercise Date"/>
    <x:tableColumn id="27" name="Put/Call Indicator"/>
    <x:tableColumn id="28" name="Strike Price (Ki)"/>
    <x:tableColumn id="29" name="Underlying Price (Pi)"/>
    <x:tableColumn id="30" name="MtM"/>
    <x:tableColumn id="31" name="Source"/>
    <x:tableColumn id="32" name="Source Dissemination Identifier"/>
    <x:tableColumn id="33" name="Source Product Name"/>
    <x:tableColumn id="34" name="Source UPI FISN"/>
    <x:tableColumn id="35" name="Source UPI Underlier Name"/>
    <x:tableColumn id="36" name="Maturity Days"/>
    <x:tableColumn id="37" name="Remaining Maturity Years"/>
    <x:tableColumn id="38" name="Maturity Bucket"/>
    <x:tableColumn id="39" name="Commodity Group"/>
    <x:tableColumn id="40" name="Commodity Type"/>
    <x:tableColumn id="41" name="Hedging Set"/>
    <x:tableColumn id="42" name="SA-CCR Margin Treatment"/>
    <x:tableColumn id="43" name="Supervisory Factor Base"/>
    <x:tableColumn id="44" name="Supervisory Factor Adjustment"/>
    <x:tableColumn id="45" name="Supervisory Factor"/>
    <x:tableColumn id="46" name="Correlation"/>
    <x:tableColumn id="47" name="Supervisory Duration"/>
    <x:tableColumn id="48" name="Adjusted Notional"/>
    <x:tableColumn id="49" name="Supervisory Option Volatility"/>
    <x:tableColumn id="50" name="Delta"/>
    <x:tableColumn id="51" name="Maturity Factor"/>
    <x:tableColumn id="52" name="Effective Notional"/>
  </x:tableColumns>
  <x:tableStyleInfo name="TableStyleMedium2" showRowStripes="1"/>
</x:table>
</file>

<file path=xl/tables/table5.xml><?xml version="1.0" encoding="utf-8"?>
<x:table xmlns:x="http://schemas.openxmlformats.org/spreadsheetml/2006/main" id="5" name="PythonAddOnOutputTable" displayName="PythonAddOnOutputTable" ref="A3:G171" headerRowCount="1">
  <x:autoFilter ref="A3:G171"/>
  <x:tableColumns count="7">
    <x:tableColumn id="1" name="Counterparty ID"/>
    <x:tableColumn id="2" name="Netting Set ID"/>
    <x:tableColumn id="3" name="Asset Class"/>
    <x:tableColumn id="4" name="Hedging Set"/>
    <x:tableColumn id="5" name="Aggregation Level"/>
    <x:tableColumn id="6" name="Aggregated Effective Notional"/>
    <x:tableColumn id="7" name="AddOn Exposure"/>
  </x:tableColumns>
  <x:tableStyleInfo name="TableStyleMedium2" showRowStripes="1"/>
</x:table>
</file>

<file path=xl/tables/table6.xml><?xml version="1.0" encoding="utf-8"?>
<x:table xmlns:x="http://schemas.openxmlformats.org/spreadsheetml/2006/main" id="6" name="PythonAssetOutputTable" displayName="PythonAssetOutputTable" ref="A3:D100" headerRowCount="1">
  <x:autoFilter ref="A3:D100"/>
  <x:tableColumns count="4">
    <x:tableColumn id="1" name="Counterparty ID"/>
    <x:tableColumn id="2" name="Netting Set ID"/>
    <x:tableColumn id="3" name="Asset Class"/>
    <x:tableColumn id="4" name="AddOn Exposure"/>
  </x:tableColumns>
  <x:tableStyleInfo name="TableStyleMedium2" showRowStripes="1"/>
</x:table>
</file>

<file path=xl/tables/table7.xml><?xml version="1.0" encoding="utf-8"?>
<x:table xmlns:x="http://schemas.openxmlformats.org/spreadsheetml/2006/main" id="7" name="PythonNettingOutputTable" displayName="PythonNettingOutputTable" ref="A3:W98" headerRowCount="1">
  <x:autoFilter ref="A3:W98"/>
  <x:tableColumns count="23">
    <x:tableColumn id="1" name="Counterparty ID"/>
    <x:tableColumn id="2" name="Netting Set ID"/>
    <x:tableColumn id="3" name="Net MtM"/>
    <x:tableColumn id="4" name="Margin Agreement"/>
    <x:tableColumn id="5" name="Collateral Amount"/>
    <x:tableColumn id="6" name="Threshold Amount"/>
    <x:tableColumn id="7" name="Minimum Transfer Amount"/>
    <x:tableColumn id="8" name="Net Independent Collateral Amount"/>
    <x:tableColumn id="9" name="Margin Agreement ID"/>
    <x:tableColumn id="10" name="RC"/>
    <x:tableColumn id="11" name="RC Formula"/>
    <x:tableColumn id="12" name="AddOn Aggregate"/>
    <x:tableColumn id="13" name="Multiplier"/>
    <x:tableColumn id="14" name="PFE"/>
    <x:tableColumn id="15" name="EAD"/>
    <x:tableColumn id="16" name="Counterparty Type"/>
    <x:tableColumn id="17" name="Credit Rating"/>
    <x:tableColumn id="18" name="Risk Weight"/>
    <x:tableColumn id="19" name="RWA"/>
    <x:tableColumn id="20" name="Unmargined EAD Cap"/>
    <x:tableColumn id="21" name="EAD Before Cap"/>
    <x:tableColumn id="22" name="EAD Cap Applied"/>
    <x:tableColumn id="23" name="RWA Before Cap"/>
  </x:tableColumns>
  <x:tableStyleInfo name="TableStyleMedium2" showRowStripes="1"/>
</x:table>
</file>

<file path=xl/tables/table8.xml><?xml version="1.0" encoding="utf-8"?>
<x:table xmlns:x="http://schemas.openxmlformats.org/spreadsheetml/2006/main" id="8" name="PythonCounterpartyOutputTable" displayName="PythonCounterpartyOutputTable" ref="A3:F15" headerRowCount="1">
  <x:autoFilter ref="A3:F15"/>
  <x:tableColumns count="6">
    <x:tableColumn id="1" name="Counterparty ID"/>
    <x:tableColumn id="2" name="AddOn Aggregate"/>
    <x:tableColumn id="3" name="PFE"/>
    <x:tableColumn id="4" name="RC"/>
    <x:tableColumn id="5" name="EAD"/>
    <x:tableColumn id="6" name="RW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a11a51141324a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c9f3c0760d1c4f5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d6d04b6cedf34a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10ca9286ba09449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4.xml" Id="Rf68970cce2da46e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5.xml" Id="Ra4553696750747a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6.xml" Id="R3a639dde4c674c0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7.xml" Id="Rcf57269158cf4dd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8.xml" Id="R31e056b27f324f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  <x:col min="9" max="9" width="18.75" hidden="0" customWidth="1"/>
    <x:col min="10" max="10" width="18.75" hidden="0" customWidth="1"/>
    <x:col min="11" max="11" width="18.75" hidden="0" customWidth="1"/>
  </x:cols>
  <x:sheetData>
    <x:row r="1" ht="22.5" customHeight="1">
      <x:c r="A1" s="26" t="str">
        <x:v>SA-CCR Excel Reconciliation Workbook</x:v>
      </x:c>
      <x:c r="B1" s="26" t="str">
        <x:v>SA-CCR Excel Reconciliation Workbook</x:v>
      </x:c>
      <x:c r="C1" s="26" t="str">
        <x:v>SA-CCR Excel Reconciliation Workbook</x:v>
      </x:c>
      <x:c r="D1" s="26" t="str">
        <x:v>SA-CCR Excel Reconciliation Workbook</x:v>
      </x:c>
      <x:c r="E1" s="26" t="str">
        <x:v>SA-CCR Excel Reconciliation Workbook</x:v>
      </x:c>
      <x:c r="F1" s="26" t="str">
        <x:v>SA-CCR Excel Reconciliation Workbook</x:v>
      </x:c>
      <x:c r="G1" s="26" t="str">
        <x:v>SA-CCR Excel Reconciliation Workbook</x:v>
      </x:c>
      <x:c r="H1" s="26" t="str">
        <x:v>SA-CCR Excel Reconciliation Workbook</x:v>
      </x:c>
      <x:c r="I1" s="26" t="str">
        <x:v>SA-CCR Excel Reconciliation Workbook</x:v>
      </x:c>
      <x:c r="J1" s="26" t="str">
        <x:v>SA-CCR Excel Reconciliation Workbook</x:v>
      </x:c>
      <x:c r="K1" s="26" t="str">
        <x:v>SA-CCR Excel Reconciliation Workbook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3">
      <x:c r="A3" s="28" t="str">
        <x:v>Metric</x:v>
      </x:c>
      <x:c r="B3" s="28" t="str">
        <x:v>Excel Formula Result</x:v>
      </x:c>
      <x:c r="C3" s="28" t="str">
        <x:v>Python Output</x:v>
      </x:c>
      <x:c r="D3" s="28" t="str">
        <x:v>Difference</x:v>
      </x:c>
      <x:c r="E3" s="28" t="str">
        <x:v>Status</x:v>
      </x:c>
      <x:c r="F3" s="27"/>
      <x:c r="G3" s="28" t="str">
        <x:v>Asset Class</x:v>
      </x:c>
      <x:c r="H3" s="28" t="str">
        <x:v>Excel AddOn</x:v>
      </x:c>
      <x:c r="I3" s="27"/>
      <x:c r="J3" s="27"/>
      <x:c r="K3" s="27"/>
    </x:row>
    <x:row r="4">
      <x:c r="A4" s="29" t="str">
        <x:v>Trade count</x:v>
      </x:c>
      <x:c r="B4" s="29" t="n">
        <x:v>298</x:v>
      </x:c>
      <x:c r="C4" s="29" t="n">
        <x:v>298</x:v>
      </x:c>
      <x:c r="D4" s="29" t="n">
        <x:f>B4-C4</x:f>
        <x:v>0</x:v>
      </x:c>
      <x:c r="E4" s="29" t="str">
        <x:f>IF(D4=0,"OK","CHECK")</x:f>
        <x:v>OK</x:v>
      </x:c>
      <x:c r="F4" s="27"/>
      <x:c r="G4" s="29" t="str">
        <x:v>Interest Rate</x:v>
      </x:c>
      <x:c r="H4" s="30" t="n">
        <x:f>SUMIFS(Asset_Class_AddOn!D4:D100,Asset_Class_AddOn!C4:C100,G4)</x:f>
        <x:v>278136664.59871423</x:v>
      </x:c>
      <x:c r="I4" s="27"/>
      <x:c r="J4" s="27"/>
      <x:c r="K4" s="27"/>
    </x:row>
    <x:row r="5">
      <x:c r="A5" s="29" t="str">
        <x:v>Counterparties</x:v>
      </x:c>
      <x:c r="B5" s="29" t="n">
        <x:v>12</x:v>
      </x:c>
      <x:c r="C5" s="29" t="n">
        <x:v>12</x:v>
      </x:c>
      <x:c r="D5" s="29" t="n">
        <x:f>B5-C5</x:f>
        <x:v>0</x:v>
      </x:c>
      <x:c r="E5" s="29" t="str">
        <x:f>IF(D5=0,"OK","CHECK")</x:f>
        <x:v>OK</x:v>
      </x:c>
      <x:c r="F5" s="27"/>
      <x:c r="G5" s="29" t="str">
        <x:v>Commodity</x:v>
      </x:c>
      <x:c r="H5" s="30" t="n">
        <x:f>SUMIFS(Asset_Class_AddOn!D4:D100,Asset_Class_AddOn!C4:C100,G5)</x:f>
        <x:v>122604147.4163197</x:v>
      </x:c>
      <x:c r="I5" s="27"/>
      <x:c r="J5" s="27"/>
      <x:c r="K5" s="27"/>
    </x:row>
    <x:row r="6">
      <x:c r="A6" s="29" t="str">
        <x:v>Netting sets</x:v>
      </x:c>
      <x:c r="B6" s="29" t="n">
        <x:v>95</x:v>
      </x:c>
      <x:c r="C6" s="29" t="n">
        <x:v>95</x:v>
      </x:c>
      <x:c r="D6" s="29" t="n">
        <x:f>B6-C6</x:f>
        <x:v>0</x:v>
      </x:c>
      <x:c r="E6" s="29" t="str">
        <x:f>IF(D6=0,"OK","CHECK")</x:f>
        <x:v>OK</x:v>
      </x:c>
      <x:c r="F6" s="27"/>
      <x:c r="G6" s="29" t="str">
        <x:v>Equity</x:v>
      </x:c>
      <x:c r="H6" s="30" t="n">
        <x:f>SUMIFS(Asset_Class_AddOn!D4:D100,Asset_Class_AddOn!C4:C100,G6)</x:f>
        <x:v>76212178.6313063</x:v>
      </x:c>
      <x:c r="I6" s="27"/>
      <x:c r="J6" s="27"/>
      <x:c r="K6" s="27"/>
    </x:row>
    <x:row r="7">
      <x:c r="A7" s="29" t="str">
        <x:v>Total AddOn</x:v>
      </x:c>
      <x:c r="B7" s="30" t="n">
        <x:f>SUM(Netting_Set_Calc!J4:J98)</x:f>
        <x:v>568038402.0103008</x:v>
      </x:c>
      <x:c r="C7" s="30" t="n">
        <x:f>SUM(Python_Netting_Output!L4:L98)</x:f>
        <x:v>568038402.0103008</x:v>
      </x:c>
      <x:c r="D7" s="30" t="n">
        <x:f>B7-C7</x:f>
        <x:v>0</x:v>
      </x:c>
      <x:c r="E7" s="29" t="str">
        <x:f>IF(ABS(D7)&lt;0.01,"OK","CHECK")</x:f>
        <x:v>OK</x:v>
      </x:c>
      <x:c r="F7" s="27"/>
      <x:c r="G7" s="29" t="str">
        <x:v>FX</x:v>
      </x:c>
      <x:c r="H7" s="30" t="n">
        <x:f>SUMIFS(Asset_Class_AddOn!D4:D100,Asset_Class_AddOn!C4:C100,G7)</x:f>
        <x:v>67469271.59017442</x:v>
      </x:c>
      <x:c r="I7" s="27"/>
      <x:c r="J7" s="27"/>
      <x:c r="K7" s="27"/>
    </x:row>
    <x:row r="8">
      <x:c r="A8" s="29" t="str">
        <x:v>Total PFE</x:v>
      </x:c>
      <x:c r="B8" s="30" t="n">
        <x:f>SUM(Netting_Set_Calc!L4:L98)</x:f>
        <x:v>354861897.54840714</x:v>
      </x:c>
      <x:c r="C8" s="30" t="n">
        <x:f>SUM(Python_Netting_Output!N4:N98)</x:f>
        <x:v>354861897.54840714</x:v>
      </x:c>
      <x:c r="D8" s="30" t="n">
        <x:f>B8-C8</x:f>
        <x:v>0</x:v>
      </x:c>
      <x:c r="E8" s="29" t="str">
        <x:f>IF(ABS(D8)&lt;0.01,"OK","CHECK")</x:f>
        <x:v>OK</x:v>
      </x:c>
      <x:c r="F8" s="27"/>
      <x:c r="G8" s="29" t="str">
        <x:v>Credit</x:v>
      </x:c>
      <x:c r="H8" s="30" t="n">
        <x:f>SUMIFS(Asset_Class_AddOn!D4:D100,Asset_Class_AddOn!C4:C100,G8)</x:f>
        <x:v>23616139.77378604</x:v>
      </x:c>
      <x:c r="I8" s="27"/>
      <x:c r="J8" s="27"/>
      <x:c r="K8" s="27"/>
    </x:row>
    <x:row r="9">
      <x:c r="A9" s="29" t="str">
        <x:v>Total RC</x:v>
      </x:c>
      <x:c r="B9" s="30" t="n">
        <x:f>SUM(Netting_Set_Calc!I4:I98)</x:f>
        <x:v>114208018.9</x:v>
      </x:c>
      <x:c r="C9" s="30" t="n">
        <x:f>SUM(Python_Netting_Output!J4:J98)</x:f>
        <x:v>114208018.9</x:v>
      </x:c>
      <x:c r="D9" s="30" t="n">
        <x:f>B9-C9</x:f>
        <x:v>0</x:v>
      </x:c>
      <x:c r="E9" s="29" t="str">
        <x:f>IF(ABS(D9)&lt;0.01,"OK","CHECK")</x:f>
        <x:v>OK</x:v>
      </x:c>
      <x:c r="F9" s="27"/>
      <x:c r="G9" s="27"/>
      <x:c r="H9" s="27"/>
      <x:c r="I9" s="27"/>
      <x:c r="J9" s="27"/>
      <x:c r="K9" s="27"/>
    </x:row>
    <x:row r="10">
      <x:c r="A10" s="29" t="str">
        <x:v>Total EAD</x:v>
      </x:c>
      <x:c r="B10" s="30" t="n">
        <x:f>SUM(Netting_Set_Calc!M4:M98)</x:f>
        <x:v>656697883.0277696</x:v>
      </x:c>
      <x:c r="C10" s="30" t="n">
        <x:f>SUM(Python_Netting_Output!O4:O98)</x:f>
        <x:v>656697883.0277696</x:v>
      </x:c>
      <x:c r="D10" s="30" t="n">
        <x:f>B10-C10</x:f>
        <x:v>0</x:v>
      </x:c>
      <x:c r="E10" s="29" t="str">
        <x:f>IF(ABS(D10)&lt;0.01,"OK","CHECK")</x:f>
        <x:v>OK</x:v>
      </x:c>
      <x:c r="F10" s="27"/>
      <x:c r="G10" s="27"/>
      <x:c r="H10" s="27"/>
      <x:c r="I10" s="27"/>
      <x:c r="J10" s="27"/>
      <x:c r="K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</x:row>
    <x:row r="13">
      <x:c r="A13" s="31" t="str">
        <x:v>Workbook Map</x:v>
      </x:c>
      <x:c r="B13" s="31" t="str">
        <x:v>Purpose</x:v>
      </x:c>
      <x:c r="C13" s="31" t="str"/>
      <x:c r="D13" s="31" t="str"/>
      <x:c r="E13" s="31" t="str"/>
      <x:c r="F13" s="31" t="str"/>
      <x:c r="G13" s="31" t="str"/>
      <x:c r="H13" s="31" t="str"/>
      <x:c r="I13" s="27"/>
      <x:c r="J13" s="27"/>
      <x:c r="K13" s="27"/>
    </x:row>
    <x:row r="14">
      <x:c r="A14" s="31" t="str">
        <x:v>Inputs_Trades</x:v>
      </x:c>
      <x:c r="B14" s="31" t="str">
        <x:v>Raw generated sample portfolio from the Git project.</x:v>
      </x:c>
      <x:c r="C14" s="31" t="str"/>
      <x:c r="D14" s="31" t="str"/>
      <x:c r="E14" s="31" t="str"/>
      <x:c r="F14" s="31" t="str"/>
      <x:c r="G14" s="31" t="str"/>
      <x:c r="H14" s="31" t="str"/>
      <x:c r="I14" s="27"/>
      <x:c r="J14" s="27"/>
      <x:c r="K14" s="27"/>
    </x:row>
    <x:row r="15">
      <x:c r="A15" s="31" t="str">
        <x:v>Trade_Calc</x:v>
      </x:c>
      <x:c r="B15" s="31" t="str">
        <x:v>Excel formula replication of maturity, hedging set, supervisory factor, duration, adjusted notional, delta, maturity factor, and effective notional.</x:v>
      </x:c>
      <x:c r="C15" s="31" t="str"/>
      <x:c r="D15" s="31" t="str"/>
      <x:c r="E15" s="31" t="str"/>
      <x:c r="F15" s="31" t="str"/>
      <x:c r="G15" s="31" t="str"/>
      <x:c r="H15" s="31" t="str"/>
      <x:c r="I15" s="27"/>
      <x:c r="J15" s="27"/>
      <x:c r="K15" s="27"/>
    </x:row>
    <x:row r="16">
      <x:c r="A16" s="31" t="str">
        <x:v>AddOn_Calc</x:v>
      </x:c>
      <x:c r="B16" s="31" t="str">
        <x:v>Excel formula replication of IR, FX, credit/equity, and commodity add-on aggregation.</x:v>
      </x:c>
      <x:c r="C16" s="31" t="str"/>
      <x:c r="D16" s="31" t="str"/>
      <x:c r="E16" s="31" t="str"/>
      <x:c r="F16" s="31" t="str"/>
      <x:c r="G16" s="31" t="str"/>
      <x:c r="H16" s="31" t="str"/>
      <x:c r="I16" s="27"/>
      <x:c r="J16" s="27"/>
      <x:c r="K16" s="27"/>
    </x:row>
    <x:row r="17">
      <x:c r="A17" s="31" t="str">
        <x:v>Netting_Set_Calc</x:v>
      </x:c>
      <x:c r="B17" s="31" t="str">
        <x:v>Excel formula replication of RC, multiplier, PFE, EAD, and illustrative RWA.</x:v>
      </x:c>
      <x:c r="C17" s="31" t="str"/>
      <x:c r="D17" s="31" t="str"/>
      <x:c r="E17" s="31" t="str"/>
      <x:c r="F17" s="31" t="str"/>
      <x:c r="G17" s="31" t="str"/>
      <x:c r="H17" s="31" t="str"/>
      <x:c r="I17" s="27"/>
      <x:c r="J17" s="27"/>
      <x:c r="K17" s="27"/>
    </x:row>
    <x:row r="18">
      <x:c r="A18" s="31" t="str">
        <x:v>Counterparty_Calc</x:v>
      </x:c>
      <x:c r="B18" s="31" t="str">
        <x:v>Counterparty-level aggregation and Python reconciliation.</x:v>
      </x:c>
      <x:c r="C18" s="31" t="str"/>
      <x:c r="D18" s="31" t="str"/>
      <x:c r="E18" s="31" t="str"/>
      <x:c r="F18" s="31" t="str"/>
      <x:c r="G18" s="31" t="str"/>
      <x:c r="H18" s="31" t="str"/>
      <x:c r="I18" s="27"/>
      <x:c r="J18" s="27"/>
      <x:c r="K18" s="27"/>
    </x:row>
    <x:row r="19">
      <x:c r="A19" s="31" t="str">
        <x:v>Python_* sheets</x:v>
      </x:c>
      <x:c r="B19" s="31" t="str">
        <x:v>Imported Python outputs used as reconciliation targets.</x:v>
      </x:c>
      <x:c r="C19" s="31" t="str"/>
      <x:c r="D19" s="31" t="str"/>
      <x:c r="E19" s="31" t="str"/>
      <x:c r="F19" s="31" t="str"/>
      <x:c r="G19" s="31" t="str"/>
      <x:c r="H19" s="31" t="str"/>
      <x:c r="I19" s="27"/>
      <x:c r="J19" s="27"/>
      <x:c r="K19" s="27"/>
    </x:row>
    <x:row r="20">
      <x:c r="A20" s="31" t="str">
        <x:v>Checks</x:v>
      </x:c>
      <x:c r="B20" s="31" t="str">
        <x:v>One-page control sheet for max differences and pass/fail status.</x:v>
      </x:c>
      <x:c r="C20" s="31" t="str"/>
      <x:c r="D20" s="31" t="str"/>
      <x:c r="E20" s="31" t="str"/>
      <x:c r="F20" s="31" t="str"/>
      <x:c r="G20" s="31" t="str"/>
      <x:c r="H20" s="31" t="str"/>
      <x:c r="I20" s="27"/>
      <x:c r="J20" s="27"/>
      <x:c r="K20" s="27"/>
    </x:row>
  </x:sheetData>
  <x:mergeCells>
    <x:mergeCell ref="A1:K1"/>
  </x:mergeCells>
  <x:pageMargins left="0.7" right="0.7" top="0.75" bottom="0.75" header="0.3" footer="0.3"/>
  <x:drawing xmlns:r="http://schemas.openxmlformats.org/officeDocument/2006/relationships" r:id="R6a11a51141324a17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8.75" hidden="0" customWidth="1"/>
    <x:col min="3" max="3" width="18.75" hidden="0" customWidth="1"/>
    <x:col min="4" max="4" width="18.75" hidden="0" customWidth="1"/>
    <x:col min="5" max="5" width="18.75" hidden="0" customWidth="1"/>
    <x:col min="6" max="6" width="18.75" hidden="0" customWidth="1"/>
    <x:col min="7" max="7" width="18.75" hidden="0" customWidth="1"/>
    <x:col min="8" max="8" width="18.75" hidden="0" customWidth="1"/>
  </x:cols>
  <x:sheetData>
    <x:row r="1" ht="22.5" customHeight="1">
      <x:c r="A1" s="26" t="str">
        <x:v>Excel vs Python Reconciliation Checks</x:v>
      </x:c>
      <x:c r="B1" s="26" t="str">
        <x:v>Excel vs Python Reconciliation Checks</x:v>
      </x:c>
      <x:c r="C1" s="26" t="str">
        <x:v>Excel vs Python Reconciliation Checks</x:v>
      </x:c>
      <x:c r="D1" s="26" t="str">
        <x:v>Excel vs Python Reconciliation Checks</x:v>
      </x:c>
      <x:c r="E1" s="26" t="str">
        <x:v>Excel vs Python Reconciliation Checks</x:v>
      </x:c>
      <x:c r="F1" s="26" t="str">
        <x:v>Excel vs Python Reconciliation Checks</x:v>
      </x:c>
      <x:c r="G1" s="26" t="str">
        <x:v>Excel vs Python Reconciliation Checks</x:v>
      </x:c>
      <x:c r="H1" s="26" t="str">
        <x:v>Excel vs Python Reconciliation Checks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8" t="str">
        <x:v>Check Area</x:v>
      </x:c>
      <x:c r="B3" s="28" t="str">
        <x:v>Rows</x:v>
      </x:c>
      <x:c r="C3" s="28" t="str">
        <x:v>Max Abs Difference</x:v>
      </x:c>
      <x:c r="D3" s="28" t="str">
        <x:v>Status</x:v>
      </x:c>
      <x:c r="E3" s="27"/>
      <x:c r="F3" s="27"/>
      <x:c r="G3" s="27"/>
      <x:c r="H3" s="27"/>
    </x:row>
    <x:row r="4">
      <x:c r="A4" s="29" t="str">
        <x:v>Trade effective notional</x:v>
      </x:c>
      <x:c r="B4" s="29" t="n">
        <x:f>298</x:f>
        <x:v>298</x:v>
      </x:c>
      <x:c r="C4" s="33" t="n">
        <x:f>MAX(MAX(Trade_Calc!BB4:BB301),-MIN(Trade_Calc!BB4:BB301))</x:f>
        <x:v>0.000001430511474609375</x:v>
      </x:c>
      <x:c r="D4" s="29" t="str">
        <x:f>IF(C4&lt;0.01,"OK","CHECK")</x:f>
        <x:v>OK</x:v>
      </x:c>
      <x:c r="E4" s="27"/>
      <x:c r="F4" s="27"/>
      <x:c r="G4" s="27"/>
      <x:c r="H4" s="27"/>
    </x:row>
    <x:row r="5">
      <x:c r="A5" s="29" t="str">
        <x:v>AddOn detail</x:v>
      </x:c>
      <x:c r="B5" s="29" t="n">
        <x:f>168</x:f>
        <x:v>168</x:v>
      </x:c>
      <x:c r="C5" s="33" t="n">
        <x:f>MAX(MAX(AddOn_Calc!M4:M171),-MIN(AddOn_Calc!M4:M171))</x:f>
        <x:v>7.450580596923828e-9</x:v>
      </x:c>
      <x:c r="D5" s="29" t="str">
        <x:f>IF(C5&lt;0.01,"OK","CHECK")</x:f>
        <x:v>OK</x:v>
      </x:c>
      <x:c r="E5" s="27"/>
      <x:c r="F5" s="27"/>
      <x:c r="G5" s="27"/>
      <x:c r="H5" s="27"/>
    </x:row>
    <x:row r="6">
      <x:c r="A6" s="29" t="str">
        <x:v>Asset class add-on</x:v>
      </x:c>
      <x:c r="B6" s="29" t="n">
        <x:f>97</x:f>
        <x:v>97</x:v>
      </x:c>
      <x:c r="C6" s="33" t="n">
        <x:f>MAX(MAX(Asset_Class_AddOn!F4:F100),-MIN(Asset_Class_AddOn!F4:F100))</x:f>
        <x:v>7.450580596923828e-9</x:v>
      </x:c>
      <x:c r="D6" s="29" t="str">
        <x:f>IF(C6&lt;0.01,"OK","CHECK")</x:f>
        <x:v>OK</x:v>
      </x:c>
      <x:c r="E6" s="27"/>
      <x:c r="F6" s="27"/>
      <x:c r="G6" s="27"/>
      <x:c r="H6" s="27"/>
    </x:row>
    <x:row r="7">
      <x:c r="A7" s="29" t="str">
        <x:v>Netting-set EAD</x:v>
      </x:c>
      <x:c r="B7" s="29" t="n">
        <x:f>95</x:f>
        <x:v>95</x:v>
      </x:c>
      <x:c r="C7" s="33" t="n">
        <x:f>MAX(MAX(Netting_Set_Calc!V4:V98),-MIN(Netting_Set_Calc!V4:V98))</x:f>
        <x:v>1.1175870895385742e-8</x:v>
      </x:c>
      <x:c r="D7" s="29" t="str">
        <x:f>IF(C7&lt;0.01,"OK","CHECK")</x:f>
        <x:v>OK</x:v>
      </x:c>
      <x:c r="E7" s="27"/>
      <x:c r="F7" s="27"/>
      <x:c r="G7" s="27"/>
      <x:c r="H7" s="27"/>
    </x:row>
    <x:row r="8">
      <x:c r="A8" s="29" t="str">
        <x:v>Counterparty EAD</x:v>
      </x:c>
      <x:c r="B8" s="29" t="n">
        <x:f>12</x:f>
        <x:v>12</x:v>
      </x:c>
      <x:c r="C8" s="33" t="n">
        <x:f>MAX(MAX(Counterparty_Calc!L4:L15),-MIN(Counterparty_Calc!L4:L15))</x:f>
        <x:v>7.450580596923828e-9</x:v>
      </x:c>
      <x:c r="D8" s="29" t="str">
        <x:f>IF(C8&lt;0.01,"OK","CHECK")</x:f>
        <x:v>OK</x:v>
      </x:c>
      <x:c r="E8" s="27"/>
      <x:c r="F8" s="27"/>
      <x:c r="G8" s="27"/>
      <x:c r="H8" s="27"/>
    </x:row>
    <x:row r="9">
      <x:c r="A9" s="29" t="str">
        <x:v>Total EAD</x:v>
      </x:c>
      <x:c r="B9" s="29" t="n">
        <x:f>1</x:f>
        <x:v>1</x:v>
      </x:c>
      <x:c r="C9" s="33" t="n">
        <x:f>ABS(SUM(Netting_Set_Calc!M4:M98)-SUM(Python_Netting_Output!O4:O98))</x:f>
        <x:v>0</x:v>
      </x:c>
      <x:c r="D9" s="29" t="str">
        <x:f>IF(C9&lt;0.01,"OK","CHECK")</x:f>
        <x:v>OK</x:v>
      </x:c>
      <x:c r="E9" s="27"/>
      <x:c r="F9" s="27"/>
      <x:c r="G9" s="27"/>
      <x:c r="H9" s="27"/>
    </x:row>
    <x:row r="10">
      <x:c r="A10" s="29" t="str">
        <x:v>Overall</x:v>
      </x:c>
      <x:c r="B10" s="29" t="n">
        <x:f>SUM(B4:B9)</x:f>
        <x:v>671</x:v>
      </x:c>
      <x:c r="C10" s="33" t="n">
        <x:f>MAX(C4:C9)</x:f>
        <x:v>0.000001430511474609375</x:v>
      </x:c>
      <x:c r="D10" s="29" t="str">
        <x:f>IF(C10&lt;0.01,"OK","CHECK")</x:f>
        <x:v>OK</x:v>
      </x:c>
      <x:c r="E10" s="27"/>
      <x:c r="F10" s="27"/>
      <x:c r="G10" s="27"/>
      <x:c r="H10" s="27"/>
    </x:row>
    <x:row r="11">
      <x:c r="A11" s="27"/>
      <x:c r="B11" s="27"/>
      <x:c r="C11" s="27"/>
      <x:c r="D11" s="27"/>
      <x:c r="E11" s="27"/>
      <x:c r="F11" s="27"/>
      <x:c r="G11" s="27"/>
      <x:c r="H11" s="27"/>
    </x:row>
    <x:row r="12">
      <x:c r="A12" s="31" t="str">
        <x:v>Workbook Notes</x:v>
      </x:c>
      <x:c r="B12" s="31" t="str"/>
      <x:c r="C12" s="31" t="str"/>
      <x:c r="D12" s="31" t="str"/>
      <x:c r="E12" s="31" t="str"/>
      <x:c r="F12" s="31" t="str"/>
      <x:c r="G12" s="31" t="str"/>
      <x:c r="H12" s="31" t="str"/>
    </x:row>
    <x:row r="13">
      <x:c r="A13" s="31" t="str">
        <x:v>1</x:v>
      </x:c>
      <x:c r="B13" s="31" t="str">
        <x:v>The workbook recalculates the core SA-CCR workflow in Excel formulas and reconciles it to the Python engine outputs.</x:v>
      </x:c>
      <x:c r="C13" s="31" t="str"/>
      <x:c r="D13" s="31" t="str"/>
      <x:c r="E13" s="31" t="str"/>
      <x:c r="F13" s="31" t="str"/>
      <x:c r="G13" s="31" t="str"/>
      <x:c r="H13" s="31" t="str"/>
    </x:row>
    <x:row r="14">
      <x:c r="A14" s="31" t="str">
        <x:v>2</x:v>
      </x:c>
      <x:c r="B14" s="31" t="str">
        <x:v>The Python engine remains the source of truth for the Git project; this file is a transparent reviewer-facing audit workbook.</x:v>
      </x:c>
      <x:c r="C14" s="31" t="str"/>
      <x:c r="D14" s="31" t="str"/>
      <x:c r="E14" s="31" t="str"/>
      <x:c r="F14" s="31" t="str"/>
      <x:c r="G14" s="31" t="str"/>
      <x:c r="H14" s="31" t="str"/>
    </x:row>
    <x:row r="15">
      <x:c r="A15" s="31" t="str">
        <x:v>3</x:v>
      </x:c>
      <x:c r="B15" s="31" t="str">
        <x:v>Rows labelled CHECK indicate a formula or mapping difference that should be investigated before using the workbook as validation evidence.</x:v>
      </x:c>
      <x:c r="C15" s="31" t="str"/>
      <x:c r="D15" s="31" t="str"/>
      <x:c r="E15" s="31" t="str"/>
      <x:c r="F15" s="31" t="str"/>
      <x:c r="G15" s="31" t="str"/>
      <x:c r="H15" s="31" t="str"/>
    </x:row>
    <x:row r="16">
      <x:c r="A16" s="31" t="str">
        <x:v>4</x:v>
      </x:c>
      <x:c r="B16" s="31" t="str">
        <x:v>RWA is illustrative. EAD / RC / PFE are the primary SA-CCR exposure outputs.</x:v>
      </x:c>
      <x:c r="C16" s="31" t="str"/>
      <x:c r="D16" s="31" t="str"/>
      <x:c r="E16" s="31" t="str"/>
      <x:c r="F16" s="31" t="str"/>
      <x:c r="G16" s="31" t="str"/>
      <x:c r="H16" s="31" t="str"/>
    </x:row>
    <x:row r="17">
      <x:c r="A17" s="31" t="str">
        <x:v>5</x:v>
      </x:c>
      <x:c r="B17" s="31" t="str">
        <x:v>References: Basel Committee SA-CCR paper and BIS Basel Framework CRE52.</x:v>
      </x:c>
      <x:c r="C17" s="31" t="str"/>
      <x:c r="D17" s="31" t="str"/>
      <x:c r="E17" s="31" t="str"/>
      <x:c r="F17" s="31" t="str"/>
      <x:c r="G17" s="31" t="str"/>
      <x:c r="H17" s="31" t="str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  <x:col min="15" max="15" width="16.25" hidden="0" customWidth="1"/>
    <x:col min="16" max="16" width="16.25" hidden="0" customWidth="1"/>
    <x:col min="17" max="17" width="16.25" hidden="0" customWidth="1"/>
    <x:col min="18" max="18" width="16.25" hidden="0" customWidth="1"/>
    <x:col min="19" max="19" width="16.25" hidden="0" customWidth="1"/>
    <x:col min="20" max="20" width="16.25" hidden="0" customWidth="1"/>
  </x:cols>
  <x:sheetData>
    <x:row r="1" ht="22.5" customHeight="1">
      <x:c r="A1" s="26" t="str">
        <x:v>SA-CCR Parameters Used In Excel Reconciliation</x:v>
      </x:c>
      <x:c r="B1" s="26" t="str">
        <x:v>SA-CCR Parameters Used In Excel Reconciliation</x:v>
      </x:c>
      <x:c r="C1" s="26" t="str">
        <x:v>SA-CCR Parameters Used In Excel Reconciliation</x:v>
      </x:c>
      <x:c r="D1" s="26" t="str">
        <x:v>SA-CCR Parameters Used In Excel Reconciliation</x:v>
      </x:c>
      <x:c r="E1" s="26" t="str">
        <x:v>SA-CCR Parameters Used In Excel Reconciliation</x:v>
      </x:c>
      <x:c r="F1" s="26" t="str">
        <x:v>SA-CCR Parameters Used In Excel Reconciliation</x:v>
      </x:c>
      <x:c r="G1" s="26" t="str">
        <x:v>SA-CCR Parameters Used In Excel Reconciliation</x:v>
      </x:c>
      <x:c r="H1" s="26" t="str">
        <x:v>SA-CCR Parameters Used In Excel Reconciliation</x:v>
      </x:c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</x:row>
    <x:row r="3">
      <x:c r="A3" s="28" t="str">
        <x:v>Constant</x:v>
      </x:c>
      <x:c r="B3" s="28" t="str">
        <x:v>Value</x:v>
      </x:c>
      <x:c r="C3" s="27"/>
      <x:c r="D3" s="28" t="str">
        <x:v>Factor Key</x:v>
      </x:c>
      <x:c r="E3" s="28" t="str">
        <x:v>Supervisory Factor</x:v>
      </x:c>
      <x:c r="F3" s="27"/>
      <x:c r="G3" s="28" t="str">
        <x:v>Credit Rating</x:v>
      </x:c>
      <x:c r="H3" s="28" t="str">
        <x:v>Supervisory Factor</x:v>
      </x:c>
      <x:c r="I3" s="27"/>
      <x:c r="J3" s="28" t="str">
        <x:v>Correlation Key</x:v>
      </x:c>
      <x:c r="K3" s="28" t="str">
        <x:v>Correlation</x:v>
      </x:c>
      <x:c r="L3" s="27"/>
      <x:c r="M3" s="28" t="str">
        <x:v>Option Vol Key</x:v>
      </x:c>
      <x:c r="N3" s="28" t="str">
        <x:v>Volatility</x:v>
      </x:c>
      <x:c r="O3" s="27"/>
      <x:c r="P3" s="28" t="str">
        <x:v>Commodity Type</x:v>
      </x:c>
      <x:c r="Q3" s="28" t="str">
        <x:v>Commodity Group</x:v>
      </x:c>
      <x:c r="R3" s="27"/>
      <x:c r="S3" s="28" t="str">
        <x:v>Commodity Type</x:v>
      </x:c>
      <x:c r="T3" s="28" t="str">
        <x:v>Factor Key</x:v>
      </x:c>
    </x:row>
    <x:row r="4">
      <x:c r="A4" s="29" t="str">
        <x:v>ALPHA</x:v>
      </x:c>
      <x:c r="B4" s="29" t="n">
        <x:v>1.4</x:v>
      </x:c>
      <x:c r="C4" s="27"/>
      <x:c r="D4" s="29" t="str">
        <x:v>Interest Rate</x:v>
      </x:c>
      <x:c r="E4" s="29" t="n">
        <x:v>0.005</x:v>
      </x:c>
      <x:c r="F4" s="27"/>
      <x:c r="G4" s="29" t="str">
        <x:v>AAA</x:v>
      </x:c>
      <x:c r="H4" s="29" t="n">
        <x:v>0.0038</x:v>
      </x:c>
      <x:c r="I4" s="27"/>
      <x:c r="J4" s="29" t="str">
        <x:v>Credit Single Name</x:v>
      </x:c>
      <x:c r="K4" s="29" t="n">
        <x:v>0.5</x:v>
      </x:c>
      <x:c r="L4" s="27"/>
      <x:c r="M4" s="29" t="str">
        <x:v>Interest Rate</x:v>
      </x:c>
      <x:c r="N4" s="29" t="n">
        <x:v>0.5</x:v>
      </x:c>
      <x:c r="O4" s="27"/>
      <x:c r="P4" s="29" t="str">
        <x:v>Oil</x:v>
      </x:c>
      <x:c r="Q4" s="29" t="str">
        <x:v>Energy</x:v>
      </x:c>
      <x:c r="R4" s="27"/>
      <x:c r="S4" s="29" t="str">
        <x:v>Electricity</x:v>
      </x:c>
      <x:c r="T4" s="29" t="str">
        <x:v>Commodity Electricity</x:v>
      </x:c>
    </x:row>
    <x:row r="5">
      <x:c r="A5" s="29" t="str">
        <x:v>MULTIPLIER_FLOOR</x:v>
      </x:c>
      <x:c r="B5" s="29" t="n">
        <x:v>0.05</x:v>
      </x:c>
      <x:c r="C5" s="27"/>
      <x:c r="D5" s="29" t="str">
        <x:v>FX</x:v>
      </x:c>
      <x:c r="E5" s="29" t="n">
        <x:v>0.04</x:v>
      </x:c>
      <x:c r="F5" s="27"/>
      <x:c r="G5" s="29" t="str">
        <x:v>AA</x:v>
      </x:c>
      <x:c r="H5" s="29" t="n">
        <x:v>0.0038</x:v>
      </x:c>
      <x:c r="I5" s="27"/>
      <x:c r="J5" s="29" t="str">
        <x:v>Credit Index</x:v>
      </x:c>
      <x:c r="K5" s="29" t="n">
        <x:v>0.8</x:v>
      </x:c>
      <x:c r="L5" s="27"/>
      <x:c r="M5" s="29" t="str">
        <x:v>FX</x:v>
      </x:c>
      <x:c r="N5" s="29" t="n">
        <x:v>0.15</x:v>
      </x:c>
      <x:c r="O5" s="27"/>
      <x:c r="P5" s="29" t="str">
        <x:v>Gas</x:v>
      </x:c>
      <x:c r="Q5" s="29" t="str">
        <x:v>Energy</x:v>
      </x:c>
      <x:c r="R5" s="27"/>
      <x:c r="S5" s="29" t="str">
        <x:v>Oil</x:v>
      </x:c>
      <x:c r="T5" s="29" t="str">
        <x:v>Commodity Oil/Gas</x:v>
      </x:c>
    </x:row>
    <x:row r="6">
      <x:c r="A6" s="29" t="str">
        <x:v>BUSINESS_DAYS_PER_YEAR</x:v>
      </x:c>
      <x:c r="B6" s="29" t="n">
        <x:v>250</x:v>
      </x:c>
      <x:c r="C6" s="27"/>
      <x:c r="D6" s="29" t="str">
        <x:v>Equity Single Name</x:v>
      </x:c>
      <x:c r="E6" s="29" t="n">
        <x:v>0.32</x:v>
      </x:c>
      <x:c r="F6" s="27"/>
      <x:c r="G6" s="29" t="str">
        <x:v>A</x:v>
      </x:c>
      <x:c r="H6" s="29" t="n">
        <x:v>0.0042</x:v>
      </x:c>
      <x:c r="I6" s="27"/>
      <x:c r="J6" s="29" t="str">
        <x:v>Equity Single Name</x:v>
      </x:c>
      <x:c r="K6" s="29" t="n">
        <x:v>0.5</x:v>
      </x:c>
      <x:c r="L6" s="27"/>
      <x:c r="M6" s="29" t="str">
        <x:v>Credit Single Name</x:v>
      </x:c>
      <x:c r="N6" s="29" t="n">
        <x:v>1</x:v>
      </x:c>
      <x:c r="O6" s="27"/>
      <x:c r="P6" s="29" t="str">
        <x:v>Crude Oil</x:v>
      </x:c>
      <x:c r="Q6" s="29" t="str">
        <x:v>Energy</x:v>
      </x:c>
      <x:c r="R6" s="27"/>
      <x:c r="S6" s="29" t="str">
        <x:v>Gas</x:v>
      </x:c>
      <x:c r="T6" s="29" t="str">
        <x:v>Commodity Oil/Gas</x:v>
      </x:c>
    </x:row>
    <x:row r="7">
      <x:c r="A7" s="29" t="str">
        <x:v>SUPERVISORY_DURATION_RATE</x:v>
      </x:c>
      <x:c r="B7" s="29" t="n">
        <x:v>0.05</x:v>
      </x:c>
      <x:c r="C7" s="27"/>
      <x:c r="D7" s="29" t="str">
        <x:v>Equity Index</x:v>
      </x:c>
      <x:c r="E7" s="29" t="n">
        <x:v>0.2</x:v>
      </x:c>
      <x:c r="F7" s="27"/>
      <x:c r="G7" s="29" t="str">
        <x:v>BBB</x:v>
      </x:c>
      <x:c r="H7" s="29" t="n">
        <x:v>0.0054</x:v>
      </x:c>
      <x:c r="I7" s="27"/>
      <x:c r="J7" s="29" t="str">
        <x:v>Equity Index</x:v>
      </x:c>
      <x:c r="K7" s="29" t="n">
        <x:v>0.8</x:v>
      </x:c>
      <x:c r="L7" s="27"/>
      <x:c r="M7" s="29" t="str">
        <x:v>Credit Index</x:v>
      </x:c>
      <x:c r="N7" s="29" t="n">
        <x:v>0.8</x:v>
      </x:c>
      <x:c r="O7" s="27"/>
      <x:c r="P7" s="29" t="str">
        <x:v>Electricity</x:v>
      </x:c>
      <x:c r="Q7" s="29" t="str">
        <x:v>Energy</x:v>
      </x:c>
      <x:c r="R7" s="27"/>
      <x:c r="S7" s="29" t="str">
        <x:v>Crude Oil</x:v>
      </x:c>
      <x:c r="T7" s="29" t="str">
        <x:v>Commodity Oil/Gas</x:v>
      </x:c>
    </x:row>
    <x:row r="8">
      <x:c r="A8" s="29" t="str">
        <x:v>BASIS_FACTOR_MULTIPLIER</x:v>
      </x:c>
      <x:c r="B8" s="29" t="n">
        <x:v>0.5</x:v>
      </x:c>
      <x:c r="C8" s="27"/>
      <x:c r="D8" s="29" t="str">
        <x:v>Commodity Electricity</x:v>
      </x:c>
      <x:c r="E8" s="29" t="n">
        <x:v>0.4</x:v>
      </x:c>
      <x:c r="F8" s="27"/>
      <x:c r="G8" s="29" t="str">
        <x:v>BB</x:v>
      </x:c>
      <x:c r="H8" s="29" t="n">
        <x:v>0.0106</x:v>
      </x:c>
      <x:c r="I8" s="27"/>
      <x:c r="J8" s="29" t="str">
        <x:v>Commodity</x:v>
      </x:c>
      <x:c r="K8" s="29" t="n">
        <x:v>0.4</x:v>
      </x:c>
      <x:c r="L8" s="27"/>
      <x:c r="M8" s="29" t="str">
        <x:v>Equity Single Name</x:v>
      </x:c>
      <x:c r="N8" s="29" t="n">
        <x:v>1.2</x:v>
      </x:c>
      <x:c r="O8" s="27"/>
      <x:c r="P8" s="29" t="str">
        <x:v>Gold</x:v>
      </x:c>
      <x:c r="Q8" s="29" t="str">
        <x:v>Metals</x:v>
      </x:c>
      <x:c r="R8" s="27"/>
      <x:c r="S8" s="29" t="str">
        <x:v>Gold</x:v>
      </x:c>
      <x:c r="T8" s="29" t="str">
        <x:v>Commodity Metals</x:v>
      </x:c>
    </x:row>
    <x:row r="9">
      <x:c r="A9" s="29" t="str">
        <x:v>VOLATILITY_FACTOR_MULTIPLIER</x:v>
      </x:c>
      <x:c r="B9" s="29" t="n">
        <x:v>5</x:v>
      </x:c>
      <x:c r="C9" s="27"/>
      <x:c r="D9" s="29" t="str">
        <x:v>Commodity Oil/Gas</x:v>
      </x:c>
      <x:c r="E9" s="29" t="n">
        <x:v>0.18</x:v>
      </x:c>
      <x:c r="F9" s="27"/>
      <x:c r="G9" s="29" t="str">
        <x:v>B</x:v>
      </x:c>
      <x:c r="H9" s="29" t="n">
        <x:v>0.016</x:v>
      </x:c>
      <x:c r="I9" s="27"/>
      <x:c r="J9" s="27"/>
      <x:c r="K9" s="27"/>
      <x:c r="L9" s="27"/>
      <x:c r="M9" s="29" t="str">
        <x:v>Equity Index</x:v>
      </x:c>
      <x:c r="N9" s="29" t="n">
        <x:v>0.75</x:v>
      </x:c>
      <x:c r="O9" s="27"/>
      <x:c r="P9" s="29" t="str">
        <x:v>Steel</x:v>
      </x:c>
      <x:c r="Q9" s="29" t="str">
        <x:v>Metals</x:v>
      </x:c>
      <x:c r="R9" s="27"/>
      <x:c r="S9" s="29" t="str">
        <x:v>Steel</x:v>
      </x:c>
      <x:c r="T9" s="29" t="str">
        <x:v>Commodity Metals</x:v>
      </x:c>
    </x:row>
    <x:row r="10">
      <x:c r="A10" s="27"/>
      <x:c r="B10" s="27"/>
      <x:c r="C10" s="27"/>
      <x:c r="D10" s="29" t="str">
        <x:v>Commodity Metals</x:v>
      </x:c>
      <x:c r="E10" s="29" t="n">
        <x:v>0.18</x:v>
      </x:c>
      <x:c r="F10" s="27"/>
      <x:c r="G10" s="29" t="str">
        <x:v>CCC</x:v>
      </x:c>
      <x:c r="H10" s="29" t="n">
        <x:v>0.06</x:v>
      </x:c>
      <x:c r="I10" s="27"/>
      <x:c r="J10" s="27"/>
      <x:c r="K10" s="27"/>
      <x:c r="L10" s="27"/>
      <x:c r="M10" s="29" t="str">
        <x:v>Commodity Electricity</x:v>
      </x:c>
      <x:c r="N10" s="29" t="n">
        <x:v>1.5</x:v>
      </x:c>
      <x:c r="O10" s="27"/>
      <x:c r="P10" s="29" t="str">
        <x:v>Aluminum</x:v>
      </x:c>
      <x:c r="Q10" s="29" t="str">
        <x:v>Metals</x:v>
      </x:c>
      <x:c r="R10" s="27"/>
      <x:c r="S10" s="29" t="str">
        <x:v>Aluminum</x:v>
      </x:c>
      <x:c r="T10" s="29" t="str">
        <x:v>Commodity Metals</x:v>
      </x:c>
    </x:row>
    <x:row r="11">
      <x:c r="A11" s="27"/>
      <x:c r="B11" s="27"/>
      <x:c r="C11" s="27"/>
      <x:c r="D11" s="29" t="str">
        <x:v>Commodity Agricultural</x:v>
      </x:c>
      <x:c r="E11" s="29" t="n">
        <x:v>0.18</x:v>
      </x:c>
      <x:c r="F11" s="27"/>
      <x:c r="G11" s="29" t="str">
        <x:v>IG</x:v>
      </x:c>
      <x:c r="H11" s="29" t="n">
        <x:v>0.0038</x:v>
      </x:c>
      <x:c r="I11" s="27"/>
      <x:c r="J11" s="27"/>
      <x:c r="K11" s="27"/>
      <x:c r="L11" s="27"/>
      <x:c r="M11" s="29" t="str">
        <x:v>Commodity Other</x:v>
      </x:c>
      <x:c r="N11" s="29" t="n">
        <x:v>0.7</x:v>
      </x:c>
      <x:c r="O11" s="27"/>
      <x:c r="P11" s="29" t="str">
        <x:v>Copper</x:v>
      </x:c>
      <x:c r="Q11" s="29" t="str">
        <x:v>Metals</x:v>
      </x:c>
      <x:c r="R11" s="27"/>
      <x:c r="S11" s="29" t="str">
        <x:v>Copper</x:v>
      </x:c>
      <x:c r="T11" s="29" t="str">
        <x:v>Commodity Metals</x:v>
      </x:c>
    </x:row>
    <x:row r="12">
      <x:c r="A12" s="27"/>
      <x:c r="B12" s="27"/>
      <x:c r="C12" s="27"/>
      <x:c r="D12" s="29" t="str">
        <x:v>Commodity Other</x:v>
      </x:c>
      <x:c r="E12" s="29" t="n">
        <x:v>0.18</x:v>
      </x:c>
      <x:c r="F12" s="27"/>
      <x:c r="G12" s="29" t="str">
        <x:v>SG</x:v>
      </x:c>
      <x:c r="H12" s="29" t="n">
        <x:v>0.0106</x:v>
      </x:c>
      <x:c r="I12" s="27"/>
      <x:c r="J12" s="27"/>
      <x:c r="K12" s="27"/>
      <x:c r="L12" s="27"/>
      <x:c r="M12" s="27"/>
      <x:c r="N12" s="27"/>
      <x:c r="O12" s="27"/>
      <x:c r="P12" s="29" t="str">
        <x:v>Wheat</x:v>
      </x:c>
      <x:c r="Q12" s="29" t="str">
        <x:v>Agricultural</x:v>
      </x:c>
      <x:c r="R12" s="27"/>
      <x:c r="S12" s="29" t="str">
        <x:v>Wheat</x:v>
      </x:c>
      <x:c r="T12" s="29" t="str">
        <x:v>Commodity Agricultural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</x:cols>
  <x:sheetData>
    <x:row r="1" ht="22.5" customHeight="1">
      <x:c r="A1" s="26" t="str">
        <x:v>Inputs_Trades</x:v>
      </x:c>
      <x:c r="B1" s="26" t="str">
        <x:v>Inputs_Trades</x:v>
      </x:c>
      <x:c r="C1" s="26" t="str">
        <x:v>Inputs_Trades</x:v>
      </x:c>
      <x:c r="D1" s="26" t="str">
        <x:v>Inputs_Trades</x:v>
      </x:c>
      <x:c r="E1" s="26" t="str">
        <x:v>Inputs_Trades</x:v>
      </x:c>
      <x:c r="F1" s="26" t="str">
        <x:v>Inputs_Trades</x:v>
      </x:c>
      <x:c r="G1" s="26" t="str">
        <x:v>Inputs_Trades</x:v>
      </x:c>
      <x:c r="H1" s="26" t="str">
        <x:v>Inputs_Trades</x:v>
      </x:c>
      <x:c r="I1" s="26" t="str">
        <x:v>Inputs_Trades</x:v>
      </x:c>
      <x:c r="J1" s="26" t="str">
        <x:v>Inputs_Trades</x:v>
      </x:c>
      <x:c r="K1" s="26" t="str">
        <x:v>Inputs_Trades</x:v>
      </x:c>
      <x:c r="L1" s="26" t="str">
        <x:v>Inputs_Trades</x:v>
      </x:c>
      <x:c r="M1" s="26" t="str">
        <x:v>Inputs_Trades</x:v>
      </x:c>
      <x:c r="N1" s="26" t="str">
        <x:v>Inputs_Trades</x:v>
      </x:c>
      <x:c r="O1" s="26" t="str">
        <x:v>Inputs_Trades</x:v>
      </x:c>
      <x:c r="P1" s="26" t="str">
        <x:v>Inputs_Trades</x:v>
      </x:c>
      <x:c r="Q1" s="26" t="str">
        <x:v>Inputs_Trades</x:v>
      </x:c>
      <x:c r="R1" s="26" t="str">
        <x:v>Inputs_Trades</x:v>
      </x:c>
      <x:c r="S1" s="26" t="str">
        <x:v>Inputs_Trades</x:v>
      </x:c>
      <x:c r="T1" s="26" t="str">
        <x:v>Inputs_Trades</x:v>
      </x:c>
      <x:c r="U1" s="26" t="str">
        <x:v>Inputs_Trades</x:v>
      </x:c>
      <x:c r="V1" s="26" t="str">
        <x:v>Inputs_Trades</x:v>
      </x:c>
      <x:c r="W1" s="26" t="str">
        <x:v>Inputs_Trades</x:v>
      </x:c>
      <x:c r="X1" s="26" t="str">
        <x:v>Inputs_Trades</x:v>
      </x:c>
      <x:c r="Y1" s="26" t="str">
        <x:v>Inputs_Trades</x:v>
      </x:c>
      <x:c r="Z1" s="26" t="str">
        <x:v>Inputs_Trades</x:v>
      </x:c>
      <x:c r="AA1" s="26" t="str">
        <x:v>Inputs_Trades</x:v>
      </x:c>
      <x:c r="AB1" s="26" t="str">
        <x:v>Inputs_Trades</x:v>
      </x:c>
      <x:c r="AC1" s="26" t="str">
        <x:v>Inputs_Trades</x:v>
      </x:c>
      <x:c r="AD1" s="26" t="str">
        <x:v>Inputs_Trades</x:v>
      </x:c>
      <x:c r="AE1" s="26" t="str">
        <x:v>Inputs_Trades</x:v>
      </x:c>
      <x:c r="AF1" s="26" t="str">
        <x:v>Inputs_Trades</x:v>
      </x:c>
      <x:c r="AG1" s="26" t="str">
        <x:v>Inputs_Trades</x:v>
      </x:c>
      <x:c r="AH1" s="26" t="str">
        <x:v>Inputs_Trades</x:v>
      </x:c>
      <x:c r="AI1" s="26" t="str">
        <x:v>Inputs_Trades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</x:row>
    <x:row r="3">
      <x:c r="A3" s="28" t="str">
        <x:v>COB Date</x:v>
      </x:c>
      <x:c r="B3" s="28" t="str">
        <x:v>Counterparty ID</x:v>
      </x:c>
      <x:c r="C3" s="28" t="str">
        <x:v>Netting Set ID</x:v>
      </x:c>
      <x:c r="D3" s="28" t="str">
        <x:v>Ticket Number</x:v>
      </x:c>
      <x:c r="E3" s="28" t="str">
        <x:v>Trade Type</x:v>
      </x:c>
      <x:c r="F3" s="28" t="str">
        <x:v>Asset Class</x:v>
      </x:c>
      <x:c r="G3" s="28" t="str">
        <x:v>Sub Class</x:v>
      </x:c>
      <x:c r="H3" s="28" t="str">
        <x:v>Trade Leg 1 Currency</x:v>
      </x:c>
      <x:c r="I3" s="28" t="str">
        <x:v>Trade Leg 2 Currency</x:v>
      </x:c>
      <x:c r="J3" s="28" t="str">
        <x:v>Base Currency</x:v>
      </x:c>
      <x:c r="K3" s="28" t="str">
        <x:v>Basis/Volatility Indicator</x:v>
      </x:c>
      <x:c r="L3" s="28" t="str">
        <x:v>Specific Basis</x:v>
      </x:c>
      <x:c r="M3" s="28" t="str">
        <x:v>Underlying Entity Name</x:v>
      </x:c>
      <x:c r="N3" s="28" t="str">
        <x:v>Underlying Entity Type</x:v>
      </x:c>
      <x:c r="O3" s="28" t="str">
        <x:v>Underlying Entity Rating</x:v>
      </x:c>
      <x:c r="P3" s="28" t="str">
        <x:v>Maturity Date</x:v>
      </x:c>
      <x:c r="Q3" s="28" t="str">
        <x:v>Start Date</x:v>
      </x:c>
      <x:c r="R3" s="28" t="str">
        <x:v>End Date</x:v>
      </x:c>
      <x:c r="S3" s="28" t="str">
        <x:v>Leg 1 Notional</x:v>
      </x:c>
      <x:c r="T3" s="28" t="str">
        <x:v>Leg 2 Notional</x:v>
      </x:c>
      <x:c r="U3" s="28" t="str">
        <x:v>Base Notional</x:v>
      </x:c>
      <x:c r="V3" s="28" t="str">
        <x:v>Margined/ Unmargined</x:v>
      </x:c>
      <x:c r="W3" s="28" t="str">
        <x:v>CCP</x:v>
      </x:c>
      <x:c r="X3" s="28" t="str">
        <x:v>Margin Frequency (Business Days)</x:v>
      </x:c>
      <x:c r="Y3" s="28" t="str">
        <x:v>Buy/Sell Indicator</x:v>
      </x:c>
      <x:c r="Z3" s="28" t="str">
        <x:v>Contractual Exercise Date</x:v>
      </x:c>
      <x:c r="AA3" s="28" t="str">
        <x:v>Put/Call Indicator</x:v>
      </x:c>
      <x:c r="AB3" s="28" t="str">
        <x:v>Strike Price (Ki)</x:v>
      </x:c>
      <x:c r="AC3" s="28" t="str">
        <x:v>Underlying Price (Pi)</x:v>
      </x:c>
      <x:c r="AD3" s="28" t="str">
        <x:v>MtM</x:v>
      </x:c>
      <x:c r="AE3" s="28" t="str">
        <x:v>Source</x:v>
      </x:c>
      <x:c r="AF3" s="28" t="str">
        <x:v>Source Dissemination Identifier</x:v>
      </x:c>
      <x:c r="AG3" s="28" t="str">
        <x:v>Source Product Name</x:v>
      </x:c>
      <x:c r="AH3" s="28" t="str">
        <x:v>Source UPI FISN</x:v>
      </x:c>
      <x:c r="AI3" s="28" t="str">
        <x:v>Source UPI Underlier Name</x:v>
      </x:c>
    </x:row>
    <x:row r="4">
      <x:c r="A4" s="27" t="n">
        <x:v>45702</x:v>
      </x:c>
      <x:c r="B4" s="27" t="str">
        <x:v>IND_CORPORATE_002</x:v>
      </x:c>
      <x:c r="C4" s="27" t="n">
        <x:v>3346</x:v>
      </x:c>
      <x:c r="D4" s="27" t="str">
        <x:v>IND-000001</x:v>
      </x:c>
      <x:c r="E4" s="27" t="str">
        <x:v>FX Forward</x:v>
      </x:c>
      <x:c r="F4" s="27" t="str">
        <x:v>FX</x:v>
      </x:c>
      <x:c r="G4" s="27"/>
      <x:c r="H4" s="27" t="str">
        <x:v>AUD</x:v>
      </x:c>
      <x:c r="I4" s="27" t="str">
        <x:v>USD</x:v>
      </x:c>
      <x:c r="J4" s="27" t="str">
        <x:v>USD</x:v>
      </x:c>
      <x:c r="K4" s="27"/>
      <x:c r="L4" s="27"/>
      <x:c r="M4" s="27" t="str">
        <x:v>AUD/USD</x:v>
      </x:c>
      <x:c r="N4" s="27"/>
      <x:c r="O4" s="27"/>
      <x:c r="P4" s="27" t="n">
        <x:v>46814</x:v>
      </x:c>
      <x:c r="Q4" s="27" t="n">
        <x:v>45068</x:v>
      </x:c>
      <x:c r="R4" s="27" t="n">
        <x:v>46814</x:v>
      </x:c>
      <x:c r="S4" s="27" t="n">
        <x:v>130303030.3</x:v>
      </x:c>
      <x:c r="T4" s="27" t="n">
        <x:v>86000000</x:v>
      </x:c>
      <x:c r="U4" s="27" t="n">
        <x:v>86000000</x:v>
      </x:c>
      <x:c r="V4" s="27" t="str">
        <x:v>M</x:v>
      </x:c>
      <x:c r="W4" s="27" t="str">
        <x:v>N</x:v>
      </x:c>
      <x:c r="X4" s="27" t="n">
        <x:v>10</x:v>
      </x:c>
      <x:c r="Y4" s="27" t="str">
        <x:v>B</x:v>
      </x:c>
      <x:c r="Z4" s="27"/>
      <x:c r="AA4" s="27"/>
      <x:c r="AB4" s="27" t="n">
        <x:v>0</x:v>
      </x:c>
      <x:c r="AC4" s="27" t="n">
        <x:v>0</x:v>
      </x:c>
      <x:c r="AD4" s="27" t="n">
        <x:v>551260</x:v>
      </x:c>
      <x:c r="AE4" s="27" t="str">
        <x:v>Public-safe anonymized industry-style SA-CCR sample</x:v>
      </x:c>
      <x:c r="AF4" s="27" t="str">
        <x:v>ANON-000001</x:v>
      </x:c>
      <x:c r="AG4" s="27" t="str">
        <x:v>FX Forward</x:v>
      </x:c>
      <x:c r="AH4" s="27"/>
      <x:c r="AI4" s="27" t="str">
        <x:v>AUD/USD</x:v>
      </x:c>
    </x:row>
    <x:row r="5">
      <x:c r="A5" s="27" t="n">
        <x:v>45702</x:v>
      </x:c>
      <x:c r="B5" s="27" t="str">
        <x:v>IND_INSURER_001</x:v>
      </x:c>
      <x:c r="C5" s="27" t="n">
        <x:v>3094</x:v>
      </x:c>
      <x:c r="D5" s="27" t="str">
        <x:v>IND-000002</x:v>
      </x:c>
      <x:c r="E5" s="27" t="str">
        <x:v>FX Forward</x:v>
      </x:c>
      <x:c r="F5" s="27" t="str">
        <x:v>FX</x:v>
      </x:c>
      <x:c r="G5" s="27"/>
      <x:c r="H5" s="27" t="str">
        <x:v>GBP</x:v>
      </x:c>
      <x:c r="I5" s="27" t="str">
        <x:v>USD</x:v>
      </x:c>
      <x:c r="J5" s="27" t="str">
        <x:v>USD</x:v>
      </x:c>
      <x:c r="K5" s="27"/>
      <x:c r="L5" s="27"/>
      <x:c r="M5" s="27" t="str">
        <x:v>GBP/USD</x:v>
      </x:c>
      <x:c r="N5" s="27"/>
      <x:c r="O5" s="27"/>
      <x:c r="P5" s="27" t="n">
        <x:v>46497</x:v>
      </x:c>
      <x:c r="Q5" s="27" t="n">
        <x:v>44872</x:v>
      </x:c>
      <x:c r="R5" s="27" t="n">
        <x:v>46497</x:v>
      </x:c>
      <x:c r="S5" s="27" t="n">
        <x:v>47680000</x:v>
      </x:c>
      <x:c r="T5" s="27" t="n">
        <x:v>59600000</x:v>
      </x:c>
      <x:c r="U5" s="27" t="n">
        <x:v>59600000</x:v>
      </x:c>
      <x:c r="V5" s="27" t="str">
        <x:v>U</x:v>
      </x:c>
      <x:c r="W5" s="27" t="str">
        <x:v>N</x:v>
      </x:c>
      <x:c r="X5" s="27"/>
      <x:c r="Y5" s="27" t="str">
        <x:v>B</x:v>
      </x:c>
      <x:c r="Z5" s="27"/>
      <x:c r="AA5" s="27"/>
      <x:c r="AB5" s="27" t="n">
        <x:v>0</x:v>
      </x:c>
      <x:c r="AC5" s="27" t="n">
        <x:v>0</x:v>
      </x:c>
      <x:c r="AD5" s="27" t="n">
        <x:v>396936</x:v>
      </x:c>
      <x:c r="AE5" s="27" t="str">
        <x:v>Public-safe anonymized industry-style SA-CCR sample</x:v>
      </x:c>
      <x:c r="AF5" s="27" t="str">
        <x:v>ANON-000002</x:v>
      </x:c>
      <x:c r="AG5" s="27" t="str">
        <x:v>FX Forward</x:v>
      </x:c>
      <x:c r="AH5" s="27"/>
      <x:c r="AI5" s="27" t="str">
        <x:v>GBP/USD</x:v>
      </x:c>
    </x:row>
    <x:row r="6">
      <x:c r="A6" s="27" t="n">
        <x:v>45702</x:v>
      </x:c>
      <x:c r="B6" s="27" t="str">
        <x:v>IND_CLEARING_MEMBER_001</x:v>
      </x:c>
      <x:c r="C6" s="27" t="n">
        <x:v>3206</x:v>
      </x:c>
      <x:c r="D6" s="27" t="str">
        <x:v>IND-000003</x:v>
      </x:c>
      <x:c r="E6" s="27" t="str">
        <x:v>FX Forward</x:v>
      </x:c>
      <x:c r="F6" s="27" t="str">
        <x:v>FX</x:v>
      </x:c>
      <x:c r="G6" s="27"/>
      <x:c r="H6" s="27" t="str">
        <x:v>USD</x:v>
      </x:c>
      <x:c r="I6" s="27" t="str">
        <x:v>CNY</x:v>
      </x:c>
      <x:c r="J6" s="27" t="str">
        <x:v>USD</x:v>
      </x:c>
      <x:c r="K6" s="27"/>
      <x:c r="L6" s="27"/>
      <x:c r="M6" s="27" t="str">
        <x:v>USD/CNY</x:v>
      </x:c>
      <x:c r="N6" s="27"/>
      <x:c r="O6" s="27"/>
      <x:c r="P6" s="27" t="n">
        <x:v>47674</x:v>
      </x:c>
      <x:c r="Q6" s="27" t="n">
        <x:v>45320</x:v>
      </x:c>
      <x:c r="R6" s="27" t="n">
        <x:v>47674</x:v>
      </x:c>
      <x:c r="S6" s="27" t="n">
        <x:v>13100000</x:v>
      </x:c>
      <x:c r="T6" s="27" t="n">
        <x:v>93571428.57</x:v>
      </x:c>
      <x:c r="U6" s="27" t="n">
        <x:v>13100000</x:v>
      </x:c>
      <x:c r="V6" s="27" t="str">
        <x:v>M</x:v>
      </x:c>
      <x:c r="W6" s="27" t="str">
        <x:v>N</x:v>
      </x:c>
      <x:c r="X6" s="27" t="n">
        <x:v>10</x:v>
      </x:c>
      <x:c r="Y6" s="27" t="str">
        <x:v>S</x:v>
      </x:c>
      <x:c r="Z6" s="27"/>
      <x:c r="AA6" s="27"/>
      <x:c r="AB6" s="27" t="n">
        <x:v>0</x:v>
      </x:c>
      <x:c r="AC6" s="27" t="n">
        <x:v>0</x:v>
      </x:c>
      <x:c r="AD6" s="27" t="n">
        <x:v>75980</x:v>
      </x:c>
      <x:c r="AE6" s="27" t="str">
        <x:v>Public-safe anonymized industry-style SA-CCR sample</x:v>
      </x:c>
      <x:c r="AF6" s="27" t="str">
        <x:v>ANON-000003</x:v>
      </x:c>
      <x:c r="AG6" s="27" t="str">
        <x:v>FX Forward</x:v>
      </x:c>
      <x:c r="AH6" s="27"/>
      <x:c r="AI6" s="27" t="str">
        <x:v>USD/CNY</x:v>
      </x:c>
    </x:row>
    <x:row r="7">
      <x:c r="A7" s="27" t="n">
        <x:v>45702</x:v>
      </x:c>
      <x:c r="B7" s="27" t="str">
        <x:v>IND_CORPORATE_002</x:v>
      </x:c>
      <x:c r="C7" s="27" t="n">
        <x:v>3187</x:v>
      </x:c>
      <x:c r="D7" s="27" t="str">
        <x:v>IND-000004</x:v>
      </x:c>
      <x:c r="E7" s="27" t="str">
        <x:v>FX Forward</x:v>
      </x:c>
      <x:c r="F7" s="27" t="str">
        <x:v>FX</x:v>
      </x:c>
      <x:c r="G7" s="27"/>
      <x:c r="H7" s="27" t="str">
        <x:v>EUR</x:v>
      </x:c>
      <x:c r="I7" s="27" t="str">
        <x:v>USD</x:v>
      </x:c>
      <x:c r="J7" s="27" t="str">
        <x:v>USD</x:v>
      </x:c>
      <x:c r="K7" s="27"/>
      <x:c r="L7" s="27"/>
      <x:c r="M7" s="27" t="str">
        <x:v>EUR/USD</x:v>
      </x:c>
      <x:c r="N7" s="27"/>
      <x:c r="O7" s="27"/>
      <x:c r="P7" s="27" t="n">
        <x:v>46168</x:v>
      </x:c>
      <x:c r="Q7" s="27" t="n">
        <x:v>44940</x:v>
      </x:c>
      <x:c r="R7" s="27" t="n">
        <x:v>46168</x:v>
      </x:c>
      <x:c r="S7" s="27" t="n">
        <x:v>28761904.76</x:v>
      </x:c>
      <x:c r="T7" s="27" t="n">
        <x:v>30200000</x:v>
      </x:c>
      <x:c r="U7" s="27" t="n">
        <x:v>30200000</x:v>
      </x:c>
      <x:c r="V7" s="27" t="str">
        <x:v>U</x:v>
      </x:c>
      <x:c r="W7" s="27" t="str">
        <x:v>N</x:v>
      </x:c>
      <x:c r="X7" s="27"/>
      <x:c r="Y7" s="27" t="str">
        <x:v>B</x:v>
      </x:c>
      <x:c r="Z7" s="27"/>
      <x:c r="AA7" s="27"/>
      <x:c r="AB7" s="27" t="n">
        <x:v>0</x:v>
      </x:c>
      <x:c r="AC7" s="27" t="n">
        <x:v>0</x:v>
      </x:c>
      <x:c r="AD7" s="27" t="n">
        <x:v>-173348</x:v>
      </x:c>
      <x:c r="AE7" s="27" t="str">
        <x:v>Public-safe anonymized industry-style SA-CCR sample</x:v>
      </x:c>
      <x:c r="AF7" s="27" t="str">
        <x:v>ANON-000004</x:v>
      </x:c>
      <x:c r="AG7" s="27" t="str">
        <x:v>FX Forward</x:v>
      </x:c>
      <x:c r="AH7" s="27"/>
      <x:c r="AI7" s="27" t="str">
        <x:v>EUR/USD</x:v>
      </x:c>
    </x:row>
    <x:row r="8">
      <x:c r="A8" s="27" t="n">
        <x:v>45702</x:v>
      </x:c>
      <x:c r="B8" s="27" t="str">
        <x:v>IND_BANK_001</x:v>
      </x:c>
      <x:c r="C8" s="27" t="n">
        <x:v>3214</x:v>
      </x:c>
      <x:c r="D8" s="27" t="str">
        <x:v>IND-000005</x:v>
      </x:c>
      <x:c r="E8" s="27" t="str">
        <x:v>FX Forward</x:v>
      </x:c>
      <x:c r="F8" s="27" t="str">
        <x:v>FX</x:v>
      </x:c>
      <x:c r="G8" s="27"/>
      <x:c r="H8" s="27" t="str">
        <x:v>AUD</x:v>
      </x:c>
      <x:c r="I8" s="27" t="str">
        <x:v>USD</x:v>
      </x:c>
      <x:c r="J8" s="27" t="str">
        <x:v>USD</x:v>
      </x:c>
      <x:c r="K8" s="27"/>
      <x:c r="L8" s="27"/>
      <x:c r="M8" s="27" t="str">
        <x:v>AUD/USD</x:v>
      </x:c>
      <x:c r="N8" s="27"/>
      <x:c r="O8" s="27"/>
      <x:c r="P8" s="27" t="n">
        <x:v>46948</x:v>
      </x:c>
      <x:c r="Q8" s="27" t="n">
        <x:v>45683</x:v>
      </x:c>
      <x:c r="R8" s="27" t="n">
        <x:v>46948</x:v>
      </x:c>
      <x:c r="S8" s="27" t="n">
        <x:v>52424242.42</x:v>
      </x:c>
      <x:c r="T8" s="27" t="n">
        <x:v>34600000</x:v>
      </x:c>
      <x:c r="U8" s="27" t="n">
        <x:v>34600000</x:v>
      </x:c>
      <x:c r="V8" s="27" t="str">
        <x:v>U</x:v>
      </x:c>
      <x:c r="W8" s="27" t="str">
        <x:v>N</x:v>
      </x:c>
      <x:c r="X8" s="27"/>
      <x:c r="Y8" s="27" t="str">
        <x:v>B</x:v>
      </x:c>
      <x:c r="Z8" s="27"/>
      <x:c r="AA8" s="27"/>
      <x:c r="AB8" s="27" t="n">
        <x:v>0</x:v>
      </x:c>
      <x:c r="AC8" s="27" t="n">
        <x:v>0</x:v>
      </x:c>
      <x:c r="AD8" s="27" t="n">
        <x:v>60204</x:v>
      </x:c>
      <x:c r="AE8" s="27" t="str">
        <x:v>Public-safe anonymized industry-style SA-CCR sample</x:v>
      </x:c>
      <x:c r="AF8" s="27" t="str">
        <x:v>ANON-000005</x:v>
      </x:c>
      <x:c r="AG8" s="27" t="str">
        <x:v>FX Forward</x:v>
      </x:c>
      <x:c r="AH8" s="27"/>
      <x:c r="AI8" s="27" t="str">
        <x:v>AUD/USD</x:v>
      </x:c>
    </x:row>
    <x:row r="9">
      <x:c r="A9" s="27" t="n">
        <x:v>45702</x:v>
      </x:c>
      <x:c r="B9" s="27" t="str">
        <x:v>IND_BANK_002</x:v>
      </x:c>
      <x:c r="C9" s="27" t="n">
        <x:v>3331</x:v>
      </x:c>
      <x:c r="D9" s="27" t="str">
        <x:v>IND-000006</x:v>
      </x:c>
      <x:c r="E9" s="27" t="str">
        <x:v>FX Forward</x:v>
      </x:c>
      <x:c r="F9" s="27" t="str">
        <x:v>FX</x:v>
      </x:c>
      <x:c r="G9" s="27"/>
      <x:c r="H9" s="27" t="str">
        <x:v>AUD</x:v>
      </x:c>
      <x:c r="I9" s="27" t="str">
        <x:v>USD</x:v>
      </x:c>
      <x:c r="J9" s="27" t="str">
        <x:v>USD</x:v>
      </x:c>
      <x:c r="K9" s="27"/>
      <x:c r="L9" s="27"/>
      <x:c r="M9" s="27" t="str">
        <x:v>AUD/USD</x:v>
      </x:c>
      <x:c r="N9" s="27"/>
      <x:c r="O9" s="27"/>
      <x:c r="P9" s="27" t="n">
        <x:v>46314</x:v>
      </x:c>
      <x:c r="Q9" s="27" t="n">
        <x:v>45485</x:v>
      </x:c>
      <x:c r="R9" s="27" t="n">
        <x:v>46314</x:v>
      </x:c>
      <x:c r="S9" s="27" t="n">
        <x:v>27272727.27</x:v>
      </x:c>
      <x:c r="T9" s="27" t="n">
        <x:v>18000000</x:v>
      </x:c>
      <x:c r="U9" s="27" t="n">
        <x:v>18000000</x:v>
      </x:c>
      <x:c r="V9" s="27" t="str">
        <x:v>M</x:v>
      </x:c>
      <x:c r="W9" s="27" t="str">
        <x:v>N</x:v>
      </x:c>
      <x:c r="X9" s="27" t="n">
        <x:v>10</x:v>
      </x:c>
      <x:c r="Y9" s="27" t="str">
        <x:v>S</x:v>
      </x:c>
      <x:c r="Z9" s="27"/>
      <x:c r="AA9" s="27"/>
      <x:c r="AB9" s="27" t="n">
        <x:v>0</x:v>
      </x:c>
      <x:c r="AC9" s="27" t="n">
        <x:v>0</x:v>
      </x:c>
      <x:c r="AD9" s="27" t="n">
        <x:v>41580</x:v>
      </x:c>
      <x:c r="AE9" s="27" t="str">
        <x:v>Public-safe anonymized industry-style SA-CCR sample</x:v>
      </x:c>
      <x:c r="AF9" s="27" t="str">
        <x:v>ANON-000006</x:v>
      </x:c>
      <x:c r="AG9" s="27" t="str">
        <x:v>FX Forward</x:v>
      </x:c>
      <x:c r="AH9" s="27"/>
      <x:c r="AI9" s="27" t="str">
        <x:v>AUD/USD</x:v>
      </x:c>
    </x:row>
    <x:row r="10">
      <x:c r="A10" s="27" t="n">
        <x:v>45702</x:v>
      </x:c>
      <x:c r="B10" s="27" t="str">
        <x:v>IND_BANK_002</x:v>
      </x:c>
      <x:c r="C10" s="27" t="n">
        <x:v>3331</x:v>
      </x:c>
      <x:c r="D10" s="27" t="str">
        <x:v>IND-000007</x:v>
      </x:c>
      <x:c r="E10" s="27" t="str">
        <x:v>FX Forward</x:v>
      </x:c>
      <x:c r="F10" s="27" t="str">
        <x:v>FX</x:v>
      </x:c>
      <x:c r="G10" s="27"/>
      <x:c r="H10" s="27" t="str">
        <x:v>USD</x:v>
      </x:c>
      <x:c r="I10" s="27" t="str">
        <x:v>JPY</x:v>
      </x:c>
      <x:c r="J10" s="27" t="str">
        <x:v>USD</x:v>
      </x:c>
      <x:c r="K10" s="27"/>
      <x:c r="L10" s="27"/>
      <x:c r="M10" s="27" t="str">
        <x:v>USD/JPY</x:v>
      </x:c>
      <x:c r="N10" s="27"/>
      <x:c r="O10" s="27"/>
      <x:c r="P10" s="27" t="n">
        <x:v>46634</x:v>
      </x:c>
      <x:c r="Q10" s="27" t="n">
        <x:v>44888</x:v>
      </x:c>
      <x:c r="R10" s="27" t="n">
        <x:v>46634</x:v>
      </x:c>
      <x:c r="S10" s="27" t="n">
        <x:v>123000000</x:v>
      </x:c>
      <x:c r="T10" s="27" t="n">
        <x:v>18358208955.22</x:v>
      </x:c>
      <x:c r="U10" s="27" t="n">
        <x:v>123000000</x:v>
      </x:c>
      <x:c r="V10" s="27" t="str">
        <x:v>M</x:v>
      </x:c>
      <x:c r="W10" s="27" t="str">
        <x:v>N</x:v>
      </x:c>
      <x:c r="X10" s="27" t="n">
        <x:v>10</x:v>
      </x:c>
      <x:c r="Y10" s="27" t="str">
        <x:v>S</x:v>
      </x:c>
      <x:c r="Z10" s="27"/>
      <x:c r="AA10" s="27"/>
      <x:c r="AB10" s="27" t="n">
        <x:v>0</x:v>
      </x:c>
      <x:c r="AC10" s="27" t="n">
        <x:v>0</x:v>
      </x:c>
      <x:c r="AD10" s="27" t="n">
        <x:v>-1173420</x:v>
      </x:c>
      <x:c r="AE10" s="27" t="str">
        <x:v>Public-safe anonymized industry-style SA-CCR sample</x:v>
      </x:c>
      <x:c r="AF10" s="27" t="str">
        <x:v>ANON-000007</x:v>
      </x:c>
      <x:c r="AG10" s="27" t="str">
        <x:v>FX Forward</x:v>
      </x:c>
      <x:c r="AH10" s="27"/>
      <x:c r="AI10" s="27" t="str">
        <x:v>USD/JPY</x:v>
      </x:c>
    </x:row>
    <x:row r="11">
      <x:c r="A11" s="27" t="n">
        <x:v>45702</x:v>
      </x:c>
      <x:c r="B11" s="27" t="str">
        <x:v>IND_CORPORATE_001</x:v>
      </x:c>
      <x:c r="C11" s="27" t="n">
        <x:v>3040</x:v>
      </x:c>
      <x:c r="D11" s="27" t="str">
        <x:v>IND-000008</x:v>
      </x:c>
      <x:c r="E11" s="27" t="str">
        <x:v>FX Forward</x:v>
      </x:c>
      <x:c r="F11" s="27" t="str">
        <x:v>FX</x:v>
      </x:c>
      <x:c r="G11" s="27"/>
      <x:c r="H11" s="27" t="str">
        <x:v>USD</x:v>
      </x:c>
      <x:c r="I11" s="27" t="str">
        <x:v>JPY</x:v>
      </x:c>
      <x:c r="J11" s="27" t="str">
        <x:v>USD</x:v>
      </x:c>
      <x:c r="K11" s="27"/>
      <x:c r="L11" s="27"/>
      <x:c r="M11" s="27" t="str">
        <x:v>USD/JPY</x:v>
      </x:c>
      <x:c r="N11" s="27"/>
      <x:c r="O11" s="27"/>
      <x:c r="P11" s="27" t="n">
        <x:v>47088</x:v>
      </x:c>
      <x:c r="Q11" s="27" t="n">
        <x:v>44805</x:v>
      </x:c>
      <x:c r="R11" s="27" t="n">
        <x:v>47088</x:v>
      </x:c>
      <x:c r="S11" s="27" t="n">
        <x:v>1000000</x:v>
      </x:c>
      <x:c r="T11" s="27" t="n">
        <x:v>149253731.34</x:v>
      </x:c>
      <x:c r="U11" s="27" t="n">
        <x:v>1000000</x:v>
      </x:c>
      <x:c r="V11" s="27" t="str">
        <x:v>M</x:v>
      </x:c>
      <x:c r="W11" s="27" t="str">
        <x:v>N</x:v>
      </x:c>
      <x:c r="X11" s="27" t="n">
        <x:v>10</x:v>
      </x:c>
      <x:c r="Y11" s="27" t="str">
        <x:v>B</x:v>
      </x:c>
      <x:c r="Z11" s="27"/>
      <x:c r="AA11" s="27"/>
      <x:c r="AB11" s="27" t="n">
        <x:v>0</x:v>
      </x:c>
      <x:c r="AC11" s="27" t="n">
        <x:v>0</x:v>
      </x:c>
      <x:c r="AD11" s="27" t="n">
        <x:v>3060</x:v>
      </x:c>
      <x:c r="AE11" s="27" t="str">
        <x:v>Public-safe anonymized industry-style SA-CCR sample</x:v>
      </x:c>
      <x:c r="AF11" s="27" t="str">
        <x:v>ANON-000008</x:v>
      </x:c>
      <x:c r="AG11" s="27" t="str">
        <x:v>FX Forward</x:v>
      </x:c>
      <x:c r="AH11" s="27"/>
      <x:c r="AI11" s="27" t="str">
        <x:v>USD/JPY</x:v>
      </x:c>
    </x:row>
    <x:row r="12">
      <x:c r="A12" s="27" t="n">
        <x:v>45702</x:v>
      </x:c>
      <x:c r="B12" s="27" t="str">
        <x:v>IND_CORPORATE_002</x:v>
      </x:c>
      <x:c r="C12" s="27" t="n">
        <x:v>3346</x:v>
      </x:c>
      <x:c r="D12" s="27" t="str">
        <x:v>IND-000009</x:v>
      </x:c>
      <x:c r="E12" s="27" t="str">
        <x:v>FX Forward</x:v>
      </x:c>
      <x:c r="F12" s="27" t="str">
        <x:v>FX</x:v>
      </x:c>
      <x:c r="G12" s="27"/>
      <x:c r="H12" s="27" t="str">
        <x:v>USD</x:v>
      </x:c>
      <x:c r="I12" s="27" t="str">
        <x:v>CNY</x:v>
      </x:c>
      <x:c r="J12" s="27" t="str">
        <x:v>USD</x:v>
      </x:c>
      <x:c r="K12" s="27"/>
      <x:c r="L12" s="27"/>
      <x:c r="M12" s="27" t="str">
        <x:v>USD/CNY</x:v>
      </x:c>
      <x:c r="N12" s="27"/>
      <x:c r="O12" s="27"/>
      <x:c r="P12" s="27" t="n">
        <x:v>45936</x:v>
      </x:c>
      <x:c r="Q12" s="27" t="n">
        <x:v>44956</x:v>
      </x:c>
      <x:c r="R12" s="27" t="n">
        <x:v>45936</x:v>
      </x:c>
      <x:c r="S12" s="27" t="n">
        <x:v>69800000</x:v>
      </x:c>
      <x:c r="T12" s="27" t="n">
        <x:v>498571428.57</x:v>
      </x:c>
      <x:c r="U12" s="27" t="n">
        <x:v>69800000</x:v>
      </x:c>
      <x:c r="V12" s="27" t="str">
        <x:v>M</x:v>
      </x:c>
      <x:c r="W12" s="27" t="str">
        <x:v>N</x:v>
      </x:c>
      <x:c r="X12" s="27" t="n">
        <x:v>10</x:v>
      </x:c>
      <x:c r="Y12" s="27" t="str">
        <x:v>B</x:v>
      </x:c>
      <x:c r="Z12" s="27"/>
      <x:c r="AA12" s="27"/>
      <x:c r="AB12" s="27" t="n">
        <x:v>0</x:v>
      </x:c>
      <x:c r="AC12" s="27" t="n">
        <x:v>0</x:v>
      </x:c>
      <x:c r="AD12" s="27" t="n">
        <x:v>-690322</x:v>
      </x:c>
      <x:c r="AE12" s="27" t="str">
        <x:v>Public-safe anonymized industry-style SA-CCR sample</x:v>
      </x:c>
      <x:c r="AF12" s="27" t="str">
        <x:v>ANON-000009</x:v>
      </x:c>
      <x:c r="AG12" s="27" t="str">
        <x:v>FX Forward</x:v>
      </x:c>
      <x:c r="AH12" s="27"/>
      <x:c r="AI12" s="27" t="str">
        <x:v>USD/CNY</x:v>
      </x:c>
    </x:row>
    <x:row r="13">
      <x:c r="A13" s="27" t="n">
        <x:v>45702</x:v>
      </x:c>
      <x:c r="B13" s="27" t="str">
        <x:v>IND_ASSET_MANAGER_001</x:v>
      </x:c>
      <x:c r="C13" s="27" t="n">
        <x:v>3127</x:v>
      </x:c>
      <x:c r="D13" s="27" t="str">
        <x:v>IND-000010</x:v>
      </x:c>
      <x:c r="E13" s="27" t="str">
        <x:v>FX Forward</x:v>
      </x:c>
      <x:c r="F13" s="27" t="str">
        <x:v>FX</x:v>
      </x:c>
      <x:c r="G13" s="27"/>
      <x:c r="H13" s="27" t="str">
        <x:v>GBP</x:v>
      </x:c>
      <x:c r="I13" s="27" t="str">
        <x:v>USD</x:v>
      </x:c>
      <x:c r="J13" s="27" t="str">
        <x:v>USD</x:v>
      </x:c>
      <x:c r="K13" s="27"/>
      <x:c r="L13" s="27"/>
      <x:c r="M13" s="27" t="str">
        <x:v>GBP/USD</x:v>
      </x:c>
      <x:c r="N13" s="27"/>
      <x:c r="O13" s="27"/>
      <x:c r="P13" s="27" t="n">
        <x:v>45762</x:v>
      </x:c>
      <x:c r="Q13" s="27" t="n">
        <x:v>45466</x:v>
      </x:c>
      <x:c r="R13" s="27" t="n">
        <x:v>45762</x:v>
      </x:c>
      <x:c r="S13" s="27" t="n">
        <x:v>124800000</x:v>
      </x:c>
      <x:c r="T13" s="27" t="n">
        <x:v>156000000</x:v>
      </x:c>
      <x:c r="U13" s="27" t="n">
        <x:v>156000000</x:v>
      </x:c>
      <x:c r="V13" s="27" t="str">
        <x:v>M</x:v>
      </x:c>
      <x:c r="W13" s="27" t="str">
        <x:v>N</x:v>
      </x:c>
      <x:c r="X13" s="27" t="n">
        <x:v>10</x:v>
      </x:c>
      <x:c r="Y13" s="27" t="str">
        <x:v>B</x:v>
      </x:c>
      <x:c r="Z13" s="27"/>
      <x:c r="AA13" s="27"/>
      <x:c r="AB13" s="27" t="n">
        <x:v>0</x:v>
      </x:c>
      <x:c r="AC13" s="27" t="n">
        <x:v>0</x:v>
      </x:c>
      <x:c r="AD13" s="27" t="n">
        <x:v>255840</x:v>
      </x:c>
      <x:c r="AE13" s="27" t="str">
        <x:v>Public-safe anonymized industry-style SA-CCR sample</x:v>
      </x:c>
      <x:c r="AF13" s="27" t="str">
        <x:v>ANON-000010</x:v>
      </x:c>
      <x:c r="AG13" s="27" t="str">
        <x:v>FX Forward</x:v>
      </x:c>
      <x:c r="AH13" s="27"/>
      <x:c r="AI13" s="27" t="str">
        <x:v>GBP/USD</x:v>
      </x:c>
    </x:row>
    <x:row r="14">
      <x:c r="A14" s="27" t="n">
        <x:v>45702</x:v>
      </x:c>
      <x:c r="B14" s="27" t="str">
        <x:v>IND_HEDGE_FUND_001</x:v>
      </x:c>
      <x:c r="C14" s="27" t="n">
        <x:v>3205</x:v>
      </x:c>
      <x:c r="D14" s="27" t="str">
        <x:v>IND-000011</x:v>
      </x:c>
      <x:c r="E14" s="27" t="str">
        <x:v>FX Forward</x:v>
      </x:c>
      <x:c r="F14" s="27" t="str">
        <x:v>FX</x:v>
      </x:c>
      <x:c r="G14" s="27"/>
      <x:c r="H14" s="27" t="str">
        <x:v>AUD</x:v>
      </x:c>
      <x:c r="I14" s="27" t="str">
        <x:v>USD</x:v>
      </x:c>
      <x:c r="J14" s="27" t="str">
        <x:v>USD</x:v>
      </x:c>
      <x:c r="K14" s="27"/>
      <x:c r="L14" s="27"/>
      <x:c r="M14" s="27" t="str">
        <x:v>AUD/USD</x:v>
      </x:c>
      <x:c r="N14" s="27"/>
      <x:c r="O14" s="27"/>
      <x:c r="P14" s="27" t="n">
        <x:v>46120</x:v>
      </x:c>
      <x:c r="Q14" s="27" t="n">
        <x:v>45161</x:v>
      </x:c>
      <x:c r="R14" s="27" t="n">
        <x:v>46120</x:v>
      </x:c>
      <x:c r="S14" s="27" t="n">
        <x:v>38030303.03</x:v>
      </x:c>
      <x:c r="T14" s="27" t="n">
        <x:v>25100000</x:v>
      </x:c>
      <x:c r="U14" s="27" t="n">
        <x:v>25100000</x:v>
      </x:c>
      <x:c r="V14" s="27" t="str">
        <x:v>M</x:v>
      </x:c>
      <x:c r="W14" s="27" t="str">
        <x:v>N</x:v>
      </x:c>
      <x:c r="X14" s="27" t="n">
        <x:v>10</x:v>
      </x:c>
      <x:c r="Y14" s="27" t="str">
        <x:v>B</x:v>
      </x:c>
      <x:c r="Z14" s="27"/>
      <x:c r="AA14" s="27"/>
      <x:c r="AB14" s="27" t="n">
        <x:v>0</x:v>
      </x:c>
      <x:c r="AC14" s="27" t="n">
        <x:v>0</x:v>
      </x:c>
      <x:c r="AD14" s="27" t="n">
        <x:v>-188501</x:v>
      </x:c>
      <x:c r="AE14" s="27" t="str">
        <x:v>Public-safe anonymized industry-style SA-CCR sample</x:v>
      </x:c>
      <x:c r="AF14" s="27" t="str">
        <x:v>ANON-000011</x:v>
      </x:c>
      <x:c r="AG14" s="27" t="str">
        <x:v>FX Forward</x:v>
      </x:c>
      <x:c r="AH14" s="27"/>
      <x:c r="AI14" s="27" t="str">
        <x:v>AUD/USD</x:v>
      </x:c>
    </x:row>
    <x:row r="15">
      <x:c r="A15" s="27" t="n">
        <x:v>45702</x:v>
      </x:c>
      <x:c r="B15" s="27" t="str">
        <x:v>IND_BROKER_001</x:v>
      </x:c>
      <x:c r="C15" s="27" t="n">
        <x:v>3384</x:v>
      </x:c>
      <x:c r="D15" s="27" t="str">
        <x:v>IND-000012</x:v>
      </x:c>
      <x:c r="E15" s="27" t="str">
        <x:v>FX Forward</x:v>
      </x:c>
      <x:c r="F15" s="27" t="str">
        <x:v>FX</x:v>
      </x:c>
      <x:c r="G15" s="27"/>
      <x:c r="H15" s="27" t="str">
        <x:v>USD</x:v>
      </x:c>
      <x:c r="I15" s="27" t="str">
        <x:v>CNY</x:v>
      </x:c>
      <x:c r="J15" s="27" t="str">
        <x:v>USD</x:v>
      </x:c>
      <x:c r="K15" s="27"/>
      <x:c r="L15" s="27"/>
      <x:c r="M15" s="27" t="str">
        <x:v>USD/CNY</x:v>
      </x:c>
      <x:c r="N15" s="27"/>
      <x:c r="O15" s="27"/>
      <x:c r="P15" s="27" t="n">
        <x:v>47536</x:v>
      </x:c>
      <x:c r="Q15" s="27" t="n">
        <x:v>45367</x:v>
      </x:c>
      <x:c r="R15" s="27" t="n">
        <x:v>47536</x:v>
      </x:c>
      <x:c r="S15" s="27" t="n">
        <x:v>9400000</x:v>
      </x:c>
      <x:c r="T15" s="27" t="n">
        <x:v>67142857.14</x:v>
      </x:c>
      <x:c r="U15" s="27" t="n">
        <x:v>9400000</x:v>
      </x:c>
      <x:c r="V15" s="27" t="str">
        <x:v>U</x:v>
      </x:c>
      <x:c r="W15" s="27" t="str">
        <x:v>N</x:v>
      </x:c>
      <x:c r="X15" s="27"/>
      <x:c r="Y15" s="27" t="str">
        <x:v>S</x:v>
      </x:c>
      <x:c r="Z15" s="27"/>
      <x:c r="AA15" s="27"/>
      <x:c r="AB15" s="27" t="n">
        <x:v>0</x:v>
      </x:c>
      <x:c r="AC15" s="27" t="n">
        <x:v>0</x:v>
      </x:c>
      <x:c r="AD15" s="27" t="n">
        <x:v>-71440</x:v>
      </x:c>
      <x:c r="AE15" s="27" t="str">
        <x:v>Public-safe anonymized industry-style SA-CCR sample</x:v>
      </x:c>
      <x:c r="AF15" s="27" t="str">
        <x:v>ANON-000012</x:v>
      </x:c>
      <x:c r="AG15" s="27" t="str">
        <x:v>FX Forward</x:v>
      </x:c>
      <x:c r="AH15" s="27"/>
      <x:c r="AI15" s="27" t="str">
        <x:v>USD/CNY</x:v>
      </x:c>
    </x:row>
    <x:row r="16">
      <x:c r="A16" s="27" t="n">
        <x:v>45702</x:v>
      </x:c>
      <x:c r="B16" s="27" t="str">
        <x:v>IND_REGIONAL_BANK_001</x:v>
      </x:c>
      <x:c r="C16" s="27" t="n">
        <x:v>3210</x:v>
      </x:c>
      <x:c r="D16" s="27" t="str">
        <x:v>IND-000013</x:v>
      </x:c>
      <x:c r="E16" s="27" t="str">
        <x:v>FX Forward</x:v>
      </x:c>
      <x:c r="F16" s="27" t="str">
        <x:v>FX</x:v>
      </x:c>
      <x:c r="G16" s="27"/>
      <x:c r="H16" s="27" t="str">
        <x:v>EUR</x:v>
      </x:c>
      <x:c r="I16" s="27" t="str">
        <x:v>USD</x:v>
      </x:c>
      <x:c r="J16" s="27" t="str">
        <x:v>USD</x:v>
      </x:c>
      <x:c r="K16" s="27"/>
      <x:c r="L16" s="27"/>
      <x:c r="M16" s="27" t="str">
        <x:v>EUR/USD</x:v>
      </x:c>
      <x:c r="N16" s="27"/>
      <x:c r="O16" s="27"/>
      <x:c r="P16" s="27" t="n">
        <x:v>46708</x:v>
      </x:c>
      <x:c r="Q16" s="27" t="n">
        <x:v>44878</x:v>
      </x:c>
      <x:c r="R16" s="27" t="n">
        <x:v>46708</x:v>
      </x:c>
      <x:c r="S16" s="27" t="n">
        <x:v>10761904.76</x:v>
      </x:c>
      <x:c r="T16" s="27" t="n">
        <x:v>11300000</x:v>
      </x:c>
      <x:c r="U16" s="27" t="n">
        <x:v>11300000</x:v>
      </x:c>
      <x:c r="V16" s="27" t="str">
        <x:v>M</x:v>
      </x:c>
      <x:c r="W16" s="27" t="str">
        <x:v>N</x:v>
      </x:c>
      <x:c r="X16" s="27" t="n">
        <x:v>10</x:v>
      </x:c>
      <x:c r="Y16" s="27" t="str">
        <x:v>S</x:v>
      </x:c>
      <x:c r="Z16" s="27"/>
      <x:c r="AA16" s="27"/>
      <x:c r="AB16" s="27" t="n">
        <x:v>0</x:v>
      </x:c>
      <x:c r="AC16" s="27" t="n">
        <x:v>0</x:v>
      </x:c>
      <x:c r="AD16" s="27" t="n">
        <x:v>-16611</x:v>
      </x:c>
      <x:c r="AE16" s="27" t="str">
        <x:v>Public-safe anonymized industry-style SA-CCR sample</x:v>
      </x:c>
      <x:c r="AF16" s="27" t="str">
        <x:v>ANON-000013</x:v>
      </x:c>
      <x:c r="AG16" s="27" t="str">
        <x:v>FX Forward</x:v>
      </x:c>
      <x:c r="AH16" s="27"/>
      <x:c r="AI16" s="27" t="str">
        <x:v>EUR/USD</x:v>
      </x:c>
    </x:row>
    <x:row r="17">
      <x:c r="A17" s="27" t="n">
        <x:v>45702</x:v>
      </x:c>
      <x:c r="B17" s="27" t="str">
        <x:v>IND_CORPORATE_001</x:v>
      </x:c>
      <x:c r="C17" s="27" t="n">
        <x:v>3092</x:v>
      </x:c>
      <x:c r="D17" s="27" t="str">
        <x:v>IND-000014</x:v>
      </x:c>
      <x:c r="E17" s="27" t="str">
        <x:v>FX Forward</x:v>
      </x:c>
      <x:c r="F17" s="27" t="str">
        <x:v>FX</x:v>
      </x:c>
      <x:c r="G17" s="27"/>
      <x:c r="H17" s="27" t="str">
        <x:v>GBP</x:v>
      </x:c>
      <x:c r="I17" s="27" t="str">
        <x:v>USD</x:v>
      </x:c>
      <x:c r="J17" s="27" t="str">
        <x:v>USD</x:v>
      </x:c>
      <x:c r="K17" s="27"/>
      <x:c r="L17" s="27"/>
      <x:c r="M17" s="27" t="str">
        <x:v>GBP/USD</x:v>
      </x:c>
      <x:c r="N17" s="27"/>
      <x:c r="O17" s="27"/>
      <x:c r="P17" s="27" t="n">
        <x:v>47347</x:v>
      </x:c>
      <x:c r="Q17" s="27" t="n">
        <x:v>45138</x:v>
      </x:c>
      <x:c r="R17" s="27" t="n">
        <x:v>47347</x:v>
      </x:c>
      <x:c r="S17" s="27" t="n">
        <x:v>46240000</x:v>
      </x:c>
      <x:c r="T17" s="27" t="n">
        <x:v>57800000</x:v>
      </x:c>
      <x:c r="U17" s="27" t="n">
        <x:v>57800000</x:v>
      </x:c>
      <x:c r="V17" s="27" t="str">
        <x:v>U</x:v>
      </x:c>
      <x:c r="W17" s="27" t="str">
        <x:v>N</x:v>
      </x:c>
      <x:c r="X17" s="27"/>
      <x:c r="Y17" s="27" t="str">
        <x:v>B</x:v>
      </x:c>
      <x:c r="Z17" s="27"/>
      <x:c r="AA17" s="27"/>
      <x:c r="AB17" s="27" t="n">
        <x:v>0</x:v>
      </x:c>
      <x:c r="AC17" s="27" t="n">
        <x:v>0</x:v>
      </x:c>
      <x:c r="AD17" s="27" t="n">
        <x:v>240448</x:v>
      </x:c>
      <x:c r="AE17" s="27" t="str">
        <x:v>Public-safe anonymized industry-style SA-CCR sample</x:v>
      </x:c>
      <x:c r="AF17" s="27" t="str">
        <x:v>ANON-000014</x:v>
      </x:c>
      <x:c r="AG17" s="27" t="str">
        <x:v>FX Forward</x:v>
      </x:c>
      <x:c r="AH17" s="27"/>
      <x:c r="AI17" s="27" t="str">
        <x:v>GBP/USD</x:v>
      </x:c>
    </x:row>
    <x:row r="18">
      <x:c r="A18" s="27" t="n">
        <x:v>45702</x:v>
      </x:c>
      <x:c r="B18" s="27" t="str">
        <x:v>IND_SOVEREIGN_001</x:v>
      </x:c>
      <x:c r="C18" s="27" t="n">
        <x:v>3390</x:v>
      </x:c>
      <x:c r="D18" s="27" t="str">
        <x:v>IND-000015</x:v>
      </x:c>
      <x:c r="E18" s="27" t="str">
        <x:v>FX Forward</x:v>
      </x:c>
      <x:c r="F18" s="27" t="str">
        <x:v>FX</x:v>
      </x:c>
      <x:c r="G18" s="27"/>
      <x:c r="H18" s="27" t="str">
        <x:v>USD</x:v>
      </x:c>
      <x:c r="I18" s="27" t="str">
        <x:v>JPY</x:v>
      </x:c>
      <x:c r="J18" s="27" t="str">
        <x:v>USD</x:v>
      </x:c>
      <x:c r="K18" s="27"/>
      <x:c r="L18" s="27"/>
      <x:c r="M18" s="27" t="str">
        <x:v>USD/JPY</x:v>
      </x:c>
      <x:c r="N18" s="27"/>
      <x:c r="O18" s="27"/>
      <x:c r="P18" s="27" t="n">
        <x:v>45845</x:v>
      </x:c>
      <x:c r="Q18" s="27" t="n">
        <x:v>45221</x:v>
      </x:c>
      <x:c r="R18" s="27" t="n">
        <x:v>45845</x:v>
      </x:c>
      <x:c r="S18" s="27" t="n">
        <x:v>83400000</x:v>
      </x:c>
      <x:c r="T18" s="27" t="n">
        <x:v>12447761194.03</x:v>
      </x:c>
      <x:c r="U18" s="27" t="n">
        <x:v>83400000</x:v>
      </x:c>
      <x:c r="V18" s="27" t="str">
        <x:v>M</x:v>
      </x:c>
      <x:c r="W18" s="27" t="str">
        <x:v>N</x:v>
      </x:c>
      <x:c r="X18" s="27" t="n">
        <x:v>10</x:v>
      </x:c>
      <x:c r="Y18" s="27" t="str">
        <x:v>B</x:v>
      </x:c>
      <x:c r="Z18" s="27"/>
      <x:c r="AA18" s="27"/>
      <x:c r="AB18" s="27" t="n">
        <x:v>0</x:v>
      </x:c>
      <x:c r="AC18" s="27" t="n">
        <x:v>0</x:v>
      </x:c>
      <x:c r="AD18" s="27" t="n">
        <x:v>-105084</x:v>
      </x:c>
      <x:c r="AE18" s="27" t="str">
        <x:v>Public-safe anonymized industry-style SA-CCR sample</x:v>
      </x:c>
      <x:c r="AF18" s="27" t="str">
        <x:v>ANON-000015</x:v>
      </x:c>
      <x:c r="AG18" s="27" t="str">
        <x:v>FX Forward</x:v>
      </x:c>
      <x:c r="AH18" s="27"/>
      <x:c r="AI18" s="27" t="str">
        <x:v>USD/JPY</x:v>
      </x:c>
    </x:row>
    <x:row r="19">
      <x:c r="A19" s="27" t="n">
        <x:v>45702</x:v>
      </x:c>
      <x:c r="B19" s="27" t="str">
        <x:v>IND_HEDGE_FUND_001</x:v>
      </x:c>
      <x:c r="C19" s="27" t="n">
        <x:v>3205</x:v>
      </x:c>
      <x:c r="D19" s="27" t="str">
        <x:v>IND-000016</x:v>
      </x:c>
      <x:c r="E19" s="27" t="str">
        <x:v>FX Forward</x:v>
      </x:c>
      <x:c r="F19" s="27" t="str">
        <x:v>FX</x:v>
      </x:c>
      <x:c r="G19" s="27"/>
      <x:c r="H19" s="27" t="str">
        <x:v>USD</x:v>
      </x:c>
      <x:c r="I19" s="27" t="str">
        <x:v>JPY</x:v>
      </x:c>
      <x:c r="J19" s="27" t="str">
        <x:v>USD</x:v>
      </x:c>
      <x:c r="K19" s="27"/>
      <x:c r="L19" s="27"/>
      <x:c r="M19" s="27" t="str">
        <x:v>USD/JPY</x:v>
      </x:c>
      <x:c r="N19" s="27"/>
      <x:c r="O19" s="27"/>
      <x:c r="P19" s="27" t="n">
        <x:v>45785</x:v>
      </x:c>
      <x:c r="Q19" s="27" t="n">
        <x:v>44872</x:v>
      </x:c>
      <x:c r="R19" s="27" t="n">
        <x:v>45785</x:v>
      </x:c>
      <x:c r="S19" s="27" t="n">
        <x:v>1600000</x:v>
      </x:c>
      <x:c r="T19" s="27" t="n">
        <x:v>238805970.15</x:v>
      </x:c>
      <x:c r="U19" s="27" t="n">
        <x:v>1600000</x:v>
      </x:c>
      <x:c r="V19" s="27" t="str">
        <x:v>M</x:v>
      </x:c>
      <x:c r="W19" s="27" t="str">
        <x:v>N</x:v>
      </x:c>
      <x:c r="X19" s="27" t="n">
        <x:v>10</x:v>
      </x:c>
      <x:c r="Y19" s="27" t="str">
        <x:v>B</x:v>
      </x:c>
      <x:c r="Z19" s="27"/>
      <x:c r="AA19" s="27"/>
      <x:c r="AB19" s="27" t="n">
        <x:v>0</x:v>
      </x:c>
      <x:c r="AC19" s="27" t="n">
        <x:v>0</x:v>
      </x:c>
      <x:c r="AD19" s="27" t="n">
        <x:v>-15056</x:v>
      </x:c>
      <x:c r="AE19" s="27" t="str">
        <x:v>Public-safe anonymized industry-style SA-CCR sample</x:v>
      </x:c>
      <x:c r="AF19" s="27" t="str">
        <x:v>ANON-000016</x:v>
      </x:c>
      <x:c r="AG19" s="27" t="str">
        <x:v>FX Forward</x:v>
      </x:c>
      <x:c r="AH19" s="27"/>
      <x:c r="AI19" s="27" t="str">
        <x:v>USD/JPY</x:v>
      </x:c>
    </x:row>
    <x:row r="20">
      <x:c r="A20" s="27" t="n">
        <x:v>45702</x:v>
      </x:c>
      <x:c r="B20" s="27" t="str">
        <x:v>IND_REGIONAL_BANK_001</x:v>
      </x:c>
      <x:c r="C20" s="27" t="n">
        <x:v>3245</x:v>
      </x:c>
      <x:c r="D20" s="27" t="str">
        <x:v>IND-000017</x:v>
      </x:c>
      <x:c r="E20" s="27" t="str">
        <x:v>FX Forward</x:v>
      </x:c>
      <x:c r="F20" s="27" t="str">
        <x:v>FX</x:v>
      </x:c>
      <x:c r="G20" s="27"/>
      <x:c r="H20" s="27" t="str">
        <x:v>GBP</x:v>
      </x:c>
      <x:c r="I20" s="27" t="str">
        <x:v>USD</x:v>
      </x:c>
      <x:c r="J20" s="27" t="str">
        <x:v>USD</x:v>
      </x:c>
      <x:c r="K20" s="27"/>
      <x:c r="L20" s="27"/>
      <x:c r="M20" s="27" t="str">
        <x:v>GBP/USD</x:v>
      </x:c>
      <x:c r="N20" s="27"/>
      <x:c r="O20" s="27"/>
      <x:c r="P20" s="27" t="n">
        <x:v>46321</x:v>
      </x:c>
      <x:c r="Q20" s="27" t="n">
        <x:v>44803</x:v>
      </x:c>
      <x:c r="R20" s="27" t="n">
        <x:v>46321</x:v>
      </x:c>
      <x:c r="S20" s="27" t="n">
        <x:v>45600000</x:v>
      </x:c>
      <x:c r="T20" s="27" t="n">
        <x:v>57000000</x:v>
      </x:c>
      <x:c r="U20" s="27" t="n">
        <x:v>57000000</x:v>
      </x:c>
      <x:c r="V20" s="27" t="str">
        <x:v>U</x:v>
      </x:c>
      <x:c r="W20" s="27" t="str">
        <x:v>N</x:v>
      </x:c>
      <x:c r="X20" s="27"/>
      <x:c r="Y20" s="27" t="str">
        <x:v>S</x:v>
      </x:c>
      <x:c r="Z20" s="27"/>
      <x:c r="AA20" s="27"/>
      <x:c r="AB20" s="27" t="n">
        <x:v>0</x:v>
      </x:c>
      <x:c r="AC20" s="27" t="n">
        <x:v>0</x:v>
      </x:c>
      <x:c r="AD20" s="27" t="n">
        <x:v>489060</x:v>
      </x:c>
      <x:c r="AE20" s="27" t="str">
        <x:v>Public-safe anonymized industry-style SA-CCR sample</x:v>
      </x:c>
      <x:c r="AF20" s="27" t="str">
        <x:v>ANON-000017</x:v>
      </x:c>
      <x:c r="AG20" s="27" t="str">
        <x:v>FX Forward</x:v>
      </x:c>
      <x:c r="AH20" s="27"/>
      <x:c r="AI20" s="27" t="str">
        <x:v>GBP/USD</x:v>
      </x:c>
    </x:row>
    <x:row r="21">
      <x:c r="A21" s="27" t="n">
        <x:v>45702</x:v>
      </x:c>
      <x:c r="B21" s="27" t="str">
        <x:v>IND_INSURER_001</x:v>
      </x:c>
      <x:c r="C21" s="27" t="n">
        <x:v>3122</x:v>
      </x:c>
      <x:c r="D21" s="27" t="str">
        <x:v>IND-000018</x:v>
      </x:c>
      <x:c r="E21" s="27" t="str">
        <x:v>FX Forward</x:v>
      </x:c>
      <x:c r="F21" s="27" t="str">
        <x:v>FX</x:v>
      </x:c>
      <x:c r="G21" s="27"/>
      <x:c r="H21" s="27" t="str">
        <x:v>AUD</x:v>
      </x:c>
      <x:c r="I21" s="27" t="str">
        <x:v>USD</x:v>
      </x:c>
      <x:c r="J21" s="27" t="str">
        <x:v>USD</x:v>
      </x:c>
      <x:c r="K21" s="27"/>
      <x:c r="L21" s="27"/>
      <x:c r="M21" s="27" t="str">
        <x:v>AUD/USD</x:v>
      </x:c>
      <x:c r="N21" s="27"/>
      <x:c r="O21" s="27"/>
      <x:c r="P21" s="27" t="n">
        <x:v>47223</x:v>
      </x:c>
      <x:c r="Q21" s="27" t="n">
        <x:v>45060</x:v>
      </x:c>
      <x:c r="R21" s="27" t="n">
        <x:v>47223</x:v>
      </x:c>
      <x:c r="S21" s="27" t="n">
        <x:v>228787878.79</x:v>
      </x:c>
      <x:c r="T21" s="27" t="n">
        <x:v>151000000</x:v>
      </x:c>
      <x:c r="U21" s="27" t="n">
        <x:v>151000000</x:v>
      </x:c>
      <x:c r="V21" s="27" t="str">
        <x:v>M</x:v>
      </x:c>
      <x:c r="W21" s="27" t="str">
        <x:v>N</x:v>
      </x:c>
      <x:c r="X21" s="27" t="n">
        <x:v>10</x:v>
      </x:c>
      <x:c r="Y21" s="27" t="str">
        <x:v>B</x:v>
      </x:c>
      <x:c r="Z21" s="27"/>
      <x:c r="AA21" s="27"/>
      <x:c r="AB21" s="27" t="n">
        <x:v>0</x:v>
      </x:c>
      <x:c r="AC21" s="27" t="n">
        <x:v>0</x:v>
      </x:c>
      <x:c r="AD21" s="27" t="n">
        <x:v>1204980</x:v>
      </x:c>
      <x:c r="AE21" s="27" t="str">
        <x:v>Public-safe anonymized industry-style SA-CCR sample</x:v>
      </x:c>
      <x:c r="AF21" s="27" t="str">
        <x:v>ANON-000018</x:v>
      </x:c>
      <x:c r="AG21" s="27" t="str">
        <x:v>FX Forward</x:v>
      </x:c>
      <x:c r="AH21" s="27"/>
      <x:c r="AI21" s="27" t="str">
        <x:v>AUD/USD</x:v>
      </x:c>
    </x:row>
    <x:row r="22">
      <x:c r="A22" s="27" t="n">
        <x:v>45702</x:v>
      </x:c>
      <x:c r="B22" s="27" t="str">
        <x:v>IND_CORPORATE_002</x:v>
      </x:c>
      <x:c r="C22" s="27" t="n">
        <x:v>3187</x:v>
      </x:c>
      <x:c r="D22" s="27" t="str">
        <x:v>IND-000019</x:v>
      </x:c>
      <x:c r="E22" s="27" t="str">
        <x:v>FX Forward</x:v>
      </x:c>
      <x:c r="F22" s="27" t="str">
        <x:v>FX</x:v>
      </x:c>
      <x:c r="G22" s="27"/>
      <x:c r="H22" s="27" t="str">
        <x:v>EUR</x:v>
      </x:c>
      <x:c r="I22" s="27" t="str">
        <x:v>USD</x:v>
      </x:c>
      <x:c r="J22" s="27" t="str">
        <x:v>USD</x:v>
      </x:c>
      <x:c r="K22" s="27"/>
      <x:c r="L22" s="27"/>
      <x:c r="M22" s="27" t="str">
        <x:v>EUR/USD</x:v>
      </x:c>
      <x:c r="N22" s="27"/>
      <x:c r="O22" s="27"/>
      <x:c r="P22" s="27" t="n">
        <x:v>46346</x:v>
      </x:c>
      <x:c r="Q22" s="27" t="n">
        <x:v>45570</x:v>
      </x:c>
      <x:c r="R22" s="27" t="n">
        <x:v>46346</x:v>
      </x:c>
      <x:c r="S22" s="27" t="n">
        <x:v>6285714.29</x:v>
      </x:c>
      <x:c r="T22" s="27" t="n">
        <x:v>6600000</x:v>
      </x:c>
      <x:c r="U22" s="27" t="n">
        <x:v>6600000</x:v>
      </x:c>
      <x:c r="V22" s="27" t="str">
        <x:v>U</x:v>
      </x:c>
      <x:c r="W22" s="27" t="str">
        <x:v>N</x:v>
      </x:c>
      <x:c r="X22" s="27"/>
      <x:c r="Y22" s="27" t="str">
        <x:v>S</x:v>
      </x:c>
      <x:c r="Z22" s="27"/>
      <x:c r="AA22" s="27"/>
      <x:c r="AB22" s="27" t="n">
        <x:v>0</x:v>
      </x:c>
      <x:c r="AC22" s="27" t="n">
        <x:v>0</x:v>
      </x:c>
      <x:c r="AD22" s="27" t="n">
        <x:v>46662</x:v>
      </x:c>
      <x:c r="AE22" s="27" t="str">
        <x:v>Public-safe anonymized industry-style SA-CCR sample</x:v>
      </x:c>
      <x:c r="AF22" s="27" t="str">
        <x:v>ANON-000019</x:v>
      </x:c>
      <x:c r="AG22" s="27" t="str">
        <x:v>FX Forward</x:v>
      </x:c>
      <x:c r="AH22" s="27"/>
      <x:c r="AI22" s="27" t="str">
        <x:v>EUR/USD</x:v>
      </x:c>
    </x:row>
    <x:row r="23">
      <x:c r="A23" s="27" t="n">
        <x:v>45702</x:v>
      </x:c>
      <x:c r="B23" s="27" t="str">
        <x:v>IND_CLEARING_MEMBER_001</x:v>
      </x:c>
      <x:c r="C23" s="27" t="n">
        <x:v>3288</x:v>
      </x:c>
      <x:c r="D23" s="27" t="str">
        <x:v>IND-000020</x:v>
      </x:c>
      <x:c r="E23" s="27" t="str">
        <x:v>FX Forward</x:v>
      </x:c>
      <x:c r="F23" s="27" t="str">
        <x:v>FX</x:v>
      </x:c>
      <x:c r="G23" s="27"/>
      <x:c r="H23" s="27" t="str">
        <x:v>GBP</x:v>
      </x:c>
      <x:c r="I23" s="27" t="str">
        <x:v>USD</x:v>
      </x:c>
      <x:c r="J23" s="27" t="str">
        <x:v>USD</x:v>
      </x:c>
      <x:c r="K23" s="27"/>
      <x:c r="L23" s="27"/>
      <x:c r="M23" s="27" t="str">
        <x:v>GBP/USD</x:v>
      </x:c>
      <x:c r="N23" s="27"/>
      <x:c r="O23" s="27"/>
      <x:c r="P23" s="27" t="n">
        <x:v>47111</x:v>
      </x:c>
      <x:c r="Q23" s="27" t="n">
        <x:v>45582</x:v>
      </x:c>
      <x:c r="R23" s="27" t="n">
        <x:v>47111</x:v>
      </x:c>
      <x:c r="S23" s="27" t="n">
        <x:v>52800000</x:v>
      </x:c>
      <x:c r="T23" s="27" t="n">
        <x:v>66000000</x:v>
      </x:c>
      <x:c r="U23" s="27" t="n">
        <x:v>66000000</x:v>
      </x:c>
      <x:c r="V23" s="27" t="str">
        <x:v>U</x:v>
      </x:c>
      <x:c r="W23" s="27" t="str">
        <x:v>N</x:v>
      </x:c>
      <x:c r="X23" s="27"/>
      <x:c r="Y23" s="27" t="str">
        <x:v>B</x:v>
      </x:c>
      <x:c r="Z23" s="27"/>
      <x:c r="AA23" s="27"/>
      <x:c r="AB23" s="27" t="n">
        <x:v>0</x:v>
      </x:c>
      <x:c r="AC23" s="27" t="n">
        <x:v>0</x:v>
      </x:c>
      <x:c r="AD23" s="27" t="n">
        <x:v>336600</x:v>
      </x:c>
      <x:c r="AE23" s="27" t="str">
        <x:v>Public-safe anonymized industry-style SA-CCR sample</x:v>
      </x:c>
      <x:c r="AF23" s="27" t="str">
        <x:v>ANON-000020</x:v>
      </x:c>
      <x:c r="AG23" s="27" t="str">
        <x:v>FX Forward</x:v>
      </x:c>
      <x:c r="AH23" s="27"/>
      <x:c r="AI23" s="27" t="str">
        <x:v>GBP/USD</x:v>
      </x:c>
    </x:row>
    <x:row r="24">
      <x:c r="A24" s="27" t="n">
        <x:v>45702</x:v>
      </x:c>
      <x:c r="B24" s="27" t="str">
        <x:v>IND_INSURER_001</x:v>
      </x:c>
      <x:c r="C24" s="27" t="n">
        <x:v>3122</x:v>
      </x:c>
      <x:c r="D24" s="27" t="str">
        <x:v>IND-000021</x:v>
      </x:c>
      <x:c r="E24" s="27" t="str">
        <x:v>FX Forward</x:v>
      </x:c>
      <x:c r="F24" s="27" t="str">
        <x:v>FX</x:v>
      </x:c>
      <x:c r="G24" s="27"/>
      <x:c r="H24" s="27" t="str">
        <x:v>USD</x:v>
      </x:c>
      <x:c r="I24" s="27" t="str">
        <x:v>JPY</x:v>
      </x:c>
      <x:c r="J24" s="27" t="str">
        <x:v>USD</x:v>
      </x:c>
      <x:c r="K24" s="27"/>
      <x:c r="L24" s="27"/>
      <x:c r="M24" s="27" t="str">
        <x:v>USD/JPY</x:v>
      </x:c>
      <x:c r="N24" s="27"/>
      <x:c r="O24" s="27"/>
      <x:c r="P24" s="27" t="n">
        <x:v>46244</x:v>
      </x:c>
      <x:c r="Q24" s="27" t="n">
        <x:v>45340</x:v>
      </x:c>
      <x:c r="R24" s="27" t="n">
        <x:v>46244</x:v>
      </x:c>
      <x:c r="S24" s="27" t="n">
        <x:v>124000000</x:v>
      </x:c>
      <x:c r="T24" s="27" t="n">
        <x:v>18507462686.57</x:v>
      </x:c>
      <x:c r="U24" s="27" t="n">
        <x:v>124000000</x:v>
      </x:c>
      <x:c r="V24" s="27" t="str">
        <x:v>M</x:v>
      </x:c>
      <x:c r="W24" s="27" t="str">
        <x:v>N</x:v>
      </x:c>
      <x:c r="X24" s="27" t="n">
        <x:v>10</x:v>
      </x:c>
      <x:c r="Y24" s="27" t="str">
        <x:v>S</x:v>
      </x:c>
      <x:c r="Z24" s="27"/>
      <x:c r="AA24" s="27"/>
      <x:c r="AB24" s="27" t="n">
        <x:v>0</x:v>
      </x:c>
      <x:c r="AC24" s="27" t="n">
        <x:v>0</x:v>
      </x:c>
      <x:c r="AD24" s="27" t="n">
        <x:v>-1201560</x:v>
      </x:c>
      <x:c r="AE24" s="27" t="str">
        <x:v>Public-safe anonymized industry-style SA-CCR sample</x:v>
      </x:c>
      <x:c r="AF24" s="27" t="str">
        <x:v>ANON-000021</x:v>
      </x:c>
      <x:c r="AG24" s="27" t="str">
        <x:v>FX Forward</x:v>
      </x:c>
      <x:c r="AH24" s="27"/>
      <x:c r="AI24" s="27" t="str">
        <x:v>USD/JPY</x:v>
      </x:c>
    </x:row>
    <x:row r="25">
      <x:c r="A25" s="27" t="n">
        <x:v>45702</x:v>
      </x:c>
      <x:c r="B25" s="27" t="str">
        <x:v>IND_BANK_001</x:v>
      </x:c>
      <x:c r="C25" s="27" t="n">
        <x:v>3142</x:v>
      </x:c>
      <x:c r="D25" s="27" t="str">
        <x:v>IND-000022</x:v>
      </x:c>
      <x:c r="E25" s="27" t="str">
        <x:v>FX Forward</x:v>
      </x:c>
      <x:c r="F25" s="27" t="str">
        <x:v>FX</x:v>
      </x:c>
      <x:c r="G25" s="27"/>
      <x:c r="H25" s="27" t="str">
        <x:v>USD</x:v>
      </x:c>
      <x:c r="I25" s="27" t="str">
        <x:v>JPY</x:v>
      </x:c>
      <x:c r="J25" s="27" t="str">
        <x:v>USD</x:v>
      </x:c>
      <x:c r="K25" s="27"/>
      <x:c r="L25" s="27"/>
      <x:c r="M25" s="27" t="str">
        <x:v>USD/JPY</x:v>
      </x:c>
      <x:c r="N25" s="27"/>
      <x:c r="O25" s="27"/>
      <x:c r="P25" s="27" t="n">
        <x:v>47496</x:v>
      </x:c>
      <x:c r="Q25" s="27" t="n">
        <x:v>44893</x:v>
      </x:c>
      <x:c r="R25" s="27" t="n">
        <x:v>47496</x:v>
      </x:c>
      <x:c r="S25" s="27" t="n">
        <x:v>1000000</x:v>
      </x:c>
      <x:c r="T25" s="27" t="n">
        <x:v>149253731.34</x:v>
      </x:c>
      <x:c r="U25" s="27" t="n">
        <x:v>1000000</x:v>
      </x:c>
      <x:c r="V25" s="27" t="str">
        <x:v>M</x:v>
      </x:c>
      <x:c r="W25" s="27" t="str">
        <x:v>N</x:v>
      </x:c>
      <x:c r="X25" s="27" t="n">
        <x:v>10</x:v>
      </x:c>
      <x:c r="Y25" s="27" t="str">
        <x:v>B</x:v>
      </x:c>
      <x:c r="Z25" s="27"/>
      <x:c r="AA25" s="27"/>
      <x:c r="AB25" s="27" t="n">
        <x:v>0</x:v>
      </x:c>
      <x:c r="AC25" s="27" t="n">
        <x:v>0</x:v>
      </x:c>
      <x:c r="AD25" s="27" t="n">
        <x:v>-5440</x:v>
      </x:c>
      <x:c r="AE25" s="27" t="str">
        <x:v>Public-safe anonymized industry-style SA-CCR sample</x:v>
      </x:c>
      <x:c r="AF25" s="27" t="str">
        <x:v>ANON-000022</x:v>
      </x:c>
      <x:c r="AG25" s="27" t="str">
        <x:v>FX Forward</x:v>
      </x:c>
      <x:c r="AH25" s="27"/>
      <x:c r="AI25" s="27" t="str">
        <x:v>USD/JPY</x:v>
      </x:c>
    </x:row>
    <x:row r="26">
      <x:c r="A26" s="27" t="n">
        <x:v>45702</x:v>
      </x:c>
      <x:c r="B26" s="27" t="str">
        <x:v>IND_SOVEREIGN_001</x:v>
      </x:c>
      <x:c r="C26" s="27" t="n">
        <x:v>3084</x:v>
      </x:c>
      <x:c r="D26" s="27" t="str">
        <x:v>IND-000023</x:v>
      </x:c>
      <x:c r="E26" s="27" t="str">
        <x:v>FX Forward</x:v>
      </x:c>
      <x:c r="F26" s="27" t="str">
        <x:v>FX</x:v>
      </x:c>
      <x:c r="G26" s="27"/>
      <x:c r="H26" s="27" t="str">
        <x:v>GBP</x:v>
      </x:c>
      <x:c r="I26" s="27" t="str">
        <x:v>USD</x:v>
      </x:c>
      <x:c r="J26" s="27" t="str">
        <x:v>USD</x:v>
      </x:c>
      <x:c r="K26" s="27"/>
      <x:c r="L26" s="27"/>
      <x:c r="M26" s="27" t="str">
        <x:v>GBP/USD</x:v>
      </x:c>
      <x:c r="N26" s="27"/>
      <x:c r="O26" s="27"/>
      <x:c r="P26" s="27" t="n">
        <x:v>45968</x:v>
      </x:c>
      <x:c r="Q26" s="27" t="n">
        <x:v>45317</x:v>
      </x:c>
      <x:c r="R26" s="27" t="n">
        <x:v>45968</x:v>
      </x:c>
      <x:c r="S26" s="27" t="n">
        <x:v>45600000</x:v>
      </x:c>
      <x:c r="T26" s="27" t="n">
        <x:v>57000000</x:v>
      </x:c>
      <x:c r="U26" s="27" t="n">
        <x:v>57000000</x:v>
      </x:c>
      <x:c r="V26" s="27" t="str">
        <x:v>U</x:v>
      </x:c>
      <x:c r="W26" s="27" t="str">
        <x:v>N</x:v>
      </x:c>
      <x:c r="X26" s="27"/>
      <x:c r="Y26" s="27" t="str">
        <x:v>B</x:v>
      </x:c>
      <x:c r="Z26" s="27"/>
      <x:c r="AA26" s="27"/>
      <x:c r="AB26" s="27" t="n">
        <x:v>0</x:v>
      </x:c>
      <x:c r="AC26" s="27" t="n">
        <x:v>0</x:v>
      </x:c>
      <x:c r="AD26" s="27" t="n">
        <x:v>-226860</x:v>
      </x:c>
      <x:c r="AE26" s="27" t="str">
        <x:v>Public-safe anonymized industry-style SA-CCR sample</x:v>
      </x:c>
      <x:c r="AF26" s="27" t="str">
        <x:v>ANON-000023</x:v>
      </x:c>
      <x:c r="AG26" s="27" t="str">
        <x:v>FX Forward</x:v>
      </x:c>
      <x:c r="AH26" s="27"/>
      <x:c r="AI26" s="27" t="str">
        <x:v>GBP/USD</x:v>
      </x:c>
    </x:row>
    <x:row r="27">
      <x:c r="A27" s="27" t="n">
        <x:v>45702</x:v>
      </x:c>
      <x:c r="B27" s="27" t="str">
        <x:v>IND_REGIONAL_BANK_001</x:v>
      </x:c>
      <x:c r="C27" s="27" t="n">
        <x:v>3245</x:v>
      </x:c>
      <x:c r="D27" s="27" t="str">
        <x:v>IND-000024</x:v>
      </x:c>
      <x:c r="E27" s="27" t="str">
        <x:v>FX Forward</x:v>
      </x:c>
      <x:c r="F27" s="27" t="str">
        <x:v>FX</x:v>
      </x:c>
      <x:c r="G27" s="27"/>
      <x:c r="H27" s="27" t="str">
        <x:v>GBP</x:v>
      </x:c>
      <x:c r="I27" s="27" t="str">
        <x:v>USD</x:v>
      </x:c>
      <x:c r="J27" s="27" t="str">
        <x:v>USD</x:v>
      </x:c>
      <x:c r="K27" s="27"/>
      <x:c r="L27" s="27"/>
      <x:c r="M27" s="27" t="str">
        <x:v>GBP/USD</x:v>
      </x:c>
      <x:c r="N27" s="27"/>
      <x:c r="O27" s="27"/>
      <x:c r="P27" s="27" t="n">
        <x:v>47572</x:v>
      </x:c>
      <x:c r="Q27" s="27" t="n">
        <x:v>44944</x:v>
      </x:c>
      <x:c r="R27" s="27" t="n">
        <x:v>47572</x:v>
      </x:c>
      <x:c r="S27" s="27" t="n">
        <x:v>48880000</x:v>
      </x:c>
      <x:c r="T27" s="27" t="n">
        <x:v>61100000</x:v>
      </x:c>
      <x:c r="U27" s="27" t="n">
        <x:v>61100000</x:v>
      </x:c>
      <x:c r="V27" s="27" t="str">
        <x:v>U</x:v>
      </x:c>
      <x:c r="W27" s="27" t="str">
        <x:v>N</x:v>
      </x:c>
      <x:c r="X27" s="27"/>
      <x:c r="Y27" s="27" t="str">
        <x:v>S</x:v>
      </x:c>
      <x:c r="Z27" s="27"/>
      <x:c r="AA27" s="27"/>
      <x:c r="AB27" s="27" t="n">
        <x:v>0</x:v>
      </x:c>
      <x:c r="AC27" s="27" t="n">
        <x:v>0</x:v>
      </x:c>
      <x:c r="AD27" s="27" t="n">
        <x:v>212017</x:v>
      </x:c>
      <x:c r="AE27" s="27" t="str">
        <x:v>Public-safe anonymized industry-style SA-CCR sample</x:v>
      </x:c>
      <x:c r="AF27" s="27" t="str">
        <x:v>ANON-000024</x:v>
      </x:c>
      <x:c r="AG27" s="27" t="str">
        <x:v>FX Forward</x:v>
      </x:c>
      <x:c r="AH27" s="27"/>
      <x:c r="AI27" s="27" t="str">
        <x:v>GBP/USD</x:v>
      </x:c>
    </x:row>
    <x:row r="28">
      <x:c r="A28" s="27" t="n">
        <x:v>45702</x:v>
      </x:c>
      <x:c r="B28" s="27" t="str">
        <x:v>IND_PENSION_001</x:v>
      </x:c>
      <x:c r="C28" s="27" t="n">
        <x:v>3294</x:v>
      </x:c>
      <x:c r="D28" s="27" t="str">
        <x:v>IND-000025</x:v>
      </x:c>
      <x:c r="E28" s="27" t="str">
        <x:v>FX Forward</x:v>
      </x:c>
      <x:c r="F28" s="27" t="str">
        <x:v>FX</x:v>
      </x:c>
      <x:c r="G28" s="27"/>
      <x:c r="H28" s="27" t="str">
        <x:v>USD</x:v>
      </x:c>
      <x:c r="I28" s="27" t="str">
        <x:v>JPY</x:v>
      </x:c>
      <x:c r="J28" s="27" t="str">
        <x:v>USD</x:v>
      </x:c>
      <x:c r="K28" s="27"/>
      <x:c r="L28" s="27"/>
      <x:c r="M28" s="27" t="str">
        <x:v>USD/JPY</x:v>
      </x:c>
      <x:c r="N28" s="27"/>
      <x:c r="O28" s="27"/>
      <x:c r="P28" s="27" t="n">
        <x:v>46321</x:v>
      </x:c>
      <x:c r="Q28" s="27" t="n">
        <x:v>45478</x:v>
      </x:c>
      <x:c r="R28" s="27" t="n">
        <x:v>46321</x:v>
      </x:c>
      <x:c r="S28" s="27" t="n">
        <x:v>90300000</x:v>
      </x:c>
      <x:c r="T28" s="27" t="n">
        <x:v>13477611940.3</x:v>
      </x:c>
      <x:c r="U28" s="27" t="n">
        <x:v>90300000</x:v>
      </x:c>
      <x:c r="V28" s="27" t="str">
        <x:v>M</x:v>
      </x:c>
      <x:c r="W28" s="27" t="str">
        <x:v>N</x:v>
      </x:c>
      <x:c r="X28" s="27" t="n">
        <x:v>10</x:v>
      </x:c>
      <x:c r="Y28" s="27" t="str">
        <x:v>B</x:v>
      </x:c>
      <x:c r="Z28" s="27"/>
      <x:c r="AA28" s="27"/>
      <x:c r="AB28" s="27" t="n">
        <x:v>0</x:v>
      </x:c>
      <x:c r="AC28" s="27" t="n">
        <x:v>0</x:v>
      </x:c>
      <x:c r="AD28" s="27" t="n">
        <x:v>602301</x:v>
      </x:c>
      <x:c r="AE28" s="27" t="str">
        <x:v>Public-safe anonymized industry-style SA-CCR sample</x:v>
      </x:c>
      <x:c r="AF28" s="27" t="str">
        <x:v>ANON-000025</x:v>
      </x:c>
      <x:c r="AG28" s="27" t="str">
        <x:v>FX Forward</x:v>
      </x:c>
      <x:c r="AH28" s="27"/>
      <x:c r="AI28" s="27" t="str">
        <x:v>USD/JPY</x:v>
      </x:c>
    </x:row>
    <x:row r="29">
      <x:c r="A29" s="27" t="n">
        <x:v>45702</x:v>
      </x:c>
      <x:c r="B29" s="27" t="str">
        <x:v>IND_ASSET_MANAGER_001</x:v>
      </x:c>
      <x:c r="C29" s="27" t="n">
        <x:v>3127</x:v>
      </x:c>
      <x:c r="D29" s="27" t="str">
        <x:v>IND-000026</x:v>
      </x:c>
      <x:c r="E29" s="27" t="str">
        <x:v>FX Forward</x:v>
      </x:c>
      <x:c r="F29" s="27" t="str">
        <x:v>FX</x:v>
      </x:c>
      <x:c r="G29" s="27"/>
      <x:c r="H29" s="27" t="str">
        <x:v>USD</x:v>
      </x:c>
      <x:c r="I29" s="27" t="str">
        <x:v>CNY</x:v>
      </x:c>
      <x:c r="J29" s="27" t="str">
        <x:v>USD</x:v>
      </x:c>
      <x:c r="K29" s="27"/>
      <x:c r="L29" s="27"/>
      <x:c r="M29" s="27" t="str">
        <x:v>USD/CNY</x:v>
      </x:c>
      <x:c r="N29" s="27"/>
      <x:c r="O29" s="27"/>
      <x:c r="P29" s="27" t="n">
        <x:v>46403</x:v>
      </x:c>
      <x:c r="Q29" s="27" t="n">
        <x:v>44914</x:v>
      </x:c>
      <x:c r="R29" s="27" t="n">
        <x:v>46403</x:v>
      </x:c>
      <x:c r="S29" s="27" t="n">
        <x:v>53400000</x:v>
      </x:c>
      <x:c r="T29" s="27" t="n">
        <x:v>381428571.43</x:v>
      </x:c>
      <x:c r="U29" s="27" t="n">
        <x:v>53400000</x:v>
      </x:c>
      <x:c r="V29" s="27" t="str">
        <x:v>M</x:v>
      </x:c>
      <x:c r="W29" s="27" t="str">
        <x:v>N</x:v>
      </x:c>
      <x:c r="X29" s="27" t="n">
        <x:v>10</x:v>
      </x:c>
      <x:c r="Y29" s="27" t="str">
        <x:v>S</x:v>
      </x:c>
      <x:c r="Z29" s="27"/>
      <x:c r="AA29" s="27"/>
      <x:c r="AB29" s="27" t="n">
        <x:v>0</x:v>
      </x:c>
      <x:c r="AC29" s="27" t="n">
        <x:v>0</x:v>
      </x:c>
      <x:c r="AD29" s="27" t="n">
        <x:v>489144</x:v>
      </x:c>
      <x:c r="AE29" s="27" t="str">
        <x:v>Public-safe anonymized industry-style SA-CCR sample</x:v>
      </x:c>
      <x:c r="AF29" s="27" t="str">
        <x:v>ANON-000026</x:v>
      </x:c>
      <x:c r="AG29" s="27" t="str">
        <x:v>FX Forward</x:v>
      </x:c>
      <x:c r="AH29" s="27"/>
      <x:c r="AI29" s="27" t="str">
        <x:v>USD/CNY</x:v>
      </x:c>
    </x:row>
    <x:row r="30">
      <x:c r="A30" s="27" t="n">
        <x:v>45702</x:v>
      </x:c>
      <x:c r="B30" s="27" t="str">
        <x:v>IND_PENSION_001</x:v>
      </x:c>
      <x:c r="C30" s="27" t="n">
        <x:v>3254</x:v>
      </x:c>
      <x:c r="D30" s="27" t="str">
        <x:v>IND-000027</x:v>
      </x:c>
      <x:c r="E30" s="27" t="str">
        <x:v>FX Forward</x:v>
      </x:c>
      <x:c r="F30" s="27" t="str">
        <x:v>FX</x:v>
      </x:c>
      <x:c r="G30" s="27"/>
      <x:c r="H30" s="27" t="str">
        <x:v>USD</x:v>
      </x:c>
      <x:c r="I30" s="27" t="str">
        <x:v>JPY</x:v>
      </x:c>
      <x:c r="J30" s="27" t="str">
        <x:v>USD</x:v>
      </x:c>
      <x:c r="K30" s="27"/>
      <x:c r="L30" s="27"/>
      <x:c r="M30" s="27" t="str">
        <x:v>USD/JPY</x:v>
      </x:c>
      <x:c r="N30" s="27"/>
      <x:c r="O30" s="27"/>
      <x:c r="P30" s="27" t="n">
        <x:v>46401</x:v>
      </x:c>
      <x:c r="Q30" s="27" t="n">
        <x:v>45246</x:v>
      </x:c>
      <x:c r="R30" s="27" t="n">
        <x:v>46401</x:v>
      </x:c>
      <x:c r="S30" s="27" t="n">
        <x:v>1400000</x:v>
      </x:c>
      <x:c r="T30" s="27" t="n">
        <x:v>208955223.88</x:v>
      </x:c>
      <x:c r="U30" s="27" t="n">
        <x:v>1400000</x:v>
      </x:c>
      <x:c r="V30" s="27" t="str">
        <x:v>U</x:v>
      </x:c>
      <x:c r="W30" s="27" t="str">
        <x:v>N</x:v>
      </x:c>
      <x:c r="X30" s="27"/>
      <x:c r="Y30" s="27" t="str">
        <x:v>B</x:v>
      </x:c>
      <x:c r="Z30" s="27"/>
      <x:c r="AA30" s="27"/>
      <x:c r="AB30" s="27" t="n">
        <x:v>0</x:v>
      </x:c>
      <x:c r="AC30" s="27" t="n">
        <x:v>0</x:v>
      </x:c>
      <x:c r="AD30" s="27" t="n">
        <x:v>-9548</x:v>
      </x:c>
      <x:c r="AE30" s="27" t="str">
        <x:v>Public-safe anonymized industry-style SA-CCR sample</x:v>
      </x:c>
      <x:c r="AF30" s="27" t="str">
        <x:v>ANON-000027</x:v>
      </x:c>
      <x:c r="AG30" s="27" t="str">
        <x:v>FX Forward</x:v>
      </x:c>
      <x:c r="AH30" s="27"/>
      <x:c r="AI30" s="27" t="str">
        <x:v>USD/JPY</x:v>
      </x:c>
    </x:row>
    <x:row r="31">
      <x:c r="A31" s="27" t="n">
        <x:v>45702</x:v>
      </x:c>
      <x:c r="B31" s="27" t="str">
        <x:v>IND_BANK_001</x:v>
      </x:c>
      <x:c r="C31" s="27" t="n">
        <x:v>3142</x:v>
      </x:c>
      <x:c r="D31" s="27" t="str">
        <x:v>IND-000028</x:v>
      </x:c>
      <x:c r="E31" s="27" t="str">
        <x:v>FX Forward</x:v>
      </x:c>
      <x:c r="F31" s="27" t="str">
        <x:v>FX</x:v>
      </x:c>
      <x:c r="G31" s="27"/>
      <x:c r="H31" s="27" t="str">
        <x:v>GBP</x:v>
      </x:c>
      <x:c r="I31" s="27" t="str">
        <x:v>USD</x:v>
      </x:c>
      <x:c r="J31" s="27" t="str">
        <x:v>USD</x:v>
      </x:c>
      <x:c r="K31" s="27"/>
      <x:c r="L31" s="27"/>
      <x:c r="M31" s="27" t="str">
        <x:v>GBP/USD</x:v>
      </x:c>
      <x:c r="N31" s="27"/>
      <x:c r="O31" s="27"/>
      <x:c r="P31" s="27" t="n">
        <x:v>47339</x:v>
      </x:c>
      <x:c r="Q31" s="27" t="n">
        <x:v>45407</x:v>
      </x:c>
      <x:c r="R31" s="27" t="n">
        <x:v>47339</x:v>
      </x:c>
      <x:c r="S31" s="27" t="n">
        <x:v>80800000</x:v>
      </x:c>
      <x:c r="T31" s="27" t="n">
        <x:v>101000000</x:v>
      </x:c>
      <x:c r="U31" s="27" t="n">
        <x:v>101000000</x:v>
      </x:c>
      <x:c r="V31" s="27" t="str">
        <x:v>M</x:v>
      </x:c>
      <x:c r="W31" s="27" t="str">
        <x:v>N</x:v>
      </x:c>
      <x:c r="X31" s="27" t="n">
        <x:v>10</x:v>
      </x:c>
      <x:c r="Y31" s="27" t="str">
        <x:v>B</x:v>
      </x:c>
      <x:c r="Z31" s="27"/>
      <x:c r="AA31" s="27"/>
      <x:c r="AB31" s="27" t="n">
        <x:v>0</x:v>
      </x:c>
      <x:c r="AC31" s="27" t="n">
        <x:v>0</x:v>
      </x:c>
      <x:c r="AD31" s="27" t="n">
        <x:v>669630</x:v>
      </x:c>
      <x:c r="AE31" s="27" t="str">
        <x:v>Public-safe anonymized industry-style SA-CCR sample</x:v>
      </x:c>
      <x:c r="AF31" s="27" t="str">
        <x:v>ANON-000028</x:v>
      </x:c>
      <x:c r="AG31" s="27" t="str">
        <x:v>FX Forward</x:v>
      </x:c>
      <x:c r="AH31" s="27"/>
      <x:c r="AI31" s="27" t="str">
        <x:v>GBP/USD</x:v>
      </x:c>
    </x:row>
    <x:row r="32">
      <x:c r="A32" s="27" t="n">
        <x:v>45702</x:v>
      </x:c>
      <x:c r="B32" s="27" t="str">
        <x:v>IND_BANK_001</x:v>
      </x:c>
      <x:c r="C32" s="27" t="n">
        <x:v>3214</x:v>
      </x:c>
      <x:c r="D32" s="27" t="str">
        <x:v>IND-000029</x:v>
      </x:c>
      <x:c r="E32" s="27" t="str">
        <x:v>FX Forward</x:v>
      </x:c>
      <x:c r="F32" s="27" t="str">
        <x:v>FX</x:v>
      </x:c>
      <x:c r="G32" s="27"/>
      <x:c r="H32" s="27" t="str">
        <x:v>EUR</x:v>
      </x:c>
      <x:c r="I32" s="27" t="str">
        <x:v>USD</x:v>
      </x:c>
      <x:c r="J32" s="27" t="str">
        <x:v>USD</x:v>
      </x:c>
      <x:c r="K32" s="27"/>
      <x:c r="L32" s="27"/>
      <x:c r="M32" s="27" t="str">
        <x:v>EUR/USD</x:v>
      </x:c>
      <x:c r="N32" s="27"/>
      <x:c r="O32" s="27"/>
      <x:c r="P32" s="27" t="n">
        <x:v>47625</x:v>
      </x:c>
      <x:c r="Q32" s="27" t="n">
        <x:v>45544</x:v>
      </x:c>
      <x:c r="R32" s="27" t="n">
        <x:v>47625</x:v>
      </x:c>
      <x:c r="S32" s="27" t="n">
        <x:v>21047619.05</x:v>
      </x:c>
      <x:c r="T32" s="27" t="n">
        <x:v>22100000</x:v>
      </x:c>
      <x:c r="U32" s="27" t="n">
        <x:v>22100000</x:v>
      </x:c>
      <x:c r="V32" s="27" t="str">
        <x:v>U</x:v>
      </x:c>
      <x:c r="W32" s="27" t="str">
        <x:v>N</x:v>
      </x:c>
      <x:c r="X32" s="27"/>
      <x:c r="Y32" s="27" t="str">
        <x:v>B</x:v>
      </x:c>
      <x:c r="Z32" s="27"/>
      <x:c r="AA32" s="27"/>
      <x:c r="AB32" s="27" t="n">
        <x:v>0</x:v>
      </x:c>
      <x:c r="AC32" s="27" t="n">
        <x:v>0</x:v>
      </x:c>
      <x:c r="AD32" s="27" t="n">
        <x:v>-66300</x:v>
      </x:c>
      <x:c r="AE32" s="27" t="str">
        <x:v>Public-safe anonymized industry-style SA-CCR sample</x:v>
      </x:c>
      <x:c r="AF32" s="27" t="str">
        <x:v>ANON-000029</x:v>
      </x:c>
      <x:c r="AG32" s="27" t="str">
        <x:v>FX Forward</x:v>
      </x:c>
      <x:c r="AH32" s="27"/>
      <x:c r="AI32" s="27" t="str">
        <x:v>EUR/USD</x:v>
      </x:c>
    </x:row>
    <x:row r="33">
      <x:c r="A33" s="27" t="n">
        <x:v>45702</x:v>
      </x:c>
      <x:c r="B33" s="27" t="str">
        <x:v>IND_BANK_002</x:v>
      </x:c>
      <x:c r="C33" s="27" t="n">
        <x:v>3331</x:v>
      </x:c>
      <x:c r="D33" s="27" t="str">
        <x:v>IND-000030</x:v>
      </x:c>
      <x:c r="E33" s="27" t="str">
        <x:v>FX Forward</x:v>
      </x:c>
      <x:c r="F33" s="27" t="str">
        <x:v>FX</x:v>
      </x:c>
      <x:c r="G33" s="27"/>
      <x:c r="H33" s="27" t="str">
        <x:v>USD</x:v>
      </x:c>
      <x:c r="I33" s="27" t="str">
        <x:v>CNY</x:v>
      </x:c>
      <x:c r="J33" s="27" t="str">
        <x:v>USD</x:v>
      </x:c>
      <x:c r="K33" s="27"/>
      <x:c r="L33" s="27"/>
      <x:c r="M33" s="27" t="str">
        <x:v>USD/CNY</x:v>
      </x:c>
      <x:c r="N33" s="27"/>
      <x:c r="O33" s="27"/>
      <x:c r="P33" s="27" t="n">
        <x:v>47094</x:v>
      </x:c>
      <x:c r="Q33" s="27" t="n">
        <x:v>45632</x:v>
      </x:c>
      <x:c r="R33" s="27" t="n">
        <x:v>47094</x:v>
      </x:c>
      <x:c r="S33" s="27" t="n">
        <x:v>129000000</x:v>
      </x:c>
      <x:c r="T33" s="27" t="n">
        <x:v>921428571.43</x:v>
      </x:c>
      <x:c r="U33" s="27" t="n">
        <x:v>129000000</x:v>
      </x:c>
      <x:c r="V33" s="27" t="str">
        <x:v>M</x:v>
      </x:c>
      <x:c r="W33" s="27" t="str">
        <x:v>N</x:v>
      </x:c>
      <x:c r="X33" s="27" t="n">
        <x:v>10</x:v>
      </x:c>
      <x:c r="Y33" s="27" t="str">
        <x:v>S</x:v>
      </x:c>
      <x:c r="Z33" s="27"/>
      <x:c r="AA33" s="27"/>
      <x:c r="AB33" s="27" t="n">
        <x:v>0</x:v>
      </x:c>
      <x:c r="AC33" s="27" t="n">
        <x:v>0</x:v>
      </x:c>
      <x:c r="AD33" s="27" t="n">
        <x:v>526320</x:v>
      </x:c>
      <x:c r="AE33" s="27" t="str">
        <x:v>Public-safe anonymized industry-style SA-CCR sample</x:v>
      </x:c>
      <x:c r="AF33" s="27" t="str">
        <x:v>ANON-000030</x:v>
      </x:c>
      <x:c r="AG33" s="27" t="str">
        <x:v>FX Forward</x:v>
      </x:c>
      <x:c r="AH33" s="27"/>
      <x:c r="AI33" s="27" t="str">
        <x:v>USD/CNY</x:v>
      </x:c>
    </x:row>
    <x:row r="34">
      <x:c r="A34" s="27" t="n">
        <x:v>45702</x:v>
      </x:c>
      <x:c r="B34" s="27" t="str">
        <x:v>IND_REGIONAL_BANK_001</x:v>
      </x:c>
      <x:c r="C34" s="27" t="n">
        <x:v>3210</x:v>
      </x:c>
      <x:c r="D34" s="27" t="str">
        <x:v>IND-000031</x:v>
      </x:c>
      <x:c r="E34" s="27" t="str">
        <x:v>FX Forward</x:v>
      </x:c>
      <x:c r="F34" s="27" t="str">
        <x:v>FX</x:v>
      </x:c>
      <x:c r="G34" s="27"/>
      <x:c r="H34" s="27" t="str">
        <x:v>AUD</x:v>
      </x:c>
      <x:c r="I34" s="27" t="str">
        <x:v>USD</x:v>
      </x:c>
      <x:c r="J34" s="27" t="str">
        <x:v>USD</x:v>
      </x:c>
      <x:c r="K34" s="27"/>
      <x:c r="L34" s="27"/>
      <x:c r="M34" s="27" t="str">
        <x:v>AUD/USD</x:v>
      </x:c>
      <x:c r="N34" s="27"/>
      <x:c r="O34" s="27"/>
      <x:c r="P34" s="27" t="n">
        <x:v>47303</x:v>
      </x:c>
      <x:c r="Q34" s="27" t="n">
        <x:v>45085</x:v>
      </x:c>
      <x:c r="R34" s="27" t="n">
        <x:v>47303</x:v>
      </x:c>
      <x:c r="S34" s="27" t="n">
        <x:v>108181818.18</x:v>
      </x:c>
      <x:c r="T34" s="27" t="n">
        <x:v>71400000</x:v>
      </x:c>
      <x:c r="U34" s="27" t="n">
        <x:v>71400000</x:v>
      </x:c>
      <x:c r="V34" s="27" t="str">
        <x:v>M</x:v>
      </x:c>
      <x:c r="W34" s="27" t="str">
        <x:v>N</x:v>
      </x:c>
      <x:c r="X34" s="27" t="n">
        <x:v>10</x:v>
      </x:c>
      <x:c r="Y34" s="27" t="str">
        <x:v>B</x:v>
      </x:c>
      <x:c r="Z34" s="27"/>
      <x:c r="AA34" s="27"/>
      <x:c r="AB34" s="27" t="n">
        <x:v>0</x:v>
      </x:c>
      <x:c r="AC34" s="27" t="n">
        <x:v>0</x:v>
      </x:c>
      <x:c r="AD34" s="27" t="n">
        <x:v>494088</x:v>
      </x:c>
      <x:c r="AE34" s="27" t="str">
        <x:v>Public-safe anonymized industry-style SA-CCR sample</x:v>
      </x:c>
      <x:c r="AF34" s="27" t="str">
        <x:v>ANON-000031</x:v>
      </x:c>
      <x:c r="AG34" s="27" t="str">
        <x:v>FX Forward</x:v>
      </x:c>
      <x:c r="AH34" s="27"/>
      <x:c r="AI34" s="27" t="str">
        <x:v>AUD/USD</x:v>
      </x:c>
    </x:row>
    <x:row r="35">
      <x:c r="A35" s="27" t="n">
        <x:v>45702</x:v>
      </x:c>
      <x:c r="B35" s="27" t="str">
        <x:v>IND_BANK_002</x:v>
      </x:c>
      <x:c r="C35" s="27" t="n">
        <x:v>3331</x:v>
      </x:c>
      <x:c r="D35" s="27" t="str">
        <x:v>IND-000032</x:v>
      </x:c>
      <x:c r="E35" s="27" t="str">
        <x:v>FX Forward</x:v>
      </x:c>
      <x:c r="F35" s="27" t="str">
        <x:v>FX</x:v>
      </x:c>
      <x:c r="G35" s="27"/>
      <x:c r="H35" s="27" t="str">
        <x:v>AUD</x:v>
      </x:c>
      <x:c r="I35" s="27" t="str">
        <x:v>USD</x:v>
      </x:c>
      <x:c r="J35" s="27" t="str">
        <x:v>USD</x:v>
      </x:c>
      <x:c r="K35" s="27"/>
      <x:c r="L35" s="27"/>
      <x:c r="M35" s="27" t="str">
        <x:v>AUD/USD</x:v>
      </x:c>
      <x:c r="N35" s="27"/>
      <x:c r="O35" s="27"/>
      <x:c r="P35" s="27" t="n">
        <x:v>46425</x:v>
      </x:c>
      <x:c r="Q35" s="27" t="n">
        <x:v>45268</x:v>
      </x:c>
      <x:c r="R35" s="27" t="n">
        <x:v>46425</x:v>
      </x:c>
      <x:c r="S35" s="27" t="n">
        <x:v>6969696.97</x:v>
      </x:c>
      <x:c r="T35" s="27" t="n">
        <x:v>4600000</x:v>
      </x:c>
      <x:c r="U35" s="27" t="n">
        <x:v>4600000</x:v>
      </x:c>
      <x:c r="V35" s="27" t="str">
        <x:v>M</x:v>
      </x:c>
      <x:c r="W35" s="27" t="str">
        <x:v>N</x:v>
      </x:c>
      <x:c r="X35" s="27" t="n">
        <x:v>10</x:v>
      </x:c>
      <x:c r="Y35" s="27" t="str">
        <x:v>S</x:v>
      </x:c>
      <x:c r="Z35" s="27"/>
      <x:c r="AA35" s="27"/>
      <x:c r="AB35" s="27" t="n">
        <x:v>0</x:v>
      </x:c>
      <x:c r="AC35" s="27" t="n">
        <x:v>0</x:v>
      </x:c>
      <x:c r="AD35" s="27" t="n">
        <x:v>-39054</x:v>
      </x:c>
      <x:c r="AE35" s="27" t="str">
        <x:v>Public-safe anonymized industry-style SA-CCR sample</x:v>
      </x:c>
      <x:c r="AF35" s="27" t="str">
        <x:v>ANON-000032</x:v>
      </x:c>
      <x:c r="AG35" s="27" t="str">
        <x:v>FX Forward</x:v>
      </x:c>
      <x:c r="AH35" s="27"/>
      <x:c r="AI35" s="27" t="str">
        <x:v>AUD/USD</x:v>
      </x:c>
    </x:row>
    <x:row r="36">
      <x:c r="A36" s="27" t="n">
        <x:v>45702</x:v>
      </x:c>
      <x:c r="B36" s="27" t="str">
        <x:v>IND_CLEARING_MEMBER_001</x:v>
      </x:c>
      <x:c r="C36" s="27" t="n">
        <x:v>3206</x:v>
      </x:c>
      <x:c r="D36" s="27" t="str">
        <x:v>IND-000033</x:v>
      </x:c>
      <x:c r="E36" s="27" t="str">
        <x:v>FX Swap</x:v>
      </x:c>
      <x:c r="F36" s="27" t="str">
        <x:v>FX</x:v>
      </x:c>
      <x:c r="G36" s="27"/>
      <x:c r="H36" s="27" t="str">
        <x:v>USD</x:v>
      </x:c>
      <x:c r="I36" s="27" t="str">
        <x:v>JPY</x:v>
      </x:c>
      <x:c r="J36" s="27" t="str">
        <x:v>USD</x:v>
      </x:c>
      <x:c r="K36" s="27"/>
      <x:c r="L36" s="27"/>
      <x:c r="M36" s="27" t="str">
        <x:v>USD/JPY</x:v>
      </x:c>
      <x:c r="N36" s="27"/>
      <x:c r="O36" s="27"/>
      <x:c r="P36" s="27" t="n">
        <x:v>47428</x:v>
      </x:c>
      <x:c r="Q36" s="27" t="n">
        <x:v>45107</x:v>
      </x:c>
      <x:c r="R36" s="27" t="n">
        <x:v>47428</x:v>
      </x:c>
      <x:c r="S36" s="27" t="n">
        <x:v>31700000</x:v>
      </x:c>
      <x:c r="T36" s="27" t="n">
        <x:v>4731343283.58</x:v>
      </x:c>
      <x:c r="U36" s="27" t="n">
        <x:v>31700000</x:v>
      </x:c>
      <x:c r="V36" s="27" t="str">
        <x:v>M</x:v>
      </x:c>
      <x:c r="W36" s="27" t="str">
        <x:v>N</x:v>
      </x:c>
      <x:c r="X36" s="27" t="n">
        <x:v>10</x:v>
      </x:c>
      <x:c r="Y36" s="27" t="str">
        <x:v>S</x:v>
      </x:c>
      <x:c r="Z36" s="27"/>
      <x:c r="AA36" s="27"/>
      <x:c r="AB36" s="27" t="n">
        <x:v>0</x:v>
      </x:c>
      <x:c r="AC36" s="27" t="n">
        <x:v>0</x:v>
      </x:c>
      <x:c r="AD36" s="27" t="n">
        <x:v>-187030</x:v>
      </x:c>
      <x:c r="AE36" s="27" t="str">
        <x:v>Public-safe anonymized industry-style SA-CCR sample</x:v>
      </x:c>
      <x:c r="AF36" s="27" t="str">
        <x:v>ANON-000033</x:v>
      </x:c>
      <x:c r="AG36" s="27" t="str">
        <x:v>FX Swap</x:v>
      </x:c>
      <x:c r="AH36" s="27"/>
      <x:c r="AI36" s="27" t="str">
        <x:v>USD/JPY</x:v>
      </x:c>
    </x:row>
    <x:row r="37">
      <x:c r="A37" s="27" t="n">
        <x:v>45702</x:v>
      </x:c>
      <x:c r="B37" s="27" t="str">
        <x:v>IND_ASSET_MANAGER_001</x:v>
      </x:c>
      <x:c r="C37" s="27" t="n">
        <x:v>3127</x:v>
      </x:c>
      <x:c r="D37" s="27" t="str">
        <x:v>IND-000034</x:v>
      </x:c>
      <x:c r="E37" s="27" t="str">
        <x:v>FX Swap</x:v>
      </x:c>
      <x:c r="F37" s="27" t="str">
        <x:v>FX</x:v>
      </x:c>
      <x:c r="G37" s="27"/>
      <x:c r="H37" s="27" t="str">
        <x:v>USD</x:v>
      </x:c>
      <x:c r="I37" s="27" t="str">
        <x:v>CNH</x:v>
      </x:c>
      <x:c r="J37" s="27" t="str">
        <x:v>USD</x:v>
      </x:c>
      <x:c r="K37" s="27"/>
      <x:c r="L37" s="27"/>
      <x:c r="M37" s="27" t="str">
        <x:v>USD/CNH</x:v>
      </x:c>
      <x:c r="N37" s="27"/>
      <x:c r="O37" s="27"/>
      <x:c r="P37" s="27" t="n">
        <x:v>46492</x:v>
      </x:c>
      <x:c r="Q37" s="27" t="n">
        <x:v>45293</x:v>
      </x:c>
      <x:c r="R37" s="27" t="n">
        <x:v>46492</x:v>
      </x:c>
      <x:c r="S37" s="27" t="n">
        <x:v>204000000</x:v>
      </x:c>
      <x:c r="T37" s="27" t="n">
        <x:v>1457142857.14</x:v>
      </x:c>
      <x:c r="U37" s="27" t="n">
        <x:v>204000000</x:v>
      </x:c>
      <x:c r="V37" s="27" t="str">
        <x:v>M</x:v>
      </x:c>
      <x:c r="W37" s="27" t="str">
        <x:v>N</x:v>
      </x:c>
      <x:c r="X37" s="27" t="n">
        <x:v>10</x:v>
      </x:c>
      <x:c r="Y37" s="27" t="str">
        <x:v>B</x:v>
      </x:c>
      <x:c r="Z37" s="27"/>
      <x:c r="AA37" s="27"/>
      <x:c r="AB37" s="27" t="n">
        <x:v>0</x:v>
      </x:c>
      <x:c r="AC37" s="27" t="n">
        <x:v>0</x:v>
      </x:c>
      <x:c r="AD37" s="27" t="n">
        <x:v>1409640</x:v>
      </x:c>
      <x:c r="AE37" s="27" t="str">
        <x:v>Public-safe anonymized industry-style SA-CCR sample</x:v>
      </x:c>
      <x:c r="AF37" s="27" t="str">
        <x:v>ANON-000034</x:v>
      </x:c>
      <x:c r="AG37" s="27" t="str">
        <x:v>FX Swap</x:v>
      </x:c>
      <x:c r="AH37" s="27"/>
      <x:c r="AI37" s="27" t="str">
        <x:v>USD/CNH</x:v>
      </x:c>
    </x:row>
    <x:row r="38">
      <x:c r="A38" s="27" t="n">
        <x:v>45702</x:v>
      </x:c>
      <x:c r="B38" s="27" t="str">
        <x:v>IND_INSURER_001</x:v>
      </x:c>
      <x:c r="C38" s="27" t="n">
        <x:v>3094</x:v>
      </x:c>
      <x:c r="D38" s="27" t="str">
        <x:v>IND-000035</x:v>
      </x:c>
      <x:c r="E38" s="27" t="str">
        <x:v>FX Swap</x:v>
      </x:c>
      <x:c r="F38" s="27" t="str">
        <x:v>FX</x:v>
      </x:c>
      <x:c r="G38" s="27"/>
      <x:c r="H38" s="27" t="str">
        <x:v>USD</x:v>
      </x:c>
      <x:c r="I38" s="27" t="str">
        <x:v>CNH</x:v>
      </x:c>
      <x:c r="J38" s="27" t="str">
        <x:v>USD</x:v>
      </x:c>
      <x:c r="K38" s="27"/>
      <x:c r="L38" s="27"/>
      <x:c r="M38" s="27" t="str">
        <x:v>USD/CNH</x:v>
      </x:c>
      <x:c r="N38" s="27"/>
      <x:c r="O38" s="27"/>
      <x:c r="P38" s="27" t="n">
        <x:v>45737</x:v>
      </x:c>
      <x:c r="Q38" s="27" t="n">
        <x:v>45232</x:v>
      </x:c>
      <x:c r="R38" s="27" t="n">
        <x:v>45737</x:v>
      </x:c>
      <x:c r="S38" s="27" t="n">
        <x:v>102000000</x:v>
      </x:c>
      <x:c r="T38" s="27" t="n">
        <x:v>728571428.57</x:v>
      </x:c>
      <x:c r="U38" s="27" t="n">
        <x:v>102000000</x:v>
      </x:c>
      <x:c r="V38" s="27" t="str">
        <x:v>U</x:v>
      </x:c>
      <x:c r="W38" s="27" t="str">
        <x:v>N</x:v>
      </x:c>
      <x:c r="X38" s="27"/>
      <x:c r="Y38" s="27" t="str">
        <x:v>B</x:v>
      </x:c>
      <x:c r="Z38" s="27"/>
      <x:c r="AA38" s="27"/>
      <x:c r="AB38" s="27" t="n">
        <x:v>0</x:v>
      </x:c>
      <x:c r="AC38" s="27" t="n">
        <x:v>0</x:v>
      </x:c>
      <x:c r="AD38" s="27" t="n">
        <x:v>980220</x:v>
      </x:c>
      <x:c r="AE38" s="27" t="str">
        <x:v>Public-safe anonymized industry-style SA-CCR sample</x:v>
      </x:c>
      <x:c r="AF38" s="27" t="str">
        <x:v>ANON-000035</x:v>
      </x:c>
      <x:c r="AG38" s="27" t="str">
        <x:v>FX Swap</x:v>
      </x:c>
      <x:c r="AH38" s="27"/>
      <x:c r="AI38" s="27" t="str">
        <x:v>USD/CNH</x:v>
      </x:c>
    </x:row>
    <x:row r="39">
      <x:c r="A39" s="27" t="n">
        <x:v>45702</x:v>
      </x:c>
      <x:c r="B39" s="27" t="str">
        <x:v>IND_REGIONAL_BANK_001</x:v>
      </x:c>
      <x:c r="C39" s="27" t="n">
        <x:v>3245</x:v>
      </x:c>
      <x:c r="D39" s="27" t="str">
        <x:v>IND-000036</x:v>
      </x:c>
      <x:c r="E39" s="27" t="str">
        <x:v>FX Swap</x:v>
      </x:c>
      <x:c r="F39" s="27" t="str">
        <x:v>FX</x:v>
      </x:c>
      <x:c r="G39" s="27"/>
      <x:c r="H39" s="27" t="str">
        <x:v>USD</x:v>
      </x:c>
      <x:c r="I39" s="27" t="str">
        <x:v>CNH</x:v>
      </x:c>
      <x:c r="J39" s="27" t="str">
        <x:v>USD</x:v>
      </x:c>
      <x:c r="K39" s="27"/>
      <x:c r="L39" s="27"/>
      <x:c r="M39" s="27" t="str">
        <x:v>USD/CNH</x:v>
      </x:c>
      <x:c r="N39" s="27"/>
      <x:c r="O39" s="27"/>
      <x:c r="P39" s="27" t="n">
        <x:v>46292</x:v>
      </x:c>
      <x:c r="Q39" s="27" t="n">
        <x:v>45240</x:v>
      </x:c>
      <x:c r="R39" s="27" t="n">
        <x:v>46292</x:v>
      </x:c>
      <x:c r="S39" s="27" t="n">
        <x:v>2100000</x:v>
      </x:c>
      <x:c r="T39" s="27" t="n">
        <x:v>15000000</x:v>
      </x:c>
      <x:c r="U39" s="27" t="n">
        <x:v>2100000</x:v>
      </x:c>
      <x:c r="V39" s="27" t="str">
        <x:v>U</x:v>
      </x:c>
      <x:c r="W39" s="27" t="str">
        <x:v>N</x:v>
      </x:c>
      <x:c r="X39" s="27"/>
      <x:c r="Y39" s="27" t="str">
        <x:v>B</x:v>
      </x:c>
      <x:c r="Z39" s="27"/>
      <x:c r="AA39" s="27"/>
      <x:c r="AB39" s="27" t="n">
        <x:v>0</x:v>
      </x:c>
      <x:c r="AC39" s="27" t="n">
        <x:v>0</x:v>
      </x:c>
      <x:c r="AD39" s="27" t="n">
        <x:v>-10290</x:v>
      </x:c>
      <x:c r="AE39" s="27" t="str">
        <x:v>Public-safe anonymized industry-style SA-CCR sample</x:v>
      </x:c>
      <x:c r="AF39" s="27" t="str">
        <x:v>ANON-000036</x:v>
      </x:c>
      <x:c r="AG39" s="27" t="str">
        <x:v>FX Swap</x:v>
      </x:c>
      <x:c r="AH39" s="27"/>
      <x:c r="AI39" s="27" t="str">
        <x:v>USD/CNH</x:v>
      </x:c>
    </x:row>
    <x:row r="40">
      <x:c r="A40" s="27" t="n">
        <x:v>45702</x:v>
      </x:c>
      <x:c r="B40" s="27" t="str">
        <x:v>IND_CLEARING_MEMBER_001</x:v>
      </x:c>
      <x:c r="C40" s="27" t="n">
        <x:v>3206</x:v>
      </x:c>
      <x:c r="D40" s="27" t="str">
        <x:v>IND-000037</x:v>
      </x:c>
      <x:c r="E40" s="27" t="str">
        <x:v>FX Swap</x:v>
      </x:c>
      <x:c r="F40" s="27" t="str">
        <x:v>FX</x:v>
      </x:c>
      <x:c r="G40" s="27"/>
      <x:c r="H40" s="27" t="str">
        <x:v>USD</x:v>
      </x:c>
      <x:c r="I40" s="27" t="str">
        <x:v>JPY</x:v>
      </x:c>
      <x:c r="J40" s="27" t="str">
        <x:v>USD</x:v>
      </x:c>
      <x:c r="K40" s="27"/>
      <x:c r="L40" s="27"/>
      <x:c r="M40" s="27" t="str">
        <x:v>USD/JPY</x:v>
      </x:c>
      <x:c r="N40" s="27"/>
      <x:c r="O40" s="27"/>
      <x:c r="P40" s="27" t="n">
        <x:v>47692</x:v>
      </x:c>
      <x:c r="Q40" s="27" t="n">
        <x:v>45150</x:v>
      </x:c>
      <x:c r="R40" s="27" t="n">
        <x:v>47692</x:v>
      </x:c>
      <x:c r="S40" s="27" t="n">
        <x:v>81200000</x:v>
      </x:c>
      <x:c r="T40" s="27" t="n">
        <x:v>12119402985.07</x:v>
      </x:c>
      <x:c r="U40" s="27" t="n">
        <x:v>81200000</x:v>
      </x:c>
      <x:c r="V40" s="27" t="str">
        <x:v>M</x:v>
      </x:c>
      <x:c r="W40" s="27" t="str">
        <x:v>N</x:v>
      </x:c>
      <x:c r="X40" s="27" t="n">
        <x:v>10</x:v>
      </x:c>
      <x:c r="Y40" s="27" t="str">
        <x:v>B</x:v>
      </x:c>
      <x:c r="Z40" s="27"/>
      <x:c r="AA40" s="27"/>
      <x:c r="AB40" s="27" t="n">
        <x:v>0</x:v>
      </x:c>
      <x:c r="AC40" s="27" t="n">
        <x:v>0</x:v>
      </x:c>
      <x:c r="AD40" s="27" t="n">
        <x:v>345912</x:v>
      </x:c>
      <x:c r="AE40" s="27" t="str">
        <x:v>Public-safe anonymized industry-style SA-CCR sample</x:v>
      </x:c>
      <x:c r="AF40" s="27" t="str">
        <x:v>ANON-000037</x:v>
      </x:c>
      <x:c r="AG40" s="27" t="str">
        <x:v>FX Swap</x:v>
      </x:c>
      <x:c r="AH40" s="27"/>
      <x:c r="AI40" s="27" t="str">
        <x:v>USD/JPY</x:v>
      </x:c>
    </x:row>
    <x:row r="41">
      <x:c r="A41" s="27" t="n">
        <x:v>45702</x:v>
      </x:c>
      <x:c r="B41" s="27" t="str">
        <x:v>IND_CORPORATE_001</x:v>
      </x:c>
      <x:c r="C41" s="27" t="n">
        <x:v>3040</x:v>
      </x:c>
      <x:c r="D41" s="27" t="str">
        <x:v>IND-000038</x:v>
      </x:c>
      <x:c r="E41" s="27" t="str">
        <x:v>FX Swap</x:v>
      </x:c>
      <x:c r="F41" s="27" t="str">
        <x:v>FX</x:v>
      </x:c>
      <x:c r="G41" s="27"/>
      <x:c r="H41" s="27" t="str">
        <x:v>EUR</x:v>
      </x:c>
      <x:c r="I41" s="27" t="str">
        <x:v>USD</x:v>
      </x:c>
      <x:c r="J41" s="27" t="str">
        <x:v>USD</x:v>
      </x:c>
      <x:c r="K41" s="27"/>
      <x:c r="L41" s="27"/>
      <x:c r="M41" s="27" t="str">
        <x:v>EUR/USD</x:v>
      </x:c>
      <x:c r="N41" s="27"/>
      <x:c r="O41" s="27"/>
      <x:c r="P41" s="27" t="n">
        <x:v>46398</x:v>
      </x:c>
      <x:c r="Q41" s="27" t="n">
        <x:v>45434</x:v>
      </x:c>
      <x:c r="R41" s="27" t="n">
        <x:v>46398</x:v>
      </x:c>
      <x:c r="S41" s="27" t="n">
        <x:v>25714285.71</x:v>
      </x:c>
      <x:c r="T41" s="27" t="n">
        <x:v>27000000</x:v>
      </x:c>
      <x:c r="U41" s="27" t="n">
        <x:v>27000000</x:v>
      </x:c>
      <x:c r="V41" s="27" t="str">
        <x:v>M</x:v>
      </x:c>
      <x:c r="W41" s="27" t="str">
        <x:v>N</x:v>
      </x:c>
      <x:c r="X41" s="27" t="n">
        <x:v>10</x:v>
      </x:c>
      <x:c r="Y41" s="27" t="str">
        <x:v>B</x:v>
      </x:c>
      <x:c r="Z41" s="27"/>
      <x:c r="AA41" s="27"/>
      <x:c r="AB41" s="27" t="n">
        <x:v>0</x:v>
      </x:c>
      <x:c r="AC41" s="27" t="n">
        <x:v>0</x:v>
      </x:c>
      <x:c r="AD41" s="27" t="n">
        <x:v>152550</x:v>
      </x:c>
      <x:c r="AE41" s="27" t="str">
        <x:v>Public-safe anonymized industry-style SA-CCR sample</x:v>
      </x:c>
      <x:c r="AF41" s="27" t="str">
        <x:v>ANON-000038</x:v>
      </x:c>
      <x:c r="AG41" s="27" t="str">
        <x:v>FX Swap</x:v>
      </x:c>
      <x:c r="AH41" s="27"/>
      <x:c r="AI41" s="27" t="str">
        <x:v>EUR/USD</x:v>
      </x:c>
    </x:row>
    <x:row r="42">
      <x:c r="A42" s="27" t="n">
        <x:v>45702</x:v>
      </x:c>
      <x:c r="B42" s="27" t="str">
        <x:v>IND_HEDGE_FUND_001</x:v>
      </x:c>
      <x:c r="C42" s="27" t="n">
        <x:v>3205</x:v>
      </x:c>
      <x:c r="D42" s="27" t="str">
        <x:v>IND-000039</x:v>
      </x:c>
      <x:c r="E42" s="27" t="str">
        <x:v>FX Swap</x:v>
      </x:c>
      <x:c r="F42" s="27" t="str">
        <x:v>FX</x:v>
      </x:c>
      <x:c r="G42" s="27"/>
      <x:c r="H42" s="27" t="str">
        <x:v>USD</x:v>
      </x:c>
      <x:c r="I42" s="27" t="str">
        <x:v>CNY</x:v>
      </x:c>
      <x:c r="J42" s="27" t="str">
        <x:v>USD</x:v>
      </x:c>
      <x:c r="K42" s="27"/>
      <x:c r="L42" s="27"/>
      <x:c r="M42" s="27" t="str">
        <x:v>USD/CNY</x:v>
      </x:c>
      <x:c r="N42" s="27"/>
      <x:c r="O42" s="27"/>
      <x:c r="P42" s="27" t="n">
        <x:v>47062</x:v>
      </x:c>
      <x:c r="Q42" s="27" t="n">
        <x:v>45667</x:v>
      </x:c>
      <x:c r="R42" s="27" t="n">
        <x:v>47062</x:v>
      </x:c>
      <x:c r="S42" s="27" t="n">
        <x:v>12200000</x:v>
      </x:c>
      <x:c r="T42" s="27" t="n">
        <x:v>87142857.14</x:v>
      </x:c>
      <x:c r="U42" s="27" t="n">
        <x:v>12200000</x:v>
      </x:c>
      <x:c r="V42" s="27" t="str">
        <x:v>M</x:v>
      </x:c>
      <x:c r="W42" s="27" t="str">
        <x:v>N</x:v>
      </x:c>
      <x:c r="X42" s="27" t="n">
        <x:v>10</x:v>
      </x:c>
      <x:c r="Y42" s="27" t="str">
        <x:v>S</x:v>
      </x:c>
      <x:c r="Z42" s="27"/>
      <x:c r="AA42" s="27"/>
      <x:c r="AB42" s="27" t="n">
        <x:v>0</x:v>
      </x:c>
      <x:c r="AC42" s="27" t="n">
        <x:v>0</x:v>
      </x:c>
      <x:c r="AD42" s="27" t="n">
        <x:v>-36844</x:v>
      </x:c>
      <x:c r="AE42" s="27" t="str">
        <x:v>Public-safe anonymized industry-style SA-CCR sample</x:v>
      </x:c>
      <x:c r="AF42" s="27" t="str">
        <x:v>ANON-000039</x:v>
      </x:c>
      <x:c r="AG42" s="27" t="str">
        <x:v>FX Swap</x:v>
      </x:c>
      <x:c r="AH42" s="27"/>
      <x:c r="AI42" s="27" t="str">
        <x:v>USD/CNY</x:v>
      </x:c>
    </x:row>
    <x:row r="43">
      <x:c r="A43" s="27" t="n">
        <x:v>45702</x:v>
      </x:c>
      <x:c r="B43" s="27" t="str">
        <x:v>IND_BANK_002</x:v>
      </x:c>
      <x:c r="C43" s="27" t="n">
        <x:v>3331</x:v>
      </x:c>
      <x:c r="D43" s="27" t="str">
        <x:v>IND-000040</x:v>
      </x:c>
      <x:c r="E43" s="27" t="str">
        <x:v>FX Swap</x:v>
      </x:c>
      <x:c r="F43" s="27" t="str">
        <x:v>FX</x:v>
      </x:c>
      <x:c r="G43" s="27"/>
      <x:c r="H43" s="27" t="str">
        <x:v>EUR</x:v>
      </x:c>
      <x:c r="I43" s="27" t="str">
        <x:v>USD</x:v>
      </x:c>
      <x:c r="J43" s="27" t="str">
        <x:v>USD</x:v>
      </x:c>
      <x:c r="K43" s="27"/>
      <x:c r="L43" s="27"/>
      <x:c r="M43" s="27" t="str">
        <x:v>EUR/USD</x:v>
      </x:c>
      <x:c r="N43" s="27"/>
      <x:c r="O43" s="27"/>
      <x:c r="P43" s="27" t="n">
        <x:v>45837</x:v>
      </x:c>
      <x:c r="Q43" s="27" t="n">
        <x:v>45674</x:v>
      </x:c>
      <x:c r="R43" s="27" t="n">
        <x:v>45837</x:v>
      </x:c>
      <x:c r="S43" s="27" t="n">
        <x:v>217142857.14</x:v>
      </x:c>
      <x:c r="T43" s="27" t="n">
        <x:v>228000000</x:v>
      </x:c>
      <x:c r="U43" s="27" t="n">
        <x:v>228000000</x:v>
      </x:c>
      <x:c r="V43" s="27" t="str">
        <x:v>M</x:v>
      </x:c>
      <x:c r="W43" s="27" t="str">
        <x:v>N</x:v>
      </x:c>
      <x:c r="X43" s="27" t="n">
        <x:v>10</x:v>
      </x:c>
      <x:c r="Y43" s="27" t="str">
        <x:v>B</x:v>
      </x:c>
      <x:c r="Z43" s="27"/>
      <x:c r="AA43" s="27"/>
      <x:c r="AB43" s="27" t="n">
        <x:v>0</x:v>
      </x:c>
      <x:c r="AC43" s="27" t="n">
        <x:v>0</x:v>
      </x:c>
      <x:c r="AD43" s="27" t="n">
        <x:v>-2156880</x:v>
      </x:c>
      <x:c r="AE43" s="27" t="str">
        <x:v>Public-safe anonymized industry-style SA-CCR sample</x:v>
      </x:c>
      <x:c r="AF43" s="27" t="str">
        <x:v>ANON-000040</x:v>
      </x:c>
      <x:c r="AG43" s="27" t="str">
        <x:v>FX Swap</x:v>
      </x:c>
      <x:c r="AH43" s="27"/>
      <x:c r="AI43" s="27" t="str">
        <x:v>EUR/USD</x:v>
      </x:c>
    </x:row>
    <x:row r="44">
      <x:c r="A44" s="27" t="n">
        <x:v>45702</x:v>
      </x:c>
      <x:c r="B44" s="27" t="str">
        <x:v>IND_CLEARING_MEMBER_001</x:v>
      </x:c>
      <x:c r="C44" s="27" t="n">
        <x:v>3206</x:v>
      </x:c>
      <x:c r="D44" s="27" t="str">
        <x:v>IND-000041</x:v>
      </x:c>
      <x:c r="E44" s="27" t="str">
        <x:v>FX Swap</x:v>
      </x:c>
      <x:c r="F44" s="27" t="str">
        <x:v>FX</x:v>
      </x:c>
      <x:c r="G44" s="27"/>
      <x:c r="H44" s="27" t="str">
        <x:v>USD</x:v>
      </x:c>
      <x:c r="I44" s="27" t="str">
        <x:v>JPY</x:v>
      </x:c>
      <x:c r="J44" s="27" t="str">
        <x:v>USD</x:v>
      </x:c>
      <x:c r="K44" s="27"/>
      <x:c r="L44" s="27"/>
      <x:c r="M44" s="27" t="str">
        <x:v>USD/JPY</x:v>
      </x:c>
      <x:c r="N44" s="27"/>
      <x:c r="O44" s="27"/>
      <x:c r="P44" s="27" t="n">
        <x:v>47063</x:v>
      </x:c>
      <x:c r="Q44" s="27" t="n">
        <x:v>44804</x:v>
      </x:c>
      <x:c r="R44" s="27" t="n">
        <x:v>47063</x:v>
      </x:c>
      <x:c r="S44" s="27" t="n">
        <x:v>118000000</x:v>
      </x:c>
      <x:c r="T44" s="27" t="n">
        <x:v>17611940298.51</x:v>
      </x:c>
      <x:c r="U44" s="27" t="n">
        <x:v>118000000</x:v>
      </x:c>
      <x:c r="V44" s="27" t="str">
        <x:v>M</x:v>
      </x:c>
      <x:c r="W44" s="27" t="str">
        <x:v>N</x:v>
      </x:c>
      <x:c r="X44" s="27" t="n">
        <x:v>10</x:v>
      </x:c>
      <x:c r="Y44" s="27" t="str">
        <x:v>S</x:v>
      </x:c>
      <x:c r="Z44" s="27"/>
      <x:c r="AA44" s="27"/>
      <x:c r="AB44" s="27" t="n">
        <x:v>0</x:v>
      </x:c>
      <x:c r="AC44" s="27" t="n">
        <x:v>0</x:v>
      </x:c>
      <x:c r="AD44" s="27" t="n">
        <x:v>-62540</x:v>
      </x:c>
      <x:c r="AE44" s="27" t="str">
        <x:v>Public-safe anonymized industry-style SA-CCR sample</x:v>
      </x:c>
      <x:c r="AF44" s="27" t="str">
        <x:v>ANON-000041</x:v>
      </x:c>
      <x:c r="AG44" s="27" t="str">
        <x:v>FX Swap</x:v>
      </x:c>
      <x:c r="AH44" s="27"/>
      <x:c r="AI44" s="27" t="str">
        <x:v>USD/JPY</x:v>
      </x:c>
    </x:row>
    <x:row r="45">
      <x:c r="A45" s="27" t="n">
        <x:v>45702</x:v>
      </x:c>
      <x:c r="B45" s="27" t="str">
        <x:v>IND_REGIONAL_BANK_001</x:v>
      </x:c>
      <x:c r="C45" s="27" t="n">
        <x:v>3210</x:v>
      </x:c>
      <x:c r="D45" s="27" t="str">
        <x:v>IND-000042</x:v>
      </x:c>
      <x:c r="E45" s="27" t="str">
        <x:v>FX Swap</x:v>
      </x:c>
      <x:c r="F45" s="27" t="str">
        <x:v>FX</x:v>
      </x:c>
      <x:c r="G45" s="27"/>
      <x:c r="H45" s="27" t="str">
        <x:v>USD</x:v>
      </x:c>
      <x:c r="I45" s="27" t="str">
        <x:v>CNH</x:v>
      </x:c>
      <x:c r="J45" s="27" t="str">
        <x:v>USD</x:v>
      </x:c>
      <x:c r="K45" s="27"/>
      <x:c r="L45" s="27"/>
      <x:c r="M45" s="27" t="str">
        <x:v>USD/CNH</x:v>
      </x:c>
      <x:c r="N45" s="27"/>
      <x:c r="O45" s="27"/>
      <x:c r="P45" s="27" t="n">
        <x:v>47334</x:v>
      </x:c>
      <x:c r="Q45" s="27" t="n">
        <x:v>45073</x:v>
      </x:c>
      <x:c r="R45" s="27" t="n">
        <x:v>47334</x:v>
      </x:c>
      <x:c r="S45" s="27" t="n">
        <x:v>79400000</x:v>
      </x:c>
      <x:c r="T45" s="27" t="n">
        <x:v>567142857.14</x:v>
      </x:c>
      <x:c r="U45" s="27" t="n">
        <x:v>79400000</x:v>
      </x:c>
      <x:c r="V45" s="27" t="str">
        <x:v>M</x:v>
      </x:c>
      <x:c r="W45" s="27" t="str">
        <x:v>N</x:v>
      </x:c>
      <x:c r="X45" s="27" t="n">
        <x:v>10</x:v>
      </x:c>
      <x:c r="Y45" s="27" t="str">
        <x:v>S</x:v>
      </x:c>
      <x:c r="Z45" s="27"/>
      <x:c r="AA45" s="27"/>
      <x:c r="AB45" s="27" t="n">
        <x:v>0</x:v>
      </x:c>
      <x:c r="AC45" s="27" t="n">
        <x:v>0</x:v>
      </x:c>
      <x:c r="AD45" s="27" t="n">
        <x:v>576444</x:v>
      </x:c>
      <x:c r="AE45" s="27" t="str">
        <x:v>Public-safe anonymized industry-style SA-CCR sample</x:v>
      </x:c>
      <x:c r="AF45" s="27" t="str">
        <x:v>ANON-000042</x:v>
      </x:c>
      <x:c r="AG45" s="27" t="str">
        <x:v>FX Swap</x:v>
      </x:c>
      <x:c r="AH45" s="27"/>
      <x:c r="AI45" s="27" t="str">
        <x:v>USD/CNH</x:v>
      </x:c>
    </x:row>
    <x:row r="46">
      <x:c r="A46" s="27" t="n">
        <x:v>45702</x:v>
      </x:c>
      <x:c r="B46" s="27" t="str">
        <x:v>IND_HEDGE_FUND_001</x:v>
      </x:c>
      <x:c r="C46" s="27" t="n">
        <x:v>3040</x:v>
      </x:c>
      <x:c r="D46" s="27" t="str">
        <x:v>IND-000043</x:v>
      </x:c>
      <x:c r="E46" s="27" t="str">
        <x:v>FX Swap</x:v>
      </x:c>
      <x:c r="F46" s="27" t="str">
        <x:v>FX</x:v>
      </x:c>
      <x:c r="G46" s="27"/>
      <x:c r="H46" s="27" t="str">
        <x:v>USD</x:v>
      </x:c>
      <x:c r="I46" s="27" t="str">
        <x:v>CNY</x:v>
      </x:c>
      <x:c r="J46" s="27" t="str">
        <x:v>USD</x:v>
      </x:c>
      <x:c r="K46" s="27"/>
      <x:c r="L46" s="27"/>
      <x:c r="M46" s="27" t="str">
        <x:v>USD/CNY</x:v>
      </x:c>
      <x:c r="N46" s="27"/>
      <x:c r="O46" s="27"/>
      <x:c r="P46" s="27" t="n">
        <x:v>46562</x:v>
      </x:c>
      <x:c r="Q46" s="27" t="n">
        <x:v>45289</x:v>
      </x:c>
      <x:c r="R46" s="27" t="n">
        <x:v>46562</x:v>
      </x:c>
      <x:c r="S46" s="27" t="n">
        <x:v>62700000</x:v>
      </x:c>
      <x:c r="T46" s="27" t="n">
        <x:v>447857142.86</x:v>
      </x:c>
      <x:c r="U46" s="27" t="n">
        <x:v>62700000</x:v>
      </x:c>
      <x:c r="V46" s="27" t="str">
        <x:v>U</x:v>
      </x:c>
      <x:c r="W46" s="27" t="str">
        <x:v>N</x:v>
      </x:c>
      <x:c r="X46" s="27"/>
      <x:c r="Y46" s="27" t="str">
        <x:v>B</x:v>
      </x:c>
      <x:c r="Z46" s="27"/>
      <x:c r="AA46" s="27"/>
      <x:c r="AB46" s="27" t="n">
        <x:v>0</x:v>
      </x:c>
      <x:c r="AC46" s="27" t="n">
        <x:v>0</x:v>
      </x:c>
      <x:c r="AD46" s="27" t="n">
        <x:v>433884</x:v>
      </x:c>
      <x:c r="AE46" s="27" t="str">
        <x:v>Public-safe anonymized industry-style SA-CCR sample</x:v>
      </x:c>
      <x:c r="AF46" s="27" t="str">
        <x:v>ANON-000043</x:v>
      </x:c>
      <x:c r="AG46" s="27" t="str">
        <x:v>FX Swap</x:v>
      </x:c>
      <x:c r="AH46" s="27"/>
      <x:c r="AI46" s="27" t="str">
        <x:v>USD/CNY</x:v>
      </x:c>
    </x:row>
    <x:row r="47">
      <x:c r="A47" s="27" t="n">
        <x:v>45702</x:v>
      </x:c>
      <x:c r="B47" s="27" t="str">
        <x:v>IND_PENSION_001</x:v>
      </x:c>
      <x:c r="C47" s="27" t="n">
        <x:v>3294</x:v>
      </x:c>
      <x:c r="D47" s="27" t="str">
        <x:v>IND-000044</x:v>
      </x:c>
      <x:c r="E47" s="27" t="str">
        <x:v>FX Swap</x:v>
      </x:c>
      <x:c r="F47" s="27" t="str">
        <x:v>FX</x:v>
      </x:c>
      <x:c r="G47" s="27"/>
      <x:c r="H47" s="27" t="str">
        <x:v>EUR</x:v>
      </x:c>
      <x:c r="I47" s="27" t="str">
        <x:v>USD</x:v>
      </x:c>
      <x:c r="J47" s="27" t="str">
        <x:v>USD</x:v>
      </x:c>
      <x:c r="K47" s="27"/>
      <x:c r="L47" s="27"/>
      <x:c r="M47" s="27" t="str">
        <x:v>EUR/USD</x:v>
      </x:c>
      <x:c r="N47" s="27"/>
      <x:c r="O47" s="27"/>
      <x:c r="P47" s="27" t="n">
        <x:v>46443</x:v>
      </x:c>
      <x:c r="Q47" s="27" t="n">
        <x:v>45060</x:v>
      </x:c>
      <x:c r="R47" s="27" t="n">
        <x:v>46443</x:v>
      </x:c>
      <x:c r="S47" s="27" t="n">
        <x:v>218095238.1</x:v>
      </x:c>
      <x:c r="T47" s="27" t="n">
        <x:v>229000000</x:v>
      </x:c>
      <x:c r="U47" s="27" t="n">
        <x:v>229000000</x:v>
      </x:c>
      <x:c r="V47" s="27" t="str">
        <x:v>M</x:v>
      </x:c>
      <x:c r="W47" s="27" t="str">
        <x:v>N</x:v>
      </x:c>
      <x:c r="X47" s="27" t="n">
        <x:v>10</x:v>
      </x:c>
      <x:c r="Y47" s="27" t="str">
        <x:v>S</x:v>
      </x:c>
      <x:c r="Z47" s="27"/>
      <x:c r="AA47" s="27"/>
      <x:c r="AB47" s="27" t="n">
        <x:v>0</x:v>
      </x:c>
      <x:c r="AC47" s="27" t="n">
        <x:v>0</x:v>
      </x:c>
      <x:c r="AD47" s="27" t="n">
        <x:v>675550</x:v>
      </x:c>
      <x:c r="AE47" s="27" t="str">
        <x:v>Public-safe anonymized industry-style SA-CCR sample</x:v>
      </x:c>
      <x:c r="AF47" s="27" t="str">
        <x:v>ANON-000044</x:v>
      </x:c>
      <x:c r="AG47" s="27" t="str">
        <x:v>FX Swap</x:v>
      </x:c>
      <x:c r="AH47" s="27"/>
      <x:c r="AI47" s="27" t="str">
        <x:v>EUR/USD</x:v>
      </x:c>
    </x:row>
    <x:row r="48">
      <x:c r="A48" s="27" t="n">
        <x:v>45702</x:v>
      </x:c>
      <x:c r="B48" s="27" t="str">
        <x:v>IND_BROKER_001</x:v>
      </x:c>
      <x:c r="C48" s="27" t="n">
        <x:v>3276</x:v>
      </x:c>
      <x:c r="D48" s="27" t="str">
        <x:v>IND-000045</x:v>
      </x:c>
      <x:c r="E48" s="27" t="str">
        <x:v>FX Swap</x:v>
      </x:c>
      <x:c r="F48" s="27" t="str">
        <x:v>FX</x:v>
      </x:c>
      <x:c r="G48" s="27"/>
      <x:c r="H48" s="27" t="str">
        <x:v>USD</x:v>
      </x:c>
      <x:c r="I48" s="27" t="str">
        <x:v>JPY</x:v>
      </x:c>
      <x:c r="J48" s="27" t="str">
        <x:v>USD</x:v>
      </x:c>
      <x:c r="K48" s="27"/>
      <x:c r="L48" s="27"/>
      <x:c r="M48" s="27" t="str">
        <x:v>USD/JPY</x:v>
      </x:c>
      <x:c r="N48" s="27"/>
      <x:c r="O48" s="27"/>
      <x:c r="P48" s="27" t="n">
        <x:v>46513</x:v>
      </x:c>
      <x:c r="Q48" s="27" t="n">
        <x:v>45658</x:v>
      </x:c>
      <x:c r="R48" s="27" t="n">
        <x:v>46513</x:v>
      </x:c>
      <x:c r="S48" s="27" t="n">
        <x:v>60000000</x:v>
      </x:c>
      <x:c r="T48" s="27" t="n">
        <x:v>8955223880.6</x:v>
      </x:c>
      <x:c r="U48" s="27" t="n">
        <x:v>60000000</x:v>
      </x:c>
      <x:c r="V48" s="27" t="str">
        <x:v>M</x:v>
      </x:c>
      <x:c r="W48" s="27" t="str">
        <x:v>N</x:v>
      </x:c>
      <x:c r="X48" s="27" t="n">
        <x:v>10</x:v>
      </x:c>
      <x:c r="Y48" s="27" t="str">
        <x:v>B</x:v>
      </x:c>
      <x:c r="Z48" s="27"/>
      <x:c r="AA48" s="27"/>
      <x:c r="AB48" s="27" t="n">
        <x:v>0</x:v>
      </x:c>
      <x:c r="AC48" s="27" t="n">
        <x:v>0</x:v>
      </x:c>
      <x:c r="AD48" s="27" t="n">
        <x:v>257400</x:v>
      </x:c>
      <x:c r="AE48" s="27" t="str">
        <x:v>Public-safe anonymized industry-style SA-CCR sample</x:v>
      </x:c>
      <x:c r="AF48" s="27" t="str">
        <x:v>ANON-000045</x:v>
      </x:c>
      <x:c r="AG48" s="27" t="str">
        <x:v>FX Swap</x:v>
      </x:c>
      <x:c r="AH48" s="27"/>
      <x:c r="AI48" s="27" t="str">
        <x:v>USD/JPY</x:v>
      </x:c>
    </x:row>
    <x:row r="49">
      <x:c r="A49" s="27" t="n">
        <x:v>45702</x:v>
      </x:c>
      <x:c r="B49" s="27" t="str">
        <x:v>IND_SOVEREIGN_001</x:v>
      </x:c>
      <x:c r="C49" s="27" t="n">
        <x:v>3390</x:v>
      </x:c>
      <x:c r="D49" s="27" t="str">
        <x:v>IND-000046</x:v>
      </x:c>
      <x:c r="E49" s="27" t="str">
        <x:v>FX Swap</x:v>
      </x:c>
      <x:c r="F49" s="27" t="str">
        <x:v>FX</x:v>
      </x:c>
      <x:c r="G49" s="27"/>
      <x:c r="H49" s="27" t="str">
        <x:v>USD</x:v>
      </x:c>
      <x:c r="I49" s="27" t="str">
        <x:v>CNY</x:v>
      </x:c>
      <x:c r="J49" s="27" t="str">
        <x:v>USD</x:v>
      </x:c>
      <x:c r="K49" s="27"/>
      <x:c r="L49" s="27"/>
      <x:c r="M49" s="27" t="str">
        <x:v>USD/CNY</x:v>
      </x:c>
      <x:c r="N49" s="27"/>
      <x:c r="O49" s="27"/>
      <x:c r="P49" s="27" t="n">
        <x:v>46588</x:v>
      </x:c>
      <x:c r="Q49" s="27" t="n">
        <x:v>45635</x:v>
      </x:c>
      <x:c r="R49" s="27" t="n">
        <x:v>46588</x:v>
      </x:c>
      <x:c r="S49" s="27" t="n">
        <x:v>167000000</x:v>
      </x:c>
      <x:c r="T49" s="27" t="n">
        <x:v>1192857142.86</x:v>
      </x:c>
      <x:c r="U49" s="27" t="n">
        <x:v>167000000</x:v>
      </x:c>
      <x:c r="V49" s="27" t="str">
        <x:v>M</x:v>
      </x:c>
      <x:c r="W49" s="27" t="str">
        <x:v>N</x:v>
      </x:c>
      <x:c r="X49" s="27" t="n">
        <x:v>10</x:v>
      </x:c>
      <x:c r="Y49" s="27" t="str">
        <x:v>S</x:v>
      </x:c>
      <x:c r="Z49" s="27"/>
      <x:c r="AA49" s="27"/>
      <x:c r="AB49" s="27" t="n">
        <x:v>0</x:v>
      </x:c>
      <x:c r="AC49" s="27" t="n">
        <x:v>0</x:v>
      </x:c>
      <x:c r="AD49" s="27" t="n">
        <x:v>831660</x:v>
      </x:c>
      <x:c r="AE49" s="27" t="str">
        <x:v>Public-safe anonymized industry-style SA-CCR sample</x:v>
      </x:c>
      <x:c r="AF49" s="27" t="str">
        <x:v>ANON-000046</x:v>
      </x:c>
      <x:c r="AG49" s="27" t="str">
        <x:v>FX Swap</x:v>
      </x:c>
      <x:c r="AH49" s="27"/>
      <x:c r="AI49" s="27" t="str">
        <x:v>USD/CNY</x:v>
      </x:c>
    </x:row>
    <x:row r="50">
      <x:c r="A50" s="27" t="n">
        <x:v>45702</x:v>
      </x:c>
      <x:c r="B50" s="27" t="str">
        <x:v>IND_ASSET_MANAGER_001</x:v>
      </x:c>
      <x:c r="C50" s="27" t="n">
        <x:v>3257</x:v>
      </x:c>
      <x:c r="D50" s="27" t="str">
        <x:v>IND-000047</x:v>
      </x:c>
      <x:c r="E50" s="27" t="str">
        <x:v>FX Swap</x:v>
      </x:c>
      <x:c r="F50" s="27" t="str">
        <x:v>FX</x:v>
      </x:c>
      <x:c r="G50" s="27"/>
      <x:c r="H50" s="27" t="str">
        <x:v>USD</x:v>
      </x:c>
      <x:c r="I50" s="27" t="str">
        <x:v>CNH</x:v>
      </x:c>
      <x:c r="J50" s="27" t="str">
        <x:v>USD</x:v>
      </x:c>
      <x:c r="K50" s="27"/>
      <x:c r="L50" s="27"/>
      <x:c r="M50" s="27" t="str">
        <x:v>USD/CNH</x:v>
      </x:c>
      <x:c r="N50" s="27"/>
      <x:c r="O50" s="27"/>
      <x:c r="P50" s="27" t="n">
        <x:v>46550</x:v>
      </x:c>
      <x:c r="Q50" s="27" t="n">
        <x:v>44983</x:v>
      </x:c>
      <x:c r="R50" s="27" t="n">
        <x:v>46550</x:v>
      </x:c>
      <x:c r="S50" s="27" t="n">
        <x:v>12900000</x:v>
      </x:c>
      <x:c r="T50" s="27" t="n">
        <x:v>92142857.14</x:v>
      </x:c>
      <x:c r="U50" s="27" t="n">
        <x:v>12900000</x:v>
      </x:c>
      <x:c r="V50" s="27" t="str">
        <x:v>U</x:v>
      </x:c>
      <x:c r="W50" s="27" t="str">
        <x:v>N</x:v>
      </x:c>
      <x:c r="X50" s="27"/>
      <x:c r="Y50" s="27" t="str">
        <x:v>B</x:v>
      </x:c>
      <x:c r="Z50" s="27"/>
      <x:c r="AA50" s="27"/>
      <x:c r="AB50" s="27" t="n">
        <x:v>0</x:v>
      </x:c>
      <x:c r="AC50" s="27" t="n">
        <x:v>0</x:v>
      </x:c>
      <x:c r="AD50" s="27" t="n">
        <x:v>-121389</x:v>
      </x:c>
      <x:c r="AE50" s="27" t="str">
        <x:v>Public-safe anonymized industry-style SA-CCR sample</x:v>
      </x:c>
      <x:c r="AF50" s="27" t="str">
        <x:v>ANON-000047</x:v>
      </x:c>
      <x:c r="AG50" s="27" t="str">
        <x:v>FX Swap</x:v>
      </x:c>
      <x:c r="AH50" s="27"/>
      <x:c r="AI50" s="27" t="str">
        <x:v>USD/CNH</x:v>
      </x:c>
    </x:row>
    <x:row r="51">
      <x:c r="A51" s="27" t="n">
        <x:v>45702</x:v>
      </x:c>
      <x:c r="B51" s="27" t="str">
        <x:v>IND_CORPORATE_002</x:v>
      </x:c>
      <x:c r="C51" s="27" t="n">
        <x:v>3346</x:v>
      </x:c>
      <x:c r="D51" s="27" t="str">
        <x:v>IND-000048</x:v>
      </x:c>
      <x:c r="E51" s="27" t="str">
        <x:v>FX Swap</x:v>
      </x:c>
      <x:c r="F51" s="27" t="str">
        <x:v>FX</x:v>
      </x:c>
      <x:c r="G51" s="27"/>
      <x:c r="H51" s="27" t="str">
        <x:v>USD</x:v>
      </x:c>
      <x:c r="I51" s="27" t="str">
        <x:v>JPY</x:v>
      </x:c>
      <x:c r="J51" s="27" t="str">
        <x:v>USD</x:v>
      </x:c>
      <x:c r="K51" s="27"/>
      <x:c r="L51" s="27"/>
      <x:c r="M51" s="27" t="str">
        <x:v>USD/JPY</x:v>
      </x:c>
      <x:c r="N51" s="27"/>
      <x:c r="O51" s="27"/>
      <x:c r="P51" s="27" t="n">
        <x:v>47708</x:v>
      </x:c>
      <x:c r="Q51" s="27" t="n">
        <x:v>44994</x:v>
      </x:c>
      <x:c r="R51" s="27" t="n">
        <x:v>47708</x:v>
      </x:c>
      <x:c r="S51" s="27" t="n">
        <x:v>8900000</x:v>
      </x:c>
      <x:c r="T51" s="27" t="n">
        <x:v>1328358208.96</x:v>
      </x:c>
      <x:c r="U51" s="27" t="n">
        <x:v>8900000</x:v>
      </x:c>
      <x:c r="V51" s="27" t="str">
        <x:v>M</x:v>
      </x:c>
      <x:c r="W51" s="27" t="str">
        <x:v>N</x:v>
      </x:c>
      <x:c r="X51" s="27" t="n">
        <x:v>10</x:v>
      </x:c>
      <x:c r="Y51" s="27" t="str">
        <x:v>B</x:v>
      </x:c>
      <x:c r="Z51" s="27"/>
      <x:c r="AA51" s="27"/>
      <x:c r="AB51" s="27" t="n">
        <x:v>0</x:v>
      </x:c>
      <x:c r="AC51" s="27" t="n">
        <x:v>0</x:v>
      </x:c>
      <x:c r="AD51" s="27" t="n">
        <x:v>17978</x:v>
      </x:c>
      <x:c r="AE51" s="27" t="str">
        <x:v>Public-safe anonymized industry-style SA-CCR sample</x:v>
      </x:c>
      <x:c r="AF51" s="27" t="str">
        <x:v>ANON-000048</x:v>
      </x:c>
      <x:c r="AG51" s="27" t="str">
        <x:v>FX Swap</x:v>
      </x:c>
      <x:c r="AH51" s="27"/>
      <x:c r="AI51" s="27" t="str">
        <x:v>USD/JPY</x:v>
      </x:c>
    </x:row>
    <x:row r="52">
      <x:c r="A52" s="27" t="n">
        <x:v>45702</x:v>
      </x:c>
      <x:c r="B52" s="27" t="str">
        <x:v>IND_CORPORATE_002</x:v>
      </x:c>
      <x:c r="C52" s="27" t="n">
        <x:v>3346</x:v>
      </x:c>
      <x:c r="D52" s="27" t="str">
        <x:v>IND-000049</x:v>
      </x:c>
      <x:c r="E52" s="27" t="str">
        <x:v>FX Swap</x:v>
      </x:c>
      <x:c r="F52" s="27" t="str">
        <x:v>FX</x:v>
      </x:c>
      <x:c r="G52" s="27"/>
      <x:c r="H52" s="27" t="str">
        <x:v>USD</x:v>
      </x:c>
      <x:c r="I52" s="27" t="str">
        <x:v>JPY</x:v>
      </x:c>
      <x:c r="J52" s="27" t="str">
        <x:v>USD</x:v>
      </x:c>
      <x:c r="K52" s="27"/>
      <x:c r="L52" s="27"/>
      <x:c r="M52" s="27" t="str">
        <x:v>USD/JPY</x:v>
      </x:c>
      <x:c r="N52" s="27"/>
      <x:c r="O52" s="27"/>
      <x:c r="P52" s="27" t="n">
        <x:v>47329</x:v>
      </x:c>
      <x:c r="Q52" s="27" t="n">
        <x:v>44822</x:v>
      </x:c>
      <x:c r="R52" s="27" t="n">
        <x:v>47329</x:v>
      </x:c>
      <x:c r="S52" s="27" t="n">
        <x:v>113000000</x:v>
      </x:c>
      <x:c r="T52" s="27" t="n">
        <x:v>16865671641.79</x:v>
      </x:c>
      <x:c r="U52" s="27" t="n">
        <x:v>113000000</x:v>
      </x:c>
      <x:c r="V52" s="27" t="str">
        <x:v>M</x:v>
      </x:c>
      <x:c r="W52" s="27" t="str">
        <x:v>N</x:v>
      </x:c>
      <x:c r="X52" s="27" t="n">
        <x:v>10</x:v>
      </x:c>
      <x:c r="Y52" s="27" t="str">
        <x:v>S</x:v>
      </x:c>
      <x:c r="Z52" s="27"/>
      <x:c r="AA52" s="27"/>
      <x:c r="AB52" s="27" t="n">
        <x:v>0</x:v>
      </x:c>
      <x:c r="AC52" s="27" t="n">
        <x:v>0</x:v>
      </x:c>
      <x:c r="AD52" s="27" t="n">
        <x:v>-924340</x:v>
      </x:c>
      <x:c r="AE52" s="27" t="str">
        <x:v>Public-safe anonymized industry-style SA-CCR sample</x:v>
      </x:c>
      <x:c r="AF52" s="27" t="str">
        <x:v>ANON-000049</x:v>
      </x:c>
      <x:c r="AG52" s="27" t="str">
        <x:v>FX Swap</x:v>
      </x:c>
      <x:c r="AH52" s="27"/>
      <x:c r="AI52" s="27" t="str">
        <x:v>USD/JPY</x:v>
      </x:c>
    </x:row>
    <x:row r="53">
      <x:c r="A53" s="27" t="n">
        <x:v>45702</x:v>
      </x:c>
      <x:c r="B53" s="27" t="str">
        <x:v>IND_PENSION_001</x:v>
      </x:c>
      <x:c r="C53" s="27" t="n">
        <x:v>3294</x:v>
      </x:c>
      <x:c r="D53" s="27" t="str">
        <x:v>IND-000050</x:v>
      </x:c>
      <x:c r="E53" s="27" t="str">
        <x:v>FX Swap</x:v>
      </x:c>
      <x:c r="F53" s="27" t="str">
        <x:v>FX</x:v>
      </x:c>
      <x:c r="G53" s="27"/>
      <x:c r="H53" s="27" t="str">
        <x:v>EUR</x:v>
      </x:c>
      <x:c r="I53" s="27" t="str">
        <x:v>USD</x:v>
      </x:c>
      <x:c r="J53" s="27" t="str">
        <x:v>USD</x:v>
      </x:c>
      <x:c r="K53" s="27"/>
      <x:c r="L53" s="27"/>
      <x:c r="M53" s="27" t="str">
        <x:v>EUR/USD</x:v>
      </x:c>
      <x:c r="N53" s="27"/>
      <x:c r="O53" s="27"/>
      <x:c r="P53" s="27" t="n">
        <x:v>47476</x:v>
      </x:c>
      <x:c r="Q53" s="27" t="n">
        <x:v>45286</x:v>
      </x:c>
      <x:c r="R53" s="27" t="n">
        <x:v>47476</x:v>
      </x:c>
      <x:c r="S53" s="27" t="n">
        <x:v>4380952.38</x:v>
      </x:c>
      <x:c r="T53" s="27" t="n">
        <x:v>4600000</x:v>
      </x:c>
      <x:c r="U53" s="27" t="n">
        <x:v>4600000</x:v>
      </x:c>
      <x:c r="V53" s="27" t="str">
        <x:v>M</x:v>
      </x:c>
      <x:c r="W53" s="27" t="str">
        <x:v>N</x:v>
      </x:c>
      <x:c r="X53" s="27" t="n">
        <x:v>10</x:v>
      </x:c>
      <x:c r="Y53" s="27" t="str">
        <x:v>B</x:v>
      </x:c>
      <x:c r="Z53" s="27"/>
      <x:c r="AA53" s="27"/>
      <x:c r="AB53" s="27" t="n">
        <x:v>0</x:v>
      </x:c>
      <x:c r="AC53" s="27" t="n">
        <x:v>0</x:v>
      </x:c>
      <x:c r="AD53" s="27" t="n">
        <x:v>8924</x:v>
      </x:c>
      <x:c r="AE53" s="27" t="str">
        <x:v>Public-safe anonymized industry-style SA-CCR sample</x:v>
      </x:c>
      <x:c r="AF53" s="27" t="str">
        <x:v>ANON-000050</x:v>
      </x:c>
      <x:c r="AG53" s="27" t="str">
        <x:v>FX Swap</x:v>
      </x:c>
      <x:c r="AH53" s="27"/>
      <x:c r="AI53" s="27" t="str">
        <x:v>EUR/USD</x:v>
      </x:c>
    </x:row>
    <x:row r="54">
      <x:c r="A54" s="27" t="n">
        <x:v>45702</x:v>
      </x:c>
      <x:c r="B54" s="27" t="str">
        <x:v>IND_CORPORATE_001</x:v>
      </x:c>
      <x:c r="C54" s="27" t="n">
        <x:v>3040</x:v>
      </x:c>
      <x:c r="D54" s="27" t="str">
        <x:v>IND-000051</x:v>
      </x:c>
      <x:c r="E54" s="27" t="str">
        <x:v>FX Swap</x:v>
      </x:c>
      <x:c r="F54" s="27" t="str">
        <x:v>FX</x:v>
      </x:c>
      <x:c r="G54" s="27"/>
      <x:c r="H54" s="27" t="str">
        <x:v>EUR</x:v>
      </x:c>
      <x:c r="I54" s="27" t="str">
        <x:v>USD</x:v>
      </x:c>
      <x:c r="J54" s="27" t="str">
        <x:v>USD</x:v>
      </x:c>
      <x:c r="K54" s="27"/>
      <x:c r="L54" s="27"/>
      <x:c r="M54" s="27" t="str">
        <x:v>EUR/USD</x:v>
      </x:c>
      <x:c r="N54" s="27"/>
      <x:c r="O54" s="27"/>
      <x:c r="P54" s="27" t="n">
        <x:v>47382</x:v>
      </x:c>
      <x:c r="Q54" s="27" t="n">
        <x:v>45222</x:v>
      </x:c>
      <x:c r="R54" s="27" t="n">
        <x:v>47382</x:v>
      </x:c>
      <x:c r="S54" s="27" t="n">
        <x:v>73142857.14</x:v>
      </x:c>
      <x:c r="T54" s="27" t="n">
        <x:v>76800000</x:v>
      </x:c>
      <x:c r="U54" s="27" t="n">
        <x:v>76800000</x:v>
      </x:c>
      <x:c r="V54" s="27" t="str">
        <x:v>M</x:v>
      </x:c>
      <x:c r="W54" s="27" t="str">
        <x:v>N</x:v>
      </x:c>
      <x:c r="X54" s="27" t="n">
        <x:v>10</x:v>
      </x:c>
      <x:c r="Y54" s="27" t="str">
        <x:v>S</x:v>
      </x:c>
      <x:c r="Z54" s="27"/>
      <x:c r="AA54" s="27"/>
      <x:c r="AB54" s="27" t="n">
        <x:v>0</x:v>
      </x:c>
      <x:c r="AC54" s="27" t="n">
        <x:v>0</x:v>
      </x:c>
      <x:c r="AD54" s="27" t="n">
        <x:v>-763392</x:v>
      </x:c>
      <x:c r="AE54" s="27" t="str">
        <x:v>Public-safe anonymized industry-style SA-CCR sample</x:v>
      </x:c>
      <x:c r="AF54" s="27" t="str">
        <x:v>ANON-000051</x:v>
      </x:c>
      <x:c r="AG54" s="27" t="str">
        <x:v>FX Swap</x:v>
      </x:c>
      <x:c r="AH54" s="27"/>
      <x:c r="AI54" s="27" t="str">
        <x:v>EUR/USD</x:v>
      </x:c>
    </x:row>
    <x:row r="55">
      <x:c r="A55" s="27" t="n">
        <x:v>45702</x:v>
      </x:c>
      <x:c r="B55" s="27" t="str">
        <x:v>IND_PENSION_001</x:v>
      </x:c>
      <x:c r="C55" s="27" t="n">
        <x:v>3254</x:v>
      </x:c>
      <x:c r="D55" s="27" t="str">
        <x:v>IND-000052</x:v>
      </x:c>
      <x:c r="E55" s="27" t="str">
        <x:v>FX Swap</x:v>
      </x:c>
      <x:c r="F55" s="27" t="str">
        <x:v>FX</x:v>
      </x:c>
      <x:c r="G55" s="27"/>
      <x:c r="H55" s="27" t="str">
        <x:v>EUR</x:v>
      </x:c>
      <x:c r="I55" s="27" t="str">
        <x:v>USD</x:v>
      </x:c>
      <x:c r="J55" s="27" t="str">
        <x:v>USD</x:v>
      </x:c>
      <x:c r="K55" s="27"/>
      <x:c r="L55" s="27"/>
      <x:c r="M55" s="27" t="str">
        <x:v>EUR/USD</x:v>
      </x:c>
      <x:c r="N55" s="27"/>
      <x:c r="O55" s="27"/>
      <x:c r="P55" s="27" t="n">
        <x:v>45997</x:v>
      </x:c>
      <x:c r="Q55" s="27" t="n">
        <x:v>44931</x:v>
      </x:c>
      <x:c r="R55" s="27" t="n">
        <x:v>45997</x:v>
      </x:c>
      <x:c r="S55" s="27" t="n">
        <x:v>62190476.19</x:v>
      </x:c>
      <x:c r="T55" s="27" t="n">
        <x:v>65300000</x:v>
      </x:c>
      <x:c r="U55" s="27" t="n">
        <x:v>65300000</x:v>
      </x:c>
      <x:c r="V55" s="27" t="str">
        <x:v>U</x:v>
      </x:c>
      <x:c r="W55" s="27" t="str">
        <x:v>N</x:v>
      </x:c>
      <x:c r="X55" s="27"/>
      <x:c r="Y55" s="27" t="str">
        <x:v>B</x:v>
      </x:c>
      <x:c r="Z55" s="27"/>
      <x:c r="AA55" s="27"/>
      <x:c r="AB55" s="27" t="n">
        <x:v>0</x:v>
      </x:c>
      <x:c r="AC55" s="27" t="n">
        <x:v>0</x:v>
      </x:c>
      <x:c r="AD55" s="27" t="n">
        <x:v>-651694</x:v>
      </x:c>
      <x:c r="AE55" s="27" t="str">
        <x:v>Public-safe anonymized industry-style SA-CCR sample</x:v>
      </x:c>
      <x:c r="AF55" s="27" t="str">
        <x:v>ANON-000052</x:v>
      </x:c>
      <x:c r="AG55" s="27" t="str">
        <x:v>FX Swap</x:v>
      </x:c>
      <x:c r="AH55" s="27"/>
      <x:c r="AI55" s="27" t="str">
        <x:v>EUR/USD</x:v>
      </x:c>
    </x:row>
    <x:row r="56">
      <x:c r="A56" s="27" t="n">
        <x:v>45702</x:v>
      </x:c>
      <x:c r="B56" s="27" t="str">
        <x:v>IND_CLEARING_MEMBER_001</x:v>
      </x:c>
      <x:c r="C56" s="27" t="n">
        <x:v>3206</x:v>
      </x:c>
      <x:c r="D56" s="27" t="str">
        <x:v>IND-000053</x:v>
      </x:c>
      <x:c r="E56" s="27" t="str">
        <x:v>FX Swap</x:v>
      </x:c>
      <x:c r="F56" s="27" t="str">
        <x:v>FX</x:v>
      </x:c>
      <x:c r="G56" s="27"/>
      <x:c r="H56" s="27" t="str">
        <x:v>USD</x:v>
      </x:c>
      <x:c r="I56" s="27" t="str">
        <x:v>JPY</x:v>
      </x:c>
      <x:c r="J56" s="27" t="str">
        <x:v>USD</x:v>
      </x:c>
      <x:c r="K56" s="27"/>
      <x:c r="L56" s="27"/>
      <x:c r="M56" s="27" t="str">
        <x:v>USD/JPY</x:v>
      </x:c>
      <x:c r="N56" s="27"/>
      <x:c r="O56" s="27"/>
      <x:c r="P56" s="27" t="n">
        <x:v>47679</x:v>
      </x:c>
      <x:c r="Q56" s="27" t="n">
        <x:v>45054</x:v>
      </x:c>
      <x:c r="R56" s="27" t="n">
        <x:v>47679</x:v>
      </x:c>
      <x:c r="S56" s="27" t="n">
        <x:v>39300000</x:v>
      </x:c>
      <x:c r="T56" s="27" t="n">
        <x:v>5865671641.79</x:v>
      </x:c>
      <x:c r="U56" s="27" t="n">
        <x:v>39300000</x:v>
      </x:c>
      <x:c r="V56" s="27" t="str">
        <x:v>M</x:v>
      </x:c>
      <x:c r="W56" s="27" t="str">
        <x:v>N</x:v>
      </x:c>
      <x:c r="X56" s="27" t="n">
        <x:v>10</x:v>
      </x:c>
      <x:c r="Y56" s="27" t="str">
        <x:v>B</x:v>
      </x:c>
      <x:c r="Z56" s="27"/>
      <x:c r="AA56" s="27"/>
      <x:c r="AB56" s="27" t="n">
        <x:v>0</x:v>
      </x:c>
      <x:c r="AC56" s="27" t="n">
        <x:v>0</x:v>
      </x:c>
      <x:c r="AD56" s="27" t="n">
        <x:v>331692</x:v>
      </x:c>
      <x:c r="AE56" s="27" t="str">
        <x:v>Public-safe anonymized industry-style SA-CCR sample</x:v>
      </x:c>
      <x:c r="AF56" s="27" t="str">
        <x:v>ANON-000053</x:v>
      </x:c>
      <x:c r="AG56" s="27" t="str">
        <x:v>FX Swap</x:v>
      </x:c>
      <x:c r="AH56" s="27"/>
      <x:c r="AI56" s="27" t="str">
        <x:v>USD/JPY</x:v>
      </x:c>
    </x:row>
    <x:row r="57">
      <x:c r="A57" s="27" t="n">
        <x:v>45702</x:v>
      </x:c>
      <x:c r="B57" s="27" t="str">
        <x:v>IND_REGIONAL_BANK_001</x:v>
      </x:c>
      <x:c r="C57" s="27" t="n">
        <x:v>3210</x:v>
      </x:c>
      <x:c r="D57" s="27" t="str">
        <x:v>IND-000054</x:v>
      </x:c>
      <x:c r="E57" s="27" t="str">
        <x:v>FX Swap</x:v>
      </x:c>
      <x:c r="F57" s="27" t="str">
        <x:v>FX</x:v>
      </x:c>
      <x:c r="G57" s="27"/>
      <x:c r="H57" s="27" t="str">
        <x:v>USD</x:v>
      </x:c>
      <x:c r="I57" s="27" t="str">
        <x:v>CNH</x:v>
      </x:c>
      <x:c r="J57" s="27" t="str">
        <x:v>USD</x:v>
      </x:c>
      <x:c r="K57" s="27"/>
      <x:c r="L57" s="27"/>
      <x:c r="M57" s="27" t="str">
        <x:v>USD/CNH</x:v>
      </x:c>
      <x:c r="N57" s="27"/>
      <x:c r="O57" s="27"/>
      <x:c r="P57" s="27" t="n">
        <x:v>47096</x:v>
      </x:c>
      <x:c r="Q57" s="27" t="n">
        <x:v>44841</x:v>
      </x:c>
      <x:c r="R57" s="27" t="n">
        <x:v>47096</x:v>
      </x:c>
      <x:c r="S57" s="27" t="n">
        <x:v>142000000</x:v>
      </x:c>
      <x:c r="T57" s="27" t="n">
        <x:v>1014285714.29</x:v>
      </x:c>
      <x:c r="U57" s="27" t="n">
        <x:v>142000000</x:v>
      </x:c>
      <x:c r="V57" s="27" t="str">
        <x:v>M</x:v>
      </x:c>
      <x:c r="W57" s="27" t="str">
        <x:v>N</x:v>
      </x:c>
      <x:c r="X57" s="27" t="n">
        <x:v>10</x:v>
      </x:c>
      <x:c r="Y57" s="27" t="str">
        <x:v>B</x:v>
      </x:c>
      <x:c r="Z57" s="27"/>
      <x:c r="AA57" s="27"/>
      <x:c r="AB57" s="27" t="n">
        <x:v>0</x:v>
      </x:c>
      <x:c r="AC57" s="27" t="n">
        <x:v>0</x:v>
      </x:c>
      <x:c r="AD57" s="27" t="n">
        <x:v>-630480</x:v>
      </x:c>
      <x:c r="AE57" s="27" t="str">
        <x:v>Public-safe anonymized industry-style SA-CCR sample</x:v>
      </x:c>
      <x:c r="AF57" s="27" t="str">
        <x:v>ANON-000054</x:v>
      </x:c>
      <x:c r="AG57" s="27" t="str">
        <x:v>FX Swap</x:v>
      </x:c>
      <x:c r="AH57" s="27"/>
      <x:c r="AI57" s="27" t="str">
        <x:v>USD/CNH</x:v>
      </x:c>
    </x:row>
    <x:row r="58">
      <x:c r="A58" s="27" t="n">
        <x:v>45702</x:v>
      </x:c>
      <x:c r="B58" s="27" t="str">
        <x:v>IND_BANK_001</x:v>
      </x:c>
      <x:c r="C58" s="27" t="n">
        <x:v>3214</x:v>
      </x:c>
      <x:c r="D58" s="27" t="str">
        <x:v>IND-000055</x:v>
      </x:c>
      <x:c r="E58" s="27" t="str">
        <x:v>FX Swap</x:v>
      </x:c>
      <x:c r="F58" s="27" t="str">
        <x:v>FX</x:v>
      </x:c>
      <x:c r="G58" s="27"/>
      <x:c r="H58" s="27" t="str">
        <x:v>USD</x:v>
      </x:c>
      <x:c r="I58" s="27" t="str">
        <x:v>CNY</x:v>
      </x:c>
      <x:c r="J58" s="27" t="str">
        <x:v>USD</x:v>
      </x:c>
      <x:c r="K58" s="27"/>
      <x:c r="L58" s="27"/>
      <x:c r="M58" s="27" t="str">
        <x:v>USD/CNY</x:v>
      </x:c>
      <x:c r="N58" s="27"/>
      <x:c r="O58" s="27"/>
      <x:c r="P58" s="27" t="n">
        <x:v>47698</x:v>
      </x:c>
      <x:c r="Q58" s="27" t="n">
        <x:v>45127</x:v>
      </x:c>
      <x:c r="R58" s="27" t="n">
        <x:v>47698</x:v>
      </x:c>
      <x:c r="S58" s="27" t="n">
        <x:v>89700000</x:v>
      </x:c>
      <x:c r="T58" s="27" t="n">
        <x:v>640714285.71</x:v>
      </x:c>
      <x:c r="U58" s="27" t="n">
        <x:v>89700000</x:v>
      </x:c>
      <x:c r="V58" s="27" t="str">
        <x:v>U</x:v>
      </x:c>
      <x:c r="W58" s="27" t="str">
        <x:v>N</x:v>
      </x:c>
      <x:c r="X58" s="27"/>
      <x:c r="Y58" s="27" t="str">
        <x:v>S</x:v>
      </x:c>
      <x:c r="Z58" s="27"/>
      <x:c r="AA58" s="27"/>
      <x:c r="AB58" s="27" t="n">
        <x:v>0</x:v>
      </x:c>
      <x:c r="AC58" s="27" t="n">
        <x:v>0</x:v>
      </x:c>
      <x:c r="AD58" s="27" t="n">
        <x:v>-66378</x:v>
      </x:c>
      <x:c r="AE58" s="27" t="str">
        <x:v>Public-safe anonymized industry-style SA-CCR sample</x:v>
      </x:c>
      <x:c r="AF58" s="27" t="str">
        <x:v>ANON-000055</x:v>
      </x:c>
      <x:c r="AG58" s="27" t="str">
        <x:v>FX Swap</x:v>
      </x:c>
      <x:c r="AH58" s="27"/>
      <x:c r="AI58" s="27" t="str">
        <x:v>USD/CNY</x:v>
      </x:c>
    </x:row>
    <x:row r="59">
      <x:c r="A59" s="27" t="n">
        <x:v>45702</x:v>
      </x:c>
      <x:c r="B59" s="27" t="str">
        <x:v>IND_CLEARING_MEMBER_001</x:v>
      </x:c>
      <x:c r="C59" s="27" t="n">
        <x:v>3206</x:v>
      </x:c>
      <x:c r="D59" s="27" t="str">
        <x:v>IND-000056</x:v>
      </x:c>
      <x:c r="E59" s="27" t="str">
        <x:v>FX Swap</x:v>
      </x:c>
      <x:c r="F59" s="27" t="str">
        <x:v>FX</x:v>
      </x:c>
      <x:c r="G59" s="27"/>
      <x:c r="H59" s="27" t="str">
        <x:v>USD</x:v>
      </x:c>
      <x:c r="I59" s="27" t="str">
        <x:v>JPY</x:v>
      </x:c>
      <x:c r="J59" s="27" t="str">
        <x:v>USD</x:v>
      </x:c>
      <x:c r="K59" s="27"/>
      <x:c r="L59" s="27"/>
      <x:c r="M59" s="27" t="str">
        <x:v>USD/JPY</x:v>
      </x:c>
      <x:c r="N59" s="27"/>
      <x:c r="O59" s="27"/>
      <x:c r="P59" s="27" t="n">
        <x:v>47047</x:v>
      </x:c>
      <x:c r="Q59" s="27" t="n">
        <x:v>45192</x:v>
      </x:c>
      <x:c r="R59" s="27" t="n">
        <x:v>47047</x:v>
      </x:c>
      <x:c r="S59" s="27" t="n">
        <x:v>2200000</x:v>
      </x:c>
      <x:c r="T59" s="27" t="n">
        <x:v>328358208.96</x:v>
      </x:c>
      <x:c r="U59" s="27" t="n">
        <x:v>2200000</x:v>
      </x:c>
      <x:c r="V59" s="27" t="str">
        <x:v>M</x:v>
      </x:c>
      <x:c r="W59" s="27" t="str">
        <x:v>N</x:v>
      </x:c>
      <x:c r="X59" s="27" t="n">
        <x:v>10</x:v>
      </x:c>
      <x:c r="Y59" s="27" t="str">
        <x:v>B</x:v>
      </x:c>
      <x:c r="Z59" s="27"/>
      <x:c r="AA59" s="27"/>
      <x:c r="AB59" s="27" t="n">
        <x:v>0</x:v>
      </x:c>
      <x:c r="AC59" s="27" t="n">
        <x:v>0</x:v>
      </x:c>
      <x:c r="AD59" s="27" t="n">
        <x:v>-18084</x:v>
      </x:c>
      <x:c r="AE59" s="27" t="str">
        <x:v>Public-safe anonymized industry-style SA-CCR sample</x:v>
      </x:c>
      <x:c r="AF59" s="27" t="str">
        <x:v>ANON-000056</x:v>
      </x:c>
      <x:c r="AG59" s="27" t="str">
        <x:v>FX Swap</x:v>
      </x:c>
      <x:c r="AH59" s="27"/>
      <x:c r="AI59" s="27" t="str">
        <x:v>USD/JPY</x:v>
      </x:c>
    </x:row>
    <x:row r="60">
      <x:c r="A60" s="27" t="n">
        <x:v>45702</x:v>
      </x:c>
      <x:c r="B60" s="27" t="str">
        <x:v>IND_CORPORATE_002</x:v>
      </x:c>
      <x:c r="C60" s="27" t="n">
        <x:v>3346</x:v>
      </x:c>
      <x:c r="D60" s="27" t="str">
        <x:v>IND-000057</x:v>
      </x:c>
      <x:c r="E60" s="27" t="str">
        <x:v>FX Option</x:v>
      </x:c>
      <x:c r="F60" s="27" t="str">
        <x:v>FX</x:v>
      </x:c>
      <x:c r="G60" s="27"/>
      <x:c r="H60" s="27" t="str">
        <x:v>GBP</x:v>
      </x:c>
      <x:c r="I60" s="27" t="str">
        <x:v>USD</x:v>
      </x:c>
      <x:c r="J60" s="27" t="str">
        <x:v>USD</x:v>
      </x:c>
      <x:c r="K60" s="27"/>
      <x:c r="L60" s="27"/>
      <x:c r="M60" s="27" t="str">
        <x:v>GBP/USD</x:v>
      </x:c>
      <x:c r="N60" s="27"/>
      <x:c r="O60" s="27"/>
      <x:c r="P60" s="27" t="n">
        <x:v>47100</x:v>
      </x:c>
      <x:c r="Q60" s="27" t="n">
        <x:v>45163</x:v>
      </x:c>
      <x:c r="R60" s="27" t="n">
        <x:v>47100</x:v>
      </x:c>
      <x:c r="S60" s="27" t="n">
        <x:v>112000000</x:v>
      </x:c>
      <x:c r="T60" s="27" t="n">
        <x:v>140000000</x:v>
      </x:c>
      <x:c r="U60" s="27" t="n">
        <x:v>140000000</x:v>
      </x:c>
      <x:c r="V60" s="27" t="str">
        <x:v>M</x:v>
      </x:c>
      <x:c r="W60" s="27" t="str">
        <x:v>N</x:v>
      </x:c>
      <x:c r="X60" s="27" t="n">
        <x:v>10</x:v>
      </x:c>
      <x:c r="Y60" s="27" t="str">
        <x:v>S</x:v>
      </x:c>
      <x:c r="Z60" s="27" t="n">
        <x:v>46750</x:v>
      </x:c>
      <x:c r="AA60" s="27" t="str">
        <x:v>P</x:v>
      </x:c>
      <x:c r="AB60" s="27" t="n">
        <x:v>1.220541</x:v>
      </x:c>
      <x:c r="AC60" s="27" t="n">
        <x:v>1.127</x:v>
      </x:c>
      <x:c r="AD60" s="27" t="n">
        <x:v>697200</x:v>
      </x:c>
      <x:c r="AE60" s="27" t="str">
        <x:v>Public-safe anonymized industry-style SA-CCR sample</x:v>
      </x:c>
      <x:c r="AF60" s="27" t="str">
        <x:v>ANON-000057</x:v>
      </x:c>
      <x:c r="AG60" s="27" t="str">
        <x:v>FX Option</x:v>
      </x:c>
      <x:c r="AH60" s="27"/>
      <x:c r="AI60" s="27" t="str">
        <x:v>GBP/USD</x:v>
      </x:c>
    </x:row>
    <x:row r="61">
      <x:c r="A61" s="27" t="n">
        <x:v>45702</x:v>
      </x:c>
      <x:c r="B61" s="27" t="str">
        <x:v>IND_CORPORATE_001</x:v>
      </x:c>
      <x:c r="C61" s="27" t="n">
        <x:v>3092</x:v>
      </x:c>
      <x:c r="D61" s="27" t="str">
        <x:v>IND-000058</x:v>
      </x:c>
      <x:c r="E61" s="27" t="str">
        <x:v>FX Option</x:v>
      </x:c>
      <x:c r="F61" s="27" t="str">
        <x:v>FX</x:v>
      </x:c>
      <x:c r="G61" s="27"/>
      <x:c r="H61" s="27" t="str">
        <x:v>EUR</x:v>
      </x:c>
      <x:c r="I61" s="27" t="str">
        <x:v>USD</x:v>
      </x:c>
      <x:c r="J61" s="27" t="str">
        <x:v>USD</x:v>
      </x:c>
      <x:c r="K61" s="27"/>
      <x:c r="L61" s="27"/>
      <x:c r="M61" s="27" t="str">
        <x:v>EUR/USD</x:v>
      </x:c>
      <x:c r="N61" s="27"/>
      <x:c r="O61" s="27"/>
      <x:c r="P61" s="27" t="n">
        <x:v>47075</x:v>
      </x:c>
      <x:c r="Q61" s="27" t="n">
        <x:v>45025</x:v>
      </x:c>
      <x:c r="R61" s="27" t="n">
        <x:v>47075</x:v>
      </x:c>
      <x:c r="S61" s="27" t="n">
        <x:v>55809523.81</x:v>
      </x:c>
      <x:c r="T61" s="27" t="n">
        <x:v>58600000</x:v>
      </x:c>
      <x:c r="U61" s="27" t="n">
        <x:v>58600000</x:v>
      </x:c>
      <x:c r="V61" s="27" t="str">
        <x:v>U</x:v>
      </x:c>
      <x:c r="W61" s="27" t="str">
        <x:v>N</x:v>
      </x:c>
      <x:c r="X61" s="27"/>
      <x:c r="Y61" s="27" t="str">
        <x:v>B</x:v>
      </x:c>
      <x:c r="Z61" s="27" t="n">
        <x:v>46731</x:v>
      </x:c>
      <x:c r="AA61" s="27" t="str">
        <x:v>P</x:v>
      </x:c>
      <x:c r="AB61" s="27" t="n">
        <x:v>1.14862</x:v>
      </x:c>
      <x:c r="AC61" s="27" t="n">
        <x:v>1.265</x:v>
      </x:c>
      <x:c r="AD61" s="27" t="n">
        <x:v>271611</x:v>
      </x:c>
      <x:c r="AE61" s="27" t="str">
        <x:v>Public-safe anonymized industry-style SA-CCR sample</x:v>
      </x:c>
      <x:c r="AF61" s="27" t="str">
        <x:v>ANON-000058</x:v>
      </x:c>
      <x:c r="AG61" s="27" t="str">
        <x:v>FX Option</x:v>
      </x:c>
      <x:c r="AH61" s="27"/>
      <x:c r="AI61" s="27" t="str">
        <x:v>EUR/USD</x:v>
      </x:c>
    </x:row>
    <x:row r="62">
      <x:c r="A62" s="27" t="n">
        <x:v>45702</x:v>
      </x:c>
      <x:c r="B62" s="27" t="str">
        <x:v>IND_INSURER_001</x:v>
      </x:c>
      <x:c r="C62" s="27" t="n">
        <x:v>3094</x:v>
      </x:c>
      <x:c r="D62" s="27" t="str">
        <x:v>IND-000059</x:v>
      </x:c>
      <x:c r="E62" s="27" t="str">
        <x:v>FX Option</x:v>
      </x:c>
      <x:c r="F62" s="27" t="str">
        <x:v>FX</x:v>
      </x:c>
      <x:c r="G62" s="27"/>
      <x:c r="H62" s="27" t="str">
        <x:v>USD</x:v>
      </x:c>
      <x:c r="I62" s="27" t="str">
        <x:v>JPY</x:v>
      </x:c>
      <x:c r="J62" s="27" t="str">
        <x:v>USD</x:v>
      </x:c>
      <x:c r="K62" s="27"/>
      <x:c r="L62" s="27"/>
      <x:c r="M62" s="27" t="str">
        <x:v>USD/JPY</x:v>
      </x:c>
      <x:c r="N62" s="27"/>
      <x:c r="O62" s="27"/>
      <x:c r="P62" s="27" t="n">
        <x:v>46539</x:v>
      </x:c>
      <x:c r="Q62" s="27" t="n">
        <x:v>45611</x:v>
      </x:c>
      <x:c r="R62" s="27" t="n">
        <x:v>46539</x:v>
      </x:c>
      <x:c r="S62" s="27" t="n">
        <x:v>71500000</x:v>
      </x:c>
      <x:c r="T62" s="27" t="n">
        <x:v>10671641791.04</x:v>
      </x:c>
      <x:c r="U62" s="27" t="n">
        <x:v>71500000</x:v>
      </x:c>
      <x:c r="V62" s="27" t="str">
        <x:v>U</x:v>
      </x:c>
      <x:c r="W62" s="27" t="str">
        <x:v>N</x:v>
      </x:c>
      <x:c r="X62" s="27"/>
      <x:c r="Y62" s="27" t="str">
        <x:v>B</x:v>
      </x:c>
      <x:c r="Z62" s="27" t="n">
        <x:v>46329</x:v>
      </x:c>
      <x:c r="AA62" s="27" t="str">
        <x:v>C</x:v>
      </x:c>
      <x:c r="AB62" s="27" t="n">
        <x:v>1.23435</x:v>
      </x:c>
      <x:c r="AC62" s="27" t="n">
        <x:v>1.266</x:v>
      </x:c>
      <x:c r="AD62" s="27" t="n">
        <x:v>-2145</x:v>
      </x:c>
      <x:c r="AE62" s="27" t="str">
        <x:v>Public-safe anonymized industry-style SA-CCR sample</x:v>
      </x:c>
      <x:c r="AF62" s="27" t="str">
        <x:v>ANON-000059</x:v>
      </x:c>
      <x:c r="AG62" s="27" t="str">
        <x:v>FX Option</x:v>
      </x:c>
      <x:c r="AH62" s="27"/>
      <x:c r="AI62" s="27" t="str">
        <x:v>USD/JPY</x:v>
      </x:c>
    </x:row>
    <x:row r="63">
      <x:c r="A63" s="27" t="n">
        <x:v>45702</x:v>
      </x:c>
      <x:c r="B63" s="27" t="str">
        <x:v>IND_SOVEREIGN_001</x:v>
      </x:c>
      <x:c r="C63" s="27" t="n">
        <x:v>3084</x:v>
      </x:c>
      <x:c r="D63" s="27" t="str">
        <x:v>IND-000060</x:v>
      </x:c>
      <x:c r="E63" s="27" t="str">
        <x:v>FX Option</x:v>
      </x:c>
      <x:c r="F63" s="27" t="str">
        <x:v>FX</x:v>
      </x:c>
      <x:c r="G63" s="27"/>
      <x:c r="H63" s="27" t="str">
        <x:v>USD</x:v>
      </x:c>
      <x:c r="I63" s="27" t="str">
        <x:v>CNY</x:v>
      </x:c>
      <x:c r="J63" s="27" t="str">
        <x:v>USD</x:v>
      </x:c>
      <x:c r="K63" s="27"/>
      <x:c r="L63" s="27"/>
      <x:c r="M63" s="27" t="str">
        <x:v>USD/CNY</x:v>
      </x:c>
      <x:c r="N63" s="27"/>
      <x:c r="O63" s="27"/>
      <x:c r="P63" s="27" t="n">
        <x:v>46541</x:v>
      </x:c>
      <x:c r="Q63" s="27" t="n">
        <x:v>45205</x:v>
      </x:c>
      <x:c r="R63" s="27" t="n">
        <x:v>46541</x:v>
      </x:c>
      <x:c r="S63" s="27" t="n">
        <x:v>6000000</x:v>
      </x:c>
      <x:c r="T63" s="27" t="n">
        <x:v>42857142.86</x:v>
      </x:c>
      <x:c r="U63" s="27" t="n">
        <x:v>6000000</x:v>
      </x:c>
      <x:c r="V63" s="27" t="str">
        <x:v>U</x:v>
      </x:c>
      <x:c r="W63" s="27" t="str">
        <x:v>N</x:v>
      </x:c>
      <x:c r="X63" s="27"/>
      <x:c r="Y63" s="27" t="str">
        <x:v>B</x:v>
      </x:c>
      <x:c r="Z63" s="27" t="n">
        <x:v>46331</x:v>
      </x:c>
      <x:c r="AA63" s="27" t="str">
        <x:v>C</x:v>
      </x:c>
      <x:c r="AB63" s="27" t="n">
        <x:v>7.2562</x:v>
      </x:c>
      <x:c r="AC63" s="27" t="n">
        <x:v>7.1</x:v>
      </x:c>
      <x:c r="AD63" s="27" t="n">
        <x:v>67050</x:v>
      </x:c>
      <x:c r="AE63" s="27" t="str">
        <x:v>Public-safe anonymized industry-style SA-CCR sample</x:v>
      </x:c>
      <x:c r="AF63" s="27" t="str">
        <x:v>ANON-000060</x:v>
      </x:c>
      <x:c r="AG63" s="27" t="str">
        <x:v>FX Option</x:v>
      </x:c>
      <x:c r="AH63" s="27"/>
      <x:c r="AI63" s="27" t="str">
        <x:v>USD/CNY</x:v>
      </x:c>
    </x:row>
    <x:row r="64">
      <x:c r="A64" s="27" t="n">
        <x:v>45702</x:v>
      </x:c>
      <x:c r="B64" s="27" t="str">
        <x:v>IND_CORPORATE_002</x:v>
      </x:c>
      <x:c r="C64" s="27" t="n">
        <x:v>3187</x:v>
      </x:c>
      <x:c r="D64" s="27" t="str">
        <x:v>IND-000061</x:v>
      </x:c>
      <x:c r="E64" s="27" t="str">
        <x:v>FX Option</x:v>
      </x:c>
      <x:c r="F64" s="27" t="str">
        <x:v>FX</x:v>
      </x:c>
      <x:c r="G64" s="27"/>
      <x:c r="H64" s="27" t="str">
        <x:v>GBP</x:v>
      </x:c>
      <x:c r="I64" s="27" t="str">
        <x:v>USD</x:v>
      </x:c>
      <x:c r="J64" s="27" t="str">
        <x:v>USD</x:v>
      </x:c>
      <x:c r="K64" s="27"/>
      <x:c r="L64" s="27"/>
      <x:c r="M64" s="27" t="str">
        <x:v>GBP/USD</x:v>
      </x:c>
      <x:c r="N64" s="27"/>
      <x:c r="O64" s="27"/>
      <x:c r="P64" s="27" t="n">
        <x:v>46629</x:v>
      </x:c>
      <x:c r="Q64" s="27" t="n">
        <x:v>45065</x:v>
      </x:c>
      <x:c r="R64" s="27" t="n">
        <x:v>46629</x:v>
      </x:c>
      <x:c r="S64" s="27" t="n">
        <x:v>59600000</x:v>
      </x:c>
      <x:c r="T64" s="27" t="n">
        <x:v>74500000</x:v>
      </x:c>
      <x:c r="U64" s="27" t="n">
        <x:v>74500000</x:v>
      </x:c>
      <x:c r="V64" s="27" t="str">
        <x:v>U</x:v>
      </x:c>
      <x:c r="W64" s="27" t="str">
        <x:v>N</x:v>
      </x:c>
      <x:c r="X64" s="27"/>
      <x:c r="Y64" s="27" t="str">
        <x:v>B</x:v>
      </x:c>
      <x:c r="Z64" s="27" t="n">
        <x:v>46397</x:v>
      </x:c>
      <x:c r="AA64" s="27" t="str">
        <x:v>P</x:v>
      </x:c>
      <x:c r="AB64" s="27" t="n">
        <x:v>1.23392</x:v>
      </x:c>
      <x:c r="AC64" s="27" t="n">
        <x:v>1.205</x:v>
      </x:c>
      <x:c r="AD64" s="27" t="n">
        <x:v>-420180</x:v>
      </x:c>
      <x:c r="AE64" s="27" t="str">
        <x:v>Public-safe anonymized industry-style SA-CCR sample</x:v>
      </x:c>
      <x:c r="AF64" s="27" t="str">
        <x:v>ANON-000061</x:v>
      </x:c>
      <x:c r="AG64" s="27" t="str">
        <x:v>FX Option</x:v>
      </x:c>
      <x:c r="AH64" s="27"/>
      <x:c r="AI64" s="27" t="str">
        <x:v>GBP/USD</x:v>
      </x:c>
    </x:row>
    <x:row r="65">
      <x:c r="A65" s="27" t="n">
        <x:v>45702</x:v>
      </x:c>
      <x:c r="B65" s="27" t="str">
        <x:v>IND_SOVEREIGN_001</x:v>
      </x:c>
      <x:c r="C65" s="27" t="n">
        <x:v>3390</x:v>
      </x:c>
      <x:c r="D65" s="27" t="str">
        <x:v>IND-000062</x:v>
      </x:c>
      <x:c r="E65" s="27" t="str">
        <x:v>FX Option</x:v>
      </x:c>
      <x:c r="F65" s="27" t="str">
        <x:v>FX</x:v>
      </x:c>
      <x:c r="G65" s="27"/>
      <x:c r="H65" s="27" t="str">
        <x:v>USD</x:v>
      </x:c>
      <x:c r="I65" s="27" t="str">
        <x:v>CNY</x:v>
      </x:c>
      <x:c r="J65" s="27" t="str">
        <x:v>USD</x:v>
      </x:c>
      <x:c r="K65" s="27"/>
      <x:c r="L65" s="27"/>
      <x:c r="M65" s="27" t="str">
        <x:v>USD/CNY</x:v>
      </x:c>
      <x:c r="N65" s="27"/>
      <x:c r="O65" s="27"/>
      <x:c r="P65" s="27" t="n">
        <x:v>46664</x:v>
      </x:c>
      <x:c r="Q65" s="27" t="n">
        <x:v>45634</x:v>
      </x:c>
      <x:c r="R65" s="27" t="n">
        <x:v>46664</x:v>
      </x:c>
      <x:c r="S65" s="27" t="n">
        <x:v>41900000</x:v>
      </x:c>
      <x:c r="T65" s="27" t="n">
        <x:v>299285714.29</x:v>
      </x:c>
      <x:c r="U65" s="27" t="n">
        <x:v>41900000</x:v>
      </x:c>
      <x:c r="V65" s="27" t="str">
        <x:v>M</x:v>
      </x:c>
      <x:c r="W65" s="27" t="str">
        <x:v>N</x:v>
      </x:c>
      <x:c r="X65" s="27" t="n">
        <x:v>10</x:v>
      </x:c>
      <x:c r="Y65" s="27" t="str">
        <x:v>B</x:v>
      </x:c>
      <x:c r="Z65" s="27" t="n">
        <x:v>46423</x:v>
      </x:c>
      <x:c r="AA65" s="27" t="str">
        <x:v>P</x:v>
      </x:c>
      <x:c r="AB65" s="27" t="n">
        <x:v>7.3698</x:v>
      </x:c>
      <x:c r="AC65" s="27" t="n">
        <x:v>7.1</x:v>
      </x:c>
      <x:c r="AD65" s="27" t="n">
        <x:v>-549309</x:v>
      </x:c>
      <x:c r="AE65" s="27" t="str">
        <x:v>Public-safe anonymized industry-style SA-CCR sample</x:v>
      </x:c>
      <x:c r="AF65" s="27" t="str">
        <x:v>ANON-000062</x:v>
      </x:c>
      <x:c r="AG65" s="27" t="str">
        <x:v>FX Option</x:v>
      </x:c>
      <x:c r="AH65" s="27"/>
      <x:c r="AI65" s="27" t="str">
        <x:v>USD/CNY</x:v>
      </x:c>
    </x:row>
    <x:row r="66">
      <x:c r="A66" s="27" t="n">
        <x:v>45702</x:v>
      </x:c>
      <x:c r="B66" s="27" t="str">
        <x:v>IND_CORPORATE_002</x:v>
      </x:c>
      <x:c r="C66" s="27" t="n">
        <x:v>3346</x:v>
      </x:c>
      <x:c r="D66" s="27" t="str">
        <x:v>IND-000063</x:v>
      </x:c>
      <x:c r="E66" s="27" t="str">
        <x:v>FX Option</x:v>
      </x:c>
      <x:c r="F66" s="27" t="str">
        <x:v>FX</x:v>
      </x:c>
      <x:c r="G66" s="27"/>
      <x:c r="H66" s="27" t="str">
        <x:v>GBP</x:v>
      </x:c>
      <x:c r="I66" s="27" t="str">
        <x:v>USD</x:v>
      </x:c>
      <x:c r="J66" s="27" t="str">
        <x:v>USD</x:v>
      </x:c>
      <x:c r="K66" s="27"/>
      <x:c r="L66" s="27"/>
      <x:c r="M66" s="27" t="str">
        <x:v>GBP/USD</x:v>
      </x:c>
      <x:c r="N66" s="27"/>
      <x:c r="O66" s="27"/>
      <x:c r="P66" s="27" t="n">
        <x:v>47639</x:v>
      </x:c>
      <x:c r="Q66" s="27" t="n">
        <x:v>45012</x:v>
      </x:c>
      <x:c r="R66" s="27" t="n">
        <x:v>47639</x:v>
      </x:c>
      <x:c r="S66" s="27" t="n">
        <x:v>27200000</x:v>
      </x:c>
      <x:c r="T66" s="27" t="n">
        <x:v>34000000</x:v>
      </x:c>
      <x:c r="U66" s="27" t="n">
        <x:v>34000000</x:v>
      </x:c>
      <x:c r="V66" s="27" t="str">
        <x:v>M</x:v>
      </x:c>
      <x:c r="W66" s="27" t="str">
        <x:v>N</x:v>
      </x:c>
      <x:c r="X66" s="27" t="n">
        <x:v>10</x:v>
      </x:c>
      <x:c r="Y66" s="27" t="str">
        <x:v>S</x:v>
      </x:c>
      <x:c r="Z66" s="27" t="n">
        <x:v>47154</x:v>
      </x:c>
      <x:c r="AA66" s="27" t="str">
        <x:v>C</x:v>
      </x:c>
      <x:c r="AB66" s="27" t="n">
        <x:v>1.245624</x:v>
      </x:c>
      <x:c r="AC66" s="27" t="n">
        <x:v>1.207</x:v>
      </x:c>
      <x:c r="AD66" s="27" t="n">
        <x:v>327930</x:v>
      </x:c>
      <x:c r="AE66" s="27" t="str">
        <x:v>Public-safe anonymized industry-style SA-CCR sample</x:v>
      </x:c>
      <x:c r="AF66" s="27" t="str">
        <x:v>ANON-000063</x:v>
      </x:c>
      <x:c r="AG66" s="27" t="str">
        <x:v>FX Option</x:v>
      </x:c>
      <x:c r="AH66" s="27"/>
      <x:c r="AI66" s="27" t="str">
        <x:v>GBP/USD</x:v>
      </x:c>
    </x:row>
    <x:row r="67">
      <x:c r="A67" s="27" t="n">
        <x:v>45702</x:v>
      </x:c>
      <x:c r="B67" s="27" t="str">
        <x:v>IND_BROKER_001</x:v>
      </x:c>
      <x:c r="C67" s="27" t="n">
        <x:v>3384</x:v>
      </x:c>
      <x:c r="D67" s="27" t="str">
        <x:v>IND-000064</x:v>
      </x:c>
      <x:c r="E67" s="27" t="str">
        <x:v>FX Option</x:v>
      </x:c>
      <x:c r="F67" s="27" t="str">
        <x:v>FX</x:v>
      </x:c>
      <x:c r="G67" s="27"/>
      <x:c r="H67" s="27" t="str">
        <x:v>GBP</x:v>
      </x:c>
      <x:c r="I67" s="27" t="str">
        <x:v>USD</x:v>
      </x:c>
      <x:c r="J67" s="27" t="str">
        <x:v>USD</x:v>
      </x:c>
      <x:c r="K67" s="27"/>
      <x:c r="L67" s="27"/>
      <x:c r="M67" s="27" t="str">
        <x:v>GBP/USD</x:v>
      </x:c>
      <x:c r="N67" s="27"/>
      <x:c r="O67" s="27"/>
      <x:c r="P67" s="27" t="n">
        <x:v>46868</x:v>
      </x:c>
      <x:c r="Q67" s="27" t="n">
        <x:v>44931</x:v>
      </x:c>
      <x:c r="R67" s="27" t="n">
        <x:v>46868</x:v>
      </x:c>
      <x:c r="S67" s="27" t="n">
        <x:v>33680000</x:v>
      </x:c>
      <x:c r="T67" s="27" t="n">
        <x:v>42100000</x:v>
      </x:c>
      <x:c r="U67" s="27" t="n">
        <x:v>42100000</x:v>
      </x:c>
      <x:c r="V67" s="27" t="str">
        <x:v>U</x:v>
      </x:c>
      <x:c r="W67" s="27" t="str">
        <x:v>N</x:v>
      </x:c>
      <x:c r="X67" s="27"/>
      <x:c r="Y67" s="27" t="str">
        <x:v>B</x:v>
      </x:c>
      <x:c r="Z67" s="27" t="n">
        <x:v>46576</x:v>
      </x:c>
      <x:c r="AA67" s="27" t="str">
        <x:v>C</x:v>
      </x:c>
      <x:c r="AB67" s="27" t="n">
        <x:v>1.24362</x:v>
      </x:c>
      <x:c r="AC67" s="27" t="n">
        <x:v>1.316</x:v>
      </x:c>
      <x:c r="AD67" s="27" t="n">
        <x:v>-615712.5</x:v>
      </x:c>
      <x:c r="AE67" s="27" t="str">
        <x:v>Public-safe anonymized industry-style SA-CCR sample</x:v>
      </x:c>
      <x:c r="AF67" s="27" t="str">
        <x:v>ANON-000064</x:v>
      </x:c>
      <x:c r="AG67" s="27" t="str">
        <x:v>FX Option</x:v>
      </x:c>
      <x:c r="AH67" s="27"/>
      <x:c r="AI67" s="27" t="str">
        <x:v>GBP/USD</x:v>
      </x:c>
    </x:row>
    <x:row r="68">
      <x:c r="A68" s="27" t="n">
        <x:v>45702</x:v>
      </x:c>
      <x:c r="B68" s="27" t="str">
        <x:v>IND_BROKER_001</x:v>
      </x:c>
      <x:c r="C68" s="27" t="n">
        <x:v>3276</x:v>
      </x:c>
      <x:c r="D68" s="27" t="str">
        <x:v>IND-000065</x:v>
      </x:c>
      <x:c r="E68" s="27" t="str">
        <x:v>FX Option</x:v>
      </x:c>
      <x:c r="F68" s="27" t="str">
        <x:v>FX</x:v>
      </x:c>
      <x:c r="G68" s="27"/>
      <x:c r="H68" s="27" t="str">
        <x:v>GBP</x:v>
      </x:c>
      <x:c r="I68" s="27" t="str">
        <x:v>USD</x:v>
      </x:c>
      <x:c r="J68" s="27" t="str">
        <x:v>USD</x:v>
      </x:c>
      <x:c r="K68" s="27"/>
      <x:c r="L68" s="27"/>
      <x:c r="M68" s="27" t="str">
        <x:v>GBP/USD</x:v>
      </x:c>
      <x:c r="N68" s="27"/>
      <x:c r="O68" s="27"/>
      <x:c r="P68" s="27" t="n">
        <x:v>46453</x:v>
      </x:c>
      <x:c r="Q68" s="27" t="n">
        <x:v>45435</x:v>
      </x:c>
      <x:c r="R68" s="27" t="n">
        <x:v>46453</x:v>
      </x:c>
      <x:c r="S68" s="27" t="n">
        <x:v>2400000</x:v>
      </x:c>
      <x:c r="T68" s="27" t="n">
        <x:v>3000000</x:v>
      </x:c>
      <x:c r="U68" s="27" t="n">
        <x:v>3000000</x:v>
      </x:c>
      <x:c r="V68" s="27" t="str">
        <x:v>M</x:v>
      </x:c>
      <x:c r="W68" s="27" t="str">
        <x:v>N</x:v>
      </x:c>
      <x:c r="X68" s="27" t="n">
        <x:v>10</x:v>
      </x:c>
      <x:c r="Y68" s="27" t="str">
        <x:v>B</x:v>
      </x:c>
      <x:c r="Z68" s="27" t="n">
        <x:v>46265</x:v>
      </x:c>
      <x:c r="AA68" s="27" t="str">
        <x:v>P</x:v>
      </x:c>
      <x:c r="AB68" s="27" t="n">
        <x:v>1.124026</x:v>
      </x:c>
      <x:c r="AC68" s="27" t="n">
        <x:v>1.114</x:v>
      </x:c>
      <x:c r="AD68" s="27" t="n">
        <x:v>-12825</x:v>
      </x:c>
      <x:c r="AE68" s="27" t="str">
        <x:v>Public-safe anonymized industry-style SA-CCR sample</x:v>
      </x:c>
      <x:c r="AF68" s="27" t="str">
        <x:v>ANON-000065</x:v>
      </x:c>
      <x:c r="AG68" s="27" t="str">
        <x:v>FX Option</x:v>
      </x:c>
      <x:c r="AH68" s="27"/>
      <x:c r="AI68" s="27" t="str">
        <x:v>GBP/USD</x:v>
      </x:c>
    </x:row>
    <x:row r="69">
      <x:c r="A69" s="27" t="n">
        <x:v>45702</x:v>
      </x:c>
      <x:c r="B69" s="27" t="str">
        <x:v>IND_REGIONAL_BANK_001</x:v>
      </x:c>
      <x:c r="C69" s="27" t="n">
        <x:v>3210</x:v>
      </x:c>
      <x:c r="D69" s="27" t="str">
        <x:v>IND-000066</x:v>
      </x:c>
      <x:c r="E69" s="27" t="str">
        <x:v>FX Option</x:v>
      </x:c>
      <x:c r="F69" s="27" t="str">
        <x:v>FX</x:v>
      </x:c>
      <x:c r="G69" s="27"/>
      <x:c r="H69" s="27" t="str">
        <x:v>USD</x:v>
      </x:c>
      <x:c r="I69" s="27" t="str">
        <x:v>JPY</x:v>
      </x:c>
      <x:c r="J69" s="27" t="str">
        <x:v>USD</x:v>
      </x:c>
      <x:c r="K69" s="27"/>
      <x:c r="L69" s="27"/>
      <x:c r="M69" s="27" t="str">
        <x:v>USD/JPY</x:v>
      </x:c>
      <x:c r="N69" s="27"/>
      <x:c r="O69" s="27"/>
      <x:c r="P69" s="27" t="n">
        <x:v>46535</x:v>
      </x:c>
      <x:c r="Q69" s="27" t="n">
        <x:v>44857</x:v>
      </x:c>
      <x:c r="R69" s="27" t="n">
        <x:v>46535</x:v>
      </x:c>
      <x:c r="S69" s="27" t="n">
        <x:v>122000000</x:v>
      </x:c>
      <x:c r="T69" s="27" t="n">
        <x:v>18208955223.88</x:v>
      </x:c>
      <x:c r="U69" s="27" t="n">
        <x:v>122000000</x:v>
      </x:c>
      <x:c r="V69" s="27" t="str">
        <x:v>M</x:v>
      </x:c>
      <x:c r="W69" s="27" t="str">
        <x:v>N</x:v>
      </x:c>
      <x:c r="X69" s="27" t="n">
        <x:v>10</x:v>
      </x:c>
      <x:c r="Y69" s="27" t="str">
        <x:v>S</x:v>
      </x:c>
      <x:c r="Z69" s="27" t="n">
        <x:v>46326</x:v>
      </x:c>
      <x:c r="AA69" s="27" t="str">
        <x:v>P</x:v>
      </x:c>
      <x:c r="AB69" s="27" t="n">
        <x:v>1.206252</x:v>
      </x:c>
      <x:c r="AC69" s="27" t="n">
        <x:v>1.314</x:v>
      </x:c>
      <x:c r="AD69" s="27" t="n">
        <x:v>1560990</x:v>
      </x:c>
      <x:c r="AE69" s="27" t="str">
        <x:v>Public-safe anonymized industry-style SA-CCR sample</x:v>
      </x:c>
      <x:c r="AF69" s="27" t="str">
        <x:v>ANON-000066</x:v>
      </x:c>
      <x:c r="AG69" s="27" t="str">
        <x:v>FX Option</x:v>
      </x:c>
      <x:c r="AH69" s="27"/>
      <x:c r="AI69" s="27" t="str">
        <x:v>USD/JPY</x:v>
      </x:c>
    </x:row>
    <x:row r="70">
      <x:c r="A70" s="27" t="n">
        <x:v>45702</x:v>
      </x:c>
      <x:c r="B70" s="27" t="str">
        <x:v>IND_BANK_001</x:v>
      </x:c>
      <x:c r="C70" s="27" t="n">
        <x:v>3142</x:v>
      </x:c>
      <x:c r="D70" s="27" t="str">
        <x:v>IND-000067</x:v>
      </x:c>
      <x:c r="E70" s="27" t="str">
        <x:v>FX Option</x:v>
      </x:c>
      <x:c r="F70" s="27" t="str">
        <x:v>FX</x:v>
      </x:c>
      <x:c r="G70" s="27"/>
      <x:c r="H70" s="27" t="str">
        <x:v>USD</x:v>
      </x:c>
      <x:c r="I70" s="27" t="str">
        <x:v>CNY</x:v>
      </x:c>
      <x:c r="J70" s="27" t="str">
        <x:v>USD</x:v>
      </x:c>
      <x:c r="K70" s="27"/>
      <x:c r="L70" s="27"/>
      <x:c r="M70" s="27" t="str">
        <x:v>USD/CNY</x:v>
      </x:c>
      <x:c r="N70" s="27"/>
      <x:c r="O70" s="27"/>
      <x:c r="P70" s="27" t="n">
        <x:v>46063</x:v>
      </x:c>
      <x:c r="Q70" s="27" t="n">
        <x:v>45478</x:v>
      </x:c>
      <x:c r="R70" s="27" t="n">
        <x:v>46063</x:v>
      </x:c>
      <x:c r="S70" s="27" t="n">
        <x:v>25500000</x:v>
      </x:c>
      <x:c r="T70" s="27" t="n">
        <x:v>182142857.14</x:v>
      </x:c>
      <x:c r="U70" s="27" t="n">
        <x:v>25500000</x:v>
      </x:c>
      <x:c r="V70" s="27" t="str">
        <x:v>M</x:v>
      </x:c>
      <x:c r="W70" s="27" t="str">
        <x:v>N</x:v>
      </x:c>
      <x:c r="X70" s="27" t="n">
        <x:v>10</x:v>
      </x:c>
      <x:c r="Y70" s="27" t="str">
        <x:v>B</x:v>
      </x:c>
      <x:c r="Z70" s="27" t="n">
        <x:v>45972</x:v>
      </x:c>
      <x:c r="AA70" s="27" t="str">
        <x:v>C</x:v>
      </x:c>
      <x:c r="AB70" s="27" t="n">
        <x:v>7.3272</x:v>
      </x:c>
      <x:c r="AC70" s="27" t="n">
        <x:v>7.1</x:v>
      </x:c>
      <x:c r="AD70" s="27" t="n">
        <x:v>377527.5</x:v>
      </x:c>
      <x:c r="AE70" s="27" t="str">
        <x:v>Public-safe anonymized industry-style SA-CCR sample</x:v>
      </x:c>
      <x:c r="AF70" s="27" t="str">
        <x:v>ANON-000067</x:v>
      </x:c>
      <x:c r="AG70" s="27" t="str">
        <x:v>FX Option</x:v>
      </x:c>
      <x:c r="AH70" s="27"/>
      <x:c r="AI70" s="27" t="str">
        <x:v>USD/CNY</x:v>
      </x:c>
    </x:row>
    <x:row r="71">
      <x:c r="A71" s="27" t="n">
        <x:v>45702</x:v>
      </x:c>
      <x:c r="B71" s="27" t="str">
        <x:v>IND_BANK_002</x:v>
      </x:c>
      <x:c r="C71" s="27" t="n">
        <x:v>3331</x:v>
      </x:c>
      <x:c r="D71" s="27" t="str">
        <x:v>IND-000068</x:v>
      </x:c>
      <x:c r="E71" s="27" t="str">
        <x:v>FX Option</x:v>
      </x:c>
      <x:c r="F71" s="27" t="str">
        <x:v>FX</x:v>
      </x:c>
      <x:c r="G71" s="27"/>
      <x:c r="H71" s="27" t="str">
        <x:v>EUR</x:v>
      </x:c>
      <x:c r="I71" s="27" t="str">
        <x:v>USD</x:v>
      </x:c>
      <x:c r="J71" s="27" t="str">
        <x:v>USD</x:v>
      </x:c>
      <x:c r="K71" s="27"/>
      <x:c r="L71" s="27"/>
      <x:c r="M71" s="27" t="str">
        <x:v>EUR/USD</x:v>
      </x:c>
      <x:c r="N71" s="27"/>
      <x:c r="O71" s="27"/>
      <x:c r="P71" s="27" t="n">
        <x:v>46920</x:v>
      </x:c>
      <x:c r="Q71" s="27" t="n">
        <x:v>45413</x:v>
      </x:c>
      <x:c r="R71" s="27" t="n">
        <x:v>46920</x:v>
      </x:c>
      <x:c r="S71" s="27" t="n">
        <x:v>37714285.71</x:v>
      </x:c>
      <x:c r="T71" s="27" t="n">
        <x:v>39600000</x:v>
      </x:c>
      <x:c r="U71" s="27" t="n">
        <x:v>39600000</x:v>
      </x:c>
      <x:c r="V71" s="27" t="str">
        <x:v>M</x:v>
      </x:c>
      <x:c r="W71" s="27" t="str">
        <x:v>N</x:v>
      </x:c>
      <x:c r="X71" s="27" t="n">
        <x:v>10</x:v>
      </x:c>
      <x:c r="Y71" s="27" t="str">
        <x:v>S</x:v>
      </x:c>
      <x:c r="Z71" s="27" t="n">
        <x:v>46615</x:v>
      </x:c>
      <x:c r="AA71" s="27" t="str">
        <x:v>C</x:v>
      </x:c>
      <x:c r="AB71" s="27" t="n">
        <x:v>1.265805</x:v>
      </x:c>
      <x:c r="AC71" s="27" t="n">
        <x:v>1.223</x:v>
      </x:c>
      <x:c r="AD71" s="27" t="n">
        <x:v>335610</x:v>
      </x:c>
      <x:c r="AE71" s="27" t="str">
        <x:v>Public-safe anonymized industry-style SA-CCR sample</x:v>
      </x:c>
      <x:c r="AF71" s="27" t="str">
        <x:v>ANON-000068</x:v>
      </x:c>
      <x:c r="AG71" s="27" t="str">
        <x:v>FX Option</x:v>
      </x:c>
      <x:c r="AH71" s="27"/>
      <x:c r="AI71" s="27" t="str">
        <x:v>EUR/USD</x:v>
      </x:c>
    </x:row>
    <x:row r="72">
      <x:c r="A72" s="27" t="n">
        <x:v>45702</x:v>
      </x:c>
      <x:c r="B72" s="27" t="str">
        <x:v>IND_CORPORATE_001</x:v>
      </x:c>
      <x:c r="C72" s="27" t="n">
        <x:v>3040</x:v>
      </x:c>
      <x:c r="D72" s="27" t="str">
        <x:v>IND-000069</x:v>
      </x:c>
      <x:c r="E72" s="27" t="str">
        <x:v>FX Option</x:v>
      </x:c>
      <x:c r="F72" s="27" t="str">
        <x:v>FX</x:v>
      </x:c>
      <x:c r="G72" s="27"/>
      <x:c r="H72" s="27" t="str">
        <x:v>EUR</x:v>
      </x:c>
      <x:c r="I72" s="27" t="str">
        <x:v>USD</x:v>
      </x:c>
      <x:c r="J72" s="27" t="str">
        <x:v>USD</x:v>
      </x:c>
      <x:c r="K72" s="27"/>
      <x:c r="L72" s="27"/>
      <x:c r="M72" s="27" t="str">
        <x:v>EUR/USD</x:v>
      </x:c>
      <x:c r="N72" s="27"/>
      <x:c r="O72" s="27"/>
      <x:c r="P72" s="27" t="n">
        <x:v>45938</x:v>
      </x:c>
      <x:c r="Q72" s="27" t="n">
        <x:v>45531</x:v>
      </x:c>
      <x:c r="R72" s="27" t="n">
        <x:v>45938</x:v>
      </x:c>
      <x:c r="S72" s="27" t="n">
        <x:v>16095238.1</x:v>
      </x:c>
      <x:c r="T72" s="27" t="n">
        <x:v>16900000</x:v>
      </x:c>
      <x:c r="U72" s="27" t="n">
        <x:v>16900000</x:v>
      </x:c>
      <x:c r="V72" s="27" t="str">
        <x:v>M</x:v>
      </x:c>
      <x:c r="W72" s="27" t="str">
        <x:v>N</x:v>
      </x:c>
      <x:c r="X72" s="27" t="n">
        <x:v>10</x:v>
      </x:c>
      <x:c r="Y72" s="27" t="str">
        <x:v>S</x:v>
      </x:c>
      <x:c r="Z72" s="27" t="n">
        <x:v>45879</x:v>
      </x:c>
      <x:c r="AA72" s="27" t="str">
        <x:v>C</x:v>
      </x:c>
      <x:c r="AB72" s="27" t="n">
        <x:v>1.159674</x:v>
      </x:c>
      <x:c r="AC72" s="27" t="n">
        <x:v>1.114</x:v>
      </x:c>
      <x:c r="AD72" s="27" t="n">
        <x:v>120666</x:v>
      </x:c>
      <x:c r="AE72" s="27" t="str">
        <x:v>Public-safe anonymized industry-style SA-CCR sample</x:v>
      </x:c>
      <x:c r="AF72" s="27" t="str">
        <x:v>ANON-000069</x:v>
      </x:c>
      <x:c r="AG72" s="27" t="str">
        <x:v>FX Option</x:v>
      </x:c>
      <x:c r="AH72" s="27"/>
      <x:c r="AI72" s="27" t="str">
        <x:v>EUR/USD</x:v>
      </x:c>
    </x:row>
    <x:row r="73">
      <x:c r="A73" s="27" t="n">
        <x:v>45702</x:v>
      </x:c>
      <x:c r="B73" s="27" t="str">
        <x:v>IND_HEDGE_FUND_001</x:v>
      </x:c>
      <x:c r="C73" s="27" t="n">
        <x:v>3205</x:v>
      </x:c>
      <x:c r="D73" s="27" t="str">
        <x:v>IND-000070</x:v>
      </x:c>
      <x:c r="E73" s="27" t="str">
        <x:v>FX Option</x:v>
      </x:c>
      <x:c r="F73" s="27" t="str">
        <x:v>FX</x:v>
      </x:c>
      <x:c r="G73" s="27"/>
      <x:c r="H73" s="27" t="str">
        <x:v>USD</x:v>
      </x:c>
      <x:c r="I73" s="27" t="str">
        <x:v>CNY</x:v>
      </x:c>
      <x:c r="J73" s="27" t="str">
        <x:v>USD</x:v>
      </x:c>
      <x:c r="K73" s="27"/>
      <x:c r="L73" s="27"/>
      <x:c r="M73" s="27" t="str">
        <x:v>USD/CNY</x:v>
      </x:c>
      <x:c r="N73" s="27"/>
      <x:c r="O73" s="27"/>
      <x:c r="P73" s="27" t="n">
        <x:v>46404</x:v>
      </x:c>
      <x:c r="Q73" s="27" t="n">
        <x:v>45350</x:v>
      </x:c>
      <x:c r="R73" s="27" t="n">
        <x:v>46404</x:v>
      </x:c>
      <x:c r="S73" s="27" t="n">
        <x:v>50800000</x:v>
      </x:c>
      <x:c r="T73" s="27" t="n">
        <x:v>362857142.86</x:v>
      </x:c>
      <x:c r="U73" s="27" t="n">
        <x:v>50800000</x:v>
      </x:c>
      <x:c r="V73" s="27" t="str">
        <x:v>M</x:v>
      </x:c>
      <x:c r="W73" s="27" t="str">
        <x:v>N</x:v>
      </x:c>
      <x:c r="X73" s="27" t="n">
        <x:v>10</x:v>
      </x:c>
      <x:c r="Y73" s="27" t="str">
        <x:v>S</x:v>
      </x:c>
      <x:c r="Z73" s="27" t="n">
        <x:v>46228</x:v>
      </x:c>
      <x:c r="AA73" s="27" t="str">
        <x:v>P</x:v>
      </x:c>
      <x:c r="AB73" s="27" t="n">
        <x:v>6.8231</x:v>
      </x:c>
      <x:c r="AC73" s="27" t="n">
        <x:v>7.1</x:v>
      </x:c>
      <x:c r="AD73" s="27" t="n">
        <x:v>58674</x:v>
      </x:c>
      <x:c r="AE73" s="27" t="str">
        <x:v>Public-safe anonymized industry-style SA-CCR sample</x:v>
      </x:c>
      <x:c r="AF73" s="27" t="str">
        <x:v>ANON-000070</x:v>
      </x:c>
      <x:c r="AG73" s="27" t="str">
        <x:v>FX Option</x:v>
      </x:c>
      <x:c r="AH73" s="27"/>
      <x:c r="AI73" s="27" t="str">
        <x:v>USD/CNY</x:v>
      </x:c>
    </x:row>
    <x:row r="74">
      <x:c r="A74" s="27" t="n">
        <x:v>45702</x:v>
      </x:c>
      <x:c r="B74" s="27" t="str">
        <x:v>IND_CLEARING_MEMBER_001</x:v>
      </x:c>
      <x:c r="C74" s="27" t="n">
        <x:v>3206</x:v>
      </x:c>
      <x:c r="D74" s="27" t="str">
        <x:v>IND-000071</x:v>
      </x:c>
      <x:c r="E74" s="27" t="str">
        <x:v>FX Option</x:v>
      </x:c>
      <x:c r="F74" s="27" t="str">
        <x:v>FX</x:v>
      </x:c>
      <x:c r="G74" s="27"/>
      <x:c r="H74" s="27" t="str">
        <x:v>GBP</x:v>
      </x:c>
      <x:c r="I74" s="27" t="str">
        <x:v>USD</x:v>
      </x:c>
      <x:c r="J74" s="27" t="str">
        <x:v>USD</x:v>
      </x:c>
      <x:c r="K74" s="27"/>
      <x:c r="L74" s="27"/>
      <x:c r="M74" s="27" t="str">
        <x:v>GBP/USD</x:v>
      </x:c>
      <x:c r="N74" s="27"/>
      <x:c r="O74" s="27"/>
      <x:c r="P74" s="27" t="n">
        <x:v>47082</x:v>
      </x:c>
      <x:c r="Q74" s="27" t="n">
        <x:v>45577</x:v>
      </x:c>
      <x:c r="R74" s="27" t="n">
        <x:v>47082</x:v>
      </x:c>
      <x:c r="S74" s="27" t="n">
        <x:v>84800000</x:v>
      </x:c>
      <x:c r="T74" s="27" t="n">
        <x:v>106000000</x:v>
      </x:c>
      <x:c r="U74" s="27" t="n">
        <x:v>106000000</x:v>
      </x:c>
      <x:c r="V74" s="27" t="str">
        <x:v>M</x:v>
      </x:c>
      <x:c r="W74" s="27" t="str">
        <x:v>N</x:v>
      </x:c>
      <x:c r="X74" s="27" t="n">
        <x:v>10</x:v>
      </x:c>
      <x:c r="Y74" s="27" t="str">
        <x:v>S</x:v>
      </x:c>
      <x:c r="Z74" s="27" t="n">
        <x:v>46737</x:v>
      </x:c>
      <x:c r="AA74" s="27" t="str">
        <x:v>P</x:v>
      </x:c>
      <x:c r="AB74" s="27" t="n">
        <x:v>1.271159</x:v>
      </x:c>
      <x:c r="AC74" s="27" t="n">
        <x:v>1.163</x:v>
      </x:c>
      <x:c r="AD74" s="27" t="n">
        <x:v>-147870</x:v>
      </x:c>
      <x:c r="AE74" s="27" t="str">
        <x:v>Public-safe anonymized industry-style SA-CCR sample</x:v>
      </x:c>
      <x:c r="AF74" s="27" t="str">
        <x:v>ANON-000071</x:v>
      </x:c>
      <x:c r="AG74" s="27" t="str">
        <x:v>FX Option</x:v>
      </x:c>
      <x:c r="AH74" s="27"/>
      <x:c r="AI74" s="27" t="str">
        <x:v>GBP/USD</x:v>
      </x:c>
    </x:row>
    <x:row r="75">
      <x:c r="A75" s="27" t="n">
        <x:v>45702</x:v>
      </x:c>
      <x:c r="B75" s="27" t="str">
        <x:v>IND_BANK_002</x:v>
      </x:c>
      <x:c r="C75" s="27" t="n">
        <x:v>3318</x:v>
      </x:c>
      <x:c r="D75" s="27" t="str">
        <x:v>IND-000072</x:v>
      </x:c>
      <x:c r="E75" s="27" t="str">
        <x:v>FX Option</x:v>
      </x:c>
      <x:c r="F75" s="27" t="str">
        <x:v>FX</x:v>
      </x:c>
      <x:c r="G75" s="27"/>
      <x:c r="H75" s="27" t="str">
        <x:v>EUR</x:v>
      </x:c>
      <x:c r="I75" s="27" t="str">
        <x:v>USD</x:v>
      </x:c>
      <x:c r="J75" s="27" t="str">
        <x:v>USD</x:v>
      </x:c>
      <x:c r="K75" s="27"/>
      <x:c r="L75" s="27"/>
      <x:c r="M75" s="27" t="str">
        <x:v>EUR/USD</x:v>
      </x:c>
      <x:c r="N75" s="27"/>
      <x:c r="O75" s="27"/>
      <x:c r="P75" s="27" t="n">
        <x:v>46721</x:v>
      </x:c>
      <x:c r="Q75" s="27" t="n">
        <x:v>45662</x:v>
      </x:c>
      <x:c r="R75" s="27" t="n">
        <x:v>46721</x:v>
      </x:c>
      <x:c r="S75" s="27" t="n">
        <x:v>114285714.29</x:v>
      </x:c>
      <x:c r="T75" s="27" t="n">
        <x:v>120000000</x:v>
      </x:c>
      <x:c r="U75" s="27" t="n">
        <x:v>120000000</x:v>
      </x:c>
      <x:c r="V75" s="27" t="str">
        <x:v>U</x:v>
      </x:c>
      <x:c r="W75" s="27" t="str">
        <x:v>N</x:v>
      </x:c>
      <x:c r="X75" s="27"/>
      <x:c r="Y75" s="27" t="str">
        <x:v>B</x:v>
      </x:c>
      <x:c r="Z75" s="27" t="n">
        <x:v>46466</x:v>
      </x:c>
      <x:c r="AA75" s="27" t="str">
        <x:v>C</x:v>
      </x:c>
      <x:c r="AB75" s="27" t="n">
        <x:v>1.205824</x:v>
      </x:c>
      <x:c r="AC75" s="27" t="n">
        <x:v>1.328</x:v>
      </x:c>
      <x:c r="AD75" s="27" t="n">
        <x:v>1512000</x:v>
      </x:c>
      <x:c r="AE75" s="27" t="str">
        <x:v>Public-safe anonymized industry-style SA-CCR sample</x:v>
      </x:c>
      <x:c r="AF75" s="27" t="str">
        <x:v>ANON-000072</x:v>
      </x:c>
      <x:c r="AG75" s="27" t="str">
        <x:v>FX Option</x:v>
      </x:c>
      <x:c r="AH75" s="27"/>
      <x:c r="AI75" s="27" t="str">
        <x:v>EUR/USD</x:v>
      </x:c>
    </x:row>
    <x:row r="76">
      <x:c r="A76" s="27" t="n">
        <x:v>45702</x:v>
      </x:c>
      <x:c r="B76" s="27" t="str">
        <x:v>IND_BANK_002</x:v>
      </x:c>
      <x:c r="C76" s="27" t="n">
        <x:v>3331</x:v>
      </x:c>
      <x:c r="D76" s="27" t="str">
        <x:v>IND-000073</x:v>
      </x:c>
      <x:c r="E76" s="27" t="str">
        <x:v>FX Option</x:v>
      </x:c>
      <x:c r="F76" s="27" t="str">
        <x:v>FX</x:v>
      </x:c>
      <x:c r="G76" s="27"/>
      <x:c r="H76" s="27" t="str">
        <x:v>EUR</x:v>
      </x:c>
      <x:c r="I76" s="27" t="str">
        <x:v>USD</x:v>
      </x:c>
      <x:c r="J76" s="27" t="str">
        <x:v>USD</x:v>
      </x:c>
      <x:c r="K76" s="27"/>
      <x:c r="L76" s="27"/>
      <x:c r="M76" s="27" t="str">
        <x:v>EUR/USD</x:v>
      </x:c>
      <x:c r="N76" s="27"/>
      <x:c r="O76" s="27"/>
      <x:c r="P76" s="27" t="n">
        <x:v>47314</x:v>
      </x:c>
      <x:c r="Q76" s="27" t="n">
        <x:v>45107</x:v>
      </x:c>
      <x:c r="R76" s="27" t="n">
        <x:v>47314</x:v>
      </x:c>
      <x:c r="S76" s="27" t="n">
        <x:v>30095238.1</x:v>
      </x:c>
      <x:c r="T76" s="27" t="n">
        <x:v>31600000</x:v>
      </x:c>
      <x:c r="U76" s="27" t="n">
        <x:v>31600000</x:v>
      </x:c>
      <x:c r="V76" s="27" t="str">
        <x:v>M</x:v>
      </x:c>
      <x:c r="W76" s="27" t="str">
        <x:v>N</x:v>
      </x:c>
      <x:c r="X76" s="27" t="n">
        <x:v>10</x:v>
      </x:c>
      <x:c r="Y76" s="27" t="str">
        <x:v>S</x:v>
      </x:c>
      <x:c r="Z76" s="27" t="n">
        <x:v>46911</x:v>
      </x:c>
      <x:c r="AA76" s="27" t="str">
        <x:v>C</x:v>
      </x:c>
      <x:c r="AB76" s="27" t="n">
        <x:v>1.205145</x:v>
      </x:c>
      <x:c r="AC76" s="27" t="n">
        <x:v>1.185</x:v>
      </x:c>
      <x:c r="AD76" s="27" t="n">
        <x:v>-301464</x:v>
      </x:c>
      <x:c r="AE76" s="27" t="str">
        <x:v>Public-safe anonymized industry-style SA-CCR sample</x:v>
      </x:c>
      <x:c r="AF76" s="27" t="str">
        <x:v>ANON-000073</x:v>
      </x:c>
      <x:c r="AG76" s="27" t="str">
        <x:v>FX Option</x:v>
      </x:c>
      <x:c r="AH76" s="27"/>
      <x:c r="AI76" s="27" t="str">
        <x:v>EUR/USD</x:v>
      </x:c>
    </x:row>
    <x:row r="77">
      <x:c r="A77" s="27" t="n">
        <x:v>45702</x:v>
      </x:c>
      <x:c r="B77" s="27" t="str">
        <x:v>IND_HEDGE_FUND_001</x:v>
      </x:c>
      <x:c r="C77" s="27" t="n">
        <x:v>3040</x:v>
      </x:c>
      <x:c r="D77" s="27" t="str">
        <x:v>IND-000074</x:v>
      </x:c>
      <x:c r="E77" s="27" t="str">
        <x:v>FX Option</x:v>
      </x:c>
      <x:c r="F77" s="27" t="str">
        <x:v>FX</x:v>
      </x:c>
      <x:c r="G77" s="27"/>
      <x:c r="H77" s="27" t="str">
        <x:v>USD</x:v>
      </x:c>
      <x:c r="I77" s="27" t="str">
        <x:v>CNY</x:v>
      </x:c>
      <x:c r="J77" s="27" t="str">
        <x:v>USD</x:v>
      </x:c>
      <x:c r="K77" s="27"/>
      <x:c r="L77" s="27"/>
      <x:c r="M77" s="27" t="str">
        <x:v>USD/CNY</x:v>
      </x:c>
      <x:c r="N77" s="27"/>
      <x:c r="O77" s="27"/>
      <x:c r="P77" s="27" t="n">
        <x:v>46983</x:v>
      </x:c>
      <x:c r="Q77" s="27" t="n">
        <x:v>45303</x:v>
      </x:c>
      <x:c r="R77" s="27" t="n">
        <x:v>46983</x:v>
      </x:c>
      <x:c r="S77" s="27" t="n">
        <x:v>72100000</x:v>
      </x:c>
      <x:c r="T77" s="27" t="n">
        <x:v>515000000</x:v>
      </x:c>
      <x:c r="U77" s="27" t="n">
        <x:v>72100000</x:v>
      </x:c>
      <x:c r="V77" s="27" t="str">
        <x:v>U</x:v>
      </x:c>
      <x:c r="W77" s="27" t="str">
        <x:v>N</x:v>
      </x:c>
      <x:c r="X77" s="27"/>
      <x:c r="Y77" s="27" t="str">
        <x:v>B</x:v>
      </x:c>
      <x:c r="Z77" s="27" t="n">
        <x:v>46662</x:v>
      </x:c>
      <x:c r="AA77" s="27" t="str">
        <x:v>P</x:v>
      </x:c>
      <x:c r="AB77" s="27" t="n">
        <x:v>7.1213</x:v>
      </x:c>
      <x:c r="AC77" s="27" t="n">
        <x:v>7.1</x:v>
      </x:c>
      <x:c r="AD77" s="27" t="n">
        <x:v>1047973.5</x:v>
      </x:c>
      <x:c r="AE77" s="27" t="str">
        <x:v>Public-safe anonymized industry-style SA-CCR sample</x:v>
      </x:c>
      <x:c r="AF77" s="27" t="str">
        <x:v>ANON-000074</x:v>
      </x:c>
      <x:c r="AG77" s="27" t="str">
        <x:v>FX Option</x:v>
      </x:c>
      <x:c r="AH77" s="27"/>
      <x:c r="AI77" s="27" t="str">
        <x:v>USD/CNY</x:v>
      </x:c>
    </x:row>
    <x:row r="78">
      <x:c r="A78" s="27" t="n">
        <x:v>45702</x:v>
      </x:c>
      <x:c r="B78" s="27" t="str">
        <x:v>IND_BANK_002</x:v>
      </x:c>
      <x:c r="C78" s="27" t="n">
        <x:v>3318</x:v>
      </x:c>
      <x:c r="D78" s="27" t="str">
        <x:v>IND-000075</x:v>
      </x:c>
      <x:c r="E78" s="27" t="str">
        <x:v>FX Option</x:v>
      </x:c>
      <x:c r="F78" s="27" t="str">
        <x:v>FX</x:v>
      </x:c>
      <x:c r="G78" s="27"/>
      <x:c r="H78" s="27" t="str">
        <x:v>EUR</x:v>
      </x:c>
      <x:c r="I78" s="27" t="str">
        <x:v>USD</x:v>
      </x:c>
      <x:c r="J78" s="27" t="str">
        <x:v>USD</x:v>
      </x:c>
      <x:c r="K78" s="27"/>
      <x:c r="L78" s="27"/>
      <x:c r="M78" s="27" t="str">
        <x:v>EUR/USD</x:v>
      </x:c>
      <x:c r="N78" s="27"/>
      <x:c r="O78" s="27"/>
      <x:c r="P78" s="27" t="n">
        <x:v>46221</x:v>
      </x:c>
      <x:c r="Q78" s="27" t="n">
        <x:v>45134</x:v>
      </x:c>
      <x:c r="R78" s="27" t="n">
        <x:v>46221</x:v>
      </x:c>
      <x:c r="S78" s="27" t="n">
        <x:v>100000000</x:v>
      </x:c>
      <x:c r="T78" s="27" t="n">
        <x:v>105000000</x:v>
      </x:c>
      <x:c r="U78" s="27" t="n">
        <x:v>105000000</x:v>
      </x:c>
      <x:c r="V78" s="27" t="str">
        <x:v>U</x:v>
      </x:c>
      <x:c r="W78" s="27" t="str">
        <x:v>N</x:v>
      </x:c>
      <x:c r="X78" s="27"/>
      <x:c r="Y78" s="27" t="str">
        <x:v>B</x:v>
      </x:c>
      <x:c r="Z78" s="27" t="n">
        <x:v>46091</x:v>
      </x:c>
      <x:c r="AA78" s="27" t="str">
        <x:v>C</x:v>
      </x:c>
      <x:c r="AB78" s="27" t="n">
        <x:v>1.394972</x:v>
      </x:c>
      <x:c r="AC78" s="27" t="n">
        <x:v>1.259</x:v>
      </x:c>
      <x:c r="AD78" s="27" t="n">
        <x:v>1370250</x:v>
      </x:c>
      <x:c r="AE78" s="27" t="str">
        <x:v>Public-safe anonymized industry-style SA-CCR sample</x:v>
      </x:c>
      <x:c r="AF78" s="27" t="str">
        <x:v>ANON-000075</x:v>
      </x:c>
      <x:c r="AG78" s="27" t="str">
        <x:v>FX Option</x:v>
      </x:c>
      <x:c r="AH78" s="27"/>
      <x:c r="AI78" s="27" t="str">
        <x:v>EUR/USD</x:v>
      </x:c>
    </x:row>
    <x:row r="79">
      <x:c r="A79" s="27" t="n">
        <x:v>45702</x:v>
      </x:c>
      <x:c r="B79" s="27" t="str">
        <x:v>IND_ASSET_MANAGER_001</x:v>
      </x:c>
      <x:c r="C79" s="27" t="n">
        <x:v>3127</x:v>
      </x:c>
      <x:c r="D79" s="27" t="str">
        <x:v>IND-000076</x:v>
      </x:c>
      <x:c r="E79" s="27" t="str">
        <x:v>FX Option</x:v>
      </x:c>
      <x:c r="F79" s="27" t="str">
        <x:v>FX</x:v>
      </x:c>
      <x:c r="G79" s="27"/>
      <x:c r="H79" s="27" t="str">
        <x:v>USD</x:v>
      </x:c>
      <x:c r="I79" s="27" t="str">
        <x:v>JPY</x:v>
      </x:c>
      <x:c r="J79" s="27" t="str">
        <x:v>USD</x:v>
      </x:c>
      <x:c r="K79" s="27"/>
      <x:c r="L79" s="27"/>
      <x:c r="M79" s="27" t="str">
        <x:v>USD/JPY</x:v>
      </x:c>
      <x:c r="N79" s="27"/>
      <x:c r="O79" s="27"/>
      <x:c r="P79" s="27" t="n">
        <x:v>47464</x:v>
      </x:c>
      <x:c r="Q79" s="27" t="n">
        <x:v>45060</x:v>
      </x:c>
      <x:c r="R79" s="27" t="n">
        <x:v>47464</x:v>
      </x:c>
      <x:c r="S79" s="27" t="n">
        <x:v>2800000</x:v>
      </x:c>
      <x:c r="T79" s="27" t="n">
        <x:v>417910447.76</x:v>
      </x:c>
      <x:c r="U79" s="27" t="n">
        <x:v>2800000</x:v>
      </x:c>
      <x:c r="V79" s="27" t="str">
        <x:v>M</x:v>
      </x:c>
      <x:c r="W79" s="27" t="str">
        <x:v>N</x:v>
      </x:c>
      <x:c r="X79" s="27" t="n">
        <x:v>10</x:v>
      </x:c>
      <x:c r="Y79" s="27" t="str">
        <x:v>B</x:v>
      </x:c>
      <x:c r="Z79" s="27" t="n">
        <x:v>47023</x:v>
      </x:c>
      <x:c r="AA79" s="27" t="str">
        <x:v>C</x:v>
      </x:c>
      <x:c r="AB79" s="27" t="n">
        <x:v>1.335495</x:v>
      </x:c>
      <x:c r="AC79" s="27" t="n">
        <x:v>1.185</x:v>
      </x:c>
      <x:c r="AD79" s="27" t="n">
        <x:v>15288</x:v>
      </x:c>
      <x:c r="AE79" s="27" t="str">
        <x:v>Public-safe anonymized industry-style SA-CCR sample</x:v>
      </x:c>
      <x:c r="AF79" s="27" t="str">
        <x:v>ANON-000076</x:v>
      </x:c>
      <x:c r="AG79" s="27" t="str">
        <x:v>FX Option</x:v>
      </x:c>
      <x:c r="AH79" s="27"/>
      <x:c r="AI79" s="27" t="str">
        <x:v>USD/JPY</x:v>
      </x:c>
    </x:row>
    <x:row r="80">
      <x:c r="A80" s="27" t="n">
        <x:v>45702</x:v>
      </x:c>
      <x:c r="B80" s="27" t="str">
        <x:v>IND_CLEARING_MEMBER_001</x:v>
      </x:c>
      <x:c r="C80" s="27" t="n">
        <x:v>3288</x:v>
      </x:c>
      <x:c r="D80" s="27" t="str">
        <x:v>IND-000077</x:v>
      </x:c>
      <x:c r="E80" s="27" t="str">
        <x:v>FX Option</x:v>
      </x:c>
      <x:c r="F80" s="27" t="str">
        <x:v>FX</x:v>
      </x:c>
      <x:c r="G80" s="27"/>
      <x:c r="H80" s="27" t="str">
        <x:v>GBP</x:v>
      </x:c>
      <x:c r="I80" s="27" t="str">
        <x:v>USD</x:v>
      </x:c>
      <x:c r="J80" s="27" t="str">
        <x:v>USD</x:v>
      </x:c>
      <x:c r="K80" s="27"/>
      <x:c r="L80" s="27"/>
      <x:c r="M80" s="27" t="str">
        <x:v>GBP/USD</x:v>
      </x:c>
      <x:c r="N80" s="27"/>
      <x:c r="O80" s="27"/>
      <x:c r="P80" s="27" t="n">
        <x:v>46811</x:v>
      </x:c>
      <x:c r="Q80" s="27" t="n">
        <x:v>44847</x:v>
      </x:c>
      <x:c r="R80" s="27" t="n">
        <x:v>46811</x:v>
      </x:c>
      <x:c r="S80" s="27" t="n">
        <x:v>32720000</x:v>
      </x:c>
      <x:c r="T80" s="27" t="n">
        <x:v>40900000</x:v>
      </x:c>
      <x:c r="U80" s="27" t="n">
        <x:v>40900000</x:v>
      </x:c>
      <x:c r="V80" s="27" t="str">
        <x:v>U</x:v>
      </x:c>
      <x:c r="W80" s="27" t="str">
        <x:v>N</x:v>
      </x:c>
      <x:c r="X80" s="27"/>
      <x:c r="Y80" s="27" t="str">
        <x:v>B</x:v>
      </x:c>
      <x:c r="Z80" s="27" t="n">
        <x:v>46533</x:v>
      </x:c>
      <x:c r="AA80" s="27" t="str">
        <x:v>C</x:v>
      </x:c>
      <x:c r="AB80" s="27" t="n">
        <x:v>1.11163</x:v>
      </x:c>
      <x:c r="AC80" s="27" t="n">
        <x:v>1.105</x:v>
      </x:c>
      <x:c r="AD80" s="27" t="n">
        <x:v>-480984</x:v>
      </x:c>
      <x:c r="AE80" s="27" t="str">
        <x:v>Public-safe anonymized industry-style SA-CCR sample</x:v>
      </x:c>
      <x:c r="AF80" s="27" t="str">
        <x:v>ANON-000077</x:v>
      </x:c>
      <x:c r="AG80" s="27" t="str">
        <x:v>FX Option</x:v>
      </x:c>
      <x:c r="AH80" s="27"/>
      <x:c r="AI80" s="27" t="str">
        <x:v>GBP/USD</x:v>
      </x:c>
    </x:row>
    <x:row r="81">
      <x:c r="A81" s="27" t="n">
        <x:v>45702</x:v>
      </x:c>
      <x:c r="B81" s="27" t="str">
        <x:v>IND_HEDGE_FUND_001</x:v>
      </x:c>
      <x:c r="C81" s="27" t="n">
        <x:v>3040</x:v>
      </x:c>
      <x:c r="D81" s="27" t="str">
        <x:v>IND-000078</x:v>
      </x:c>
      <x:c r="E81" s="27" t="str">
        <x:v>FX Option</x:v>
      </x:c>
      <x:c r="F81" s="27" t="str">
        <x:v>FX</x:v>
      </x:c>
      <x:c r="G81" s="27"/>
      <x:c r="H81" s="27" t="str">
        <x:v>USD</x:v>
      </x:c>
      <x:c r="I81" s="27" t="str">
        <x:v>CNY</x:v>
      </x:c>
      <x:c r="J81" s="27" t="str">
        <x:v>USD</x:v>
      </x:c>
      <x:c r="K81" s="27"/>
      <x:c r="L81" s="27"/>
      <x:c r="M81" s="27" t="str">
        <x:v>USD/CNY</x:v>
      </x:c>
      <x:c r="N81" s="27"/>
      <x:c r="O81" s="27"/>
      <x:c r="P81" s="27" t="n">
        <x:v>47172</x:v>
      </x:c>
      <x:c r="Q81" s="27" t="n">
        <x:v>45363</x:v>
      </x:c>
      <x:c r="R81" s="27" t="n">
        <x:v>47172</x:v>
      </x:c>
      <x:c r="S81" s="27" t="n">
        <x:v>73300000</x:v>
      </x:c>
      <x:c r="T81" s="27" t="n">
        <x:v>523571428.57</x:v>
      </x:c>
      <x:c r="U81" s="27" t="n">
        <x:v>73300000</x:v>
      </x:c>
      <x:c r="V81" s="27" t="str">
        <x:v>U</x:v>
      </x:c>
      <x:c r="W81" s="27" t="str">
        <x:v>N</x:v>
      </x:c>
      <x:c r="X81" s="27"/>
      <x:c r="Y81" s="27" t="str">
        <x:v>S</x:v>
      </x:c>
      <x:c r="Z81" s="27" t="n">
        <x:v>46804</x:v>
      </x:c>
      <x:c r="AA81" s="27" t="str">
        <x:v>C</x:v>
      </x:c>
      <x:c r="AB81" s="27" t="n">
        <x:v>6.7734</x:v>
      </x:c>
      <x:c r="AC81" s="27" t="n">
        <x:v>7.1</x:v>
      </x:c>
      <x:c r="AD81" s="27" t="n">
        <x:v>-570640.5</x:v>
      </x:c>
      <x:c r="AE81" s="27" t="str">
        <x:v>Public-safe anonymized industry-style SA-CCR sample</x:v>
      </x:c>
      <x:c r="AF81" s="27" t="str">
        <x:v>ANON-000078</x:v>
      </x:c>
      <x:c r="AG81" s="27" t="str">
        <x:v>FX Option</x:v>
      </x:c>
      <x:c r="AH81" s="27"/>
      <x:c r="AI81" s="27" t="str">
        <x:v>USD/CNY</x:v>
      </x:c>
    </x:row>
    <x:row r="82">
      <x:c r="A82" s="27" t="n">
        <x:v>45702</x:v>
      </x:c>
      <x:c r="B82" s="27" t="str">
        <x:v>IND_CORPORATE_002</x:v>
      </x:c>
      <x:c r="C82" s="27" t="n">
        <x:v>3187</x:v>
      </x:c>
      <x:c r="D82" s="27" t="str">
        <x:v>IND-000079</x:v>
      </x:c>
      <x:c r="E82" s="27" t="str">
        <x:v>FX Option</x:v>
      </x:c>
      <x:c r="F82" s="27" t="str">
        <x:v>FX</x:v>
      </x:c>
      <x:c r="G82" s="27"/>
      <x:c r="H82" s="27" t="str">
        <x:v>GBP</x:v>
      </x:c>
      <x:c r="I82" s="27" t="str">
        <x:v>USD</x:v>
      </x:c>
      <x:c r="J82" s="27" t="str">
        <x:v>USD</x:v>
      </x:c>
      <x:c r="K82" s="27"/>
      <x:c r="L82" s="27"/>
      <x:c r="M82" s="27" t="str">
        <x:v>GBP/USD</x:v>
      </x:c>
      <x:c r="N82" s="27"/>
      <x:c r="O82" s="27"/>
      <x:c r="P82" s="27" t="n">
        <x:v>47186</x:v>
      </x:c>
      <x:c r="Q82" s="27" t="n">
        <x:v>45314</x:v>
      </x:c>
      <x:c r="R82" s="27" t="n">
        <x:v>47186</x:v>
      </x:c>
      <x:c r="S82" s="27" t="n">
        <x:v>35680000</x:v>
      </x:c>
      <x:c r="T82" s="27" t="n">
        <x:v>44600000</x:v>
      </x:c>
      <x:c r="U82" s="27" t="n">
        <x:v>44600000</x:v>
      </x:c>
      <x:c r="V82" s="27" t="str">
        <x:v>U</x:v>
      </x:c>
      <x:c r="W82" s="27" t="str">
        <x:v>N</x:v>
      </x:c>
      <x:c r="X82" s="27"/>
      <x:c r="Y82" s="27" t="str">
        <x:v>B</x:v>
      </x:c>
      <x:c r="Z82" s="27" t="n">
        <x:v>46815</x:v>
      </x:c>
      <x:c r="AA82" s="27" t="str">
        <x:v>C</x:v>
      </x:c>
      <x:c r="AB82" s="27" t="n">
        <x:v>1.17876</x:v>
      </x:c>
      <x:c r="AC82" s="27" t="n">
        <x:v>1.254</x:v>
      </x:c>
      <x:c r="AD82" s="27" t="n">
        <x:v>339183</x:v>
      </x:c>
      <x:c r="AE82" s="27" t="str">
        <x:v>Public-safe anonymized industry-style SA-CCR sample</x:v>
      </x:c>
      <x:c r="AF82" s="27" t="str">
        <x:v>ANON-000079</x:v>
      </x:c>
      <x:c r="AG82" s="27" t="str">
        <x:v>FX Option</x:v>
      </x:c>
      <x:c r="AH82" s="27"/>
      <x:c r="AI82" s="27" t="str">
        <x:v>GBP/USD</x:v>
      </x:c>
    </x:row>
    <x:row r="83">
      <x:c r="A83" s="27" t="n">
        <x:v>45702</x:v>
      </x:c>
      <x:c r="B83" s="27" t="str">
        <x:v>IND_INSURER_001</x:v>
      </x:c>
      <x:c r="C83" s="27" t="n">
        <x:v>3094</x:v>
      </x:c>
      <x:c r="D83" s="27" t="str">
        <x:v>IND-000080</x:v>
      </x:c>
      <x:c r="E83" s="27" t="str">
        <x:v>FX Option</x:v>
      </x:c>
      <x:c r="F83" s="27" t="str">
        <x:v>FX</x:v>
      </x:c>
      <x:c r="G83" s="27"/>
      <x:c r="H83" s="27" t="str">
        <x:v>USD</x:v>
      </x:c>
      <x:c r="I83" s="27" t="str">
        <x:v>JPY</x:v>
      </x:c>
      <x:c r="J83" s="27" t="str">
        <x:v>USD</x:v>
      </x:c>
      <x:c r="K83" s="27"/>
      <x:c r="L83" s="27"/>
      <x:c r="M83" s="27" t="str">
        <x:v>USD/JPY</x:v>
      </x:c>
      <x:c r="N83" s="27"/>
      <x:c r="O83" s="27"/>
      <x:c r="P83" s="27" t="n">
        <x:v>47490</x:v>
      </x:c>
      <x:c r="Q83" s="27" t="n">
        <x:v>45056</x:v>
      </x:c>
      <x:c r="R83" s="27" t="n">
        <x:v>47490</x:v>
      </x:c>
      <x:c r="S83" s="27" t="n">
        <x:v>135000000</x:v>
      </x:c>
      <x:c r="T83" s="27" t="n">
        <x:v>20149253731.34</x:v>
      </x:c>
      <x:c r="U83" s="27" t="n">
        <x:v>135000000</x:v>
      </x:c>
      <x:c r="V83" s="27" t="str">
        <x:v>U</x:v>
      </x:c>
      <x:c r="W83" s="27" t="str">
        <x:v>N</x:v>
      </x:c>
      <x:c r="X83" s="27"/>
      <x:c r="Y83" s="27" t="str">
        <x:v>S</x:v>
      </x:c>
      <x:c r="Z83" s="27" t="n">
        <x:v>47043</x:v>
      </x:c>
      <x:c r="AA83" s="27" t="str">
        <x:v>C</x:v>
      </x:c>
      <x:c r="AB83" s="27" t="n">
        <x:v>1.33052</x:v>
      </x:c>
      <x:c r="AC83" s="27" t="n">
        <x:v>1.24</x:v>
      </x:c>
      <x:c r="AD83" s="27" t="n">
        <x:v>121500</x:v>
      </x:c>
      <x:c r="AE83" s="27" t="str">
        <x:v>Public-safe anonymized industry-style SA-CCR sample</x:v>
      </x:c>
      <x:c r="AF83" s="27" t="str">
        <x:v>ANON-000080</x:v>
      </x:c>
      <x:c r="AG83" s="27" t="str">
        <x:v>FX Option</x:v>
      </x:c>
      <x:c r="AH83" s="27"/>
      <x:c r="AI83" s="27" t="str">
        <x:v>USD/JPY</x:v>
      </x:c>
    </x:row>
    <x:row r="84">
      <x:c r="A84" s="27" t="n">
        <x:v>45702</x:v>
      </x:c>
      <x:c r="B84" s="27" t="str">
        <x:v>IND_BANK_001</x:v>
      </x:c>
      <x:c r="C84" s="27" t="n">
        <x:v>3214</x:v>
      </x:c>
      <x:c r="D84" s="27" t="str">
        <x:v>IND-000081</x:v>
      </x:c>
      <x:c r="E84" s="27" t="str">
        <x:v>FX Option</x:v>
      </x:c>
      <x:c r="F84" s="27" t="str">
        <x:v>FX</x:v>
      </x:c>
      <x:c r="G84" s="27"/>
      <x:c r="H84" s="27" t="str">
        <x:v>USD</x:v>
      </x:c>
      <x:c r="I84" s="27" t="str">
        <x:v>CNY</x:v>
      </x:c>
      <x:c r="J84" s="27" t="str">
        <x:v>USD</x:v>
      </x:c>
      <x:c r="K84" s="27"/>
      <x:c r="L84" s="27"/>
      <x:c r="M84" s="27" t="str">
        <x:v>USD/CNY</x:v>
      </x:c>
      <x:c r="N84" s="27"/>
      <x:c r="O84" s="27"/>
      <x:c r="P84" s="27" t="n">
        <x:v>46378</x:v>
      </x:c>
      <x:c r="Q84" s="27" t="n">
        <x:v>45127</x:v>
      </x:c>
      <x:c r="R84" s="27" t="n">
        <x:v>46378</x:v>
      </x:c>
      <x:c r="S84" s="27" t="n">
        <x:v>1000000</x:v>
      </x:c>
      <x:c r="T84" s="27" t="n">
        <x:v>7142857.14</x:v>
      </x:c>
      <x:c r="U84" s="27" t="n">
        <x:v>1000000</x:v>
      </x:c>
      <x:c r="V84" s="27" t="str">
        <x:v>U</x:v>
      </x:c>
      <x:c r="W84" s="27" t="str">
        <x:v>N</x:v>
      </x:c>
      <x:c r="X84" s="27"/>
      <x:c r="Y84" s="27" t="str">
        <x:v>B</x:v>
      </x:c>
      <x:c r="Z84" s="27" t="n">
        <x:v>46209</x:v>
      </x:c>
      <x:c r="AA84" s="27" t="str">
        <x:v>C</x:v>
      </x:c>
      <x:c r="AB84" s="27" t="n">
        <x:v>7.5544</x:v>
      </x:c>
      <x:c r="AC84" s="27" t="n">
        <x:v>7.1</x:v>
      </x:c>
      <x:c r="AD84" s="27" t="n">
        <x:v>-8235</x:v>
      </x:c>
      <x:c r="AE84" s="27" t="str">
        <x:v>Public-safe anonymized industry-style SA-CCR sample</x:v>
      </x:c>
      <x:c r="AF84" s="27" t="str">
        <x:v>ANON-000081</x:v>
      </x:c>
      <x:c r="AG84" s="27" t="str">
        <x:v>FX Option</x:v>
      </x:c>
      <x:c r="AH84" s="27"/>
      <x:c r="AI84" s="27" t="str">
        <x:v>USD/CNY</x:v>
      </x:c>
    </x:row>
    <x:row r="85">
      <x:c r="A85" s="27" t="n">
        <x:v>45702</x:v>
      </x:c>
      <x:c r="B85" s="27" t="str">
        <x:v>IND_BROKER_001</x:v>
      </x:c>
      <x:c r="C85" s="27" t="n">
        <x:v>3276</x:v>
      </x:c>
      <x:c r="D85" s="27" t="str">
        <x:v>IND-000082</x:v>
      </x:c>
      <x:c r="E85" s="27" t="str">
        <x:v>FX Option</x:v>
      </x:c>
      <x:c r="F85" s="27" t="str">
        <x:v>FX</x:v>
      </x:c>
      <x:c r="G85" s="27"/>
      <x:c r="H85" s="27" t="str">
        <x:v>GBP</x:v>
      </x:c>
      <x:c r="I85" s="27" t="str">
        <x:v>USD</x:v>
      </x:c>
      <x:c r="J85" s="27" t="str">
        <x:v>USD</x:v>
      </x:c>
      <x:c r="K85" s="27"/>
      <x:c r="L85" s="27"/>
      <x:c r="M85" s="27" t="str">
        <x:v>GBP/USD</x:v>
      </x:c>
      <x:c r="N85" s="27"/>
      <x:c r="O85" s="27"/>
      <x:c r="P85" s="27" t="n">
        <x:v>47464</x:v>
      </x:c>
      <x:c r="Q85" s="27" t="n">
        <x:v>45069</x:v>
      </x:c>
      <x:c r="R85" s="27" t="n">
        <x:v>47464</x:v>
      </x:c>
      <x:c r="S85" s="27" t="n">
        <x:v>105600000</x:v>
      </x:c>
      <x:c r="T85" s="27" t="n">
        <x:v>132000000</x:v>
      </x:c>
      <x:c r="U85" s="27" t="n">
        <x:v>132000000</x:v>
      </x:c>
      <x:c r="V85" s="27" t="str">
        <x:v>M</x:v>
      </x:c>
      <x:c r="W85" s="27" t="str">
        <x:v>N</x:v>
      </x:c>
      <x:c r="X85" s="27" t="n">
        <x:v>10</x:v>
      </x:c>
      <x:c r="Y85" s="27" t="str">
        <x:v>S</x:v>
      </x:c>
      <x:c r="Z85" s="27" t="n">
        <x:v>47023</x:v>
      </x:c>
      <x:c r="AA85" s="27" t="str">
        <x:v>C</x:v>
      </x:c>
      <x:c r="AB85" s="27" t="n">
        <x:v>1.05569</x:v>
      </x:c>
      <x:c r="AC85" s="27" t="n">
        <x:v>1.145</x:v>
      </x:c>
      <x:c r="AD85" s="27" t="n">
        <x:v>1732500</x:v>
      </x:c>
      <x:c r="AE85" s="27" t="str">
        <x:v>Public-safe anonymized industry-style SA-CCR sample</x:v>
      </x:c>
      <x:c r="AF85" s="27" t="str">
        <x:v>ANON-000082</x:v>
      </x:c>
      <x:c r="AG85" s="27" t="str">
        <x:v>FX Option</x:v>
      </x:c>
      <x:c r="AH85" s="27"/>
      <x:c r="AI85" s="27" t="str">
        <x:v>GBP/USD</x:v>
      </x:c>
    </x:row>
    <x:row r="86">
      <x:c r="A86" s="27" t="n">
        <x:v>45702</x:v>
      </x:c>
      <x:c r="B86" s="27" t="str">
        <x:v>IND_HEDGE_FUND_001</x:v>
      </x:c>
      <x:c r="C86" s="27" t="n">
        <x:v>3205</x:v>
      </x:c>
      <x:c r="D86" s="27" t="str">
        <x:v>IND-000083</x:v>
      </x:c>
      <x:c r="E86" s="27" t="str">
        <x:v>FX Option</x:v>
      </x:c>
      <x:c r="F86" s="27" t="str">
        <x:v>FX</x:v>
      </x:c>
      <x:c r="G86" s="27"/>
      <x:c r="H86" s="27" t="str">
        <x:v>USD</x:v>
      </x:c>
      <x:c r="I86" s="27" t="str">
        <x:v>CNY</x:v>
      </x:c>
      <x:c r="J86" s="27" t="str">
        <x:v>USD</x:v>
      </x:c>
      <x:c r="K86" s="27"/>
      <x:c r="L86" s="27"/>
      <x:c r="M86" s="27" t="str">
        <x:v>USD/CNY</x:v>
      </x:c>
      <x:c r="N86" s="27"/>
      <x:c r="O86" s="27"/>
      <x:c r="P86" s="27" t="n">
        <x:v>46058</x:v>
      </x:c>
      <x:c r="Q86" s="27" t="n">
        <x:v>44927</x:v>
      </x:c>
      <x:c r="R86" s="27" t="n">
        <x:v>46058</x:v>
      </x:c>
      <x:c r="S86" s="27" t="n">
        <x:v>44100000</x:v>
      </x:c>
      <x:c r="T86" s="27" t="n">
        <x:v>315000000</x:v>
      </x:c>
      <x:c r="U86" s="27" t="n">
        <x:v>44100000</x:v>
      </x:c>
      <x:c r="V86" s="27" t="str">
        <x:v>M</x:v>
      </x:c>
      <x:c r="W86" s="27" t="str">
        <x:v>N</x:v>
      </x:c>
      <x:c r="X86" s="27" t="n">
        <x:v>10</x:v>
      </x:c>
      <x:c r="Y86" s="27" t="str">
        <x:v>B</x:v>
      </x:c>
      <x:c r="Z86" s="27" t="n">
        <x:v>45969</x:v>
      </x:c>
      <x:c r="AA86" s="27" t="str">
        <x:v>C</x:v>
      </x:c>
      <x:c r="AB86" s="27" t="n">
        <x:v>7.5615</x:v>
      </x:c>
      <x:c r="AC86" s="27" t="n">
        <x:v>7.1</x:v>
      </x:c>
      <x:c r="AD86" s="27" t="n">
        <x:v>5292</x:v>
      </x:c>
      <x:c r="AE86" s="27" t="str">
        <x:v>Public-safe anonymized industry-style SA-CCR sample</x:v>
      </x:c>
      <x:c r="AF86" s="27" t="str">
        <x:v>ANON-000083</x:v>
      </x:c>
      <x:c r="AG86" s="27" t="str">
        <x:v>FX Option</x:v>
      </x:c>
      <x:c r="AH86" s="27"/>
      <x:c r="AI86" s="27" t="str">
        <x:v>USD/CNY</x:v>
      </x:c>
    </x:row>
    <x:row r="87">
      <x:c r="A87" s="27" t="n">
        <x:v>45702</x:v>
      </x:c>
      <x:c r="B87" s="27" t="str">
        <x:v>IND_SOVEREIGN_001</x:v>
      </x:c>
      <x:c r="C87" s="27" t="n">
        <x:v>3390</x:v>
      </x:c>
      <x:c r="D87" s="27" t="str">
        <x:v>IND-000084</x:v>
      </x:c>
      <x:c r="E87" s="27" t="str">
        <x:v>FX Option</x:v>
      </x:c>
      <x:c r="F87" s="27" t="str">
        <x:v>FX</x:v>
      </x:c>
      <x:c r="G87" s="27"/>
      <x:c r="H87" s="27" t="str">
        <x:v>USD</x:v>
      </x:c>
      <x:c r="I87" s="27" t="str">
        <x:v>CNY</x:v>
      </x:c>
      <x:c r="J87" s="27" t="str">
        <x:v>USD</x:v>
      </x:c>
      <x:c r="K87" s="27"/>
      <x:c r="L87" s="27"/>
      <x:c r="M87" s="27" t="str">
        <x:v>USD/CNY</x:v>
      </x:c>
      <x:c r="N87" s="27"/>
      <x:c r="O87" s="27"/>
      <x:c r="P87" s="27" t="n">
        <x:v>46868</x:v>
      </x:c>
      <x:c r="Q87" s="27" t="n">
        <x:v>45521</x:v>
      </x:c>
      <x:c r="R87" s="27" t="n">
        <x:v>46868</x:v>
      </x:c>
      <x:c r="S87" s="27" t="n">
        <x:v>50500000</x:v>
      </x:c>
      <x:c r="T87" s="27" t="n">
        <x:v>360714285.71</x:v>
      </x:c>
      <x:c r="U87" s="27" t="n">
        <x:v>50500000</x:v>
      </x:c>
      <x:c r="V87" s="27" t="str">
        <x:v>M</x:v>
      </x:c>
      <x:c r="W87" s="27" t="str">
        <x:v>N</x:v>
      </x:c>
      <x:c r="X87" s="27" t="n">
        <x:v>10</x:v>
      </x:c>
      <x:c r="Y87" s="27" t="str">
        <x:v>S</x:v>
      </x:c>
      <x:c r="Z87" s="27" t="n">
        <x:v>46576</x:v>
      </x:c>
      <x:c r="AA87" s="27" t="str">
        <x:v>C</x:v>
      </x:c>
      <x:c r="AB87" s="27" t="n">
        <x:v>7.5189</x:v>
      </x:c>
      <x:c r="AC87" s="27" t="n">
        <x:v>7.1</x:v>
      </x:c>
      <x:c r="AD87" s="27" t="n">
        <x:v>679477.5</x:v>
      </x:c>
      <x:c r="AE87" s="27" t="str">
        <x:v>Public-safe anonymized industry-style SA-CCR sample</x:v>
      </x:c>
      <x:c r="AF87" s="27" t="str">
        <x:v>ANON-000084</x:v>
      </x:c>
      <x:c r="AG87" s="27" t="str">
        <x:v>FX Option</x:v>
      </x:c>
      <x:c r="AH87" s="27"/>
      <x:c r="AI87" s="27" t="str">
        <x:v>USD/CNY</x:v>
      </x:c>
    </x:row>
    <x:row r="88">
      <x:c r="A88" s="27" t="n">
        <x:v>45702</x:v>
      </x:c>
      <x:c r="B88" s="27" t="str">
        <x:v>IND_HEDGE_FUND_001</x:v>
      </x:c>
      <x:c r="C88" s="27" t="n">
        <x:v>3012</x:v>
      </x:c>
      <x:c r="D88" s="27" t="str">
        <x:v>IND-000085</x:v>
      </x:c>
      <x:c r="E88" s="27" t="str">
        <x:v>Interest Rate Swap</x:v>
      </x:c>
      <x:c r="F88" s="27" t="str">
        <x:v>Interest Rate</x:v>
      </x:c>
      <x:c r="G88" s="27"/>
      <x:c r="H88" s="27" t="str">
        <x:v>CNY</x:v>
      </x:c>
      <x:c r="I88" s="27" t="str">
        <x:v>CNY</x:v>
      </x:c>
      <x:c r="J88" s="27" t="str">
        <x:v>CNY</x:v>
      </x:c>
      <x:c r="K88" s="27"/>
      <x:c r="L88" s="27"/>
      <x:c r="M88" s="27" t="str">
        <x:v>CNY</x:v>
      </x:c>
      <x:c r="N88" s="27"/>
      <x:c r="O88" s="27"/>
      <x:c r="P88" s="27" t="n">
        <x:v>49570</x:v>
      </x:c>
      <x:c r="Q88" s="27" t="n">
        <x:v>45161</x:v>
      </x:c>
      <x:c r="R88" s="27" t="n">
        <x:v>49570</x:v>
      </x:c>
      <x:c r="S88" s="27" t="n">
        <x:v>6292857142.86</x:v>
      </x:c>
      <x:c r="T88" s="27" t="n">
        <x:v>6292857142.86</x:v>
      </x:c>
      <x:c r="U88" s="27" t="n">
        <x:v>881000000</x:v>
      </x:c>
      <x:c r="V88" s="27" t="str">
        <x:v>U</x:v>
      </x:c>
      <x:c r="W88" s="27" t="str">
        <x:v>N</x:v>
      </x:c>
      <x:c r="X88" s="27"/>
      <x:c r="Y88" s="27" t="str">
        <x:v>S</x:v>
      </x:c>
      <x:c r="Z88" s="27"/>
      <x:c r="AA88" s="27"/>
      <x:c r="AB88" s="27" t="n">
        <x:v>0</x:v>
      </x:c>
      <x:c r="AC88" s="27" t="n">
        <x:v>0</x:v>
      </x:c>
      <x:c r="AD88" s="27" t="n">
        <x:v>512742</x:v>
      </x:c>
      <x:c r="AE88" s="27" t="str">
        <x:v>Public-safe anonymized industry-style SA-CCR sample</x:v>
      </x:c>
      <x:c r="AF88" s="27" t="str">
        <x:v>ANON-000085</x:v>
      </x:c>
      <x:c r="AG88" s="27" t="str">
        <x:v>Interest Rate Swap</x:v>
      </x:c>
      <x:c r="AH88" s="27"/>
      <x:c r="AI88" s="27" t="str">
        <x:v>CNY</x:v>
      </x:c>
    </x:row>
    <x:row r="89">
      <x:c r="A89" s="27" t="n">
        <x:v>45702</x:v>
      </x:c>
      <x:c r="B89" s="27" t="str">
        <x:v>IND_BANK_002</x:v>
      </x:c>
      <x:c r="C89" s="27" t="n">
        <x:v>3132</x:v>
      </x:c>
      <x:c r="D89" s="27" t="str">
        <x:v>IND-000086</x:v>
      </x:c>
      <x:c r="E89" s="27" t="str">
        <x:v>Interest Rate Swap</x:v>
      </x:c>
      <x:c r="F89" s="27" t="str">
        <x:v>Interest Rate</x:v>
      </x:c>
      <x:c r="G89" s="27"/>
      <x:c r="H89" s="27" t="str">
        <x:v>USD</x:v>
      </x:c>
      <x:c r="I89" s="27" t="str">
        <x:v>USD</x:v>
      </x:c>
      <x:c r="J89" s="27" t="str">
        <x:v>USD</x:v>
      </x:c>
      <x:c r="K89" s="27"/>
      <x:c r="L89" s="27"/>
      <x:c r="M89" s="27" t="str">
        <x:v>USD</x:v>
      </x:c>
      <x:c r="N89" s="27"/>
      <x:c r="O89" s="27"/>
      <x:c r="P89" s="27" t="n">
        <x:v>48669</x:v>
      </x:c>
      <x:c r="Q89" s="27" t="n">
        <x:v>45316</x:v>
      </x:c>
      <x:c r="R89" s="27" t="n">
        <x:v>48669</x:v>
      </x:c>
      <x:c r="S89" s="27" t="n">
        <x:v>81200000</x:v>
      </x:c>
      <x:c r="T89" s="27" t="n">
        <x:v>81200000</x:v>
      </x:c>
      <x:c r="U89" s="27" t="n">
        <x:v>81200000</x:v>
      </x:c>
      <x:c r="V89" s="27" t="str">
        <x:v>U</x:v>
      </x:c>
      <x:c r="W89" s="27" t="str">
        <x:v>N</x:v>
      </x:c>
      <x:c r="X89" s="27"/>
      <x:c r="Y89" s="27" t="str">
        <x:v>B</x:v>
      </x:c>
      <x:c r="Z89" s="27"/>
      <x:c r="AA89" s="27"/>
      <x:c r="AB89" s="27" t="n">
        <x:v>0</x:v>
      </x:c>
      <x:c r="AC89" s="27" t="n">
        <x:v>0</x:v>
      </x:c>
      <x:c r="AD89" s="27" t="n">
        <x:v>-214855.2</x:v>
      </x:c>
      <x:c r="AE89" s="27" t="str">
        <x:v>Public-safe anonymized industry-style SA-CCR sample</x:v>
      </x:c>
      <x:c r="AF89" s="27" t="str">
        <x:v>ANON-000086</x:v>
      </x:c>
      <x:c r="AG89" s="27" t="str">
        <x:v>Interest Rate Swap</x:v>
      </x:c>
      <x:c r="AH89" s="27"/>
      <x:c r="AI89" s="27" t="str">
        <x:v>USD</x:v>
      </x:c>
    </x:row>
    <x:row r="90">
      <x:c r="A90" s="27" t="n">
        <x:v>45702</x:v>
      </x:c>
      <x:c r="B90" s="27" t="str">
        <x:v>IND_ASSET_MANAGER_001</x:v>
      </x:c>
      <x:c r="C90" s="27" t="n">
        <x:v>3222</x:v>
      </x:c>
      <x:c r="D90" s="27" t="str">
        <x:v>IND-000087</x:v>
      </x:c>
      <x:c r="E90" s="27" t="str">
        <x:v>Interest Rate Swap</x:v>
      </x:c>
      <x:c r="F90" s="27" t="str">
        <x:v>Interest Rate</x:v>
      </x:c>
      <x:c r="G90" s="27"/>
      <x:c r="H90" s="27" t="str">
        <x:v>JPY</x:v>
      </x:c>
      <x:c r="I90" s="27" t="str">
        <x:v>JPY</x:v>
      </x:c>
      <x:c r="J90" s="27" t="str">
        <x:v>JPY</x:v>
      </x:c>
      <x:c r="K90" s="27"/>
      <x:c r="L90" s="27"/>
      <x:c r="M90" s="27" t="str">
        <x:v>JPY</x:v>
      </x:c>
      <x:c r="N90" s="27"/>
      <x:c r="O90" s="27"/>
      <x:c r="P90" s="27" t="n">
        <x:v>46756</x:v>
      </x:c>
      <x:c r="Q90" s="27" t="n">
        <x:v>45197</x:v>
      </x:c>
      <x:c r="R90" s="27" t="n">
        <x:v>46756</x:v>
      </x:c>
      <x:c r="S90" s="27" t="n">
        <x:v>7343283582.09</x:v>
      </x:c>
      <x:c r="T90" s="27" t="n">
        <x:v>7343283582.09</x:v>
      </x:c>
      <x:c r="U90" s="27" t="n">
        <x:v>49200000</x:v>
      </x:c>
      <x:c r="V90" s="27" t="str">
        <x:v>U</x:v>
      </x:c>
      <x:c r="W90" s="27" t="str">
        <x:v>Y</x:v>
      </x:c>
      <x:c r="X90" s="27" t="n">
        <x:v>5</x:v>
      </x:c>
      <x:c r="Y90" s="27" t="str">
        <x:v>S</x:v>
      </x:c>
      <x:c r="Z90" s="27"/>
      <x:c r="AA90" s="27"/>
      <x:c r="AB90" s="27" t="n">
        <x:v>0</x:v>
      </x:c>
      <x:c r="AC90" s="27" t="n">
        <x:v>0</x:v>
      </x:c>
      <x:c r="AD90" s="27" t="n">
        <x:v>-111290.4</x:v>
      </x:c>
      <x:c r="AE90" s="27" t="str">
        <x:v>Public-safe anonymized industry-style SA-CCR sample</x:v>
      </x:c>
      <x:c r="AF90" s="27" t="str">
        <x:v>ANON-000087</x:v>
      </x:c>
      <x:c r="AG90" s="27" t="str">
        <x:v>Interest Rate Swap</x:v>
      </x:c>
      <x:c r="AH90" s="27"/>
      <x:c r="AI90" s="27" t="str">
        <x:v>JPY</x:v>
      </x:c>
    </x:row>
    <x:row r="91">
      <x:c r="A91" s="27" t="n">
        <x:v>45702</x:v>
      </x:c>
      <x:c r="B91" s="27" t="str">
        <x:v>IND_BANK_001</x:v>
      </x:c>
      <x:c r="C91" s="27" t="n">
        <x:v>3219</x:v>
      </x:c>
      <x:c r="D91" s="27" t="str">
        <x:v>IND-000088</x:v>
      </x:c>
      <x:c r="E91" s="27" t="str">
        <x:v>Interest Rate Swap</x:v>
      </x:c>
      <x:c r="F91" s="27" t="str">
        <x:v>Interest Rate</x:v>
      </x:c>
      <x:c r="G91" s="27"/>
      <x:c r="H91" s="27" t="str">
        <x:v>CNY</x:v>
      </x:c>
      <x:c r="I91" s="27" t="str">
        <x:v>CNY</x:v>
      </x:c>
      <x:c r="J91" s="27" t="str">
        <x:v>CNY</x:v>
      </x:c>
      <x:c r="K91" s="27" t="str">
        <x:v>Basis</x:v>
      </x:c>
      <x:c r="L91" s="27"/>
      <x:c r="M91" s="27" t="str">
        <x:v>CNY</x:v>
      </x:c>
      <x:c r="N91" s="27"/>
      <x:c r="O91" s="27"/>
      <x:c r="P91" s="27" t="n">
        <x:v>49638</x:v>
      </x:c>
      <x:c r="Q91" s="27" t="n">
        <x:v>45639</x:v>
      </x:c>
      <x:c r="R91" s="27" t="n">
        <x:v>49638</x:v>
      </x:c>
      <x:c r="S91" s="27" t="n">
        <x:v>2414285714.29</x:v>
      </x:c>
      <x:c r="T91" s="27" t="n">
        <x:v>2414285714.29</x:v>
      </x:c>
      <x:c r="U91" s="27" t="n">
        <x:v>338000000</x:v>
      </x:c>
      <x:c r="V91" s="27" t="str">
        <x:v>M</x:v>
      </x:c>
      <x:c r="W91" s="27" t="str">
        <x:v>N</x:v>
      </x:c>
      <x:c r="X91" s="27" t="n">
        <x:v>10</x:v>
      </x:c>
      <x:c r="Y91" s="27" t="str">
        <x:v>S</x:v>
      </x:c>
      <x:c r="Z91" s="27"/>
      <x:c r="AA91" s="27"/>
      <x:c r="AB91" s="27" t="n">
        <x:v>0</x:v>
      </x:c>
      <x:c r="AC91" s="27" t="n">
        <x:v>0</x:v>
      </x:c>
      <x:c r="AD91" s="27" t="n">
        <x:v>-1687296</x:v>
      </x:c>
      <x:c r="AE91" s="27" t="str">
        <x:v>Public-safe anonymized industry-style SA-CCR sample</x:v>
      </x:c>
      <x:c r="AF91" s="27" t="str">
        <x:v>ANON-000088</x:v>
      </x:c>
      <x:c r="AG91" s="27" t="str">
        <x:v>Interest Rate Swap</x:v>
      </x:c>
      <x:c r="AH91" s="27"/>
      <x:c r="AI91" s="27" t="str">
        <x:v>CNY</x:v>
      </x:c>
    </x:row>
    <x:row r="92">
      <x:c r="A92" s="27" t="n">
        <x:v>45702</x:v>
      </x:c>
      <x:c r="B92" s="27" t="str">
        <x:v>IND_CORPORATE_002</x:v>
      </x:c>
      <x:c r="C92" s="27" t="n">
        <x:v>3273</x:v>
      </x:c>
      <x:c r="D92" s="27" t="str">
        <x:v>IND-000089</x:v>
      </x:c>
      <x:c r="E92" s="27" t="str">
        <x:v>Interest Rate Swap</x:v>
      </x:c>
      <x:c r="F92" s="27" t="str">
        <x:v>Interest Rate</x:v>
      </x:c>
      <x:c r="G92" s="27"/>
      <x:c r="H92" s="27" t="str">
        <x:v>EUR</x:v>
      </x:c>
      <x:c r="I92" s="27" t="str">
        <x:v>EUR</x:v>
      </x:c>
      <x:c r="J92" s="27" t="str">
        <x:v>EUR</x:v>
      </x:c>
      <x:c r="K92" s="27"/>
      <x:c r="L92" s="27"/>
      <x:c r="M92" s="27" t="str">
        <x:v>EUR</x:v>
      </x:c>
      <x:c r="N92" s="27"/>
      <x:c r="O92" s="27"/>
      <x:c r="P92" s="27" t="n">
        <x:v>46545</x:v>
      </x:c>
      <x:c r="Q92" s="27" t="n">
        <x:v>45572</x:v>
      </x:c>
      <x:c r="R92" s="27" t="n">
        <x:v>46545</x:v>
      </x:c>
      <x:c r="S92" s="27" t="n">
        <x:v>1004761904.76</x:v>
      </x:c>
      <x:c r="T92" s="27" t="n">
        <x:v>1004761904.76</x:v>
      </x:c>
      <x:c r="U92" s="27" t="n">
        <x:v>1055000000</x:v>
      </x:c>
      <x:c r="V92" s="27" t="str">
        <x:v>U</x:v>
      </x:c>
      <x:c r="W92" s="27" t="str">
        <x:v>Y</x:v>
      </x:c>
      <x:c r="X92" s="27" t="n">
        <x:v>5</x:v>
      </x:c>
      <x:c r="Y92" s="27" t="str">
        <x:v>B</x:v>
      </x:c>
      <x:c r="Z92" s="27"/>
      <x:c r="AA92" s="27"/>
      <x:c r="AB92" s="27" t="n">
        <x:v>0</x:v>
      </x:c>
      <x:c r="AC92" s="27" t="n">
        <x:v>0</x:v>
      </x:c>
      <x:c r="AD92" s="27" t="n">
        <x:v>386130</x:v>
      </x:c>
      <x:c r="AE92" s="27" t="str">
        <x:v>Public-safe anonymized industry-style SA-CCR sample</x:v>
      </x:c>
      <x:c r="AF92" s="27" t="str">
        <x:v>ANON-000089</x:v>
      </x:c>
      <x:c r="AG92" s="27" t="str">
        <x:v>Interest Rate Swap</x:v>
      </x:c>
      <x:c r="AH92" s="27"/>
      <x:c r="AI92" s="27" t="str">
        <x:v>EUR</x:v>
      </x:c>
    </x:row>
    <x:row r="93">
      <x:c r="A93" s="27" t="n">
        <x:v>45702</x:v>
      </x:c>
      <x:c r="B93" s="27" t="str">
        <x:v>IND_BROKER_001</x:v>
      </x:c>
      <x:c r="C93" s="27" t="n">
        <x:v>3332</x:v>
      </x:c>
      <x:c r="D93" s="27" t="str">
        <x:v>IND-000090</x:v>
      </x:c>
      <x:c r="E93" s="27" t="str">
        <x:v>Interest Rate Swap</x:v>
      </x:c>
      <x:c r="F93" s="27" t="str">
        <x:v>Interest Rate</x:v>
      </x:c>
      <x:c r="G93" s="27"/>
      <x:c r="H93" s="27" t="str">
        <x:v>EUR</x:v>
      </x:c>
      <x:c r="I93" s="27" t="str">
        <x:v>EUR</x:v>
      </x:c>
      <x:c r="J93" s="27" t="str">
        <x:v>EUR</x:v>
      </x:c>
      <x:c r="K93" s="27" t="str">
        <x:v>Basis</x:v>
      </x:c>
      <x:c r="L93" s="27"/>
      <x:c r="M93" s="27" t="str">
        <x:v>EUR</x:v>
      </x:c>
      <x:c r="N93" s="27"/>
      <x:c r="O93" s="27"/>
      <x:c r="P93" s="27" t="n">
        <x:v>46503</x:v>
      </x:c>
      <x:c r="Q93" s="27" t="n">
        <x:v>45410</x:v>
      </x:c>
      <x:c r="R93" s="27" t="n">
        <x:v>46503</x:v>
      </x:c>
      <x:c r="S93" s="27" t="n">
        <x:v>10666666.67</x:v>
      </x:c>
      <x:c r="T93" s="27" t="n">
        <x:v>10666666.67</x:v>
      </x:c>
      <x:c r="U93" s="27" t="n">
        <x:v>11200000</x:v>
      </x:c>
      <x:c r="V93" s="27" t="str">
        <x:v>M</x:v>
      </x:c>
      <x:c r="W93" s="27" t="str">
        <x:v>N</x:v>
      </x:c>
      <x:c r="X93" s="27" t="n">
        <x:v>10</x:v>
      </x:c>
      <x:c r="Y93" s="27" t="str">
        <x:v>S</x:v>
      </x:c>
      <x:c r="Z93" s="27"/>
      <x:c r="AA93" s="27"/>
      <x:c r="AB93" s="27" t="n">
        <x:v>0</x:v>
      </x:c>
      <x:c r="AC93" s="27" t="n">
        <x:v>0</x:v>
      </x:c>
      <x:c r="AD93" s="27" t="n">
        <x:v>-32659.2</x:v>
      </x:c>
      <x:c r="AE93" s="27" t="str">
        <x:v>Public-safe anonymized industry-style SA-CCR sample</x:v>
      </x:c>
      <x:c r="AF93" s="27" t="str">
        <x:v>ANON-000090</x:v>
      </x:c>
      <x:c r="AG93" s="27" t="str">
        <x:v>Interest Rate Swap</x:v>
      </x:c>
      <x:c r="AH93" s="27"/>
      <x:c r="AI93" s="27" t="str">
        <x:v>EUR</x:v>
      </x:c>
    </x:row>
    <x:row r="94">
      <x:c r="A94" s="27" t="n">
        <x:v>45702</x:v>
      </x:c>
      <x:c r="B94" s="27" t="str">
        <x:v>IND_REGIONAL_BANK_001</x:v>
      </x:c>
      <x:c r="C94" s="27" t="n">
        <x:v>3054</x:v>
      </x:c>
      <x:c r="D94" s="27" t="str">
        <x:v>IND-000091</x:v>
      </x:c>
      <x:c r="E94" s="27" t="str">
        <x:v>Interest Rate Swap</x:v>
      </x:c>
      <x:c r="F94" s="27" t="str">
        <x:v>Interest Rate</x:v>
      </x:c>
      <x:c r="G94" s="27"/>
      <x:c r="H94" s="27" t="str">
        <x:v>JPY</x:v>
      </x:c>
      <x:c r="I94" s="27" t="str">
        <x:v>JPY</x:v>
      </x:c>
      <x:c r="J94" s="27" t="str">
        <x:v>JPY</x:v>
      </x:c>
      <x:c r="K94" s="27"/>
      <x:c r="L94" s="27"/>
      <x:c r="M94" s="27" t="str">
        <x:v>JPY</x:v>
      </x:c>
      <x:c r="N94" s="27"/>
      <x:c r="O94" s="27"/>
      <x:c r="P94" s="27" t="n">
        <x:v>49052</x:v>
      </x:c>
      <x:c r="Q94" s="27" t="n">
        <x:v>45588</x:v>
      </x:c>
      <x:c r="R94" s="27" t="n">
        <x:v>49052</x:v>
      </x:c>
      <x:c r="S94" s="27" t="n">
        <x:v>5805970149.25</x:v>
      </x:c>
      <x:c r="T94" s="27" t="n">
        <x:v>5805970149.25</x:v>
      </x:c>
      <x:c r="U94" s="27" t="n">
        <x:v>38900000</x:v>
      </x:c>
      <x:c r="V94" s="27" t="str">
        <x:v>U</x:v>
      </x:c>
      <x:c r="W94" s="27" t="str">
        <x:v>N</x:v>
      </x:c>
      <x:c r="X94" s="27"/>
      <x:c r="Y94" s="27" t="str">
        <x:v>B</x:v>
      </x:c>
      <x:c r="Z94" s="27"/>
      <x:c r="AA94" s="27"/>
      <x:c r="AB94" s="27" t="n">
        <x:v>0</x:v>
      </x:c>
      <x:c r="AC94" s="27" t="n">
        <x:v>0</x:v>
      </x:c>
      <x:c r="AD94" s="27" t="n">
        <x:v>-14937.6</x:v>
      </x:c>
      <x:c r="AE94" s="27" t="str">
        <x:v>Public-safe anonymized industry-style SA-CCR sample</x:v>
      </x:c>
      <x:c r="AF94" s="27" t="str">
        <x:v>ANON-000091</x:v>
      </x:c>
      <x:c r="AG94" s="27" t="str">
        <x:v>Interest Rate Swap</x:v>
      </x:c>
      <x:c r="AH94" s="27"/>
      <x:c r="AI94" s="27" t="str">
        <x:v>JPY</x:v>
      </x:c>
    </x:row>
    <x:row r="95">
      <x:c r="A95" s="27" t="n">
        <x:v>45702</x:v>
      </x:c>
      <x:c r="B95" s="27" t="str">
        <x:v>IND_SOVEREIGN_001</x:v>
      </x:c>
      <x:c r="C95" s="27" t="n">
        <x:v>3246</x:v>
      </x:c>
      <x:c r="D95" s="27" t="str">
        <x:v>IND-000092</x:v>
      </x:c>
      <x:c r="E95" s="27" t="str">
        <x:v>Interest Rate Swap</x:v>
      </x:c>
      <x:c r="F95" s="27" t="str">
        <x:v>Interest Rate</x:v>
      </x:c>
      <x:c r="G95" s="27"/>
      <x:c r="H95" s="27" t="str">
        <x:v>CNY</x:v>
      </x:c>
      <x:c r="I95" s="27" t="str">
        <x:v>CNY</x:v>
      </x:c>
      <x:c r="J95" s="27" t="str">
        <x:v>CNY</x:v>
      </x:c>
      <x:c r="K95" s="27"/>
      <x:c r="L95" s="27"/>
      <x:c r="M95" s="27" t="str">
        <x:v>CNY</x:v>
      </x:c>
      <x:c r="N95" s="27"/>
      <x:c r="O95" s="27"/>
      <x:c r="P95" s="27" t="n">
        <x:v>48226</x:v>
      </x:c>
      <x:c r="Q95" s="27" t="n">
        <x:v>45702</x:v>
      </x:c>
      <x:c r="R95" s="27" t="n">
        <x:v>48226</x:v>
      </x:c>
      <x:c r="S95" s="27" t="n">
        <x:v>2792857142.86</x:v>
      </x:c>
      <x:c r="T95" s="27" t="n">
        <x:v>2792857142.86</x:v>
      </x:c>
      <x:c r="U95" s="27" t="n">
        <x:v>391000000</x:v>
      </x:c>
      <x:c r="V95" s="27" t="str">
        <x:v>M</x:v>
      </x:c>
      <x:c r="W95" s="27" t="str">
        <x:v>N</x:v>
      </x:c>
      <x:c r="X95" s="27" t="n">
        <x:v>10</x:v>
      </x:c>
      <x:c r="Y95" s="27" t="str">
        <x:v>B</x:v>
      </x:c>
      <x:c r="Z95" s="27"/>
      <x:c r="AA95" s="27"/>
      <x:c r="AB95" s="27" t="n">
        <x:v>0</x:v>
      </x:c>
      <x:c r="AC95" s="27" t="n">
        <x:v>0</x:v>
      </x:c>
      <x:c r="AD95" s="27" t="n">
        <x:v>-2261544</x:v>
      </x:c>
      <x:c r="AE95" s="27" t="str">
        <x:v>Public-safe anonymized industry-style SA-CCR sample</x:v>
      </x:c>
      <x:c r="AF95" s="27" t="str">
        <x:v>ANON-000092</x:v>
      </x:c>
      <x:c r="AG95" s="27" t="str">
        <x:v>Interest Rate Swap</x:v>
      </x:c>
      <x:c r="AH95" s="27"/>
      <x:c r="AI95" s="27" t="str">
        <x:v>CNY</x:v>
      </x:c>
    </x:row>
    <x:row r="96">
      <x:c r="A96" s="27" t="n">
        <x:v>45702</x:v>
      </x:c>
      <x:c r="B96" s="27" t="str">
        <x:v>IND_PENSION_001</x:v>
      </x:c>
      <x:c r="C96" s="27" t="n">
        <x:v>3103</x:v>
      </x:c>
      <x:c r="D96" s="27" t="str">
        <x:v>IND-000093</x:v>
      </x:c>
      <x:c r="E96" s="27" t="str">
        <x:v>Interest Rate Swap</x:v>
      </x:c>
      <x:c r="F96" s="27" t="str">
        <x:v>Interest Rate</x:v>
      </x:c>
      <x:c r="G96" s="27"/>
      <x:c r="H96" s="27" t="str">
        <x:v>USD</x:v>
      </x:c>
      <x:c r="I96" s="27" t="str">
        <x:v>USD</x:v>
      </x:c>
      <x:c r="J96" s="27" t="str">
        <x:v>USD</x:v>
      </x:c>
      <x:c r="K96" s="27"/>
      <x:c r="L96" s="27"/>
      <x:c r="M96" s="27" t="str">
        <x:v>USD</x:v>
      </x:c>
      <x:c r="N96" s="27"/>
      <x:c r="O96" s="27"/>
      <x:c r="P96" s="27" t="n">
        <x:v>48587</x:v>
      </x:c>
      <x:c r="Q96" s="27" t="n">
        <x:v>44911</x:v>
      </x:c>
      <x:c r="R96" s="27" t="n">
        <x:v>48587</x:v>
      </x:c>
      <x:c r="S96" s="27" t="n">
        <x:v>1656000000</x:v>
      </x:c>
      <x:c r="T96" s="27" t="n">
        <x:v>1656000000</x:v>
      </x:c>
      <x:c r="U96" s="27" t="n">
        <x:v>1656000000</x:v>
      </x:c>
      <x:c r="V96" s="27" t="str">
        <x:v>M</x:v>
      </x:c>
      <x:c r="W96" s="27" t="str">
        <x:v>N</x:v>
      </x:c>
      <x:c r="X96" s="27" t="n">
        <x:v>10</x:v>
      </x:c>
      <x:c r="Y96" s="27" t="str">
        <x:v>S</x:v>
      </x:c>
      <x:c r="Z96" s="27"/>
      <x:c r="AA96" s="27"/>
      <x:c r="AB96" s="27" t="n">
        <x:v>0</x:v>
      </x:c>
      <x:c r="AC96" s="27" t="n">
        <x:v>0</x:v>
      </x:c>
      <x:c r="AD96" s="27" t="n">
        <x:v>4043952</x:v>
      </x:c>
      <x:c r="AE96" s="27" t="str">
        <x:v>Public-safe anonymized industry-style SA-CCR sample</x:v>
      </x:c>
      <x:c r="AF96" s="27" t="str">
        <x:v>ANON-000093</x:v>
      </x:c>
      <x:c r="AG96" s="27" t="str">
        <x:v>Interest Rate Swap</x:v>
      </x:c>
      <x:c r="AH96" s="27"/>
      <x:c r="AI96" s="27" t="str">
        <x:v>USD</x:v>
      </x:c>
    </x:row>
    <x:row r="97">
      <x:c r="A97" s="27" t="n">
        <x:v>45702</x:v>
      </x:c>
      <x:c r="B97" s="27" t="str">
        <x:v>IND_CLEARING_MEMBER_001</x:v>
      </x:c>
      <x:c r="C97" s="27" t="n">
        <x:v>3399</x:v>
      </x:c>
      <x:c r="D97" s="27" t="str">
        <x:v>IND-000094</x:v>
      </x:c>
      <x:c r="E97" s="27" t="str">
        <x:v>Interest Rate Swap</x:v>
      </x:c>
      <x:c r="F97" s="27" t="str">
        <x:v>Interest Rate</x:v>
      </x:c>
      <x:c r="G97" s="27"/>
      <x:c r="H97" s="27" t="str">
        <x:v>EUR</x:v>
      </x:c>
      <x:c r="I97" s="27" t="str">
        <x:v>EUR</x:v>
      </x:c>
      <x:c r="J97" s="27" t="str">
        <x:v>EUR</x:v>
      </x:c>
      <x:c r="K97" s="27"/>
      <x:c r="L97" s="27"/>
      <x:c r="M97" s="27" t="str">
        <x:v>EUR</x:v>
      </x:c>
      <x:c r="N97" s="27"/>
      <x:c r="O97" s="27"/>
      <x:c r="P97" s="27" t="n">
        <x:v>47336</x:v>
      </x:c>
      <x:c r="Q97" s="27" t="n">
        <x:v>45090</x:v>
      </x:c>
      <x:c r="R97" s="27" t="n">
        <x:v>47336</x:v>
      </x:c>
      <x:c r="S97" s="27" t="n">
        <x:v>829523809.52</x:v>
      </x:c>
      <x:c r="T97" s="27" t="n">
        <x:v>829523809.52</x:v>
      </x:c>
      <x:c r="U97" s="27" t="n">
        <x:v>871000000</x:v>
      </x:c>
      <x:c r="V97" s="27" t="str">
        <x:v>U</x:v>
      </x:c>
      <x:c r="W97" s="27" t="str">
        <x:v>N</x:v>
      </x:c>
      <x:c r="X97" s="27"/>
      <x:c r="Y97" s="27" t="str">
        <x:v>S</x:v>
      </x:c>
      <x:c r="Z97" s="27"/>
      <x:c r="AA97" s="27"/>
      <x:c r="AB97" s="27" t="n">
        <x:v>0</x:v>
      </x:c>
      <x:c r="AC97" s="27" t="n">
        <x:v>0</x:v>
      </x:c>
      <x:c r="AD97" s="27" t="n">
        <x:v>-365820</x:v>
      </x:c>
      <x:c r="AE97" s="27" t="str">
        <x:v>Public-safe anonymized industry-style SA-CCR sample</x:v>
      </x:c>
      <x:c r="AF97" s="27" t="str">
        <x:v>ANON-000094</x:v>
      </x:c>
      <x:c r="AG97" s="27" t="str">
        <x:v>Interest Rate Swap</x:v>
      </x:c>
      <x:c r="AH97" s="27"/>
      <x:c r="AI97" s="27" t="str">
        <x:v>EUR</x:v>
      </x:c>
    </x:row>
    <x:row r="98">
      <x:c r="A98" s="27" t="n">
        <x:v>45702</x:v>
      </x:c>
      <x:c r="B98" s="27" t="str">
        <x:v>IND_BANK_002</x:v>
      </x:c>
      <x:c r="C98" s="27" t="n">
        <x:v>3049</x:v>
      </x:c>
      <x:c r="D98" s="27" t="str">
        <x:v>IND-000095</x:v>
      </x:c>
      <x:c r="E98" s="27" t="str">
        <x:v>Interest Rate Swap</x:v>
      </x:c>
      <x:c r="F98" s="27" t="str">
        <x:v>Interest Rate</x:v>
      </x:c>
      <x:c r="G98" s="27"/>
      <x:c r="H98" s="27" t="str">
        <x:v>USD</x:v>
      </x:c>
      <x:c r="I98" s="27" t="str">
        <x:v>USD</x:v>
      </x:c>
      <x:c r="J98" s="27" t="str">
        <x:v>USD</x:v>
      </x:c>
      <x:c r="K98" s="27"/>
      <x:c r="L98" s="27"/>
      <x:c r="M98" s="27" t="str">
        <x:v>USD</x:v>
      </x:c>
      <x:c r="N98" s="27"/>
      <x:c r="O98" s="27"/>
      <x:c r="P98" s="27" t="n">
        <x:v>49562</x:v>
      </x:c>
      <x:c r="Q98" s="27" t="n">
        <x:v>44835</x:v>
      </x:c>
      <x:c r="R98" s="27" t="n">
        <x:v>49562</x:v>
      </x:c>
      <x:c r="S98" s="27" t="n">
        <x:v>42900000</x:v>
      </x:c>
      <x:c r="T98" s="27" t="n">
        <x:v>42900000</x:v>
      </x:c>
      <x:c r="U98" s="27" t="n">
        <x:v>42900000</x:v>
      </x:c>
      <x:c r="V98" s="27" t="str">
        <x:v>M</x:v>
      </x:c>
      <x:c r="W98" s="27" t="str">
        <x:v>Y</x:v>
      </x:c>
      <x:c r="X98" s="27" t="n">
        <x:v>5</x:v>
      </x:c>
      <x:c r="Y98" s="27" t="str">
        <x:v>B</x:v>
      </x:c>
      <x:c r="Z98" s="27"/>
      <x:c r="AA98" s="27"/>
      <x:c r="AB98" s="27" t="n">
        <x:v>0</x:v>
      </x:c>
      <x:c r="AC98" s="27" t="n">
        <x:v>0</x:v>
      </x:c>
      <x:c r="AD98" s="27" t="n">
        <x:v>235263.6</x:v>
      </x:c>
      <x:c r="AE98" s="27" t="str">
        <x:v>Public-safe anonymized industry-style SA-CCR sample</x:v>
      </x:c>
      <x:c r="AF98" s="27" t="str">
        <x:v>ANON-000095</x:v>
      </x:c>
      <x:c r="AG98" s="27" t="str">
        <x:v>Interest Rate Swap</x:v>
      </x:c>
      <x:c r="AH98" s="27"/>
      <x:c r="AI98" s="27" t="str">
        <x:v>USD</x:v>
      </x:c>
    </x:row>
    <x:row r="99">
      <x:c r="A99" s="27" t="n">
        <x:v>45702</x:v>
      </x:c>
      <x:c r="B99" s="27" t="str">
        <x:v>IND_INSURER_001</x:v>
      </x:c>
      <x:c r="C99" s="27" t="n">
        <x:v>3048</x:v>
      </x:c>
      <x:c r="D99" s="27" t="str">
        <x:v>IND-000096</x:v>
      </x:c>
      <x:c r="E99" s="27" t="str">
        <x:v>Interest Rate Swap</x:v>
      </x:c>
      <x:c r="F99" s="27" t="str">
        <x:v>Interest Rate</x:v>
      </x:c>
      <x:c r="G99" s="27"/>
      <x:c r="H99" s="27" t="str">
        <x:v>JPY</x:v>
      </x:c>
      <x:c r="I99" s="27" t="str">
        <x:v>JPY</x:v>
      </x:c>
      <x:c r="J99" s="27" t="str">
        <x:v>JPY</x:v>
      </x:c>
      <x:c r="K99" s="27"/>
      <x:c r="L99" s="27"/>
      <x:c r="M99" s="27" t="str">
        <x:v>JPY</x:v>
      </x:c>
      <x:c r="N99" s="27"/>
      <x:c r="O99" s="27"/>
      <x:c r="P99" s="27" t="n">
        <x:v>48104</x:v>
      </x:c>
      <x:c r="Q99" s="27" t="n">
        <x:v>44964</x:v>
      </x:c>
      <x:c r="R99" s="27" t="n">
        <x:v>48104</x:v>
      </x:c>
      <x:c r="S99" s="27" t="n">
        <x:v>168805970149.25</x:v>
      </x:c>
      <x:c r="T99" s="27" t="n">
        <x:v>168805970149.25</x:v>
      </x:c>
      <x:c r="U99" s="27" t="n">
        <x:v>1131000000</x:v>
      </x:c>
      <x:c r="V99" s="27" t="str">
        <x:v>U</x:v>
      </x:c>
      <x:c r="W99" s="27" t="str">
        <x:v>N</x:v>
      </x:c>
      <x:c r="X99" s="27"/>
      <x:c r="Y99" s="27" t="str">
        <x:v>S</x:v>
      </x:c>
      <x:c r="Z99" s="27"/>
      <x:c r="AA99" s="27"/>
      <x:c r="AB99" s="27" t="n">
        <x:v>0</x:v>
      </x:c>
      <x:c r="AC99" s="27" t="n">
        <x:v>0</x:v>
      </x:c>
      <x:c r="AD99" s="27" t="n">
        <x:v>4858776</x:v>
      </x:c>
      <x:c r="AE99" s="27" t="str">
        <x:v>Public-safe anonymized industry-style SA-CCR sample</x:v>
      </x:c>
      <x:c r="AF99" s="27" t="str">
        <x:v>ANON-000096</x:v>
      </x:c>
      <x:c r="AG99" s="27" t="str">
        <x:v>Interest Rate Swap</x:v>
      </x:c>
      <x:c r="AH99" s="27"/>
      <x:c r="AI99" s="27" t="str">
        <x:v>JPY</x:v>
      </x:c>
    </x:row>
    <x:row r="100">
      <x:c r="A100" s="27" t="n">
        <x:v>45702</x:v>
      </x:c>
      <x:c r="B100" s="27" t="str">
        <x:v>IND_BANK_002</x:v>
      </x:c>
      <x:c r="C100" s="27" t="n">
        <x:v>3049</x:v>
      </x:c>
      <x:c r="D100" s="27" t="str">
        <x:v>IND-000097</x:v>
      </x:c>
      <x:c r="E100" s="27" t="str">
        <x:v>Interest Rate Swap</x:v>
      </x:c>
      <x:c r="F100" s="27" t="str">
        <x:v>Interest Rate</x:v>
      </x:c>
      <x:c r="G100" s="27"/>
      <x:c r="H100" s="27" t="str">
        <x:v>USD</x:v>
      </x:c>
      <x:c r="I100" s="27" t="str">
        <x:v>USD</x:v>
      </x:c>
      <x:c r="J100" s="27" t="str">
        <x:v>USD</x:v>
      </x:c>
      <x:c r="K100" s="27"/>
      <x:c r="L100" s="27"/>
      <x:c r="M100" s="27" t="str">
        <x:v>USD</x:v>
      </x:c>
      <x:c r="N100" s="27"/>
      <x:c r="O100" s="27"/>
      <x:c r="P100" s="27" t="n">
        <x:v>49008</x:v>
      </x:c>
      <x:c r="Q100" s="27" t="n">
        <x:v>45550</x:v>
      </x:c>
      <x:c r="R100" s="27" t="n">
        <x:v>49008</x:v>
      </x:c>
      <x:c r="S100" s="27" t="n">
        <x:v>1358000000</x:v>
      </x:c>
      <x:c r="T100" s="27" t="n">
        <x:v>1358000000</x:v>
      </x:c>
      <x:c r="U100" s="27" t="n">
        <x:v>1358000000</x:v>
      </x:c>
      <x:c r="V100" s="27" t="str">
        <x:v>M</x:v>
      </x:c>
      <x:c r="W100" s="27" t="str">
        <x:v>N</x:v>
      </x:c>
      <x:c r="X100" s="27" t="n">
        <x:v>10</x:v>
      </x:c>
      <x:c r="Y100" s="27" t="str">
        <x:v>S</x:v>
      </x:c>
      <x:c r="Z100" s="27"/>
      <x:c r="AA100" s="27"/>
      <x:c r="AB100" s="27" t="n">
        <x:v>0</x:v>
      </x:c>
      <x:c r="AC100" s="27" t="n">
        <x:v>0</x:v>
      </x:c>
      <x:c r="AD100" s="27" t="n">
        <x:v>-2591064</x:v>
      </x:c>
      <x:c r="AE100" s="27" t="str">
        <x:v>Public-safe anonymized industry-style SA-CCR sample</x:v>
      </x:c>
      <x:c r="AF100" s="27" t="str">
        <x:v>ANON-000097</x:v>
      </x:c>
      <x:c r="AG100" s="27" t="str">
        <x:v>Interest Rate Swap</x:v>
      </x:c>
      <x:c r="AH100" s="27"/>
      <x:c r="AI100" s="27" t="str">
        <x:v>USD</x:v>
      </x:c>
    </x:row>
    <x:row r="101">
      <x:c r="A101" s="27" t="n">
        <x:v>45702</x:v>
      </x:c>
      <x:c r="B101" s="27" t="str">
        <x:v>IND_CORPORATE_002</x:v>
      </x:c>
      <x:c r="C101" s="27" t="n">
        <x:v>3074</x:v>
      </x:c>
      <x:c r="D101" s="27" t="str">
        <x:v>IND-000098</x:v>
      </x:c>
      <x:c r="E101" s="27" t="str">
        <x:v>Interest Rate Swap</x:v>
      </x:c>
      <x:c r="F101" s="27" t="str">
        <x:v>Interest Rate</x:v>
      </x:c>
      <x:c r="G101" s="27"/>
      <x:c r="H101" s="27" t="str">
        <x:v>EUR</x:v>
      </x:c>
      <x:c r="I101" s="27" t="str">
        <x:v>EUR</x:v>
      </x:c>
      <x:c r="J101" s="27" t="str">
        <x:v>EUR</x:v>
      </x:c>
      <x:c r="K101" s="27"/>
      <x:c r="L101" s="27"/>
      <x:c r="M101" s="27" t="str">
        <x:v>EUR</x:v>
      </x:c>
      <x:c r="N101" s="27"/>
      <x:c r="O101" s="27"/>
      <x:c r="P101" s="27" t="n">
        <x:v>47485</x:v>
      </x:c>
      <x:c r="Q101" s="27" t="n">
        <x:v>45413</x:v>
      </x:c>
      <x:c r="R101" s="27" t="n">
        <x:v>47485</x:v>
      </x:c>
      <x:c r="S101" s="27" t="n">
        <x:v>1700000000</x:v>
      </x:c>
      <x:c r="T101" s="27" t="n">
        <x:v>1700000000</x:v>
      </x:c>
      <x:c r="U101" s="27" t="n">
        <x:v>1785000000</x:v>
      </x:c>
      <x:c r="V101" s="27" t="str">
        <x:v>M</x:v>
      </x:c>
      <x:c r="W101" s="27" t="str">
        <x:v>N</x:v>
      </x:c>
      <x:c r="X101" s="27" t="n">
        <x:v>10</x:v>
      </x:c>
      <x:c r="Y101" s="27" t="str">
        <x:v>S</x:v>
      </x:c>
      <x:c r="Z101" s="27"/>
      <x:c r="AA101" s="27"/>
      <x:c r="AB101" s="27" t="n">
        <x:v>0</x:v>
      </x:c>
      <x:c r="AC101" s="27" t="n">
        <x:v>0</x:v>
      </x:c>
      <x:c r="AD101" s="27" t="n">
        <x:v>-2002770</x:v>
      </x:c>
      <x:c r="AE101" s="27" t="str">
        <x:v>Public-safe anonymized industry-style SA-CCR sample</x:v>
      </x:c>
      <x:c r="AF101" s="27" t="str">
        <x:v>ANON-000098</x:v>
      </x:c>
      <x:c r="AG101" s="27" t="str">
        <x:v>Interest Rate Swap</x:v>
      </x:c>
      <x:c r="AH101" s="27"/>
      <x:c r="AI101" s="27" t="str">
        <x:v>EUR</x:v>
      </x:c>
    </x:row>
    <x:row r="102">
      <x:c r="A102" s="27" t="n">
        <x:v>45702</x:v>
      </x:c>
      <x:c r="B102" s="27" t="str">
        <x:v>IND_SOVEREIGN_001</x:v>
      </x:c>
      <x:c r="C102" s="27" t="n">
        <x:v>3246</x:v>
      </x:c>
      <x:c r="D102" s="27" t="str">
        <x:v>IND-000099</x:v>
      </x:c>
      <x:c r="E102" s="27" t="str">
        <x:v>Interest Rate Swap</x:v>
      </x:c>
      <x:c r="F102" s="27" t="str">
        <x:v>Interest Rate</x:v>
      </x:c>
      <x:c r="G102" s="27"/>
      <x:c r="H102" s="27" t="str">
        <x:v>CNY</x:v>
      </x:c>
      <x:c r="I102" s="27" t="str">
        <x:v>CNY</x:v>
      </x:c>
      <x:c r="J102" s="27" t="str">
        <x:v>CNY</x:v>
      </x:c>
      <x:c r="K102" s="27"/>
      <x:c r="L102" s="27"/>
      <x:c r="M102" s="27" t="str">
        <x:v>CNY</x:v>
      </x:c>
      <x:c r="N102" s="27"/>
      <x:c r="O102" s="27"/>
      <x:c r="P102" s="27" t="n">
        <x:v>49145</x:v>
      </x:c>
      <x:c r="Q102" s="27" t="n">
        <x:v>45228</x:v>
      </x:c>
      <x:c r="R102" s="27" t="n">
        <x:v>49145</x:v>
      </x:c>
      <x:c r="S102" s="27" t="n">
        <x:v>12671428571.43</x:v>
      </x:c>
      <x:c r="T102" s="27" t="n">
        <x:v>12671428571.43</x:v>
      </x:c>
      <x:c r="U102" s="27" t="n">
        <x:v>1774000000</x:v>
      </x:c>
      <x:c r="V102" s="27" t="str">
        <x:v>M</x:v>
      </x:c>
      <x:c r="W102" s="27" t="str">
        <x:v>N</x:v>
      </x:c>
      <x:c r="X102" s="27" t="n">
        <x:v>10</x:v>
      </x:c>
      <x:c r="Y102" s="27" t="str">
        <x:v>B</x:v>
      </x:c>
      <x:c r="Z102" s="27"/>
      <x:c r="AA102" s="27"/>
      <x:c r="AB102" s="27" t="n">
        <x:v>0</x:v>
      </x:c>
      <x:c r="AC102" s="27" t="n">
        <x:v>0</x:v>
      </x:c>
      <x:c r="AD102" s="27" t="n">
        <x:v>5832912</x:v>
      </x:c>
      <x:c r="AE102" s="27" t="str">
        <x:v>Public-safe anonymized industry-style SA-CCR sample</x:v>
      </x:c>
      <x:c r="AF102" s="27" t="str">
        <x:v>ANON-000099</x:v>
      </x:c>
      <x:c r="AG102" s="27" t="str">
        <x:v>Interest Rate Swap</x:v>
      </x:c>
      <x:c r="AH102" s="27"/>
      <x:c r="AI102" s="27" t="str">
        <x:v>CNY</x:v>
      </x:c>
    </x:row>
    <x:row r="103">
      <x:c r="A103" s="27" t="n">
        <x:v>45702</x:v>
      </x:c>
      <x:c r="B103" s="27" t="str">
        <x:v>IND_REGIONAL_BANK_001</x:v>
      </x:c>
      <x:c r="C103" s="27" t="n">
        <x:v>3054</x:v>
      </x:c>
      <x:c r="D103" s="27" t="str">
        <x:v>IND-000100</x:v>
      </x:c>
      <x:c r="E103" s="27" t="str">
        <x:v>Interest Rate Swap</x:v>
      </x:c>
      <x:c r="F103" s="27" t="str">
        <x:v>Interest Rate</x:v>
      </x:c>
      <x:c r="G103" s="27"/>
      <x:c r="H103" s="27" t="str">
        <x:v>JPY</x:v>
      </x:c>
      <x:c r="I103" s="27" t="str">
        <x:v>JPY</x:v>
      </x:c>
      <x:c r="J103" s="27" t="str">
        <x:v>JPY</x:v>
      </x:c>
      <x:c r="K103" s="27"/>
      <x:c r="L103" s="27"/>
      <x:c r="M103" s="27" t="str">
        <x:v>JPY</x:v>
      </x:c>
      <x:c r="N103" s="27"/>
      <x:c r="O103" s="27"/>
      <x:c r="P103" s="27" t="n">
        <x:v>47968</x:v>
      </x:c>
      <x:c r="Q103" s="27" t="n">
        <x:v>45685</x:v>
      </x:c>
      <x:c r="R103" s="27" t="n">
        <x:v>47968</x:v>
      </x:c>
      <x:c r="S103" s="27" t="n">
        <x:v>65074626865.67</x:v>
      </x:c>
      <x:c r="T103" s="27" t="n">
        <x:v>65074626865.67</x:v>
      </x:c>
      <x:c r="U103" s="27" t="n">
        <x:v>436000000</x:v>
      </x:c>
      <x:c r="V103" s="27" t="str">
        <x:v>U</x:v>
      </x:c>
      <x:c r="W103" s="27" t="str">
        <x:v>Y</x:v>
      </x:c>
      <x:c r="X103" s="27" t="n">
        <x:v>5</x:v>
      </x:c>
      <x:c r="Y103" s="27" t="str">
        <x:v>B</x:v>
      </x:c>
      <x:c r="Z103" s="27"/>
      <x:c r="AA103" s="27"/>
      <x:c r="AB103" s="27" t="n">
        <x:v>0</x:v>
      </x:c>
      <x:c r="AC103" s="27" t="n">
        <x:v>0</x:v>
      </x:c>
      <x:c r="AD103" s="27" t="n">
        <x:v>107256</x:v>
      </x:c>
      <x:c r="AE103" s="27" t="str">
        <x:v>Public-safe anonymized industry-style SA-CCR sample</x:v>
      </x:c>
      <x:c r="AF103" s="27" t="str">
        <x:v>ANON-000100</x:v>
      </x:c>
      <x:c r="AG103" s="27" t="str">
        <x:v>Interest Rate Swap</x:v>
      </x:c>
      <x:c r="AH103" s="27"/>
      <x:c r="AI103" s="27" t="str">
        <x:v>JPY</x:v>
      </x:c>
    </x:row>
    <x:row r="104">
      <x:c r="A104" s="27" t="n">
        <x:v>45702</x:v>
      </x:c>
      <x:c r="B104" s="27" t="str">
        <x:v>IND_ASSET_MANAGER_001</x:v>
      </x:c>
      <x:c r="C104" s="27" t="n">
        <x:v>3050</x:v>
      </x:c>
      <x:c r="D104" s="27" t="str">
        <x:v>IND-000101</x:v>
      </x:c>
      <x:c r="E104" s="27" t="str">
        <x:v>Interest Rate Swap</x:v>
      </x:c>
      <x:c r="F104" s="27" t="str">
        <x:v>Interest Rate</x:v>
      </x:c>
      <x:c r="G104" s="27"/>
      <x:c r="H104" s="27" t="str">
        <x:v>JPY</x:v>
      </x:c>
      <x:c r="I104" s="27" t="str">
        <x:v>JPY</x:v>
      </x:c>
      <x:c r="J104" s="27" t="str">
        <x:v>JPY</x:v>
      </x:c>
      <x:c r="K104" s="27"/>
      <x:c r="L104" s="27"/>
      <x:c r="M104" s="27" t="str">
        <x:v>JPY</x:v>
      </x:c>
      <x:c r="N104" s="27"/>
      <x:c r="O104" s="27"/>
      <x:c r="P104" s="27" t="n">
        <x:v>46586</x:v>
      </x:c>
      <x:c r="Q104" s="27" t="n">
        <x:v>45534</x:v>
      </x:c>
      <x:c r="R104" s="27" t="n">
        <x:v>46586</x:v>
      </x:c>
      <x:c r="S104" s="27" t="n">
        <x:v>2417910447.76</x:v>
      </x:c>
      <x:c r="T104" s="27" t="n">
        <x:v>2417910447.76</x:v>
      </x:c>
      <x:c r="U104" s="27" t="n">
        <x:v>16200000</x:v>
      </x:c>
      <x:c r="V104" s="27" t="str">
        <x:v>M</x:v>
      </x:c>
      <x:c r="W104" s="27" t="str">
        <x:v>N</x:v>
      </x:c>
      <x:c r="X104" s="27" t="n">
        <x:v>10</x:v>
      </x:c>
      <x:c r="Y104" s="27" t="str">
        <x:v>S</x:v>
      </x:c>
      <x:c r="Z104" s="27"/>
      <x:c r="AA104" s="27"/>
      <x:c r="AB104" s="27" t="n">
        <x:v>0</x:v>
      </x:c>
      <x:c r="AC104" s="27" t="n">
        <x:v>0</x:v>
      </x:c>
      <x:c r="AD104" s="27" t="n">
        <x:v>39366</x:v>
      </x:c>
      <x:c r="AE104" s="27" t="str">
        <x:v>Public-safe anonymized industry-style SA-CCR sample</x:v>
      </x:c>
      <x:c r="AF104" s="27" t="str">
        <x:v>ANON-000101</x:v>
      </x:c>
      <x:c r="AG104" s="27" t="str">
        <x:v>Interest Rate Swap</x:v>
      </x:c>
      <x:c r="AH104" s="27"/>
      <x:c r="AI104" s="27" t="str">
        <x:v>JPY</x:v>
      </x:c>
    </x:row>
    <x:row r="105">
      <x:c r="A105" s="27" t="n">
        <x:v>45702</x:v>
      </x:c>
      <x:c r="B105" s="27" t="str">
        <x:v>IND_BANK_001</x:v>
      </x:c>
      <x:c r="C105" s="27" t="n">
        <x:v>3219</x:v>
      </x:c>
      <x:c r="D105" s="27" t="str">
        <x:v>IND-000102</x:v>
      </x:c>
      <x:c r="E105" s="27" t="str">
        <x:v>Interest Rate Swap</x:v>
      </x:c>
      <x:c r="F105" s="27" t="str">
        <x:v>Interest Rate</x:v>
      </x:c>
      <x:c r="G105" s="27"/>
      <x:c r="H105" s="27" t="str">
        <x:v>CNY</x:v>
      </x:c>
      <x:c r="I105" s="27" t="str">
        <x:v>CNY</x:v>
      </x:c>
      <x:c r="J105" s="27" t="str">
        <x:v>CNY</x:v>
      </x:c>
      <x:c r="K105" s="27"/>
      <x:c r="L105" s="27"/>
      <x:c r="M105" s="27" t="str">
        <x:v>CNY</x:v>
      </x:c>
      <x:c r="N105" s="27"/>
      <x:c r="O105" s="27"/>
      <x:c r="P105" s="27" t="n">
        <x:v>47159</x:v>
      </x:c>
      <x:c r="Q105" s="27" t="n">
        <x:v>44923</x:v>
      </x:c>
      <x:c r="R105" s="27" t="n">
        <x:v>47159</x:v>
      </x:c>
      <x:c r="S105" s="27" t="n">
        <x:v>12850000000</x:v>
      </x:c>
      <x:c r="T105" s="27" t="n">
        <x:v>12850000000</x:v>
      </x:c>
      <x:c r="U105" s="27" t="n">
        <x:v>1799000000</x:v>
      </x:c>
      <x:c r="V105" s="27" t="str">
        <x:v>M</x:v>
      </x:c>
      <x:c r="W105" s="27" t="str">
        <x:v>N</x:v>
      </x:c>
      <x:c r="X105" s="27" t="n">
        <x:v>10</x:v>
      </x:c>
      <x:c r="Y105" s="27" t="str">
        <x:v>S</x:v>
      </x:c>
      <x:c r="Z105" s="27"/>
      <x:c r="AA105" s="27"/>
      <x:c r="AB105" s="27" t="n">
        <x:v>0</x:v>
      </x:c>
      <x:c r="AC105" s="27" t="n">
        <x:v>0</x:v>
      </x:c>
      <x:c r="AD105" s="27" t="n">
        <x:v>5170326</x:v>
      </x:c>
      <x:c r="AE105" s="27" t="str">
        <x:v>Public-safe anonymized industry-style SA-CCR sample</x:v>
      </x:c>
      <x:c r="AF105" s="27" t="str">
        <x:v>ANON-000102</x:v>
      </x:c>
      <x:c r="AG105" s="27" t="str">
        <x:v>Interest Rate Swap</x:v>
      </x:c>
      <x:c r="AH105" s="27"/>
      <x:c r="AI105" s="27" t="str">
        <x:v>CNY</x:v>
      </x:c>
    </x:row>
    <x:row r="106">
      <x:c r="A106" s="27" t="n">
        <x:v>45702</x:v>
      </x:c>
      <x:c r="B106" s="27" t="str">
        <x:v>IND_REGIONAL_BANK_001</x:v>
      </x:c>
      <x:c r="C106" s="27" t="n">
        <x:v>3315</x:v>
      </x:c>
      <x:c r="D106" s="27" t="str">
        <x:v>IND-000103</x:v>
      </x:c>
      <x:c r="E106" s="27" t="str">
        <x:v>Interest Rate Swap</x:v>
      </x:c>
      <x:c r="F106" s="27" t="str">
        <x:v>Interest Rate</x:v>
      </x:c>
      <x:c r="G106" s="27"/>
      <x:c r="H106" s="27" t="str">
        <x:v>JPY</x:v>
      </x:c>
      <x:c r="I106" s="27" t="str">
        <x:v>JPY</x:v>
      </x:c>
      <x:c r="J106" s="27" t="str">
        <x:v>JPY</x:v>
      </x:c>
      <x:c r="K106" s="27"/>
      <x:c r="L106" s="27"/>
      <x:c r="M106" s="27" t="str">
        <x:v>JPY</x:v>
      </x:c>
      <x:c r="N106" s="27"/>
      <x:c r="O106" s="27"/>
      <x:c r="P106" s="27" t="n">
        <x:v>46445</x:v>
      </x:c>
      <x:c r="Q106" s="27" t="n">
        <x:v>45309</x:v>
      </x:c>
      <x:c r="R106" s="27" t="n">
        <x:v>46445</x:v>
      </x:c>
      <x:c r="S106" s="27" t="n">
        <x:v>30597014925.37</x:v>
      </x:c>
      <x:c r="T106" s="27" t="n">
        <x:v>30597014925.37</x:v>
      </x:c>
      <x:c r="U106" s="27" t="n">
        <x:v>205000000</x:v>
      </x:c>
      <x:c r="V106" s="27" t="str">
        <x:v>M</x:v>
      </x:c>
      <x:c r="W106" s="27" t="str">
        <x:v>Y</x:v>
      </x:c>
      <x:c r="X106" s="27" t="n">
        <x:v>5</x:v>
      </x:c>
      <x:c r="Y106" s="27" t="str">
        <x:v>S</x:v>
      </x:c>
      <x:c r="Z106" s="27"/>
      <x:c r="AA106" s="27"/>
      <x:c r="AB106" s="27" t="n">
        <x:v>0</x:v>
      </x:c>
      <x:c r="AC106" s="27" t="n">
        <x:v>0</x:v>
      </x:c>
      <x:c r="AD106" s="27" t="n">
        <x:v>28290</x:v>
      </x:c>
      <x:c r="AE106" s="27" t="str">
        <x:v>Public-safe anonymized industry-style SA-CCR sample</x:v>
      </x:c>
      <x:c r="AF106" s="27" t="str">
        <x:v>ANON-000103</x:v>
      </x:c>
      <x:c r="AG106" s="27" t="str">
        <x:v>Interest Rate Swap</x:v>
      </x:c>
      <x:c r="AH106" s="27"/>
      <x:c r="AI106" s="27" t="str">
        <x:v>JPY</x:v>
      </x:c>
    </x:row>
    <x:row r="107">
      <x:c r="A107" s="27" t="n">
        <x:v>45702</x:v>
      </x:c>
      <x:c r="B107" s="27" t="str">
        <x:v>IND_INSURER_001</x:v>
      </x:c>
      <x:c r="C107" s="27" t="n">
        <x:v>3297</x:v>
      </x:c>
      <x:c r="D107" s="27" t="str">
        <x:v>IND-000104</x:v>
      </x:c>
      <x:c r="E107" s="27" t="str">
        <x:v>Interest Rate Swap</x:v>
      </x:c>
      <x:c r="F107" s="27" t="str">
        <x:v>Interest Rate</x:v>
      </x:c>
      <x:c r="G107" s="27"/>
      <x:c r="H107" s="27" t="str">
        <x:v>JPY</x:v>
      </x:c>
      <x:c r="I107" s="27" t="str">
        <x:v>JPY</x:v>
      </x:c>
      <x:c r="J107" s="27" t="str">
        <x:v>JPY</x:v>
      </x:c>
      <x:c r="K107" s="27"/>
      <x:c r="L107" s="27"/>
      <x:c r="M107" s="27" t="str">
        <x:v>JPY</x:v>
      </x:c>
      <x:c r="N107" s="27"/>
      <x:c r="O107" s="27"/>
      <x:c r="P107" s="27" t="n">
        <x:v>49211</x:v>
      </x:c>
      <x:c r="Q107" s="27" t="n">
        <x:v>45567</x:v>
      </x:c>
      <x:c r="R107" s="27" t="n">
        <x:v>49211</x:v>
      </x:c>
      <x:c r="S107" s="27" t="n">
        <x:v>168656716417.91</x:v>
      </x:c>
      <x:c r="T107" s="27" t="n">
        <x:v>168656716417.91</x:v>
      </x:c>
      <x:c r="U107" s="27" t="n">
        <x:v>1130000000</x:v>
      </x:c>
      <x:c r="V107" s="27" t="str">
        <x:v>M</x:v>
      </x:c>
      <x:c r="W107" s="27" t="str">
        <x:v>N</x:v>
      </x:c>
      <x:c r="X107" s="27" t="n">
        <x:v>10</x:v>
      </x:c>
      <x:c r="Y107" s="27" t="str">
        <x:v>B</x:v>
      </x:c>
      <x:c r="Z107" s="27"/>
      <x:c r="AA107" s="27"/>
      <x:c r="AB107" s="27" t="n">
        <x:v>0</x:v>
      </x:c>
      <x:c r="AC107" s="27" t="n">
        <x:v>0</x:v>
      </x:c>
      <x:c r="AD107" s="27" t="n">
        <x:v>-4976520</x:v>
      </x:c>
      <x:c r="AE107" s="27" t="str">
        <x:v>Public-safe anonymized industry-style SA-CCR sample</x:v>
      </x:c>
      <x:c r="AF107" s="27" t="str">
        <x:v>ANON-000104</x:v>
      </x:c>
      <x:c r="AG107" s="27" t="str">
        <x:v>Interest Rate Swap</x:v>
      </x:c>
      <x:c r="AH107" s="27"/>
      <x:c r="AI107" s="27" t="str">
        <x:v>JPY</x:v>
      </x:c>
    </x:row>
    <x:row r="108">
      <x:c r="A108" s="27" t="n">
        <x:v>45702</x:v>
      </x:c>
      <x:c r="B108" s="27" t="str">
        <x:v>IND_HEDGE_FUND_001</x:v>
      </x:c>
      <x:c r="C108" s="27" t="n">
        <x:v>3345</x:v>
      </x:c>
      <x:c r="D108" s="27" t="str">
        <x:v>IND-000105</x:v>
      </x:c>
      <x:c r="E108" s="27" t="str">
        <x:v>Interest Rate Swap</x:v>
      </x:c>
      <x:c r="F108" s="27" t="str">
        <x:v>Interest Rate</x:v>
      </x:c>
      <x:c r="G108" s="27"/>
      <x:c r="H108" s="27" t="str">
        <x:v>CNY</x:v>
      </x:c>
      <x:c r="I108" s="27" t="str">
        <x:v>CNY</x:v>
      </x:c>
      <x:c r="J108" s="27" t="str">
        <x:v>CNY</x:v>
      </x:c>
      <x:c r="K108" s="27"/>
      <x:c r="L108" s="27"/>
      <x:c r="M108" s="27" t="str">
        <x:v>CNY</x:v>
      </x:c>
      <x:c r="N108" s="27"/>
      <x:c r="O108" s="27"/>
      <x:c r="P108" s="27" t="n">
        <x:v>47417</x:v>
      </x:c>
      <x:c r="Q108" s="27" t="n">
        <x:v>45281</x:v>
      </x:c>
      <x:c r="R108" s="27" t="n">
        <x:v>47417</x:v>
      </x:c>
      <x:c r="S108" s="27" t="n">
        <x:v>8628571428.57</x:v>
      </x:c>
      <x:c r="T108" s="27" t="n">
        <x:v>8628571428.57</x:v>
      </x:c>
      <x:c r="U108" s="27" t="n">
        <x:v>1208000000</x:v>
      </x:c>
      <x:c r="V108" s="27" t="str">
        <x:v>M</x:v>
      </x:c>
      <x:c r="W108" s="27" t="str">
        <x:v>N</x:v>
      </x:c>
      <x:c r="X108" s="27" t="n">
        <x:v>10</x:v>
      </x:c>
      <x:c r="Y108" s="27" t="str">
        <x:v>S</x:v>
      </x:c>
      <x:c r="Z108" s="27"/>
      <x:c r="AA108" s="27"/>
      <x:c r="AB108" s="27" t="n">
        <x:v>0</x:v>
      </x:c>
      <x:c r="AC108" s="27" t="n">
        <x:v>0</x:v>
      </x:c>
      <x:c r="AD108" s="27" t="n">
        <x:v>456624</x:v>
      </x:c>
      <x:c r="AE108" s="27" t="str">
        <x:v>Public-safe anonymized industry-style SA-CCR sample</x:v>
      </x:c>
      <x:c r="AF108" s="27" t="str">
        <x:v>ANON-000105</x:v>
      </x:c>
      <x:c r="AG108" s="27" t="str">
        <x:v>Interest Rate Swap</x:v>
      </x:c>
      <x:c r="AH108" s="27"/>
      <x:c r="AI108" s="27" t="str">
        <x:v>CNY</x:v>
      </x:c>
    </x:row>
    <x:row r="109">
      <x:c r="A109" s="27" t="n">
        <x:v>45702</x:v>
      </x:c>
      <x:c r="B109" s="27" t="str">
        <x:v>IND_BANK_001</x:v>
      </x:c>
      <x:c r="C109" s="27" t="n">
        <x:v>3219</x:v>
      </x:c>
      <x:c r="D109" s="27" t="str">
        <x:v>IND-000106</x:v>
      </x:c>
      <x:c r="E109" s="27" t="str">
        <x:v>Interest Rate Swap</x:v>
      </x:c>
      <x:c r="F109" s="27" t="str">
        <x:v>Interest Rate</x:v>
      </x:c>
      <x:c r="G109" s="27"/>
      <x:c r="H109" s="27" t="str">
        <x:v>CNY</x:v>
      </x:c>
      <x:c r="I109" s="27" t="str">
        <x:v>CNY</x:v>
      </x:c>
      <x:c r="J109" s="27" t="str">
        <x:v>CNY</x:v>
      </x:c>
      <x:c r="K109" s="27"/>
      <x:c r="L109" s="27"/>
      <x:c r="M109" s="27" t="str">
        <x:v>CNY</x:v>
      </x:c>
      <x:c r="N109" s="27"/>
      <x:c r="O109" s="27"/>
      <x:c r="P109" s="27" t="n">
        <x:v>47465</x:v>
      </x:c>
      <x:c r="Q109" s="27" t="n">
        <x:v>45155</x:v>
      </x:c>
      <x:c r="R109" s="27" t="n">
        <x:v>47465</x:v>
      </x:c>
      <x:c r="S109" s="27" t="n">
        <x:v>8957142857.14</x:v>
      </x:c>
      <x:c r="T109" s="27" t="n">
        <x:v>8957142857.14</x:v>
      </x:c>
      <x:c r="U109" s="27" t="n">
        <x:v>1254000000</x:v>
      </x:c>
      <x:c r="V109" s="27" t="str">
        <x:v>M</x:v>
      </x:c>
      <x:c r="W109" s="27" t="str">
        <x:v>N</x:v>
      </x:c>
      <x:c r="X109" s="27" t="n">
        <x:v>10</x:v>
      </x:c>
      <x:c r="Y109" s="27" t="str">
        <x:v>B</x:v>
      </x:c>
      <x:c r="Z109" s="27"/>
      <x:c r="AA109" s="27"/>
      <x:c r="AB109" s="27" t="n">
        <x:v>0</x:v>
      </x:c>
      <x:c r="AC109" s="27" t="n">
        <x:v>0</x:v>
      </x:c>
      <x:c r="AD109" s="27" t="n">
        <x:v>-684684</x:v>
      </x:c>
      <x:c r="AE109" s="27" t="str">
        <x:v>Public-safe anonymized industry-style SA-CCR sample</x:v>
      </x:c>
      <x:c r="AF109" s="27" t="str">
        <x:v>ANON-000106</x:v>
      </x:c>
      <x:c r="AG109" s="27" t="str">
        <x:v>Interest Rate Swap</x:v>
      </x:c>
      <x:c r="AH109" s="27"/>
      <x:c r="AI109" s="27" t="str">
        <x:v>CNY</x:v>
      </x:c>
    </x:row>
    <x:row r="110">
      <x:c r="A110" s="27" t="n">
        <x:v>45702</x:v>
      </x:c>
      <x:c r="B110" s="27" t="str">
        <x:v>IND_CLEARING_MEMBER_001</x:v>
      </x:c>
      <x:c r="C110" s="27" t="n">
        <x:v>3020</x:v>
      </x:c>
      <x:c r="D110" s="27" t="str">
        <x:v>IND-000107</x:v>
      </x:c>
      <x:c r="E110" s="27" t="str">
        <x:v>Interest Rate Swap</x:v>
      </x:c>
      <x:c r="F110" s="27" t="str">
        <x:v>Interest Rate</x:v>
      </x:c>
      <x:c r="G110" s="27"/>
      <x:c r="H110" s="27" t="str">
        <x:v>EUR</x:v>
      </x:c>
      <x:c r="I110" s="27" t="str">
        <x:v>EUR</x:v>
      </x:c>
      <x:c r="J110" s="27" t="str">
        <x:v>EUR</x:v>
      </x:c>
      <x:c r="K110" s="27"/>
      <x:c r="L110" s="27"/>
      <x:c r="M110" s="27" t="str">
        <x:v>EUR</x:v>
      </x:c>
      <x:c r="N110" s="27"/>
      <x:c r="O110" s="27"/>
      <x:c r="P110" s="27" t="n">
        <x:v>48685</x:v>
      </x:c>
      <x:c r="Q110" s="27" t="n">
        <x:v>44947</x:v>
      </x:c>
      <x:c r="R110" s="27" t="n">
        <x:v>48685</x:v>
      </x:c>
      <x:c r="S110" s="27" t="n">
        <x:v>1334285714.29</x:v>
      </x:c>
      <x:c r="T110" s="27" t="n">
        <x:v>1334285714.29</x:v>
      </x:c>
      <x:c r="U110" s="27" t="n">
        <x:v>1401000000</x:v>
      </x:c>
      <x:c r="V110" s="27" t="str">
        <x:v>M</x:v>
      </x:c>
      <x:c r="W110" s="27" t="str">
        <x:v>N</x:v>
      </x:c>
      <x:c r="X110" s="27" t="n">
        <x:v>10</x:v>
      </x:c>
      <x:c r="Y110" s="27" t="str">
        <x:v>S</x:v>
      </x:c>
      <x:c r="Z110" s="27"/>
      <x:c r="AA110" s="27"/>
      <x:c r="AB110" s="27" t="n">
        <x:v>0</x:v>
      </x:c>
      <x:c r="AC110" s="27" t="n">
        <x:v>0</x:v>
      </x:c>
      <x:c r="AD110" s="27" t="n">
        <x:v>-554796</x:v>
      </x:c>
      <x:c r="AE110" s="27" t="str">
        <x:v>Public-safe anonymized industry-style SA-CCR sample</x:v>
      </x:c>
      <x:c r="AF110" s="27" t="str">
        <x:v>ANON-000107</x:v>
      </x:c>
      <x:c r="AG110" s="27" t="str">
        <x:v>Interest Rate Swap</x:v>
      </x:c>
      <x:c r="AH110" s="27"/>
      <x:c r="AI110" s="27" t="str">
        <x:v>EUR</x:v>
      </x:c>
    </x:row>
    <x:row r="111">
      <x:c r="A111" s="27" t="n">
        <x:v>45702</x:v>
      </x:c>
      <x:c r="B111" s="27" t="str">
        <x:v>IND_SOVEREIGN_001</x:v>
      </x:c>
      <x:c r="C111" s="27" t="n">
        <x:v>3065</x:v>
      </x:c>
      <x:c r="D111" s="27" t="str">
        <x:v>IND-000108</x:v>
      </x:c>
      <x:c r="E111" s="27" t="str">
        <x:v>Interest Rate Swap</x:v>
      </x:c>
      <x:c r="F111" s="27" t="str">
        <x:v>Interest Rate</x:v>
      </x:c>
      <x:c r="G111" s="27"/>
      <x:c r="H111" s="27" t="str">
        <x:v>CNY</x:v>
      </x:c>
      <x:c r="I111" s="27" t="str">
        <x:v>CNY</x:v>
      </x:c>
      <x:c r="J111" s="27" t="str">
        <x:v>CNY</x:v>
      </x:c>
      <x:c r="K111" s="27" t="str">
        <x:v>Basis</x:v>
      </x:c>
      <x:c r="L111" s="27"/>
      <x:c r="M111" s="27" t="str">
        <x:v>CNY</x:v>
      </x:c>
      <x:c r="N111" s="27"/>
      <x:c r="O111" s="27"/>
      <x:c r="P111" s="27" t="n">
        <x:v>47701</x:v>
      </x:c>
      <x:c r="Q111" s="27" t="n">
        <x:v>45097</x:v>
      </x:c>
      <x:c r="R111" s="27" t="n">
        <x:v>47701</x:v>
      </x:c>
      <x:c r="S111" s="27" t="n">
        <x:v>1442857142.86</x:v>
      </x:c>
      <x:c r="T111" s="27" t="n">
        <x:v>1442857142.86</x:v>
      </x:c>
      <x:c r="U111" s="27" t="n">
        <x:v>202000000</x:v>
      </x:c>
      <x:c r="V111" s="27" t="str">
        <x:v>U</x:v>
      </x:c>
      <x:c r="W111" s="27" t="str">
        <x:v>N</x:v>
      </x:c>
      <x:c r="X111" s="27"/>
      <x:c r="Y111" s="27" t="str">
        <x:v>B</x:v>
      </x:c>
      <x:c r="Z111" s="27"/>
      <x:c r="AA111" s="27"/>
      <x:c r="AB111" s="27" t="n">
        <x:v>0</x:v>
      </x:c>
      <x:c r="AC111" s="27" t="n">
        <x:v>0</x:v>
      </x:c>
      <x:c r="AD111" s="27" t="n">
        <x:v>409656</x:v>
      </x:c>
      <x:c r="AE111" s="27" t="str">
        <x:v>Public-safe anonymized industry-style SA-CCR sample</x:v>
      </x:c>
      <x:c r="AF111" s="27" t="str">
        <x:v>ANON-000108</x:v>
      </x:c>
      <x:c r="AG111" s="27" t="str">
        <x:v>Interest Rate Swap</x:v>
      </x:c>
      <x:c r="AH111" s="27"/>
      <x:c r="AI111" s="27" t="str">
        <x:v>CNY</x:v>
      </x:c>
    </x:row>
    <x:row r="112">
      <x:c r="A112" s="27" t="n">
        <x:v>45702</x:v>
      </x:c>
      <x:c r="B112" s="27" t="str">
        <x:v>IND_HEDGE_FUND_001</x:v>
      </x:c>
      <x:c r="C112" s="27" t="n">
        <x:v>3345</x:v>
      </x:c>
      <x:c r="D112" s="27" t="str">
        <x:v>IND-000109</x:v>
      </x:c>
      <x:c r="E112" s="27" t="str">
        <x:v>Interest Rate Swap</x:v>
      </x:c>
      <x:c r="F112" s="27" t="str">
        <x:v>Interest Rate</x:v>
      </x:c>
      <x:c r="G112" s="27"/>
      <x:c r="H112" s="27" t="str">
        <x:v>CNY</x:v>
      </x:c>
      <x:c r="I112" s="27" t="str">
        <x:v>CNY</x:v>
      </x:c>
      <x:c r="J112" s="27" t="str">
        <x:v>CNY</x:v>
      </x:c>
      <x:c r="K112" s="27"/>
      <x:c r="L112" s="27"/>
      <x:c r="M112" s="27" t="str">
        <x:v>CNY</x:v>
      </x:c>
      <x:c r="N112" s="27"/>
      <x:c r="O112" s="27"/>
      <x:c r="P112" s="27" t="n">
        <x:v>49714</x:v>
      </x:c>
      <x:c r="Q112" s="27" t="n">
        <x:v>45416</x:v>
      </x:c>
      <x:c r="R112" s="27" t="n">
        <x:v>49714</x:v>
      </x:c>
      <x:c r="S112" s="27" t="n">
        <x:v>1335714285.71</x:v>
      </x:c>
      <x:c r="T112" s="27" t="n">
        <x:v>1335714285.71</x:v>
      </x:c>
      <x:c r="U112" s="27" t="n">
        <x:v>187000000</x:v>
      </x:c>
      <x:c r="V112" s="27" t="str">
        <x:v>M</x:v>
      </x:c>
      <x:c r="W112" s="27" t="str">
        <x:v>N</x:v>
      </x:c>
      <x:c r="X112" s="27" t="n">
        <x:v>10</x:v>
      </x:c>
      <x:c r="Y112" s="27" t="str">
        <x:v>S</x:v>
      </x:c>
      <x:c r="Z112" s="27"/>
      <x:c r="AA112" s="27"/>
      <x:c r="AB112" s="27" t="n">
        <x:v>0</x:v>
      </x:c>
      <x:c r="AC112" s="27" t="n">
        <x:v>0</x:v>
      </x:c>
      <x:c r="AD112" s="27" t="n">
        <x:v>-983994</x:v>
      </x:c>
      <x:c r="AE112" s="27" t="str">
        <x:v>Public-safe anonymized industry-style SA-CCR sample</x:v>
      </x:c>
      <x:c r="AF112" s="27" t="str">
        <x:v>ANON-000109</x:v>
      </x:c>
      <x:c r="AG112" s="27" t="str">
        <x:v>Interest Rate Swap</x:v>
      </x:c>
      <x:c r="AH112" s="27"/>
      <x:c r="AI112" s="27" t="str">
        <x:v>CNY</x:v>
      </x:c>
    </x:row>
    <x:row r="113">
      <x:c r="A113" s="27" t="n">
        <x:v>45702</x:v>
      </x:c>
      <x:c r="B113" s="27" t="str">
        <x:v>IND_CLEARING_MEMBER_001</x:v>
      </x:c>
      <x:c r="C113" s="27" t="n">
        <x:v>3020</x:v>
      </x:c>
      <x:c r="D113" s="27" t="str">
        <x:v>IND-000110</x:v>
      </x:c>
      <x:c r="E113" s="27" t="str">
        <x:v>Interest Rate Swap</x:v>
      </x:c>
      <x:c r="F113" s="27" t="str">
        <x:v>Interest Rate</x:v>
      </x:c>
      <x:c r="G113" s="27"/>
      <x:c r="H113" s="27" t="str">
        <x:v>EUR</x:v>
      </x:c>
      <x:c r="I113" s="27" t="str">
        <x:v>EUR</x:v>
      </x:c>
      <x:c r="J113" s="27" t="str">
        <x:v>EUR</x:v>
      </x:c>
      <x:c r="K113" s="27"/>
      <x:c r="L113" s="27"/>
      <x:c r="M113" s="27" t="str">
        <x:v>EUR</x:v>
      </x:c>
      <x:c r="N113" s="27"/>
      <x:c r="O113" s="27"/>
      <x:c r="P113" s="27" t="n">
        <x:v>48124</x:v>
      </x:c>
      <x:c r="Q113" s="27" t="n">
        <x:v>45121</x:v>
      </x:c>
      <x:c r="R113" s="27" t="n">
        <x:v>48124</x:v>
      </x:c>
      <x:c r="S113" s="27" t="n">
        <x:v>498095238.1</x:v>
      </x:c>
      <x:c r="T113" s="27" t="n">
        <x:v>498095238.1</x:v>
      </x:c>
      <x:c r="U113" s="27" t="n">
        <x:v>523000000</x:v>
      </x:c>
      <x:c r="V113" s="27" t="str">
        <x:v>M</x:v>
      </x:c>
      <x:c r="W113" s="27" t="str">
        <x:v>N</x:v>
      </x:c>
      <x:c r="X113" s="27" t="n">
        <x:v>10</x:v>
      </x:c>
      <x:c r="Y113" s="27" t="str">
        <x:v>S</x:v>
      </x:c>
      <x:c r="Z113" s="27"/>
      <x:c r="AA113" s="27"/>
      <x:c r="AB113" s="27" t="n">
        <x:v>0</x:v>
      </x:c>
      <x:c r="AC113" s="27" t="n">
        <x:v>0</x:v>
      </x:c>
      <x:c r="AD113" s="27" t="n">
        <x:v>1838868</x:v>
      </x:c>
      <x:c r="AE113" s="27" t="str">
        <x:v>Public-safe anonymized industry-style SA-CCR sample</x:v>
      </x:c>
      <x:c r="AF113" s="27" t="str">
        <x:v>ANON-000110</x:v>
      </x:c>
      <x:c r="AG113" s="27" t="str">
        <x:v>Interest Rate Swap</x:v>
      </x:c>
      <x:c r="AH113" s="27"/>
      <x:c r="AI113" s="27" t="str">
        <x:v>EUR</x:v>
      </x:c>
    </x:row>
    <x:row r="114">
      <x:c r="A114" s="27" t="n">
        <x:v>45702</x:v>
      </x:c>
      <x:c r="B114" s="27" t="str">
        <x:v>IND_SOVEREIGN_001</x:v>
      </x:c>
      <x:c r="C114" s="27" t="n">
        <x:v>3246</x:v>
      </x:c>
      <x:c r="D114" s="27" t="str">
        <x:v>IND-000111</x:v>
      </x:c>
      <x:c r="E114" s="27" t="str">
        <x:v>Interest Rate Swap</x:v>
      </x:c>
      <x:c r="F114" s="27" t="str">
        <x:v>Interest Rate</x:v>
      </x:c>
      <x:c r="G114" s="27"/>
      <x:c r="H114" s="27" t="str">
        <x:v>CNY</x:v>
      </x:c>
      <x:c r="I114" s="27" t="str">
        <x:v>CNY</x:v>
      </x:c>
      <x:c r="J114" s="27" t="str">
        <x:v>CNY</x:v>
      </x:c>
      <x:c r="K114" s="27"/>
      <x:c r="L114" s="27"/>
      <x:c r="M114" s="27" t="str">
        <x:v>CNY</x:v>
      </x:c>
      <x:c r="N114" s="27"/>
      <x:c r="O114" s="27"/>
      <x:c r="P114" s="27" t="n">
        <x:v>46668</x:v>
      </x:c>
      <x:c r="Q114" s="27" t="n">
        <x:v>45472</x:v>
      </x:c>
      <x:c r="R114" s="27" t="n">
        <x:v>46668</x:v>
      </x:c>
      <x:c r="S114" s="27" t="n">
        <x:v>6957142857.14</x:v>
      </x:c>
      <x:c r="T114" s="27" t="n">
        <x:v>6957142857.14</x:v>
      </x:c>
      <x:c r="U114" s="27" t="n">
        <x:v>974000000</x:v>
      </x:c>
      <x:c r="V114" s="27" t="str">
        <x:v>M</x:v>
      </x:c>
      <x:c r="W114" s="27" t="str">
        <x:v>N</x:v>
      </x:c>
      <x:c r="X114" s="27" t="n">
        <x:v>10</x:v>
      </x:c>
      <x:c r="Y114" s="27" t="str">
        <x:v>S</x:v>
      </x:c>
      <x:c r="Z114" s="27"/>
      <x:c r="AA114" s="27"/>
      <x:c r="AB114" s="27" t="n">
        <x:v>0</x:v>
      </x:c>
      <x:c r="AC114" s="27" t="n">
        <x:v>0</x:v>
      </x:c>
      <x:c r="AD114" s="27" t="n">
        <x:v>-1852548</x:v>
      </x:c>
      <x:c r="AE114" s="27" t="str">
        <x:v>Public-safe anonymized industry-style SA-CCR sample</x:v>
      </x:c>
      <x:c r="AF114" s="27" t="str">
        <x:v>ANON-000111</x:v>
      </x:c>
      <x:c r="AG114" s="27" t="str">
        <x:v>Interest Rate Swap</x:v>
      </x:c>
      <x:c r="AH114" s="27"/>
      <x:c r="AI114" s="27" t="str">
        <x:v>CNY</x:v>
      </x:c>
    </x:row>
    <x:row r="115">
      <x:c r="A115" s="27" t="n">
        <x:v>45702</x:v>
      </x:c>
      <x:c r="B115" s="27" t="str">
        <x:v>IND_REGIONAL_BANK_001</x:v>
      </x:c>
      <x:c r="C115" s="27" t="n">
        <x:v>3315</x:v>
      </x:c>
      <x:c r="D115" s="27" t="str">
        <x:v>IND-000112</x:v>
      </x:c>
      <x:c r="E115" s="27" t="str">
        <x:v>Interest Rate Swap</x:v>
      </x:c>
      <x:c r="F115" s="27" t="str">
        <x:v>Interest Rate</x:v>
      </x:c>
      <x:c r="G115" s="27"/>
      <x:c r="H115" s="27" t="str">
        <x:v>JPY</x:v>
      </x:c>
      <x:c r="I115" s="27" t="str">
        <x:v>JPY</x:v>
      </x:c>
      <x:c r="J115" s="27" t="str">
        <x:v>JPY</x:v>
      </x:c>
      <x:c r="K115" s="27"/>
      <x:c r="L115" s="27"/>
      <x:c r="M115" s="27" t="str">
        <x:v>JPY</x:v>
      </x:c>
      <x:c r="N115" s="27"/>
      <x:c r="O115" s="27"/>
      <x:c r="P115" s="27" t="n">
        <x:v>47585</x:v>
      </x:c>
      <x:c r="Q115" s="27" t="n">
        <x:v>45515</x:v>
      </x:c>
      <x:c r="R115" s="27" t="n">
        <x:v>47585</x:v>
      </x:c>
      <x:c r="S115" s="27" t="n">
        <x:v>24179104477.61</x:v>
      </x:c>
      <x:c r="T115" s="27" t="n">
        <x:v>24179104477.61</x:v>
      </x:c>
      <x:c r="U115" s="27" t="n">
        <x:v>162000000</x:v>
      </x:c>
      <x:c r="V115" s="27" t="str">
        <x:v>M</x:v>
      </x:c>
      <x:c r="W115" s="27" t="str">
        <x:v>N</x:v>
      </x:c>
      <x:c r="X115" s="27" t="n">
        <x:v>10</x:v>
      </x:c>
      <x:c r="Y115" s="27" t="str">
        <x:v>B</x:v>
      </x:c>
      <x:c r="Z115" s="27"/>
      <x:c r="AA115" s="27"/>
      <x:c r="AB115" s="27" t="n">
        <x:v>0</x:v>
      </x:c>
      <x:c r="AC115" s="27" t="n">
        <x:v>0</x:v>
      </x:c>
      <x:c r="AD115" s="27" t="n">
        <x:v>-635688</x:v>
      </x:c>
      <x:c r="AE115" s="27" t="str">
        <x:v>Public-safe anonymized industry-style SA-CCR sample</x:v>
      </x:c>
      <x:c r="AF115" s="27" t="str">
        <x:v>ANON-000112</x:v>
      </x:c>
      <x:c r="AG115" s="27" t="str">
        <x:v>Interest Rate Swap</x:v>
      </x:c>
      <x:c r="AH115" s="27"/>
      <x:c r="AI115" s="27" t="str">
        <x:v>JPY</x:v>
      </x:c>
    </x:row>
    <x:row r="116">
      <x:c r="A116" s="27" t="n">
        <x:v>45702</x:v>
      </x:c>
      <x:c r="B116" s="27" t="str">
        <x:v>IND_PENSION_001</x:v>
      </x:c>
      <x:c r="C116" s="27" t="n">
        <x:v>3103</x:v>
      </x:c>
      <x:c r="D116" s="27" t="str">
        <x:v>IND-000113</x:v>
      </x:c>
      <x:c r="E116" s="27" t="str">
        <x:v>Interest Rate Swap</x:v>
      </x:c>
      <x:c r="F116" s="27" t="str">
        <x:v>Interest Rate</x:v>
      </x:c>
      <x:c r="G116" s="27"/>
      <x:c r="H116" s="27" t="str">
        <x:v>USD</x:v>
      </x:c>
      <x:c r="I116" s="27" t="str">
        <x:v>USD</x:v>
      </x:c>
      <x:c r="J116" s="27" t="str">
        <x:v>USD</x:v>
      </x:c>
      <x:c r="K116" s="27"/>
      <x:c r="L116" s="27"/>
      <x:c r="M116" s="27" t="str">
        <x:v>USD</x:v>
      </x:c>
      <x:c r="N116" s="27"/>
      <x:c r="O116" s="27"/>
      <x:c r="P116" s="27" t="n">
        <x:v>49596</x:v>
      </x:c>
      <x:c r="Q116" s="27" t="n">
        <x:v>45189</x:v>
      </x:c>
      <x:c r="R116" s="27" t="n">
        <x:v>49596</x:v>
      </x:c>
      <x:c r="S116" s="27" t="n">
        <x:v>492000000</x:v>
      </x:c>
      <x:c r="T116" s="27" t="n">
        <x:v>492000000</x:v>
      </x:c>
      <x:c r="U116" s="27" t="n">
        <x:v>492000000</x:v>
      </x:c>
      <x:c r="V116" s="27" t="str">
        <x:v>M</x:v>
      </x:c>
      <x:c r="W116" s="27" t="str">
        <x:v>Y</x:v>
      </x:c>
      <x:c r="X116" s="27" t="n">
        <x:v>5</x:v>
      </x:c>
      <x:c r="Y116" s="27" t="str">
        <x:v>S</x:v>
      </x:c>
      <x:c r="Z116" s="27"/>
      <x:c r="AA116" s="27"/>
      <x:c r="AB116" s="27" t="n">
        <x:v>0</x:v>
      </x:c>
      <x:c r="AC116" s="27" t="n">
        <x:v>0</x:v>
      </x:c>
      <x:c r="AD116" s="27" t="n">
        <x:v>1461240</x:v>
      </x:c>
      <x:c r="AE116" s="27" t="str">
        <x:v>Public-safe anonymized industry-style SA-CCR sample</x:v>
      </x:c>
      <x:c r="AF116" s="27" t="str">
        <x:v>ANON-000113</x:v>
      </x:c>
      <x:c r="AG116" s="27" t="str">
        <x:v>Interest Rate Swap</x:v>
      </x:c>
      <x:c r="AH116" s="27"/>
      <x:c r="AI116" s="27" t="str">
        <x:v>USD</x:v>
      </x:c>
    </x:row>
    <x:row r="117">
      <x:c r="A117" s="27" t="n">
        <x:v>45702</x:v>
      </x:c>
      <x:c r="B117" s="27" t="str">
        <x:v>IND_BANK_001</x:v>
      </x:c>
      <x:c r="C117" s="27" t="n">
        <x:v>3219</x:v>
      </x:c>
      <x:c r="D117" s="27" t="str">
        <x:v>IND-000114</x:v>
      </x:c>
      <x:c r="E117" s="27" t="str">
        <x:v>Interest Rate Swap</x:v>
      </x:c>
      <x:c r="F117" s="27" t="str">
        <x:v>Interest Rate</x:v>
      </x:c>
      <x:c r="G117" s="27"/>
      <x:c r="H117" s="27" t="str">
        <x:v>CNY</x:v>
      </x:c>
      <x:c r="I117" s="27" t="str">
        <x:v>CNY</x:v>
      </x:c>
      <x:c r="J117" s="27" t="str">
        <x:v>CNY</x:v>
      </x:c>
      <x:c r="K117" s="27"/>
      <x:c r="L117" s="27"/>
      <x:c r="M117" s="27" t="str">
        <x:v>CNY</x:v>
      </x:c>
      <x:c r="N117" s="27"/>
      <x:c r="O117" s="27"/>
      <x:c r="P117" s="27" t="n">
        <x:v>49091</x:v>
      </x:c>
      <x:c r="Q117" s="27" t="n">
        <x:v>45686</x:v>
      </x:c>
      <x:c r="R117" s="27" t="n">
        <x:v>49091</x:v>
      </x:c>
      <x:c r="S117" s="27" t="n">
        <x:v>5350000000</x:v>
      </x:c>
      <x:c r="T117" s="27" t="n">
        <x:v>5350000000</x:v>
      </x:c>
      <x:c r="U117" s="27" t="n">
        <x:v>749000000</x:v>
      </x:c>
      <x:c r="V117" s="27" t="str">
        <x:v>M</x:v>
      </x:c>
      <x:c r="W117" s="27" t="str">
        <x:v>N</x:v>
      </x:c>
      <x:c r="X117" s="27" t="n">
        <x:v>10</x:v>
      </x:c>
      <x:c r="Y117" s="27" t="str">
        <x:v>S</x:v>
      </x:c>
      <x:c r="Z117" s="27"/>
      <x:c r="AA117" s="27"/>
      <x:c r="AB117" s="27" t="n">
        <x:v>0</x:v>
      </x:c>
      <x:c r="AC117" s="27" t="n">
        <x:v>0</x:v>
      </x:c>
      <x:c r="AD117" s="27" t="n">
        <x:v>2543604</x:v>
      </x:c>
      <x:c r="AE117" s="27" t="str">
        <x:v>Public-safe anonymized industry-style SA-CCR sample</x:v>
      </x:c>
      <x:c r="AF117" s="27" t="str">
        <x:v>ANON-000114</x:v>
      </x:c>
      <x:c r="AG117" s="27" t="str">
        <x:v>Interest Rate Swap</x:v>
      </x:c>
      <x:c r="AH117" s="27"/>
      <x:c r="AI117" s="27" t="str">
        <x:v>CNY</x:v>
      </x:c>
    </x:row>
    <x:row r="118">
      <x:c r="A118" s="27" t="n">
        <x:v>45702</x:v>
      </x:c>
      <x:c r="B118" s="27" t="str">
        <x:v>IND_HEDGE_FUND_001</x:v>
      </x:c>
      <x:c r="C118" s="27" t="n">
        <x:v>3345</x:v>
      </x:c>
      <x:c r="D118" s="27" t="str">
        <x:v>IND-000115</x:v>
      </x:c>
      <x:c r="E118" s="27" t="str">
        <x:v>Interest Rate Swap</x:v>
      </x:c>
      <x:c r="F118" s="27" t="str">
        <x:v>Interest Rate</x:v>
      </x:c>
      <x:c r="G118" s="27"/>
      <x:c r="H118" s="27" t="str">
        <x:v>CNY</x:v>
      </x:c>
      <x:c r="I118" s="27" t="str">
        <x:v>CNY</x:v>
      </x:c>
      <x:c r="J118" s="27" t="str">
        <x:v>CNY</x:v>
      </x:c>
      <x:c r="K118" s="27"/>
      <x:c r="L118" s="27"/>
      <x:c r="M118" s="27" t="str">
        <x:v>CNY</x:v>
      </x:c>
      <x:c r="N118" s="27"/>
      <x:c r="O118" s="27"/>
      <x:c r="P118" s="27" t="n">
        <x:v>46644</x:v>
      </x:c>
      <x:c r="Q118" s="27" t="n">
        <x:v>45590</x:v>
      </x:c>
      <x:c r="R118" s="27" t="n">
        <x:v>46644</x:v>
      </x:c>
      <x:c r="S118" s="27" t="n">
        <x:v>6257142857.14</x:v>
      </x:c>
      <x:c r="T118" s="27" t="n">
        <x:v>6257142857.14</x:v>
      </x:c>
      <x:c r="U118" s="27" t="n">
        <x:v>876000000</x:v>
      </x:c>
      <x:c r="V118" s="27" t="str">
        <x:v>M</x:v>
      </x:c>
      <x:c r="W118" s="27" t="str">
        <x:v>N</x:v>
      </x:c>
      <x:c r="X118" s="27" t="n">
        <x:v>10</x:v>
      </x:c>
      <x:c r="Y118" s="27" t="str">
        <x:v>B</x:v>
      </x:c>
      <x:c r="Z118" s="27"/>
      <x:c r="AA118" s="27"/>
      <x:c r="AB118" s="27" t="n">
        <x:v>0</x:v>
      </x:c>
      <x:c r="AC118" s="27" t="n">
        <x:v>0</x:v>
      </x:c>
      <x:c r="AD118" s="27" t="n">
        <x:v>2817216</x:v>
      </x:c>
      <x:c r="AE118" s="27" t="str">
        <x:v>Public-safe anonymized industry-style SA-CCR sample</x:v>
      </x:c>
      <x:c r="AF118" s="27" t="str">
        <x:v>ANON-000115</x:v>
      </x:c>
      <x:c r="AG118" s="27" t="str">
        <x:v>Interest Rate Swap</x:v>
      </x:c>
      <x:c r="AH118" s="27"/>
      <x:c r="AI118" s="27" t="str">
        <x:v>CNY</x:v>
      </x:c>
    </x:row>
    <x:row r="119">
      <x:c r="A119" s="27" t="n">
        <x:v>45702</x:v>
      </x:c>
      <x:c r="B119" s="27" t="str">
        <x:v>IND_HEDGE_FUND_001</x:v>
      </x:c>
      <x:c r="C119" s="27" t="n">
        <x:v>3345</x:v>
      </x:c>
      <x:c r="D119" s="27" t="str">
        <x:v>IND-000116</x:v>
      </x:c>
      <x:c r="E119" s="27" t="str">
        <x:v>Interest Rate Swap</x:v>
      </x:c>
      <x:c r="F119" s="27" t="str">
        <x:v>Interest Rate</x:v>
      </x:c>
      <x:c r="G119" s="27"/>
      <x:c r="H119" s="27" t="str">
        <x:v>CNY</x:v>
      </x:c>
      <x:c r="I119" s="27" t="str">
        <x:v>CNY</x:v>
      </x:c>
      <x:c r="J119" s="27" t="str">
        <x:v>CNY</x:v>
      </x:c>
      <x:c r="K119" s="27"/>
      <x:c r="L119" s="27"/>
      <x:c r="M119" s="27" t="str">
        <x:v>CNY</x:v>
      </x:c>
      <x:c r="N119" s="27"/>
      <x:c r="O119" s="27"/>
      <x:c r="P119" s="27" t="n">
        <x:v>48954</x:v>
      </x:c>
      <x:c r="Q119" s="27" t="n">
        <x:v>45160</x:v>
      </x:c>
      <x:c r="R119" s="27" t="n">
        <x:v>48954</x:v>
      </x:c>
      <x:c r="S119" s="27" t="n">
        <x:v>6185714285.71</x:v>
      </x:c>
      <x:c r="T119" s="27" t="n">
        <x:v>6185714285.71</x:v>
      </x:c>
      <x:c r="U119" s="27" t="n">
        <x:v>866000000</x:v>
      </x:c>
      <x:c r="V119" s="27" t="str">
        <x:v>M</x:v>
      </x:c>
      <x:c r="W119" s="27" t="str">
        <x:v>Y</x:v>
      </x:c>
      <x:c r="X119" s="27" t="n">
        <x:v>5</x:v>
      </x:c>
      <x:c r="Y119" s="27" t="str">
        <x:v>B</x:v>
      </x:c>
      <x:c r="Z119" s="27"/>
      <x:c r="AA119" s="27"/>
      <x:c r="AB119" s="27" t="n">
        <x:v>0</x:v>
      </x:c>
      <x:c r="AC119" s="27" t="n">
        <x:v>0</x:v>
      </x:c>
      <x:c r="AD119" s="27" t="n">
        <x:v>3143580</x:v>
      </x:c>
      <x:c r="AE119" s="27" t="str">
        <x:v>Public-safe anonymized industry-style SA-CCR sample</x:v>
      </x:c>
      <x:c r="AF119" s="27" t="str">
        <x:v>ANON-000116</x:v>
      </x:c>
      <x:c r="AG119" s="27" t="str">
        <x:v>Interest Rate Swap</x:v>
      </x:c>
      <x:c r="AH119" s="27"/>
      <x:c r="AI119" s="27" t="str">
        <x:v>CNY</x:v>
      </x:c>
    </x:row>
    <x:row r="120">
      <x:c r="A120" s="27" t="n">
        <x:v>45702</x:v>
      </x:c>
      <x:c r="B120" s="27" t="str">
        <x:v>IND_HEDGE_FUND_001</x:v>
      </x:c>
      <x:c r="C120" s="27" t="n">
        <x:v>3345</x:v>
      </x:c>
      <x:c r="D120" s="27" t="str">
        <x:v>IND-000117</x:v>
      </x:c>
      <x:c r="E120" s="27" t="str">
        <x:v>Interest Rate Swap</x:v>
      </x:c>
      <x:c r="F120" s="27" t="str">
        <x:v>Interest Rate</x:v>
      </x:c>
      <x:c r="G120" s="27"/>
      <x:c r="H120" s="27" t="str">
        <x:v>CNY</x:v>
      </x:c>
      <x:c r="I120" s="27" t="str">
        <x:v>CNY</x:v>
      </x:c>
      <x:c r="J120" s="27" t="str">
        <x:v>CNY</x:v>
      </x:c>
      <x:c r="K120" s="27"/>
      <x:c r="L120" s="27"/>
      <x:c r="M120" s="27" t="str">
        <x:v>CNY</x:v>
      </x:c>
      <x:c r="N120" s="27"/>
      <x:c r="O120" s="27"/>
      <x:c r="P120" s="27" t="n">
        <x:v>47437</x:v>
      </x:c>
      <x:c r="Q120" s="27" t="n">
        <x:v>44916</x:v>
      </x:c>
      <x:c r="R120" s="27" t="n">
        <x:v>47437</x:v>
      </x:c>
      <x:c r="S120" s="27" t="n">
        <x:v>2978571428.57</x:v>
      </x:c>
      <x:c r="T120" s="27" t="n">
        <x:v>2978571428.57</x:v>
      </x:c>
      <x:c r="U120" s="27" t="n">
        <x:v>417000000</x:v>
      </x:c>
      <x:c r="V120" s="27" t="str">
        <x:v>M</x:v>
      </x:c>
      <x:c r="W120" s="27" t="str">
        <x:v>N</x:v>
      </x:c>
      <x:c r="X120" s="27" t="n">
        <x:v>10</x:v>
      </x:c>
      <x:c r="Y120" s="27" t="str">
        <x:v>S</x:v>
      </x:c>
      <x:c r="Z120" s="27"/>
      <x:c r="AA120" s="27"/>
      <x:c r="AB120" s="27" t="n">
        <x:v>0</x:v>
      </x:c>
      <x:c r="AC120" s="27" t="n">
        <x:v>0</x:v>
      </x:c>
      <x:c r="AD120" s="27" t="n">
        <x:v>-2084166</x:v>
      </x:c>
      <x:c r="AE120" s="27" t="str">
        <x:v>Public-safe anonymized industry-style SA-CCR sample</x:v>
      </x:c>
      <x:c r="AF120" s="27" t="str">
        <x:v>ANON-000117</x:v>
      </x:c>
      <x:c r="AG120" s="27" t="str">
        <x:v>Interest Rate Swap</x:v>
      </x:c>
      <x:c r="AH120" s="27"/>
      <x:c r="AI120" s="27" t="str">
        <x:v>CNY</x:v>
      </x:c>
    </x:row>
    <x:row r="121">
      <x:c r="A121" s="27" t="n">
        <x:v>45702</x:v>
      </x:c>
      <x:c r="B121" s="27" t="str">
        <x:v>IND_PENSION_001</x:v>
      </x:c>
      <x:c r="C121" s="27" t="n">
        <x:v>3103</x:v>
      </x:c>
      <x:c r="D121" s="27" t="str">
        <x:v>IND-000118</x:v>
      </x:c>
      <x:c r="E121" s="27" t="str">
        <x:v>Interest Rate Swap</x:v>
      </x:c>
      <x:c r="F121" s="27" t="str">
        <x:v>Interest Rate</x:v>
      </x:c>
      <x:c r="G121" s="27"/>
      <x:c r="H121" s="27" t="str">
        <x:v>USD</x:v>
      </x:c>
      <x:c r="I121" s="27" t="str">
        <x:v>USD</x:v>
      </x:c>
      <x:c r="J121" s="27" t="str">
        <x:v>USD</x:v>
      </x:c>
      <x:c r="K121" s="27"/>
      <x:c r="L121" s="27"/>
      <x:c r="M121" s="27" t="str">
        <x:v>USD</x:v>
      </x:c>
      <x:c r="N121" s="27"/>
      <x:c r="O121" s="27"/>
      <x:c r="P121" s="27" t="n">
        <x:v>48902</x:v>
      </x:c>
      <x:c r="Q121" s="27" t="n">
        <x:v>45125</x:v>
      </x:c>
      <x:c r="R121" s="27" t="n">
        <x:v>48902</x:v>
      </x:c>
      <x:c r="S121" s="27" t="n">
        <x:v>1389000000</x:v>
      </x:c>
      <x:c r="T121" s="27" t="n">
        <x:v>1389000000</x:v>
      </x:c>
      <x:c r="U121" s="27" t="n">
        <x:v>1389000000</x:v>
      </x:c>
      <x:c r="V121" s="27" t="str">
        <x:v>M</x:v>
      </x:c>
      <x:c r="W121" s="27" t="str">
        <x:v>N</x:v>
      </x:c>
      <x:c r="X121" s="27" t="n">
        <x:v>10</x:v>
      </x:c>
      <x:c r="Y121" s="27" t="str">
        <x:v>B</x:v>
      </x:c>
      <x:c r="Z121" s="27"/>
      <x:c r="AA121" s="27"/>
      <x:c r="AB121" s="27" t="n">
        <x:v>0</x:v>
      </x:c>
      <x:c r="AC121" s="27" t="n">
        <x:v>0</x:v>
      </x:c>
      <x:c r="AD121" s="27" t="n">
        <x:v>-4958730</x:v>
      </x:c>
      <x:c r="AE121" s="27" t="str">
        <x:v>Public-safe anonymized industry-style SA-CCR sample</x:v>
      </x:c>
      <x:c r="AF121" s="27" t="str">
        <x:v>ANON-000118</x:v>
      </x:c>
      <x:c r="AG121" s="27" t="str">
        <x:v>Interest Rate Swap</x:v>
      </x:c>
      <x:c r="AH121" s="27"/>
      <x:c r="AI121" s="27" t="str">
        <x:v>USD</x:v>
      </x:c>
    </x:row>
    <x:row r="122">
      <x:c r="A122" s="27" t="n">
        <x:v>45702</x:v>
      </x:c>
      <x:c r="B122" s="27" t="str">
        <x:v>IND_PENSION_001</x:v>
      </x:c>
      <x:c r="C122" s="27" t="n">
        <x:v>3103</x:v>
      </x:c>
      <x:c r="D122" s="27" t="str">
        <x:v>IND-000119</x:v>
      </x:c>
      <x:c r="E122" s="27" t="str">
        <x:v>Cross Currency Swap</x:v>
      </x:c>
      <x:c r="F122" s="27" t="str">
        <x:v>Interest Rate</x:v>
      </x:c>
      <x:c r="G122" s="27"/>
      <x:c r="H122" s="27" t="str">
        <x:v>USD</x:v>
      </x:c>
      <x:c r="I122" s="27" t="str">
        <x:v>CNY</x:v>
      </x:c>
      <x:c r="J122" s="27" t="str">
        <x:v>USD</x:v>
      </x:c>
      <x:c r="K122" s="27"/>
      <x:c r="L122" s="27"/>
      <x:c r="M122" s="27" t="str">
        <x:v>USD/CNY</x:v>
      </x:c>
      <x:c r="N122" s="27"/>
      <x:c r="O122" s="27"/>
      <x:c r="P122" s="27" t="n">
        <x:v>46471</x:v>
      </x:c>
      <x:c r="Q122" s="27" t="n">
        <x:v>45402</x:v>
      </x:c>
      <x:c r="R122" s="27" t="n">
        <x:v>46471</x:v>
      </x:c>
      <x:c r="S122" s="27" t="n">
        <x:v>74200000</x:v>
      </x:c>
      <x:c r="T122" s="27" t="n">
        <x:v>530000000</x:v>
      </x:c>
      <x:c r="U122" s="27" t="n">
        <x:v>74200000</x:v>
      </x:c>
      <x:c r="V122" s="27" t="str">
        <x:v>M</x:v>
      </x:c>
      <x:c r="W122" s="27" t="str">
        <x:v>Y</x:v>
      </x:c>
      <x:c r="X122" s="27" t="n">
        <x:v>5</x:v>
      </x:c>
      <x:c r="Y122" s="27" t="str">
        <x:v>B</x:v>
      </x:c>
      <x:c r="Z122" s="27"/>
      <x:c r="AA122" s="27"/>
      <x:c r="AB122" s="27" t="n">
        <x:v>0</x:v>
      </x:c>
      <x:c r="AC122" s="27" t="n">
        <x:v>0</x:v>
      </x:c>
      <x:c r="AD122" s="27" t="n">
        <x:v>414481.2</x:v>
      </x:c>
      <x:c r="AE122" s="27" t="str">
        <x:v>Public-safe anonymized industry-style SA-CCR sample</x:v>
      </x:c>
      <x:c r="AF122" s="27" t="str">
        <x:v>ANON-000119</x:v>
      </x:c>
      <x:c r="AG122" s="27" t="str">
        <x:v>Cross Currency Swap</x:v>
      </x:c>
      <x:c r="AH122" s="27"/>
      <x:c r="AI122" s="27" t="str">
        <x:v>USD/CNY</x:v>
      </x:c>
    </x:row>
    <x:row r="123">
      <x:c r="A123" s="27" t="n">
        <x:v>45702</x:v>
      </x:c>
      <x:c r="B123" s="27" t="str">
        <x:v>IND_PENSION_001</x:v>
      </x:c>
      <x:c r="C123" s="27" t="n">
        <x:v>3103</x:v>
      </x:c>
      <x:c r="D123" s="27" t="str">
        <x:v>IND-000120</x:v>
      </x:c>
      <x:c r="E123" s="27" t="str">
        <x:v>Cross Currency Swap</x:v>
      </x:c>
      <x:c r="F123" s="27" t="str">
        <x:v>Interest Rate</x:v>
      </x:c>
      <x:c r="G123" s="27"/>
      <x:c r="H123" s="27" t="str">
        <x:v>USD</x:v>
      </x:c>
      <x:c r="I123" s="27" t="str">
        <x:v>CNY</x:v>
      </x:c>
      <x:c r="J123" s="27" t="str">
        <x:v>USD</x:v>
      </x:c>
      <x:c r="K123" s="27"/>
      <x:c r="L123" s="27"/>
      <x:c r="M123" s="27" t="str">
        <x:v>USD/CNY</x:v>
      </x:c>
      <x:c r="N123" s="27"/>
      <x:c r="O123" s="27"/>
      <x:c r="P123" s="27" t="n">
        <x:v>47224</x:v>
      </x:c>
      <x:c r="Q123" s="27" t="n">
        <x:v>45319</x:v>
      </x:c>
      <x:c r="R123" s="27" t="n">
        <x:v>47224</x:v>
      </x:c>
      <x:c r="S123" s="27" t="n">
        <x:v>656000000</x:v>
      </x:c>
      <x:c r="T123" s="27" t="n">
        <x:v>4685714285.71</x:v>
      </x:c>
      <x:c r="U123" s="27" t="n">
        <x:v>656000000</x:v>
      </x:c>
      <x:c r="V123" s="27" t="str">
        <x:v>M</x:v>
      </x:c>
      <x:c r="W123" s="27" t="str">
        <x:v>N</x:v>
      </x:c>
      <x:c r="X123" s="27" t="n">
        <x:v>10</x:v>
      </x:c>
      <x:c r="Y123" s="27" t="str">
        <x:v>S</x:v>
      </x:c>
      <x:c r="Z123" s="27"/>
      <x:c r="AA123" s="27"/>
      <x:c r="AB123" s="27" t="n">
        <x:v>0</x:v>
      </x:c>
      <x:c r="AC123" s="27" t="n">
        <x:v>0</x:v>
      </x:c>
      <x:c r="AD123" s="27" t="n">
        <x:v>-2696160</x:v>
      </x:c>
      <x:c r="AE123" s="27" t="str">
        <x:v>Public-safe anonymized industry-style SA-CCR sample</x:v>
      </x:c>
      <x:c r="AF123" s="27" t="str">
        <x:v>ANON-000120</x:v>
      </x:c>
      <x:c r="AG123" s="27" t="str">
        <x:v>Cross Currency Swap</x:v>
      </x:c>
      <x:c r="AH123" s="27"/>
      <x:c r="AI123" s="27" t="str">
        <x:v>USD/CNY</x:v>
      </x:c>
    </x:row>
    <x:row r="124">
      <x:c r="A124" s="27" t="n">
        <x:v>45702</x:v>
      </x:c>
      <x:c r="B124" s="27" t="str">
        <x:v>IND_HEDGE_FUND_001</x:v>
      </x:c>
      <x:c r="C124" s="27" t="n">
        <x:v>3345</x:v>
      </x:c>
      <x:c r="D124" s="27" t="str">
        <x:v>IND-000121</x:v>
      </x:c>
      <x:c r="E124" s="27" t="str">
        <x:v>Cross Currency Swap</x:v>
      </x:c>
      <x:c r="F124" s="27" t="str">
        <x:v>Interest Rate</x:v>
      </x:c>
      <x:c r="G124" s="27"/>
      <x:c r="H124" s="27" t="str">
        <x:v>EUR</x:v>
      </x:c>
      <x:c r="I124" s="27" t="str">
        <x:v>USD</x:v>
      </x:c>
      <x:c r="J124" s="27" t="str">
        <x:v>USD</x:v>
      </x:c>
      <x:c r="K124" s="27"/>
      <x:c r="L124" s="27"/>
      <x:c r="M124" s="27" t="str">
        <x:v>EUR/USD</x:v>
      </x:c>
      <x:c r="N124" s="27"/>
      <x:c r="O124" s="27"/>
      <x:c r="P124" s="27" t="n">
        <x:v>48275</x:v>
      </x:c>
      <x:c r="Q124" s="27" t="n">
        <x:v>45313</x:v>
      </x:c>
      <x:c r="R124" s="27" t="n">
        <x:v>48275</x:v>
      </x:c>
      <x:c r="S124" s="27" t="n">
        <x:v>720952380.95</x:v>
      </x:c>
      <x:c r="T124" s="27" t="n">
        <x:v>757000000</x:v>
      </x:c>
      <x:c r="U124" s="27" t="n">
        <x:v>757000000</x:v>
      </x:c>
      <x:c r="V124" s="27" t="str">
        <x:v>M</x:v>
      </x:c>
      <x:c r="W124" s="27" t="str">
        <x:v>N</x:v>
      </x:c>
      <x:c r="X124" s="27" t="n">
        <x:v>10</x:v>
      </x:c>
      <x:c r="Y124" s="27" t="str">
        <x:v>S</x:v>
      </x:c>
      <x:c r="Z124" s="27"/>
      <x:c r="AA124" s="27"/>
      <x:c r="AB124" s="27" t="n">
        <x:v>0</x:v>
      </x:c>
      <x:c r="AC124" s="27" t="n">
        <x:v>0</x:v>
      </x:c>
      <x:c r="AD124" s="27" t="n">
        <x:v>3302034</x:v>
      </x:c>
      <x:c r="AE124" s="27" t="str">
        <x:v>Public-safe anonymized industry-style SA-CCR sample</x:v>
      </x:c>
      <x:c r="AF124" s="27" t="str">
        <x:v>ANON-000121</x:v>
      </x:c>
      <x:c r="AG124" s="27" t="str">
        <x:v>Cross Currency Swap</x:v>
      </x:c>
      <x:c r="AH124" s="27"/>
      <x:c r="AI124" s="27" t="str">
        <x:v>EUR/USD</x:v>
      </x:c>
    </x:row>
    <x:row r="125">
      <x:c r="A125" s="27" t="n">
        <x:v>45702</x:v>
      </x:c>
      <x:c r="B125" s="27" t="str">
        <x:v>IND_SOVEREIGN_001</x:v>
      </x:c>
      <x:c r="C125" s="27" t="n">
        <x:v>3065</x:v>
      </x:c>
      <x:c r="D125" s="27" t="str">
        <x:v>IND-000122</x:v>
      </x:c>
      <x:c r="E125" s="27" t="str">
        <x:v>Cross Currency Swap</x:v>
      </x:c>
      <x:c r="F125" s="27" t="str">
        <x:v>Interest Rate</x:v>
      </x:c>
      <x:c r="G125" s="27"/>
      <x:c r="H125" s="27" t="str">
        <x:v>USD</x:v>
      </x:c>
      <x:c r="I125" s="27" t="str">
        <x:v>JPY</x:v>
      </x:c>
      <x:c r="J125" s="27" t="str">
        <x:v>USD</x:v>
      </x:c>
      <x:c r="K125" s="27"/>
      <x:c r="L125" s="27"/>
      <x:c r="M125" s="27" t="str">
        <x:v>USD/JPY</x:v>
      </x:c>
      <x:c r="N125" s="27"/>
      <x:c r="O125" s="27"/>
      <x:c r="P125" s="27" t="n">
        <x:v>48131</x:v>
      </x:c>
      <x:c r="Q125" s="27" t="n">
        <x:v>44999</x:v>
      </x:c>
      <x:c r="R125" s="27" t="n">
        <x:v>48131</x:v>
      </x:c>
      <x:c r="S125" s="27" t="n">
        <x:v>206000000</x:v>
      </x:c>
      <x:c r="T125" s="27" t="n">
        <x:v>30746268656.72</x:v>
      </x:c>
      <x:c r="U125" s="27" t="n">
        <x:v>206000000</x:v>
      </x:c>
      <x:c r="V125" s="27" t="str">
        <x:v>U</x:v>
      </x:c>
      <x:c r="W125" s="27" t="str">
        <x:v>N</x:v>
      </x:c>
      <x:c r="X125" s="27"/>
      <x:c r="Y125" s="27" t="str">
        <x:v>B</x:v>
      </x:c>
      <x:c r="Z125" s="27"/>
      <x:c r="AA125" s="27"/>
      <x:c r="AB125" s="27" t="n">
        <x:v>0</x:v>
      </x:c>
      <x:c r="AC125" s="27" t="n">
        <x:v>0</x:v>
      </x:c>
      <x:c r="AD125" s="27" t="n">
        <x:v>917112</x:v>
      </x:c>
      <x:c r="AE125" s="27" t="str">
        <x:v>Public-safe anonymized industry-style SA-CCR sample</x:v>
      </x:c>
      <x:c r="AF125" s="27" t="str">
        <x:v>ANON-000122</x:v>
      </x:c>
      <x:c r="AG125" s="27" t="str">
        <x:v>Cross Currency Swap</x:v>
      </x:c>
      <x:c r="AH125" s="27"/>
      <x:c r="AI125" s="27" t="str">
        <x:v>USD/JPY</x:v>
      </x:c>
    </x:row>
    <x:row r="126">
      <x:c r="A126" s="27" t="n">
        <x:v>45702</x:v>
      </x:c>
      <x:c r="B126" s="27" t="str">
        <x:v>IND_REGIONAL_BANK_001</x:v>
      </x:c>
      <x:c r="C126" s="27" t="n">
        <x:v>3315</x:v>
      </x:c>
      <x:c r="D126" s="27" t="str">
        <x:v>IND-000123</x:v>
      </x:c>
      <x:c r="E126" s="27" t="str">
        <x:v>Cross Currency Swap</x:v>
      </x:c>
      <x:c r="F126" s="27" t="str">
        <x:v>Interest Rate</x:v>
      </x:c>
      <x:c r="G126" s="27"/>
      <x:c r="H126" s="27" t="str">
        <x:v>USD</x:v>
      </x:c>
      <x:c r="I126" s="27" t="str">
        <x:v>JPY</x:v>
      </x:c>
      <x:c r="J126" s="27" t="str">
        <x:v>USD</x:v>
      </x:c>
      <x:c r="K126" s="27"/>
      <x:c r="L126" s="27"/>
      <x:c r="M126" s="27" t="str">
        <x:v>USD/JPY</x:v>
      </x:c>
      <x:c r="N126" s="27"/>
      <x:c r="O126" s="27"/>
      <x:c r="P126" s="27" t="n">
        <x:v>49518</x:v>
      </x:c>
      <x:c r="Q126" s="27" t="n">
        <x:v>45487</x:v>
      </x:c>
      <x:c r="R126" s="27" t="n">
        <x:v>49518</x:v>
      </x:c>
      <x:c r="S126" s="27" t="n">
        <x:v>298000000</x:v>
      </x:c>
      <x:c r="T126" s="27" t="n">
        <x:v>44477611940.3</x:v>
      </x:c>
      <x:c r="U126" s="27" t="n">
        <x:v>298000000</x:v>
      </x:c>
      <x:c r="V126" s="27" t="str">
        <x:v>M</x:v>
      </x:c>
      <x:c r="W126" s="27" t="str">
        <x:v>N</x:v>
      </x:c>
      <x:c r="X126" s="27" t="n">
        <x:v>10</x:v>
      </x:c>
      <x:c r="Y126" s="27" t="str">
        <x:v>S</x:v>
      </x:c>
      <x:c r="Z126" s="27"/>
      <x:c r="AA126" s="27"/>
      <x:c r="AB126" s="27" t="n">
        <x:v>0</x:v>
      </x:c>
      <x:c r="AC126" s="27" t="n">
        <x:v>0</x:v>
      </x:c>
      <x:c r="AD126" s="27" t="n">
        <x:v>668712</x:v>
      </x:c>
      <x:c r="AE126" s="27" t="str">
        <x:v>Public-safe anonymized industry-style SA-CCR sample</x:v>
      </x:c>
      <x:c r="AF126" s="27" t="str">
        <x:v>ANON-000123</x:v>
      </x:c>
      <x:c r="AG126" s="27" t="str">
        <x:v>Cross Currency Swap</x:v>
      </x:c>
      <x:c r="AH126" s="27"/>
      <x:c r="AI126" s="27" t="str">
        <x:v>USD/JPY</x:v>
      </x:c>
    </x:row>
    <x:row r="127">
      <x:c r="A127" s="27" t="n">
        <x:v>45702</x:v>
      </x:c>
      <x:c r="B127" s="27" t="str">
        <x:v>IND_CORPORATE_002</x:v>
      </x:c>
      <x:c r="C127" s="27" t="n">
        <x:v>3074</x:v>
      </x:c>
      <x:c r="D127" s="27" t="str">
        <x:v>IND-000124</x:v>
      </x:c>
      <x:c r="E127" s="27" t="str">
        <x:v>Cross Currency Swap</x:v>
      </x:c>
      <x:c r="F127" s="27" t="str">
        <x:v>Interest Rate</x:v>
      </x:c>
      <x:c r="G127" s="27"/>
      <x:c r="H127" s="27" t="str">
        <x:v>USD</x:v>
      </x:c>
      <x:c r="I127" s="27" t="str">
        <x:v>CNY</x:v>
      </x:c>
      <x:c r="J127" s="27" t="str">
        <x:v>USD</x:v>
      </x:c>
      <x:c r="K127" s="27"/>
      <x:c r="L127" s="27"/>
      <x:c r="M127" s="27" t="str">
        <x:v>USD/CNY</x:v>
      </x:c>
      <x:c r="N127" s="27"/>
      <x:c r="O127" s="27"/>
      <x:c r="P127" s="27" t="n">
        <x:v>48487</x:v>
      </x:c>
      <x:c r="Q127" s="27" t="n">
        <x:v>45337</x:v>
      </x:c>
      <x:c r="R127" s="27" t="n">
        <x:v>48487</x:v>
      </x:c>
      <x:c r="S127" s="27" t="n">
        <x:v>223000000</x:v>
      </x:c>
      <x:c r="T127" s="27" t="n">
        <x:v>1592857142.86</x:v>
      </x:c>
      <x:c r="U127" s="27" t="n">
        <x:v>223000000</x:v>
      </x:c>
      <x:c r="V127" s="27" t="str">
        <x:v>M</x:v>
      </x:c>
      <x:c r="W127" s="27" t="str">
        <x:v>N</x:v>
      </x:c>
      <x:c r="X127" s="27" t="n">
        <x:v>10</x:v>
      </x:c>
      <x:c r="Y127" s="27" t="str">
        <x:v>S</x:v>
      </x:c>
      <x:c r="Z127" s="27"/>
      <x:c r="AA127" s="27"/>
      <x:c r="AB127" s="27" t="n">
        <x:v>0</x:v>
      </x:c>
      <x:c r="AC127" s="27" t="n">
        <x:v>0</x:v>
      </x:c>
      <x:c r="AD127" s="27" t="n">
        <x:v>-388020</x:v>
      </x:c>
      <x:c r="AE127" s="27" t="str">
        <x:v>Public-safe anonymized industry-style SA-CCR sample</x:v>
      </x:c>
      <x:c r="AF127" s="27" t="str">
        <x:v>ANON-000124</x:v>
      </x:c>
      <x:c r="AG127" s="27" t="str">
        <x:v>Cross Currency Swap</x:v>
      </x:c>
      <x:c r="AH127" s="27"/>
      <x:c r="AI127" s="27" t="str">
        <x:v>USD/CNY</x:v>
      </x:c>
    </x:row>
    <x:row r="128">
      <x:c r="A128" s="27" t="n">
        <x:v>45702</x:v>
      </x:c>
      <x:c r="B128" s="27" t="str">
        <x:v>IND_CORPORATE_001</x:v>
      </x:c>
      <x:c r="C128" s="27" t="n">
        <x:v>3161</x:v>
      </x:c>
      <x:c r="D128" s="27" t="str">
        <x:v>IND-000125</x:v>
      </x:c>
      <x:c r="E128" s="27" t="str">
        <x:v>Cross Currency Swap</x:v>
      </x:c>
      <x:c r="F128" s="27" t="str">
        <x:v>Interest Rate</x:v>
      </x:c>
      <x:c r="G128" s="27"/>
      <x:c r="H128" s="27" t="str">
        <x:v>USD</x:v>
      </x:c>
      <x:c r="I128" s="27" t="str">
        <x:v>JPY</x:v>
      </x:c>
      <x:c r="J128" s="27" t="str">
        <x:v>USD</x:v>
      </x:c>
      <x:c r="K128" s="27"/>
      <x:c r="L128" s="27"/>
      <x:c r="M128" s="27" t="str">
        <x:v>USD/JPY</x:v>
      </x:c>
      <x:c r="N128" s="27"/>
      <x:c r="O128" s="27"/>
      <x:c r="P128" s="27" t="n">
        <x:v>46882</x:v>
      </x:c>
      <x:c r="Q128" s="27" t="n">
        <x:v>44944</x:v>
      </x:c>
      <x:c r="R128" s="27" t="n">
        <x:v>46882</x:v>
      </x:c>
      <x:c r="S128" s="27" t="n">
        <x:v>20900000</x:v>
      </x:c>
      <x:c r="T128" s="27" t="n">
        <x:v>3119402985.07</x:v>
      </x:c>
      <x:c r="U128" s="27" t="n">
        <x:v>20900000</x:v>
      </x:c>
      <x:c r="V128" s="27" t="str">
        <x:v>U</x:v>
      </x:c>
      <x:c r="W128" s="27" t="str">
        <x:v>N</x:v>
      </x:c>
      <x:c r="X128" s="27"/>
      <x:c r="Y128" s="27" t="str">
        <x:v>B</x:v>
      </x:c>
      <x:c r="Z128" s="27"/>
      <x:c r="AA128" s="27"/>
      <x:c r="AB128" s="27" t="n">
        <x:v>0</x:v>
      </x:c>
      <x:c r="AC128" s="27" t="n">
        <x:v>0</x:v>
      </x:c>
      <x:c r="AD128" s="27" t="n">
        <x:v>-66336.6</x:v>
      </x:c>
      <x:c r="AE128" s="27" t="str">
        <x:v>Public-safe anonymized industry-style SA-CCR sample</x:v>
      </x:c>
      <x:c r="AF128" s="27" t="str">
        <x:v>ANON-000125</x:v>
      </x:c>
      <x:c r="AG128" s="27" t="str">
        <x:v>Cross Currency Swap</x:v>
      </x:c>
      <x:c r="AH128" s="27"/>
      <x:c r="AI128" s="27" t="str">
        <x:v>USD/JPY</x:v>
      </x:c>
    </x:row>
    <x:row r="129">
      <x:c r="A129" s="27" t="n">
        <x:v>45702</x:v>
      </x:c>
      <x:c r="B129" s="27" t="str">
        <x:v>IND_CORPORATE_001</x:v>
      </x:c>
      <x:c r="C129" s="27" t="n">
        <x:v>3161</x:v>
      </x:c>
      <x:c r="D129" s="27" t="str">
        <x:v>IND-000126</x:v>
      </x:c>
      <x:c r="E129" s="27" t="str">
        <x:v>Cross Currency Swap</x:v>
      </x:c>
      <x:c r="F129" s="27" t="str">
        <x:v>Interest Rate</x:v>
      </x:c>
      <x:c r="G129" s="27"/>
      <x:c r="H129" s="27" t="str">
        <x:v>USD</x:v>
      </x:c>
      <x:c r="I129" s="27" t="str">
        <x:v>JPY</x:v>
      </x:c>
      <x:c r="J129" s="27" t="str">
        <x:v>USD</x:v>
      </x:c>
      <x:c r="K129" s="27"/>
      <x:c r="L129" s="27"/>
      <x:c r="M129" s="27" t="str">
        <x:v>USD/JPY</x:v>
      </x:c>
      <x:c r="N129" s="27"/>
      <x:c r="O129" s="27"/>
      <x:c r="P129" s="27" t="n">
        <x:v>47084</x:v>
      </x:c>
      <x:c r="Q129" s="27" t="n">
        <x:v>44973</x:v>
      </x:c>
      <x:c r="R129" s="27" t="n">
        <x:v>47084</x:v>
      </x:c>
      <x:c r="S129" s="27" t="n">
        <x:v>499000000</x:v>
      </x:c>
      <x:c r="T129" s="27" t="n">
        <x:v>74477611940.3</x:v>
      </x:c>
      <x:c r="U129" s="27" t="n">
        <x:v>499000000</x:v>
      </x:c>
      <x:c r="V129" s="27" t="str">
        <x:v>U</x:v>
      </x:c>
      <x:c r="W129" s="27" t="str">
        <x:v>N</x:v>
      </x:c>
      <x:c r="X129" s="27"/>
      <x:c r="Y129" s="27" t="str">
        <x:v>S</x:v>
      </x:c>
      <x:c r="Z129" s="27"/>
      <x:c r="AA129" s="27"/>
      <x:c r="AB129" s="27" t="n">
        <x:v>0</x:v>
      </x:c>
      <x:c r="AC129" s="27" t="n">
        <x:v>0</x:v>
      </x:c>
      <x:c r="AD129" s="27" t="n">
        <x:v>-248502</x:v>
      </x:c>
      <x:c r="AE129" s="27" t="str">
        <x:v>Public-safe anonymized industry-style SA-CCR sample</x:v>
      </x:c>
      <x:c r="AF129" s="27" t="str">
        <x:v>ANON-000126</x:v>
      </x:c>
      <x:c r="AG129" s="27" t="str">
        <x:v>Cross Currency Swap</x:v>
      </x:c>
      <x:c r="AH129" s="27"/>
      <x:c r="AI129" s="27" t="str">
        <x:v>USD/JPY</x:v>
      </x:c>
    </x:row>
    <x:row r="130">
      <x:c r="A130" s="27" t="n">
        <x:v>45702</x:v>
      </x:c>
      <x:c r="B130" s="27" t="str">
        <x:v>IND_BANK_001</x:v>
      </x:c>
      <x:c r="C130" s="27" t="n">
        <x:v>3324</x:v>
      </x:c>
      <x:c r="D130" s="27" t="str">
        <x:v>IND-000127</x:v>
      </x:c>
      <x:c r="E130" s="27" t="str">
        <x:v>Cross Currency Swap</x:v>
      </x:c>
      <x:c r="F130" s="27" t="str">
        <x:v>Interest Rate</x:v>
      </x:c>
      <x:c r="G130" s="27"/>
      <x:c r="H130" s="27" t="str">
        <x:v>USD</x:v>
      </x:c>
      <x:c r="I130" s="27" t="str">
        <x:v>CNY</x:v>
      </x:c>
      <x:c r="J130" s="27" t="str">
        <x:v>USD</x:v>
      </x:c>
      <x:c r="K130" s="27"/>
      <x:c r="L130" s="27"/>
      <x:c r="M130" s="27" t="str">
        <x:v>USD/CNY</x:v>
      </x:c>
      <x:c r="N130" s="27"/>
      <x:c r="O130" s="27"/>
      <x:c r="P130" s="27" t="n">
        <x:v>47708</x:v>
      </x:c>
      <x:c r="Q130" s="27" t="n">
        <x:v>44979</x:v>
      </x:c>
      <x:c r="R130" s="27" t="n">
        <x:v>47708</x:v>
      </x:c>
      <x:c r="S130" s="27" t="n">
        <x:v>33500000</x:v>
      </x:c>
      <x:c r="T130" s="27" t="n">
        <x:v>239285714.29</x:v>
      </x:c>
      <x:c r="U130" s="27" t="n">
        <x:v>33500000</x:v>
      </x:c>
      <x:c r="V130" s="27" t="str">
        <x:v>U</x:v>
      </x:c>
      <x:c r="W130" s="27" t="str">
        <x:v>Y</x:v>
      </x:c>
      <x:c r="X130" s="27" t="n">
        <x:v>5</x:v>
      </x:c>
      <x:c r="Y130" s="27" t="str">
        <x:v>S</x:v>
      </x:c>
      <x:c r="Z130" s="27"/>
      <x:c r="AA130" s="27"/>
      <x:c r="AB130" s="27" t="n">
        <x:v>0</x:v>
      </x:c>
      <x:c r="AC130" s="27" t="n">
        <x:v>0</x:v>
      </x:c>
      <x:c r="AD130" s="27" t="n">
        <x:v>-176277</x:v>
      </x:c>
      <x:c r="AE130" s="27" t="str">
        <x:v>Public-safe anonymized industry-style SA-CCR sample</x:v>
      </x:c>
      <x:c r="AF130" s="27" t="str">
        <x:v>ANON-000127</x:v>
      </x:c>
      <x:c r="AG130" s="27" t="str">
        <x:v>Cross Currency Swap</x:v>
      </x:c>
      <x:c r="AH130" s="27"/>
      <x:c r="AI130" s="27" t="str">
        <x:v>USD/CNY</x:v>
      </x:c>
    </x:row>
    <x:row r="131">
      <x:c r="A131" s="27" t="n">
        <x:v>45702</x:v>
      </x:c>
      <x:c r="B131" s="27" t="str">
        <x:v>IND_ASSET_MANAGER_001</x:v>
      </x:c>
      <x:c r="C131" s="27" t="n">
        <x:v>3050</x:v>
      </x:c>
      <x:c r="D131" s="27" t="str">
        <x:v>IND-000128</x:v>
      </x:c>
      <x:c r="E131" s="27" t="str">
        <x:v>Cross Currency Swap</x:v>
      </x:c>
      <x:c r="F131" s="27" t="str">
        <x:v>Interest Rate</x:v>
      </x:c>
      <x:c r="G131" s="27"/>
      <x:c r="H131" s="27" t="str">
        <x:v>USD</x:v>
      </x:c>
      <x:c r="I131" s="27" t="str">
        <x:v>CNY</x:v>
      </x:c>
      <x:c r="J131" s="27" t="str">
        <x:v>USD</x:v>
      </x:c>
      <x:c r="K131" s="27"/>
      <x:c r="L131" s="27"/>
      <x:c r="M131" s="27" t="str">
        <x:v>USD/CNY</x:v>
      </x:c>
      <x:c r="N131" s="27"/>
      <x:c r="O131" s="27"/>
      <x:c r="P131" s="27" t="n">
        <x:v>47010</x:v>
      </x:c>
      <x:c r="Q131" s="27" t="n">
        <x:v>45074</x:v>
      </x:c>
      <x:c r="R131" s="27" t="n">
        <x:v>47010</x:v>
      </x:c>
      <x:c r="S131" s="27" t="n">
        <x:v>252000000</x:v>
      </x:c>
      <x:c r="T131" s="27" t="n">
        <x:v>1800000000</x:v>
      </x:c>
      <x:c r="U131" s="27" t="n">
        <x:v>252000000</x:v>
      </x:c>
      <x:c r="V131" s="27" t="str">
        <x:v>M</x:v>
      </x:c>
      <x:c r="W131" s="27" t="str">
        <x:v>N</x:v>
      </x:c>
      <x:c r="X131" s="27" t="n">
        <x:v>10</x:v>
      </x:c>
      <x:c r="Y131" s="27" t="str">
        <x:v>B</x:v>
      </x:c>
      <x:c r="Z131" s="27"/>
      <x:c r="AA131" s="27"/>
      <x:c r="AB131" s="27" t="n">
        <x:v>0</x:v>
      </x:c>
      <x:c r="AC131" s="27" t="n">
        <x:v>0</x:v>
      </x:c>
      <x:c r="AD131" s="27" t="n">
        <x:v>1489320</x:v>
      </x:c>
      <x:c r="AE131" s="27" t="str">
        <x:v>Public-safe anonymized industry-style SA-CCR sample</x:v>
      </x:c>
      <x:c r="AF131" s="27" t="str">
        <x:v>ANON-000128</x:v>
      </x:c>
      <x:c r="AG131" s="27" t="str">
        <x:v>Cross Currency Swap</x:v>
      </x:c>
      <x:c r="AH131" s="27"/>
      <x:c r="AI131" s="27" t="str">
        <x:v>USD/CNY</x:v>
      </x:c>
    </x:row>
    <x:row r="132">
      <x:c r="A132" s="27" t="n">
        <x:v>45702</x:v>
      </x:c>
      <x:c r="B132" s="27" t="str">
        <x:v>IND_ASSET_MANAGER_001</x:v>
      </x:c>
      <x:c r="C132" s="27" t="n">
        <x:v>3050</x:v>
      </x:c>
      <x:c r="D132" s="27" t="str">
        <x:v>IND-000129</x:v>
      </x:c>
      <x:c r="E132" s="27" t="str">
        <x:v>Cross Currency Swap</x:v>
      </x:c>
      <x:c r="F132" s="27" t="str">
        <x:v>Interest Rate</x:v>
      </x:c>
      <x:c r="G132" s="27"/>
      <x:c r="H132" s="27" t="str">
        <x:v>USD</x:v>
      </x:c>
      <x:c r="I132" s="27" t="str">
        <x:v>CNY</x:v>
      </x:c>
      <x:c r="J132" s="27" t="str">
        <x:v>USD</x:v>
      </x:c>
      <x:c r="K132" s="27"/>
      <x:c r="L132" s="27"/>
      <x:c r="M132" s="27" t="str">
        <x:v>USD/CNY</x:v>
      </x:c>
      <x:c r="N132" s="27"/>
      <x:c r="O132" s="27"/>
      <x:c r="P132" s="27" t="n">
        <x:v>47213</x:v>
      </x:c>
      <x:c r="Q132" s="27" t="n">
        <x:v>45296</x:v>
      </x:c>
      <x:c r="R132" s="27" t="n">
        <x:v>47213</x:v>
      </x:c>
      <x:c r="S132" s="27" t="n">
        <x:v>893000000</x:v>
      </x:c>
      <x:c r="T132" s="27" t="n">
        <x:v>6378571428.57</x:v>
      </x:c>
      <x:c r="U132" s="27" t="n">
        <x:v>893000000</x:v>
      </x:c>
      <x:c r="V132" s="27" t="str">
        <x:v>M</x:v>
      </x:c>
      <x:c r="W132" s="27" t="str">
        <x:v>N</x:v>
      </x:c>
      <x:c r="X132" s="27" t="n">
        <x:v>10</x:v>
      </x:c>
      <x:c r="Y132" s="27" t="str">
        <x:v>S</x:v>
      </x:c>
      <x:c r="Z132" s="27"/>
      <x:c r="AA132" s="27"/>
      <x:c r="AB132" s="27" t="n">
        <x:v>0</x:v>
      </x:c>
      <x:c r="AC132" s="27" t="n">
        <x:v>0</x:v>
      </x:c>
      <x:c r="AD132" s="27" t="n">
        <x:v>3450552</x:v>
      </x:c>
      <x:c r="AE132" s="27" t="str">
        <x:v>Public-safe anonymized industry-style SA-CCR sample</x:v>
      </x:c>
      <x:c r="AF132" s="27" t="str">
        <x:v>ANON-000129</x:v>
      </x:c>
      <x:c r="AG132" s="27" t="str">
        <x:v>Cross Currency Swap</x:v>
      </x:c>
      <x:c r="AH132" s="27"/>
      <x:c r="AI132" s="27" t="str">
        <x:v>USD/CNY</x:v>
      </x:c>
    </x:row>
    <x:row r="133">
      <x:c r="A133" s="27" t="n">
        <x:v>45702</x:v>
      </x:c>
      <x:c r="B133" s="27" t="str">
        <x:v>IND_ASSET_MANAGER_001</x:v>
      </x:c>
      <x:c r="C133" s="27" t="n">
        <x:v>3050</x:v>
      </x:c>
      <x:c r="D133" s="27" t="str">
        <x:v>IND-000130</x:v>
      </x:c>
      <x:c r="E133" s="27" t="str">
        <x:v>Cross Currency Swap</x:v>
      </x:c>
      <x:c r="F133" s="27" t="str">
        <x:v>Interest Rate</x:v>
      </x:c>
      <x:c r="G133" s="27"/>
      <x:c r="H133" s="27" t="str">
        <x:v>USD</x:v>
      </x:c>
      <x:c r="I133" s="27" t="str">
        <x:v>CNY</x:v>
      </x:c>
      <x:c r="J133" s="27" t="str">
        <x:v>USD</x:v>
      </x:c>
      <x:c r="K133" s="27"/>
      <x:c r="L133" s="27"/>
      <x:c r="M133" s="27" t="str">
        <x:v>USD/CNY</x:v>
      </x:c>
      <x:c r="N133" s="27"/>
      <x:c r="O133" s="27"/>
      <x:c r="P133" s="27" t="n">
        <x:v>47454</x:v>
      </x:c>
      <x:c r="Q133" s="27" t="n">
        <x:v>45607</x:v>
      </x:c>
      <x:c r="R133" s="27" t="n">
        <x:v>47454</x:v>
      </x:c>
      <x:c r="S133" s="27" t="n">
        <x:v>32900000</x:v>
      </x:c>
      <x:c r="T133" s="27" t="n">
        <x:v>235000000</x:v>
      </x:c>
      <x:c r="U133" s="27" t="n">
        <x:v>32900000</x:v>
      </x:c>
      <x:c r="V133" s="27" t="str">
        <x:v>M</x:v>
      </x:c>
      <x:c r="W133" s="27" t="str">
        <x:v>N</x:v>
      </x:c>
      <x:c r="X133" s="27" t="n">
        <x:v>10</x:v>
      </x:c>
      <x:c r="Y133" s="27" t="str">
        <x:v>B</x:v>
      </x:c>
      <x:c r="Z133" s="27"/>
      <x:c r="AA133" s="27"/>
      <x:c r="AB133" s="27" t="n">
        <x:v>0</x:v>
      </x:c>
      <x:c r="AC133" s="27" t="n">
        <x:v>0</x:v>
      </x:c>
      <x:c r="AD133" s="27" t="n">
        <x:v>-31584</x:v>
      </x:c>
      <x:c r="AE133" s="27" t="str">
        <x:v>Public-safe anonymized industry-style SA-CCR sample</x:v>
      </x:c>
      <x:c r="AF133" s="27" t="str">
        <x:v>ANON-000130</x:v>
      </x:c>
      <x:c r="AG133" s="27" t="str">
        <x:v>Cross Currency Swap</x:v>
      </x:c>
      <x:c r="AH133" s="27"/>
      <x:c r="AI133" s="27" t="str">
        <x:v>USD/CNY</x:v>
      </x:c>
    </x:row>
    <x:row r="134">
      <x:c r="A134" s="27" t="n">
        <x:v>45702</x:v>
      </x:c>
      <x:c r="B134" s="27" t="str">
        <x:v>IND_BROKER_001</x:v>
      </x:c>
      <x:c r="C134" s="27" t="n">
        <x:v>3332</x:v>
      </x:c>
      <x:c r="D134" s="27" t="str">
        <x:v>IND-000131</x:v>
      </x:c>
      <x:c r="E134" s="27" t="str">
        <x:v>Cross Currency Swap</x:v>
      </x:c>
      <x:c r="F134" s="27" t="str">
        <x:v>Interest Rate</x:v>
      </x:c>
      <x:c r="G134" s="27"/>
      <x:c r="H134" s="27" t="str">
        <x:v>USD</x:v>
      </x:c>
      <x:c r="I134" s="27" t="str">
        <x:v>JPY</x:v>
      </x:c>
      <x:c r="J134" s="27" t="str">
        <x:v>USD</x:v>
      </x:c>
      <x:c r="K134" s="27"/>
      <x:c r="L134" s="27"/>
      <x:c r="M134" s="27" t="str">
        <x:v>USD/JPY</x:v>
      </x:c>
      <x:c r="N134" s="27"/>
      <x:c r="O134" s="27"/>
      <x:c r="P134" s="27" t="n">
        <x:v>46093</x:v>
      </x:c>
      <x:c r="Q134" s="27" t="n">
        <x:v>45645</x:v>
      </x:c>
      <x:c r="R134" s="27" t="n">
        <x:v>46093</x:v>
      </x:c>
      <x:c r="S134" s="27" t="n">
        <x:v>72900000</x:v>
      </x:c>
      <x:c r="T134" s="27" t="n">
        <x:v>10880597014.93</x:v>
      </x:c>
      <x:c r="U134" s="27" t="n">
        <x:v>72900000</x:v>
      </x:c>
      <x:c r="V134" s="27" t="str">
        <x:v>M</x:v>
      </x:c>
      <x:c r="W134" s="27" t="str">
        <x:v>N</x:v>
      </x:c>
      <x:c r="X134" s="27" t="n">
        <x:v>10</x:v>
      </x:c>
      <x:c r="Y134" s="27" t="str">
        <x:v>S</x:v>
      </x:c>
      <x:c r="Z134" s="27"/>
      <x:c r="AA134" s="27"/>
      <x:c r="AB134" s="27" t="n">
        <x:v>0</x:v>
      </x:c>
      <x:c r="AC134" s="27" t="n">
        <x:v>0</x:v>
      </x:c>
      <x:c r="AD134" s="27" t="n">
        <x:v>-339859.8</x:v>
      </x:c>
      <x:c r="AE134" s="27" t="str">
        <x:v>Public-safe anonymized industry-style SA-CCR sample</x:v>
      </x:c>
      <x:c r="AF134" s="27" t="str">
        <x:v>ANON-000131</x:v>
      </x:c>
      <x:c r="AG134" s="27" t="str">
        <x:v>Cross Currency Swap</x:v>
      </x:c>
      <x:c r="AH134" s="27"/>
      <x:c r="AI134" s="27" t="str">
        <x:v>USD/JPY</x:v>
      </x:c>
    </x:row>
    <x:row r="135">
      <x:c r="A135" s="27" t="n">
        <x:v>45702</x:v>
      </x:c>
      <x:c r="B135" s="27" t="str">
        <x:v>IND_REGIONAL_BANK_001</x:v>
      </x:c>
      <x:c r="C135" s="27" t="n">
        <x:v>3315</x:v>
      </x:c>
      <x:c r="D135" s="27" t="str">
        <x:v>IND-000132</x:v>
      </x:c>
      <x:c r="E135" s="27" t="str">
        <x:v>Cross Currency Swap</x:v>
      </x:c>
      <x:c r="F135" s="27" t="str">
        <x:v>Interest Rate</x:v>
      </x:c>
      <x:c r="G135" s="27"/>
      <x:c r="H135" s="27" t="str">
        <x:v>USD</x:v>
      </x:c>
      <x:c r="I135" s="27" t="str">
        <x:v>JPY</x:v>
      </x:c>
      <x:c r="J135" s="27" t="str">
        <x:v>USD</x:v>
      </x:c>
      <x:c r="K135" s="27"/>
      <x:c r="L135" s="27"/>
      <x:c r="M135" s="27" t="str">
        <x:v>USD/JPY</x:v>
      </x:c>
      <x:c r="N135" s="27"/>
      <x:c r="O135" s="27"/>
      <x:c r="P135" s="27" t="n">
        <x:v>49024</x:v>
      </x:c>
      <x:c r="Q135" s="27" t="n">
        <x:v>45228</x:v>
      </x:c>
      <x:c r="R135" s="27" t="n">
        <x:v>49024</x:v>
      </x:c>
      <x:c r="S135" s="27" t="n">
        <x:v>222000000</x:v>
      </x:c>
      <x:c r="T135" s="27" t="n">
        <x:v>33134328358.21</x:v>
      </x:c>
      <x:c r="U135" s="27" t="n">
        <x:v>222000000</x:v>
      </x:c>
      <x:c r="V135" s="27" t="str">
        <x:v>M</x:v>
      </x:c>
      <x:c r="W135" s="27" t="str">
        <x:v>N</x:v>
      </x:c>
      <x:c r="X135" s="27" t="n">
        <x:v>10</x:v>
      </x:c>
      <x:c r="Y135" s="27" t="str">
        <x:v>B</x:v>
      </x:c>
      <x:c r="Z135" s="27"/>
      <x:c r="AA135" s="27"/>
      <x:c r="AB135" s="27" t="n">
        <x:v>0</x:v>
      </x:c>
      <x:c r="AC135" s="27" t="n">
        <x:v>0</x:v>
      </x:c>
      <x:c r="AD135" s="27" t="n">
        <x:v>712620</x:v>
      </x:c>
      <x:c r="AE135" s="27" t="str">
        <x:v>Public-safe anonymized industry-style SA-CCR sample</x:v>
      </x:c>
      <x:c r="AF135" s="27" t="str">
        <x:v>ANON-000132</x:v>
      </x:c>
      <x:c r="AG135" s="27" t="str">
        <x:v>Cross Currency Swap</x:v>
      </x:c>
      <x:c r="AH135" s="27"/>
      <x:c r="AI135" s="27" t="str">
        <x:v>USD/JPY</x:v>
      </x:c>
    </x:row>
    <x:row r="136">
      <x:c r="A136" s="27" t="n">
        <x:v>45702</x:v>
      </x:c>
      <x:c r="B136" s="27" t="str">
        <x:v>IND_BANK_002</x:v>
      </x:c>
      <x:c r="C136" s="27" t="n">
        <x:v>3132</x:v>
      </x:c>
      <x:c r="D136" s="27" t="str">
        <x:v>IND-000133</x:v>
      </x:c>
      <x:c r="E136" s="27" t="str">
        <x:v>Cross Currency Swap</x:v>
      </x:c>
      <x:c r="F136" s="27" t="str">
        <x:v>Interest Rate</x:v>
      </x:c>
      <x:c r="G136" s="27"/>
      <x:c r="H136" s="27" t="str">
        <x:v>EUR</x:v>
      </x:c>
      <x:c r="I136" s="27" t="str">
        <x:v>USD</x:v>
      </x:c>
      <x:c r="J136" s="27" t="str">
        <x:v>USD</x:v>
      </x:c>
      <x:c r="K136" s="27"/>
      <x:c r="L136" s="27"/>
      <x:c r="M136" s="27" t="str">
        <x:v>EUR/USD</x:v>
      </x:c>
      <x:c r="N136" s="27"/>
      <x:c r="O136" s="27"/>
      <x:c r="P136" s="27" t="n">
        <x:v>46742</x:v>
      </x:c>
      <x:c r="Q136" s="27" t="n">
        <x:v>45400</x:v>
      </x:c>
      <x:c r="R136" s="27" t="n">
        <x:v>46742</x:v>
      </x:c>
      <x:c r="S136" s="27" t="n">
        <x:v>202857142.86</x:v>
      </x:c>
      <x:c r="T136" s="27" t="n">
        <x:v>213000000</x:v>
      </x:c>
      <x:c r="U136" s="27" t="n">
        <x:v>213000000</x:v>
      </x:c>
      <x:c r="V136" s="27" t="str">
        <x:v>U</x:v>
      </x:c>
      <x:c r="W136" s="27" t="str">
        <x:v>N</x:v>
      </x:c>
      <x:c r="X136" s="27"/>
      <x:c r="Y136" s="27" t="str">
        <x:v>B</x:v>
      </x:c>
      <x:c r="Z136" s="27"/>
      <x:c r="AA136" s="27"/>
      <x:c r="AB136" s="27" t="n">
        <x:v>0</x:v>
      </x:c>
      <x:c r="AC136" s="27" t="n">
        <x:v>0</x:v>
      </x:c>
      <x:c r="AD136" s="27" t="n">
        <x:v>-779580</x:v>
      </x:c>
      <x:c r="AE136" s="27" t="str">
        <x:v>Public-safe anonymized industry-style SA-CCR sample</x:v>
      </x:c>
      <x:c r="AF136" s="27" t="str">
        <x:v>ANON-000133</x:v>
      </x:c>
      <x:c r="AG136" s="27" t="str">
        <x:v>Cross Currency Swap</x:v>
      </x:c>
      <x:c r="AH136" s="27"/>
      <x:c r="AI136" s="27" t="str">
        <x:v>EUR/USD</x:v>
      </x:c>
    </x:row>
    <x:row r="137">
      <x:c r="A137" s="27" t="n">
        <x:v>45702</x:v>
      </x:c>
      <x:c r="B137" s="27" t="str">
        <x:v>IND_HEDGE_FUND_001</x:v>
      </x:c>
      <x:c r="C137" s="27" t="n">
        <x:v>3345</x:v>
      </x:c>
      <x:c r="D137" s="27" t="str">
        <x:v>IND-000134</x:v>
      </x:c>
      <x:c r="E137" s="27" t="str">
        <x:v>Cross Currency Swap</x:v>
      </x:c>
      <x:c r="F137" s="27" t="str">
        <x:v>Interest Rate</x:v>
      </x:c>
      <x:c r="G137" s="27"/>
      <x:c r="H137" s="27" t="str">
        <x:v>EUR</x:v>
      </x:c>
      <x:c r="I137" s="27" t="str">
        <x:v>USD</x:v>
      </x:c>
      <x:c r="J137" s="27" t="str">
        <x:v>USD</x:v>
      </x:c>
      <x:c r="K137" s="27"/>
      <x:c r="L137" s="27"/>
      <x:c r="M137" s="27" t="str">
        <x:v>EUR/USD</x:v>
      </x:c>
      <x:c r="N137" s="27"/>
      <x:c r="O137" s="27"/>
      <x:c r="P137" s="27" t="n">
        <x:v>48067</x:v>
      </x:c>
      <x:c r="Q137" s="27" t="n">
        <x:v>45088</x:v>
      </x:c>
      <x:c r="R137" s="27" t="n">
        <x:v>48067</x:v>
      </x:c>
      <x:c r="S137" s="27" t="n">
        <x:v>152380952.38</x:v>
      </x:c>
      <x:c r="T137" s="27" t="n">
        <x:v>160000000</x:v>
      </x:c>
      <x:c r="U137" s="27" t="n">
        <x:v>160000000</x:v>
      </x:c>
      <x:c r="V137" s="27" t="str">
        <x:v>M</x:v>
      </x:c>
      <x:c r="W137" s="27" t="str">
        <x:v>N</x:v>
      </x:c>
      <x:c r="X137" s="27" t="n">
        <x:v>10</x:v>
      </x:c>
      <x:c r="Y137" s="27" t="str">
        <x:v>S</x:v>
      </x:c>
      <x:c r="Z137" s="27"/>
      <x:c r="AA137" s="27"/>
      <x:c r="AB137" s="27" t="n">
        <x:v>0</x:v>
      </x:c>
      <x:c r="AC137" s="27" t="n">
        <x:v>0</x:v>
      </x:c>
      <x:c r="AD137" s="27" t="n">
        <x:v>1920</x:v>
      </x:c>
      <x:c r="AE137" s="27" t="str">
        <x:v>Public-safe anonymized industry-style SA-CCR sample</x:v>
      </x:c>
      <x:c r="AF137" s="27" t="str">
        <x:v>ANON-000134</x:v>
      </x:c>
      <x:c r="AG137" s="27" t="str">
        <x:v>Cross Currency Swap</x:v>
      </x:c>
      <x:c r="AH137" s="27"/>
      <x:c r="AI137" s="27" t="str">
        <x:v>EUR/USD</x:v>
      </x:c>
    </x:row>
    <x:row r="138">
      <x:c r="A138" s="27" t="n">
        <x:v>45702</x:v>
      </x:c>
      <x:c r="B138" s="27" t="str">
        <x:v>IND_SOVEREIGN_001</x:v>
      </x:c>
      <x:c r="C138" s="27" t="n">
        <x:v>3065</x:v>
      </x:c>
      <x:c r="D138" s="27" t="str">
        <x:v>IND-000135</x:v>
      </x:c>
      <x:c r="E138" s="27" t="str">
        <x:v>Interest Rate FRA</x:v>
      </x:c>
      <x:c r="F138" s="27" t="str">
        <x:v>Interest Rate</x:v>
      </x:c>
      <x:c r="G138" s="27"/>
      <x:c r="H138" s="27" t="str">
        <x:v>EUR</x:v>
      </x:c>
      <x:c r="I138" s="27" t="str">
        <x:v>EUR</x:v>
      </x:c>
      <x:c r="J138" s="27" t="str">
        <x:v>EUR</x:v>
      </x:c>
      <x:c r="K138" s="27"/>
      <x:c r="L138" s="27"/>
      <x:c r="M138" s="27" t="str">
        <x:v>EUR</x:v>
      </x:c>
      <x:c r="N138" s="27"/>
      <x:c r="O138" s="27"/>
      <x:c r="P138" s="27" t="n">
        <x:v>46060</x:v>
      </x:c>
      <x:c r="Q138" s="27" t="n">
        <x:v>45567</x:v>
      </x:c>
      <x:c r="R138" s="27" t="n">
        <x:v>46060</x:v>
      </x:c>
      <x:c r="S138" s="27" t="n">
        <x:v>16571428.57</x:v>
      </x:c>
      <x:c r="T138" s="27" t="n">
        <x:v>16571428.57</x:v>
      </x:c>
      <x:c r="U138" s="27" t="n">
        <x:v>17400000</x:v>
      </x:c>
      <x:c r="V138" s="27" t="str">
        <x:v>U</x:v>
      </x:c>
      <x:c r="W138" s="27" t="str">
        <x:v>N</x:v>
      </x:c>
      <x:c r="X138" s="27"/>
      <x:c r="Y138" s="27" t="str">
        <x:v>B</x:v>
      </x:c>
      <x:c r="Z138" s="27"/>
      <x:c r="AA138" s="27"/>
      <x:c r="AB138" s="27" t="n">
        <x:v>0</x:v>
      </x:c>
      <x:c r="AC138" s="27" t="n">
        <x:v>0</x:v>
      </x:c>
      <x:c r="AD138" s="27" t="n">
        <x:v>87800.4</x:v>
      </x:c>
      <x:c r="AE138" s="27" t="str">
        <x:v>Public-safe anonymized industry-style SA-CCR sample</x:v>
      </x:c>
      <x:c r="AF138" s="27" t="str">
        <x:v>ANON-000135</x:v>
      </x:c>
      <x:c r="AG138" s="27" t="str">
        <x:v>Interest Rate FRA</x:v>
      </x:c>
      <x:c r="AH138" s="27"/>
      <x:c r="AI138" s="27" t="str">
        <x:v>EUR</x:v>
      </x:c>
    </x:row>
    <x:row r="139">
      <x:c r="A139" s="27" t="n">
        <x:v>45702</x:v>
      </x:c>
      <x:c r="B139" s="27" t="str">
        <x:v>IND_BANK_002</x:v>
      </x:c>
      <x:c r="C139" s="27" t="n">
        <x:v>3132</x:v>
      </x:c>
      <x:c r="D139" s="27" t="str">
        <x:v>IND-000136</x:v>
      </x:c>
      <x:c r="E139" s="27" t="str">
        <x:v>Interest Rate FRA</x:v>
      </x:c>
      <x:c r="F139" s="27" t="str">
        <x:v>Interest Rate</x:v>
      </x:c>
      <x:c r="G139" s="27"/>
      <x:c r="H139" s="27" t="str">
        <x:v>USD</x:v>
      </x:c>
      <x:c r="I139" s="27" t="str">
        <x:v>USD</x:v>
      </x:c>
      <x:c r="J139" s="27" t="str">
        <x:v>USD</x:v>
      </x:c>
      <x:c r="K139" s="27"/>
      <x:c r="L139" s="27"/>
      <x:c r="M139" s="27" t="str">
        <x:v>USD</x:v>
      </x:c>
      <x:c r="N139" s="27"/>
      <x:c r="O139" s="27"/>
      <x:c r="P139" s="27" t="n">
        <x:v>45993</x:v>
      </x:c>
      <x:c r="Q139" s="27" t="n">
        <x:v>45211</x:v>
      </x:c>
      <x:c r="R139" s="27" t="n">
        <x:v>45993</x:v>
      </x:c>
      <x:c r="S139" s="27" t="n">
        <x:v>158000000</x:v>
      </x:c>
      <x:c r="T139" s="27" t="n">
        <x:v>158000000</x:v>
      </x:c>
      <x:c r="U139" s="27" t="n">
        <x:v>158000000</x:v>
      </x:c>
      <x:c r="V139" s="27" t="str">
        <x:v>U</x:v>
      </x:c>
      <x:c r="W139" s="27" t="str">
        <x:v>N</x:v>
      </x:c>
      <x:c r="X139" s="27"/>
      <x:c r="Y139" s="27" t="str">
        <x:v>B</x:v>
      </x:c>
      <x:c r="Z139" s="27"/>
      <x:c r="AA139" s="27"/>
      <x:c r="AB139" s="27" t="n">
        <x:v>0</x:v>
      </x:c>
      <x:c r="AC139" s="27" t="n">
        <x:v>0</x:v>
      </x:c>
      <x:c r="AD139" s="27" t="n">
        <x:v>-756504</x:v>
      </x:c>
      <x:c r="AE139" s="27" t="str">
        <x:v>Public-safe anonymized industry-style SA-CCR sample</x:v>
      </x:c>
      <x:c r="AF139" s="27" t="str">
        <x:v>ANON-000136</x:v>
      </x:c>
      <x:c r="AG139" s="27" t="str">
        <x:v>Interest Rate FRA</x:v>
      </x:c>
      <x:c r="AH139" s="27"/>
      <x:c r="AI139" s="27" t="str">
        <x:v>USD</x:v>
      </x:c>
    </x:row>
    <x:row r="140">
      <x:c r="A140" s="27" t="n">
        <x:v>45702</x:v>
      </x:c>
      <x:c r="B140" s="27" t="str">
        <x:v>IND_CORPORATE_002</x:v>
      </x:c>
      <x:c r="C140" s="27" t="n">
        <x:v>3074</x:v>
      </x:c>
      <x:c r="D140" s="27" t="str">
        <x:v>IND-000137</x:v>
      </x:c>
      <x:c r="E140" s="27" t="str">
        <x:v>Interest Rate FRA</x:v>
      </x:c>
      <x:c r="F140" s="27" t="str">
        <x:v>Interest Rate</x:v>
      </x:c>
      <x:c r="G140" s="27"/>
      <x:c r="H140" s="27" t="str">
        <x:v>CNY</x:v>
      </x:c>
      <x:c r="I140" s="27" t="str">
        <x:v>CNY</x:v>
      </x:c>
      <x:c r="J140" s="27" t="str">
        <x:v>CNY</x:v>
      </x:c>
      <x:c r="K140" s="27"/>
      <x:c r="L140" s="27"/>
      <x:c r="M140" s="27" t="str">
        <x:v>CNY</x:v>
      </x:c>
      <x:c r="N140" s="27"/>
      <x:c r="O140" s="27"/>
      <x:c r="P140" s="27" t="n">
        <x:v>46039</x:v>
      </x:c>
      <x:c r="Q140" s="27" t="n">
        <x:v>45431</x:v>
      </x:c>
      <x:c r="R140" s="27" t="n">
        <x:v>46039</x:v>
      </x:c>
      <x:c r="S140" s="27" t="n">
        <x:v>942857142.86</x:v>
      </x:c>
      <x:c r="T140" s="27" t="n">
        <x:v>942857142.86</x:v>
      </x:c>
      <x:c r="U140" s="27" t="n">
        <x:v>132000000</x:v>
      </x:c>
      <x:c r="V140" s="27" t="str">
        <x:v>M</x:v>
      </x:c>
      <x:c r="W140" s="27" t="str">
        <x:v>N</x:v>
      </x:c>
      <x:c r="X140" s="27" t="n">
        <x:v>10</x:v>
      </x:c>
      <x:c r="Y140" s="27" t="str">
        <x:v>S</x:v>
      </x:c>
      <x:c r="Z140" s="27"/>
      <x:c r="AA140" s="27"/>
      <x:c r="AB140" s="27" t="n">
        <x:v>0</x:v>
      </x:c>
      <x:c r="AC140" s="27" t="n">
        <x:v>0</x:v>
      </x:c>
      <x:c r="AD140" s="27" t="n">
        <x:v>757944</x:v>
      </x:c>
      <x:c r="AE140" s="27" t="str">
        <x:v>Public-safe anonymized industry-style SA-CCR sample</x:v>
      </x:c>
      <x:c r="AF140" s="27" t="str">
        <x:v>ANON-000137</x:v>
      </x:c>
      <x:c r="AG140" s="27" t="str">
        <x:v>Interest Rate FRA</x:v>
      </x:c>
      <x:c r="AH140" s="27"/>
      <x:c r="AI140" s="27" t="str">
        <x:v>CNY</x:v>
      </x:c>
    </x:row>
    <x:row r="141">
      <x:c r="A141" s="27" t="n">
        <x:v>45702</x:v>
      </x:c>
      <x:c r="B141" s="27" t="str">
        <x:v>IND_CORPORATE_001</x:v>
      </x:c>
      <x:c r="C141" s="27" t="n">
        <x:v>3004</x:v>
      </x:c>
      <x:c r="D141" s="27" t="str">
        <x:v>IND-000138</x:v>
      </x:c>
      <x:c r="E141" s="27" t="str">
        <x:v>Interest Rate FRA</x:v>
      </x:c>
      <x:c r="F141" s="27" t="str">
        <x:v>Interest Rate</x:v>
      </x:c>
      <x:c r="G141" s="27"/>
      <x:c r="H141" s="27" t="str">
        <x:v>EUR</x:v>
      </x:c>
      <x:c r="I141" s="27" t="str">
        <x:v>EUR</x:v>
      </x:c>
      <x:c r="J141" s="27" t="str">
        <x:v>EUR</x:v>
      </x:c>
      <x:c r="K141" s="27"/>
      <x:c r="L141" s="27"/>
      <x:c r="M141" s="27" t="str">
        <x:v>EUR</x:v>
      </x:c>
      <x:c r="N141" s="27"/>
      <x:c r="O141" s="27"/>
      <x:c r="P141" s="27" t="n">
        <x:v>45984</x:v>
      </x:c>
      <x:c r="Q141" s="27" t="n">
        <x:v>44891</x:v>
      </x:c>
      <x:c r="R141" s="27" t="n">
        <x:v>45984</x:v>
      </x:c>
      <x:c r="S141" s="27" t="n">
        <x:v>33523809.52</x:v>
      </x:c>
      <x:c r="T141" s="27" t="n">
        <x:v>33523809.52</x:v>
      </x:c>
      <x:c r="U141" s="27" t="n">
        <x:v>35200000</x:v>
      </x:c>
      <x:c r="V141" s="27" t="str">
        <x:v>M</x:v>
      </x:c>
      <x:c r="W141" s="27" t="str">
        <x:v>N</x:v>
      </x:c>
      <x:c r="X141" s="27" t="n">
        <x:v>10</x:v>
      </x:c>
      <x:c r="Y141" s="27" t="str">
        <x:v>S</x:v>
      </x:c>
      <x:c r="Z141" s="27"/>
      <x:c r="AA141" s="27"/>
      <x:c r="AB141" s="27" t="n">
        <x:v>0</x:v>
      </x:c>
      <x:c r="AC141" s="27" t="n">
        <x:v>0</x:v>
      </x:c>
      <x:c r="AD141" s="27" t="n">
        <x:v>165792</x:v>
      </x:c>
      <x:c r="AE141" s="27" t="str">
        <x:v>Public-safe anonymized industry-style SA-CCR sample</x:v>
      </x:c>
      <x:c r="AF141" s="27" t="str">
        <x:v>ANON-000138</x:v>
      </x:c>
      <x:c r="AG141" s="27" t="str">
        <x:v>Interest Rate FRA</x:v>
      </x:c>
      <x:c r="AH141" s="27"/>
      <x:c r="AI141" s="27" t="str">
        <x:v>EUR</x:v>
      </x:c>
    </x:row>
    <x:row r="142">
      <x:c r="A142" s="27" t="n">
        <x:v>45702</x:v>
      </x:c>
      <x:c r="B142" s="27" t="str">
        <x:v>IND_PENSION_001</x:v>
      </x:c>
      <x:c r="C142" s="27" t="n">
        <x:v>3103</x:v>
      </x:c>
      <x:c r="D142" s="27" t="str">
        <x:v>IND-000139</x:v>
      </x:c>
      <x:c r="E142" s="27" t="str">
        <x:v>Interest Rate FRA</x:v>
      </x:c>
      <x:c r="F142" s="27" t="str">
        <x:v>Interest Rate</x:v>
      </x:c>
      <x:c r="G142" s="27"/>
      <x:c r="H142" s="27" t="str">
        <x:v>CNY</x:v>
      </x:c>
      <x:c r="I142" s="27" t="str">
        <x:v>CNY</x:v>
      </x:c>
      <x:c r="J142" s="27" t="str">
        <x:v>CNY</x:v>
      </x:c>
      <x:c r="K142" s="27"/>
      <x:c r="L142" s="27"/>
      <x:c r="M142" s="27" t="str">
        <x:v>CNY</x:v>
      </x:c>
      <x:c r="N142" s="27"/>
      <x:c r="O142" s="27"/>
      <x:c r="P142" s="27" t="n">
        <x:v>46008</x:v>
      </x:c>
      <x:c r="Q142" s="27" t="n">
        <x:v>45265</x:v>
      </x:c>
      <x:c r="R142" s="27" t="n">
        <x:v>46008</x:v>
      </x:c>
      <x:c r="S142" s="27" t="n">
        <x:v>907142857.14</x:v>
      </x:c>
      <x:c r="T142" s="27" t="n">
        <x:v>907142857.14</x:v>
      </x:c>
      <x:c r="U142" s="27" t="n">
        <x:v>127000000</x:v>
      </x:c>
      <x:c r="V142" s="27" t="str">
        <x:v>M</x:v>
      </x:c>
      <x:c r="W142" s="27" t="str">
        <x:v>N</x:v>
      </x:c>
      <x:c r="X142" s="27" t="n">
        <x:v>10</x:v>
      </x:c>
      <x:c r="Y142" s="27" t="str">
        <x:v>S</x:v>
      </x:c>
      <x:c r="Z142" s="27"/>
      <x:c r="AA142" s="27"/>
      <x:c r="AB142" s="27" t="n">
        <x:v>0</x:v>
      </x:c>
      <x:c r="AC142" s="27" t="n">
        <x:v>0</x:v>
      </x:c>
      <x:c r="AD142" s="27" t="n">
        <x:v>685038</x:v>
      </x:c>
      <x:c r="AE142" s="27" t="str">
        <x:v>Public-safe anonymized industry-style SA-CCR sample</x:v>
      </x:c>
      <x:c r="AF142" s="27" t="str">
        <x:v>ANON-000139</x:v>
      </x:c>
      <x:c r="AG142" s="27" t="str">
        <x:v>Interest Rate FRA</x:v>
      </x:c>
      <x:c r="AH142" s="27"/>
      <x:c r="AI142" s="27" t="str">
        <x:v>CNY</x:v>
      </x:c>
    </x:row>
    <x:row r="143">
      <x:c r="A143" s="27" t="n">
        <x:v>45702</x:v>
      </x:c>
      <x:c r="B143" s="27" t="str">
        <x:v>IND_INSURER_001</x:v>
      </x:c>
      <x:c r="C143" s="27" t="n">
        <x:v>3048</x:v>
      </x:c>
      <x:c r="D143" s="27" t="str">
        <x:v>IND-000140</x:v>
      </x:c>
      <x:c r="E143" s="27" t="str">
        <x:v>Interest Rate FRA</x:v>
      </x:c>
      <x:c r="F143" s="27" t="str">
        <x:v>Interest Rate</x:v>
      </x:c>
      <x:c r="G143" s="27"/>
      <x:c r="H143" s="27" t="str">
        <x:v>USD</x:v>
      </x:c>
      <x:c r="I143" s="27" t="str">
        <x:v>USD</x:v>
      </x:c>
      <x:c r="J143" s="27" t="str">
        <x:v>USD</x:v>
      </x:c>
      <x:c r="K143" s="27"/>
      <x:c r="L143" s="27"/>
      <x:c r="M143" s="27" t="str">
        <x:v>USD</x:v>
      </x:c>
      <x:c r="N143" s="27"/>
      <x:c r="O143" s="27"/>
      <x:c r="P143" s="27" t="n">
        <x:v>45939</x:v>
      </x:c>
      <x:c r="Q143" s="27" t="n">
        <x:v>45681</x:v>
      </x:c>
      <x:c r="R143" s="27" t="n">
        <x:v>45939</x:v>
      </x:c>
      <x:c r="S143" s="27" t="n">
        <x:v>28200000</x:v>
      </x:c>
      <x:c r="T143" s="27" t="n">
        <x:v>28200000</x:v>
      </x:c>
      <x:c r="U143" s="27" t="n">
        <x:v>28200000</x:v>
      </x:c>
      <x:c r="V143" s="27" t="str">
        <x:v>U</x:v>
      </x:c>
      <x:c r="W143" s="27" t="str">
        <x:v>N</x:v>
      </x:c>
      <x:c r="X143" s="27"/>
      <x:c r="Y143" s="27" t="str">
        <x:v>S</x:v>
      </x:c>
      <x:c r="Z143" s="27"/>
      <x:c r="AA143" s="27"/>
      <x:c r="AB143" s="27" t="n">
        <x:v>0</x:v>
      </x:c>
      <x:c r="AC143" s="27" t="n">
        <x:v>0</x:v>
      </x:c>
      <x:c r="AD143" s="27" t="n">
        <x:v>-47714.4</x:v>
      </x:c>
      <x:c r="AE143" s="27" t="str">
        <x:v>Public-safe anonymized industry-style SA-CCR sample</x:v>
      </x:c>
      <x:c r="AF143" s="27" t="str">
        <x:v>ANON-000140</x:v>
      </x:c>
      <x:c r="AG143" s="27" t="str">
        <x:v>Interest Rate FRA</x:v>
      </x:c>
      <x:c r="AH143" s="27"/>
      <x:c r="AI143" s="27" t="str">
        <x:v>USD</x:v>
      </x:c>
    </x:row>
    <x:row r="144">
      <x:c r="A144" s="27" t="n">
        <x:v>45702</x:v>
      </x:c>
      <x:c r="B144" s="27" t="str">
        <x:v>IND_ASSET_MANAGER_001</x:v>
      </x:c>
      <x:c r="C144" s="27" t="n">
        <x:v>3050</x:v>
      </x:c>
      <x:c r="D144" s="27" t="str">
        <x:v>IND-000141</x:v>
      </x:c>
      <x:c r="E144" s="27" t="str">
        <x:v>Interest Rate FRA</x:v>
      </x:c>
      <x:c r="F144" s="27" t="str">
        <x:v>Interest Rate</x:v>
      </x:c>
      <x:c r="G144" s="27"/>
      <x:c r="H144" s="27" t="str">
        <x:v>CNY</x:v>
      </x:c>
      <x:c r="I144" s="27" t="str">
        <x:v>CNY</x:v>
      </x:c>
      <x:c r="J144" s="27" t="str">
        <x:v>CNY</x:v>
      </x:c>
      <x:c r="K144" s="27"/>
      <x:c r="L144" s="27"/>
      <x:c r="M144" s="27" t="str">
        <x:v>CNY</x:v>
      </x:c>
      <x:c r="N144" s="27"/>
      <x:c r="O144" s="27"/>
      <x:c r="P144" s="27" t="n">
        <x:v>45975</x:v>
      </x:c>
      <x:c r="Q144" s="27" t="n">
        <x:v>45034</x:v>
      </x:c>
      <x:c r="R144" s="27" t="n">
        <x:v>45975</x:v>
      </x:c>
      <x:c r="S144" s="27" t="n">
        <x:v>371428571.43</x:v>
      </x:c>
      <x:c r="T144" s="27" t="n">
        <x:v>371428571.43</x:v>
      </x:c>
      <x:c r="U144" s="27" t="n">
        <x:v>52000000</x:v>
      </x:c>
      <x:c r="V144" s="27" t="str">
        <x:v>M</x:v>
      </x:c>
      <x:c r="W144" s="27" t="str">
        <x:v>Y</x:v>
      </x:c>
      <x:c r="X144" s="27" t="n">
        <x:v>5</x:v>
      </x:c>
      <x:c r="Y144" s="27" t="str">
        <x:v>S</x:v>
      </x:c>
      <x:c r="Z144" s="27"/>
      <x:c r="AA144" s="27"/>
      <x:c r="AB144" s="27" t="n">
        <x:v>0</x:v>
      </x:c>
      <x:c r="AC144" s="27" t="n">
        <x:v>0</x:v>
      </x:c>
      <x:c r="AD144" s="27" t="n">
        <x:v>15600</x:v>
      </x:c>
      <x:c r="AE144" s="27" t="str">
        <x:v>Public-safe anonymized industry-style SA-CCR sample</x:v>
      </x:c>
      <x:c r="AF144" s="27" t="str">
        <x:v>ANON-000141</x:v>
      </x:c>
      <x:c r="AG144" s="27" t="str">
        <x:v>Interest Rate FRA</x:v>
      </x:c>
      <x:c r="AH144" s="27"/>
      <x:c r="AI144" s="27" t="str">
        <x:v>CNY</x:v>
      </x:c>
    </x:row>
    <x:row r="145">
      <x:c r="A145" s="27" t="n">
        <x:v>45702</x:v>
      </x:c>
      <x:c r="B145" s="27" t="str">
        <x:v>IND_HEDGE_FUND_001</x:v>
      </x:c>
      <x:c r="C145" s="27" t="n">
        <x:v>3345</x:v>
      </x:c>
      <x:c r="D145" s="27" t="str">
        <x:v>IND-000142</x:v>
      </x:c>
      <x:c r="E145" s="27" t="str">
        <x:v>Interest Rate FRA</x:v>
      </x:c>
      <x:c r="F145" s="27" t="str">
        <x:v>Interest Rate</x:v>
      </x:c>
      <x:c r="G145" s="27"/>
      <x:c r="H145" s="27" t="str">
        <x:v>USD</x:v>
      </x:c>
      <x:c r="I145" s="27" t="str">
        <x:v>USD</x:v>
      </x:c>
      <x:c r="J145" s="27" t="str">
        <x:v>USD</x:v>
      </x:c>
      <x:c r="K145" s="27"/>
      <x:c r="L145" s="27"/>
      <x:c r="M145" s="27" t="str">
        <x:v>USD</x:v>
      </x:c>
      <x:c r="N145" s="27"/>
      <x:c r="O145" s="27"/>
      <x:c r="P145" s="27" t="n">
        <x:v>46051</x:v>
      </x:c>
      <x:c r="Q145" s="27" t="n">
        <x:v>44867</x:v>
      </x:c>
      <x:c r="R145" s="27" t="n">
        <x:v>46051</x:v>
      </x:c>
      <x:c r="S145" s="27" t="n">
        <x:v>315000000</x:v>
      </x:c>
      <x:c r="T145" s="27" t="n">
        <x:v>315000000</x:v>
      </x:c>
      <x:c r="U145" s="27" t="n">
        <x:v>315000000</x:v>
      </x:c>
      <x:c r="V145" s="27" t="str">
        <x:v>M</x:v>
      </x:c>
      <x:c r="W145" s="27" t="str">
        <x:v>N</x:v>
      </x:c>
      <x:c r="X145" s="27" t="n">
        <x:v>10</x:v>
      </x:c>
      <x:c r="Y145" s="27" t="str">
        <x:v>B</x:v>
      </x:c>
      <x:c r="Z145" s="27"/>
      <x:c r="AA145" s="27"/>
      <x:c r="AB145" s="27" t="n">
        <x:v>0</x:v>
      </x:c>
      <x:c r="AC145" s="27" t="n">
        <x:v>0</x:v>
      </x:c>
      <x:c r="AD145" s="27" t="n">
        <x:v>-1343790</x:v>
      </x:c>
      <x:c r="AE145" s="27" t="str">
        <x:v>Public-safe anonymized industry-style SA-CCR sample</x:v>
      </x:c>
      <x:c r="AF145" s="27" t="str">
        <x:v>ANON-000142</x:v>
      </x:c>
      <x:c r="AG145" s="27" t="str">
        <x:v>Interest Rate FRA</x:v>
      </x:c>
      <x:c r="AH145" s="27"/>
      <x:c r="AI145" s="27" t="str">
        <x:v>USD</x:v>
      </x:c>
    </x:row>
    <x:row r="146">
      <x:c r="A146" s="27" t="n">
        <x:v>45702</x:v>
      </x:c>
      <x:c r="B146" s="27" t="str">
        <x:v>IND_CLEARING_MEMBER_001</x:v>
      </x:c>
      <x:c r="C146" s="27" t="n">
        <x:v>3020</x:v>
      </x:c>
      <x:c r="D146" s="27" t="str">
        <x:v>IND-000143</x:v>
      </x:c>
      <x:c r="E146" s="27" t="str">
        <x:v>Interest Rate FRA</x:v>
      </x:c>
      <x:c r="F146" s="27" t="str">
        <x:v>Interest Rate</x:v>
      </x:c>
      <x:c r="G146" s="27"/>
      <x:c r="H146" s="27" t="str">
        <x:v>USD</x:v>
      </x:c>
      <x:c r="I146" s="27" t="str">
        <x:v>USD</x:v>
      </x:c>
      <x:c r="J146" s="27" t="str">
        <x:v>USD</x:v>
      </x:c>
      <x:c r="K146" s="27"/>
      <x:c r="L146" s="27"/>
      <x:c r="M146" s="27" t="str">
        <x:v>USD</x:v>
      </x:c>
      <x:c r="N146" s="27"/>
      <x:c r="O146" s="27"/>
      <x:c r="P146" s="27" t="n">
        <x:v>45980</x:v>
      </x:c>
      <x:c r="Q146" s="27" t="n">
        <x:v>45259</x:v>
      </x:c>
      <x:c r="R146" s="27" t="n">
        <x:v>45980</x:v>
      </x:c>
      <x:c r="S146" s="27" t="n">
        <x:v>21600000</x:v>
      </x:c>
      <x:c r="T146" s="27" t="n">
        <x:v>21600000</x:v>
      </x:c>
      <x:c r="U146" s="27" t="n">
        <x:v>21600000</x:v>
      </x:c>
      <x:c r="V146" s="27" t="str">
        <x:v>M</x:v>
      </x:c>
      <x:c r="W146" s="27" t="str">
        <x:v>N</x:v>
      </x:c>
      <x:c r="X146" s="27" t="n">
        <x:v>10</x:v>
      </x:c>
      <x:c r="Y146" s="27" t="str">
        <x:v>S</x:v>
      </x:c>
      <x:c r="Z146" s="27"/>
      <x:c r="AA146" s="27"/>
      <x:c r="AB146" s="27" t="n">
        <x:v>0</x:v>
      </x:c>
      <x:c r="AC146" s="27" t="n">
        <x:v>0</x:v>
      </x:c>
      <x:c r="AD146" s="27" t="n">
        <x:v>119750.4</x:v>
      </x:c>
      <x:c r="AE146" s="27" t="str">
        <x:v>Public-safe anonymized industry-style SA-CCR sample</x:v>
      </x:c>
      <x:c r="AF146" s="27" t="str">
        <x:v>ANON-000143</x:v>
      </x:c>
      <x:c r="AG146" s="27" t="str">
        <x:v>Interest Rate FRA</x:v>
      </x:c>
      <x:c r="AH146" s="27"/>
      <x:c r="AI146" s="27" t="str">
        <x:v>USD</x:v>
      </x:c>
    </x:row>
    <x:row r="147">
      <x:c r="A147" s="27" t="n">
        <x:v>45702</x:v>
      </x:c>
      <x:c r="B147" s="27" t="str">
        <x:v>IND_BROKER_001</x:v>
      </x:c>
      <x:c r="C147" s="27" t="n">
        <x:v>3332</x:v>
      </x:c>
      <x:c r="D147" s="27" t="str">
        <x:v>IND-000144</x:v>
      </x:c>
      <x:c r="E147" s="27" t="str">
        <x:v>Interest Rate FRA</x:v>
      </x:c>
      <x:c r="F147" s="27" t="str">
        <x:v>Interest Rate</x:v>
      </x:c>
      <x:c r="G147" s="27"/>
      <x:c r="H147" s="27" t="str">
        <x:v>EUR</x:v>
      </x:c>
      <x:c r="I147" s="27" t="str">
        <x:v>EUR</x:v>
      </x:c>
      <x:c r="J147" s="27" t="str">
        <x:v>EUR</x:v>
      </x:c>
      <x:c r="K147" s="27"/>
      <x:c r="L147" s="27"/>
      <x:c r="M147" s="27" t="str">
        <x:v>EUR</x:v>
      </x:c>
      <x:c r="N147" s="27"/>
      <x:c r="O147" s="27"/>
      <x:c r="P147" s="27" t="n">
        <x:v>45950</x:v>
      </x:c>
      <x:c r="Q147" s="27" t="n">
        <x:v>45177</x:v>
      </x:c>
      <x:c r="R147" s="27" t="n">
        <x:v>45950</x:v>
      </x:c>
      <x:c r="S147" s="27" t="n">
        <x:v>12476190.48</x:v>
      </x:c>
      <x:c r="T147" s="27" t="n">
        <x:v>12476190.48</x:v>
      </x:c>
      <x:c r="U147" s="27" t="n">
        <x:v>13100000</x:v>
      </x:c>
      <x:c r="V147" s="27" t="str">
        <x:v>M</x:v>
      </x:c>
      <x:c r="W147" s="27" t="str">
        <x:v>N</x:v>
      </x:c>
      <x:c r="X147" s="27" t="n">
        <x:v>10</x:v>
      </x:c>
      <x:c r="Y147" s="27" t="str">
        <x:v>S</x:v>
      </x:c>
      <x:c r="Z147" s="27"/>
      <x:c r="AA147" s="27"/>
      <x:c r="AB147" s="27" t="n">
        <x:v>0</x:v>
      </x:c>
      <x:c r="AC147" s="27" t="n">
        <x:v>0</x:v>
      </x:c>
      <x:c r="AD147" s="27" t="n">
        <x:v>28374.6</x:v>
      </x:c>
      <x:c r="AE147" s="27" t="str">
        <x:v>Public-safe anonymized industry-style SA-CCR sample</x:v>
      </x:c>
      <x:c r="AF147" s="27" t="str">
        <x:v>ANON-000144</x:v>
      </x:c>
      <x:c r="AG147" s="27" t="str">
        <x:v>Interest Rate FRA</x:v>
      </x:c>
      <x:c r="AH147" s="27"/>
      <x:c r="AI147" s="27" t="str">
        <x:v>EUR</x:v>
      </x:c>
    </x:row>
    <x:row r="148">
      <x:c r="A148" s="27" t="n">
        <x:v>45702</x:v>
      </x:c>
      <x:c r="B148" s="27" t="str">
        <x:v>IND_HEDGE_FUND_001</x:v>
      </x:c>
      <x:c r="C148" s="27" t="n">
        <x:v>3345</x:v>
      </x:c>
      <x:c r="D148" s="27" t="str">
        <x:v>IND-000145</x:v>
      </x:c>
      <x:c r="E148" s="27" t="str">
        <x:v>Interest Rate FRA</x:v>
      </x:c>
      <x:c r="F148" s="27" t="str">
        <x:v>Interest Rate</x:v>
      </x:c>
      <x:c r="G148" s="27"/>
      <x:c r="H148" s="27" t="str">
        <x:v>USD</x:v>
      </x:c>
      <x:c r="I148" s="27" t="str">
        <x:v>USD</x:v>
      </x:c>
      <x:c r="J148" s="27" t="str">
        <x:v>USD</x:v>
      </x:c>
      <x:c r="K148" s="27"/>
      <x:c r="L148" s="27"/>
      <x:c r="M148" s="27" t="str">
        <x:v>USD</x:v>
      </x:c>
      <x:c r="N148" s="27"/>
      <x:c r="O148" s="27"/>
      <x:c r="P148" s="27" t="n">
        <x:v>45929</x:v>
      </x:c>
      <x:c r="Q148" s="27" t="n">
        <x:v>45175</x:v>
      </x:c>
      <x:c r="R148" s="27" t="n">
        <x:v>45929</x:v>
      </x:c>
      <x:c r="S148" s="27" t="n">
        <x:v>594000000</x:v>
      </x:c>
      <x:c r="T148" s="27" t="n">
        <x:v>594000000</x:v>
      </x:c>
      <x:c r="U148" s="27" t="n">
        <x:v>594000000</x:v>
      </x:c>
      <x:c r="V148" s="27" t="str">
        <x:v>M</x:v>
      </x:c>
      <x:c r="W148" s="27" t="str">
        <x:v>Y</x:v>
      </x:c>
      <x:c r="X148" s="27" t="n">
        <x:v>5</x:v>
      </x:c>
      <x:c r="Y148" s="27" t="str">
        <x:v>S</x:v>
      </x:c>
      <x:c r="Z148" s="27"/>
      <x:c r="AA148" s="27"/>
      <x:c r="AB148" s="27" t="n">
        <x:v>0</x:v>
      </x:c>
      <x:c r="AC148" s="27" t="n">
        <x:v>0</x:v>
      </x:c>
      <x:c r="AD148" s="27" t="n">
        <x:v>-912384</x:v>
      </x:c>
      <x:c r="AE148" s="27" t="str">
        <x:v>Public-safe anonymized industry-style SA-CCR sample</x:v>
      </x:c>
      <x:c r="AF148" s="27" t="str">
        <x:v>ANON-000145</x:v>
      </x:c>
      <x:c r="AG148" s="27" t="str">
        <x:v>Interest Rate FRA</x:v>
      </x:c>
      <x:c r="AH148" s="27"/>
      <x:c r="AI148" s="27" t="str">
        <x:v>USD</x:v>
      </x:c>
    </x:row>
    <x:row r="149">
      <x:c r="A149" s="27" t="n">
        <x:v>45702</x:v>
      </x:c>
      <x:c r="B149" s="27" t="str">
        <x:v>IND_REGIONAL_BANK_001</x:v>
      </x:c>
      <x:c r="C149" s="27" t="n">
        <x:v>3054</x:v>
      </x:c>
      <x:c r="D149" s="27" t="str">
        <x:v>IND-000146</x:v>
      </x:c>
      <x:c r="E149" s="27" t="str">
        <x:v>Interest Rate FRA</x:v>
      </x:c>
      <x:c r="F149" s="27" t="str">
        <x:v>Interest Rate</x:v>
      </x:c>
      <x:c r="G149" s="27"/>
      <x:c r="H149" s="27" t="str">
        <x:v>EUR</x:v>
      </x:c>
      <x:c r="I149" s="27" t="str">
        <x:v>EUR</x:v>
      </x:c>
      <x:c r="J149" s="27" t="str">
        <x:v>EUR</x:v>
      </x:c>
      <x:c r="K149" s="27"/>
      <x:c r="L149" s="27"/>
      <x:c r="M149" s="27" t="str">
        <x:v>EUR</x:v>
      </x:c>
      <x:c r="N149" s="27"/>
      <x:c r="O149" s="27"/>
      <x:c r="P149" s="27" t="n">
        <x:v>46043</x:v>
      </x:c>
      <x:c r="Q149" s="27" t="n">
        <x:v>44832</x:v>
      </x:c>
      <x:c r="R149" s="27" t="n">
        <x:v>46043</x:v>
      </x:c>
      <x:c r="S149" s="27" t="n">
        <x:v>478095238.1</x:v>
      </x:c>
      <x:c r="T149" s="27" t="n">
        <x:v>478095238.1</x:v>
      </x:c>
      <x:c r="U149" s="27" t="n">
        <x:v>502000000</x:v>
      </x:c>
      <x:c r="V149" s="27" t="str">
        <x:v>U</x:v>
      </x:c>
      <x:c r="W149" s="27" t="str">
        <x:v>N</x:v>
      </x:c>
      <x:c r="X149" s="27"/>
      <x:c r="Y149" s="27" t="str">
        <x:v>B</x:v>
      </x:c>
      <x:c r="Z149" s="27"/>
      <x:c r="AA149" s="27"/>
      <x:c r="AB149" s="27" t="n">
        <x:v>0</x:v>
      </x:c>
      <x:c r="AC149" s="27" t="n">
        <x:v>0</x:v>
      </x:c>
      <x:c r="AD149" s="27" t="n">
        <x:v>370476</x:v>
      </x:c>
      <x:c r="AE149" s="27" t="str">
        <x:v>Public-safe anonymized industry-style SA-CCR sample</x:v>
      </x:c>
      <x:c r="AF149" s="27" t="str">
        <x:v>ANON-000146</x:v>
      </x:c>
      <x:c r="AG149" s="27" t="str">
        <x:v>Interest Rate FRA</x:v>
      </x:c>
      <x:c r="AH149" s="27"/>
      <x:c r="AI149" s="27" t="str">
        <x:v>EUR</x:v>
      </x:c>
    </x:row>
    <x:row r="150">
      <x:c r="A150" s="27" t="n">
        <x:v>45702</x:v>
      </x:c>
      <x:c r="B150" s="27" t="str">
        <x:v>IND_PENSION_001</x:v>
      </x:c>
      <x:c r="C150" s="27" t="n">
        <x:v>3103</x:v>
      </x:c>
      <x:c r="D150" s="27" t="str">
        <x:v>IND-000147</x:v>
      </x:c>
      <x:c r="E150" s="27" t="str">
        <x:v>Interest Rate FRA</x:v>
      </x:c>
      <x:c r="F150" s="27" t="str">
        <x:v>Interest Rate</x:v>
      </x:c>
      <x:c r="G150" s="27"/>
      <x:c r="H150" s="27" t="str">
        <x:v>CNY</x:v>
      </x:c>
      <x:c r="I150" s="27" t="str">
        <x:v>CNY</x:v>
      </x:c>
      <x:c r="J150" s="27" t="str">
        <x:v>CNY</x:v>
      </x:c>
      <x:c r="K150" s="27"/>
      <x:c r="L150" s="27"/>
      <x:c r="M150" s="27" t="str">
        <x:v>CNY</x:v>
      </x:c>
      <x:c r="N150" s="27"/>
      <x:c r="O150" s="27"/>
      <x:c r="P150" s="27" t="n">
        <x:v>45924</x:v>
      </x:c>
      <x:c r="Q150" s="27" t="n">
        <x:v>45296</x:v>
      </x:c>
      <x:c r="R150" s="27" t="n">
        <x:v>45924</x:v>
      </x:c>
      <x:c r="S150" s="27" t="n">
        <x:v>244285714.29</x:v>
      </x:c>
      <x:c r="T150" s="27" t="n">
        <x:v>244285714.29</x:v>
      </x:c>
      <x:c r="U150" s="27" t="n">
        <x:v>34200000</x:v>
      </x:c>
      <x:c r="V150" s="27" t="str">
        <x:v>M</x:v>
      </x:c>
      <x:c r="W150" s="27" t="str">
        <x:v>Y</x:v>
      </x:c>
      <x:c r="X150" s="27" t="n">
        <x:v>5</x:v>
      </x:c>
      <x:c r="Y150" s="27" t="str">
        <x:v>B</x:v>
      </x:c>
      <x:c r="Z150" s="27"/>
      <x:c r="AA150" s="27"/>
      <x:c r="AB150" s="27" t="n">
        <x:v>0</x:v>
      </x:c>
      <x:c r="AC150" s="27" t="n">
        <x:v>0</x:v>
      </x:c>
      <x:c r="AD150" s="27" t="n">
        <x:v>-148564.8</x:v>
      </x:c>
      <x:c r="AE150" s="27" t="str">
        <x:v>Public-safe anonymized industry-style SA-CCR sample</x:v>
      </x:c>
      <x:c r="AF150" s="27" t="str">
        <x:v>ANON-000147</x:v>
      </x:c>
      <x:c r="AG150" s="27" t="str">
        <x:v>Interest Rate FRA</x:v>
      </x:c>
      <x:c r="AH150" s="27"/>
      <x:c r="AI150" s="27" t="str">
        <x:v>CNY</x:v>
      </x:c>
    </x:row>
    <x:row r="151">
      <x:c r="A151" s="27" t="n">
        <x:v>45702</x:v>
      </x:c>
      <x:c r="B151" s="27" t="str">
        <x:v>IND_HEDGE_FUND_001</x:v>
      </x:c>
      <x:c r="C151" s="27" t="n">
        <x:v>3345</x:v>
      </x:c>
      <x:c r="D151" s="27" t="str">
        <x:v>IND-000148</x:v>
      </x:c>
      <x:c r="E151" s="27" t="str">
        <x:v>Interest Rate FRA</x:v>
      </x:c>
      <x:c r="F151" s="27" t="str">
        <x:v>Interest Rate</x:v>
      </x:c>
      <x:c r="G151" s="27"/>
      <x:c r="H151" s="27" t="str">
        <x:v>USD</x:v>
      </x:c>
      <x:c r="I151" s="27" t="str">
        <x:v>USD</x:v>
      </x:c>
      <x:c r="J151" s="27" t="str">
        <x:v>USD</x:v>
      </x:c>
      <x:c r="K151" s="27"/>
      <x:c r="L151" s="27"/>
      <x:c r="M151" s="27" t="str">
        <x:v>USD</x:v>
      </x:c>
      <x:c r="N151" s="27"/>
      <x:c r="O151" s="27"/>
      <x:c r="P151" s="27" t="n">
        <x:v>46050</x:v>
      </x:c>
      <x:c r="Q151" s="27" t="n">
        <x:v>44850</x:v>
      </x:c>
      <x:c r="R151" s="27" t="n">
        <x:v>46050</x:v>
      </x:c>
      <x:c r="S151" s="27" t="n">
        <x:v>236000000</x:v>
      </x:c>
      <x:c r="T151" s="27" t="n">
        <x:v>236000000</x:v>
      </x:c>
      <x:c r="U151" s="27" t="n">
        <x:v>236000000</x:v>
      </x:c>
      <x:c r="V151" s="27" t="str">
        <x:v>M</x:v>
      </x:c>
      <x:c r="W151" s="27" t="str">
        <x:v>N</x:v>
      </x:c>
      <x:c r="X151" s="27" t="n">
        <x:v>10</x:v>
      </x:c>
      <x:c r="Y151" s="27" t="str">
        <x:v>B</x:v>
      </x:c>
      <x:c r="Z151" s="27"/>
      <x:c r="AA151" s="27"/>
      <x:c r="AB151" s="27" t="n">
        <x:v>0</x:v>
      </x:c>
      <x:c r="AC151" s="27" t="n">
        <x:v>0</x:v>
      </x:c>
      <x:c r="AD151" s="27" t="n">
        <x:v>465864</x:v>
      </x:c>
      <x:c r="AE151" s="27" t="str">
        <x:v>Public-safe anonymized industry-style SA-CCR sample</x:v>
      </x:c>
      <x:c r="AF151" s="27" t="str">
        <x:v>ANON-000148</x:v>
      </x:c>
      <x:c r="AG151" s="27" t="str">
        <x:v>Interest Rate FRA</x:v>
      </x:c>
      <x:c r="AH151" s="27"/>
      <x:c r="AI151" s="27" t="str">
        <x:v>USD</x:v>
      </x:c>
    </x:row>
    <x:row r="152">
      <x:c r="A152" s="27" t="n">
        <x:v>45702</x:v>
      </x:c>
      <x:c r="B152" s="27" t="str">
        <x:v>IND_ASSET_MANAGER_001</x:v>
      </x:c>
      <x:c r="C152" s="27" t="n">
        <x:v>3050</x:v>
      </x:c>
      <x:c r="D152" s="27" t="str">
        <x:v>IND-000149</x:v>
      </x:c>
      <x:c r="E152" s="27" t="str">
        <x:v>Interest Rate FRA</x:v>
      </x:c>
      <x:c r="F152" s="27" t="str">
        <x:v>Interest Rate</x:v>
      </x:c>
      <x:c r="G152" s="27"/>
      <x:c r="H152" s="27" t="str">
        <x:v>CNY</x:v>
      </x:c>
      <x:c r="I152" s="27" t="str">
        <x:v>CNY</x:v>
      </x:c>
      <x:c r="J152" s="27" t="str">
        <x:v>CNY</x:v>
      </x:c>
      <x:c r="K152" s="27"/>
      <x:c r="L152" s="27"/>
      <x:c r="M152" s="27" t="str">
        <x:v>CNY</x:v>
      </x:c>
      <x:c r="N152" s="27"/>
      <x:c r="O152" s="27"/>
      <x:c r="P152" s="27" t="n">
        <x:v>45862</x:v>
      </x:c>
      <x:c r="Q152" s="27" t="n">
        <x:v>45163</x:v>
      </x:c>
      <x:c r="R152" s="27" t="n">
        <x:v>45862</x:v>
      </x:c>
      <x:c r="S152" s="27" t="n">
        <x:v>180714285.71</x:v>
      </x:c>
      <x:c r="T152" s="27" t="n">
        <x:v>180714285.71</x:v>
      </x:c>
      <x:c r="U152" s="27" t="n">
        <x:v>25300000</x:v>
      </x:c>
      <x:c r="V152" s="27" t="str">
        <x:v>M</x:v>
      </x:c>
      <x:c r="W152" s="27" t="str">
        <x:v>N</x:v>
      </x:c>
      <x:c r="X152" s="27" t="n">
        <x:v>10</x:v>
      </x:c>
      <x:c r="Y152" s="27" t="str">
        <x:v>B</x:v>
      </x:c>
      <x:c r="Z152" s="27"/>
      <x:c r="AA152" s="27"/>
      <x:c r="AB152" s="27" t="n">
        <x:v>0</x:v>
      </x:c>
      <x:c r="AC152" s="27" t="n">
        <x:v>0</x:v>
      </x:c>
      <x:c r="AD152" s="27" t="n">
        <x:v>101554.2</x:v>
      </x:c>
      <x:c r="AE152" s="27" t="str">
        <x:v>Public-safe anonymized industry-style SA-CCR sample</x:v>
      </x:c>
      <x:c r="AF152" s="27" t="str">
        <x:v>ANON-000149</x:v>
      </x:c>
      <x:c r="AG152" s="27" t="str">
        <x:v>Interest Rate FRA</x:v>
      </x:c>
      <x:c r="AH152" s="27"/>
      <x:c r="AI152" s="27" t="str">
        <x:v>CNY</x:v>
      </x:c>
    </x:row>
    <x:row r="153">
      <x:c r="A153" s="27" t="n">
        <x:v>45702</x:v>
      </x:c>
      <x:c r="B153" s="27" t="str">
        <x:v>IND_ASSET_MANAGER_001</x:v>
      </x:c>
      <x:c r="C153" s="27" t="n">
        <x:v>3222</x:v>
      </x:c>
      <x:c r="D153" s="27" t="str">
        <x:v>IND-000150</x:v>
      </x:c>
      <x:c r="E153" s="27" t="str">
        <x:v>Interest Rate FRA</x:v>
      </x:c>
      <x:c r="F153" s="27" t="str">
        <x:v>Interest Rate</x:v>
      </x:c>
      <x:c r="G153" s="27"/>
      <x:c r="H153" s="27" t="str">
        <x:v>CNY</x:v>
      </x:c>
      <x:c r="I153" s="27" t="str">
        <x:v>CNY</x:v>
      </x:c>
      <x:c r="J153" s="27" t="str">
        <x:v>CNY</x:v>
      </x:c>
      <x:c r="K153" s="27"/>
      <x:c r="L153" s="27"/>
      <x:c r="M153" s="27" t="str">
        <x:v>CNY</x:v>
      </x:c>
      <x:c r="N153" s="27"/>
      <x:c r="O153" s="27"/>
      <x:c r="P153" s="27" t="n">
        <x:v>45880</x:v>
      </x:c>
      <x:c r="Q153" s="27" t="n">
        <x:v>45292</x:v>
      </x:c>
      <x:c r="R153" s="27" t="n">
        <x:v>45880</x:v>
      </x:c>
      <x:c r="S153" s="27" t="n">
        <x:v>842857142.86</x:v>
      </x:c>
      <x:c r="T153" s="27" t="n">
        <x:v>842857142.86</x:v>
      </x:c>
      <x:c r="U153" s="27" t="n">
        <x:v>118000000</x:v>
      </x:c>
      <x:c r="V153" s="27" t="str">
        <x:v>U</x:v>
      </x:c>
      <x:c r="W153" s="27" t="str">
        <x:v>Y</x:v>
      </x:c>
      <x:c r="X153" s="27" t="n">
        <x:v>5</x:v>
      </x:c>
      <x:c r="Y153" s="27" t="str">
        <x:v>B</x:v>
      </x:c>
      <x:c r="Z153" s="27"/>
      <x:c r="AA153" s="27"/>
      <x:c r="AB153" s="27" t="n">
        <x:v>0</x:v>
      </x:c>
      <x:c r="AC153" s="27" t="n">
        <x:v>0</x:v>
      </x:c>
      <x:c r="AD153" s="27" t="n">
        <x:v>-454536</x:v>
      </x:c>
      <x:c r="AE153" s="27" t="str">
        <x:v>Public-safe anonymized industry-style SA-CCR sample</x:v>
      </x:c>
      <x:c r="AF153" s="27" t="str">
        <x:v>ANON-000150</x:v>
      </x:c>
      <x:c r="AG153" s="27" t="str">
        <x:v>Interest Rate FRA</x:v>
      </x:c>
      <x:c r="AH153" s="27"/>
      <x:c r="AI153" s="27" t="str">
        <x:v>CNY</x:v>
      </x:c>
    </x:row>
    <x:row r="154">
      <x:c r="A154" s="27" t="n">
        <x:v>45702</x:v>
      </x:c>
      <x:c r="B154" s="27" t="str">
        <x:v>IND_CORPORATE_002</x:v>
      </x:c>
      <x:c r="C154" s="27" t="n">
        <x:v>3074</x:v>
      </x:c>
      <x:c r="D154" s="27" t="str">
        <x:v>IND-000151</x:v>
      </x:c>
      <x:c r="E154" s="27" t="str">
        <x:v>OIS</x:v>
      </x:c>
      <x:c r="F154" s="27" t="str">
        <x:v>Interest Rate</x:v>
      </x:c>
      <x:c r="G154" s="27"/>
      <x:c r="H154" s="27" t="str">
        <x:v>USD</x:v>
      </x:c>
      <x:c r="I154" s="27" t="str">
        <x:v>USD</x:v>
      </x:c>
      <x:c r="J154" s="27" t="str">
        <x:v>USD</x:v>
      </x:c>
      <x:c r="K154" s="27"/>
      <x:c r="L154" s="27"/>
      <x:c r="M154" s="27" t="str">
        <x:v>USD</x:v>
      </x:c>
      <x:c r="N154" s="27"/>
      <x:c r="O154" s="27"/>
      <x:c r="P154" s="27" t="n">
        <x:v>46541</x:v>
      </x:c>
      <x:c r="Q154" s="27" t="n">
        <x:v>45456</x:v>
      </x:c>
      <x:c r="R154" s="27" t="n">
        <x:v>46541</x:v>
      </x:c>
      <x:c r="S154" s="27" t="n">
        <x:v>530000000</x:v>
      </x:c>
      <x:c r="T154" s="27" t="n">
        <x:v>530000000</x:v>
      </x:c>
      <x:c r="U154" s="27" t="n">
        <x:v>530000000</x:v>
      </x:c>
      <x:c r="V154" s="27" t="str">
        <x:v>M</x:v>
      </x:c>
      <x:c r="W154" s="27" t="str">
        <x:v>N</x:v>
      </x:c>
      <x:c r="X154" s="27" t="n">
        <x:v>10</x:v>
      </x:c>
      <x:c r="Y154" s="27" t="str">
        <x:v>S</x:v>
      </x:c>
      <x:c r="Z154" s="27"/>
      <x:c r="AA154" s="27"/>
      <x:c r="AB154" s="27" t="n">
        <x:v>0</x:v>
      </x:c>
      <x:c r="AC154" s="27" t="n">
        <x:v>0</x:v>
      </x:c>
      <x:c r="AD154" s="27" t="n">
        <x:v>-337080</x:v>
      </x:c>
      <x:c r="AE154" s="27" t="str">
        <x:v>Public-safe anonymized industry-style SA-CCR sample</x:v>
      </x:c>
      <x:c r="AF154" s="27" t="str">
        <x:v>ANON-000151</x:v>
      </x:c>
      <x:c r="AG154" s="27" t="str">
        <x:v>OIS</x:v>
      </x:c>
      <x:c r="AH154" s="27"/>
      <x:c r="AI154" s="27" t="str">
        <x:v>USD</x:v>
      </x:c>
    </x:row>
    <x:row r="155">
      <x:c r="A155" s="27" t="n">
        <x:v>45702</x:v>
      </x:c>
      <x:c r="B155" s="27" t="str">
        <x:v>IND_BANK_002</x:v>
      </x:c>
      <x:c r="C155" s="27" t="n">
        <x:v>3049</x:v>
      </x:c>
      <x:c r="D155" s="27" t="str">
        <x:v>IND-000152</x:v>
      </x:c>
      <x:c r="E155" s="27" t="str">
        <x:v>OIS</x:v>
      </x:c>
      <x:c r="F155" s="27" t="str">
        <x:v>Interest Rate</x:v>
      </x:c>
      <x:c r="G155" s="27"/>
      <x:c r="H155" s="27" t="str">
        <x:v>EUR</x:v>
      </x:c>
      <x:c r="I155" s="27" t="str">
        <x:v>EUR</x:v>
      </x:c>
      <x:c r="J155" s="27" t="str">
        <x:v>EUR</x:v>
      </x:c>
      <x:c r="K155" s="27"/>
      <x:c r="L155" s="27"/>
      <x:c r="M155" s="27" t="str">
        <x:v>EUR</x:v>
      </x:c>
      <x:c r="N155" s="27"/>
      <x:c r="O155" s="27"/>
      <x:c r="P155" s="27" t="n">
        <x:v>46114</x:v>
      </x:c>
      <x:c r="Q155" s="27" t="n">
        <x:v>45207</x:v>
      </x:c>
      <x:c r="R155" s="27" t="n">
        <x:v>46114</x:v>
      </x:c>
      <x:c r="S155" s="27" t="n">
        <x:v>399047619.05</x:v>
      </x:c>
      <x:c r="T155" s="27" t="n">
        <x:v>399047619.05</x:v>
      </x:c>
      <x:c r="U155" s="27" t="n">
        <x:v>419000000</x:v>
      </x:c>
      <x:c r="V155" s="27" t="str">
        <x:v>M</x:v>
      </x:c>
      <x:c r="W155" s="27" t="str">
        <x:v>Y</x:v>
      </x:c>
      <x:c r="X155" s="27" t="n">
        <x:v>5</x:v>
      </x:c>
      <x:c r="Y155" s="27" t="str">
        <x:v>B</x:v>
      </x:c>
      <x:c r="Z155" s="27"/>
      <x:c r="AA155" s="27"/>
      <x:c r="AB155" s="27" t="n">
        <x:v>0</x:v>
      </x:c>
      <x:c r="AC155" s="27" t="n">
        <x:v>0</x:v>
      </x:c>
      <x:c r="AD155" s="27" t="n">
        <x:v>610902</x:v>
      </x:c>
      <x:c r="AE155" s="27" t="str">
        <x:v>Public-safe anonymized industry-style SA-CCR sample</x:v>
      </x:c>
      <x:c r="AF155" s="27" t="str">
        <x:v>ANON-000152</x:v>
      </x:c>
      <x:c r="AG155" s="27" t="str">
        <x:v>OIS</x:v>
      </x:c>
      <x:c r="AH155" s="27"/>
      <x:c r="AI155" s="27" t="str">
        <x:v>EUR</x:v>
      </x:c>
    </x:row>
    <x:row r="156">
      <x:c r="A156" s="27" t="n">
        <x:v>45702</x:v>
      </x:c>
      <x:c r="B156" s="27" t="str">
        <x:v>IND_CLEARING_MEMBER_001</x:v>
      </x:c>
      <x:c r="C156" s="27" t="n">
        <x:v>3399</x:v>
      </x:c>
      <x:c r="D156" s="27" t="str">
        <x:v>IND-000153</x:v>
      </x:c>
      <x:c r="E156" s="27" t="str">
        <x:v>OIS</x:v>
      </x:c>
      <x:c r="F156" s="27" t="str">
        <x:v>Interest Rate</x:v>
      </x:c>
      <x:c r="G156" s="27"/>
      <x:c r="H156" s="27" t="str">
        <x:v>EUR</x:v>
      </x:c>
      <x:c r="I156" s="27" t="str">
        <x:v>EUR</x:v>
      </x:c>
      <x:c r="J156" s="27" t="str">
        <x:v>EUR</x:v>
      </x:c>
      <x:c r="K156" s="27"/>
      <x:c r="L156" s="27"/>
      <x:c r="M156" s="27" t="str">
        <x:v>EUR</x:v>
      </x:c>
      <x:c r="N156" s="27"/>
      <x:c r="O156" s="27"/>
      <x:c r="P156" s="27" t="n">
        <x:v>47407</x:v>
      </x:c>
      <x:c r="Q156" s="27" t="n">
        <x:v>45416</x:v>
      </x:c>
      <x:c r="R156" s="27" t="n">
        <x:v>47407</x:v>
      </x:c>
      <x:c r="S156" s="27" t="n">
        <x:v>931428571.43</x:v>
      </x:c>
      <x:c r="T156" s="27" t="n">
        <x:v>931428571.43</x:v>
      </x:c>
      <x:c r="U156" s="27" t="n">
        <x:v>978000000</x:v>
      </x:c>
      <x:c r="V156" s="27" t="str">
        <x:v>U</x:v>
      </x:c>
      <x:c r="W156" s="27" t="str">
        <x:v>Y</x:v>
      </x:c>
      <x:c r="X156" s="27" t="n">
        <x:v>5</x:v>
      </x:c>
      <x:c r="Y156" s="27" t="str">
        <x:v>B</x:v>
      </x:c>
      <x:c r="Z156" s="27"/>
      <x:c r="AA156" s="27"/>
      <x:c r="AB156" s="27" t="n">
        <x:v>0</x:v>
      </x:c>
      <x:c r="AC156" s="27" t="n">
        <x:v>0</x:v>
      </x:c>
      <x:c r="AD156" s="27" t="n">
        <x:v>1525680</x:v>
      </x:c>
      <x:c r="AE156" s="27" t="str">
        <x:v>Public-safe anonymized industry-style SA-CCR sample</x:v>
      </x:c>
      <x:c r="AF156" s="27" t="str">
        <x:v>ANON-000153</x:v>
      </x:c>
      <x:c r="AG156" s="27" t="str">
        <x:v>OIS</x:v>
      </x:c>
      <x:c r="AH156" s="27"/>
      <x:c r="AI156" s="27" t="str">
        <x:v>EUR</x:v>
      </x:c>
    </x:row>
    <x:row r="157">
      <x:c r="A157" s="27" t="n">
        <x:v>45702</x:v>
      </x:c>
      <x:c r="B157" s="27" t="str">
        <x:v>IND_REGIONAL_BANK_001</x:v>
      </x:c>
      <x:c r="C157" s="27" t="n">
        <x:v>3315</x:v>
      </x:c>
      <x:c r="D157" s="27" t="str">
        <x:v>IND-000154</x:v>
      </x:c>
      <x:c r="E157" s="27" t="str">
        <x:v>OIS</x:v>
      </x:c>
      <x:c r="F157" s="27" t="str">
        <x:v>Interest Rate</x:v>
      </x:c>
      <x:c r="G157" s="27"/>
      <x:c r="H157" s="27" t="str">
        <x:v>CNY</x:v>
      </x:c>
      <x:c r="I157" s="27" t="str">
        <x:v>CNY</x:v>
      </x:c>
      <x:c r="J157" s="27" t="str">
        <x:v>CNY</x:v>
      </x:c>
      <x:c r="K157" s="27"/>
      <x:c r="L157" s="27"/>
      <x:c r="M157" s="27" t="str">
        <x:v>CNY</x:v>
      </x:c>
      <x:c r="N157" s="27"/>
      <x:c r="O157" s="27"/>
      <x:c r="P157" s="27" t="n">
        <x:v>48163</x:v>
      </x:c>
      <x:c r="Q157" s="27" t="n">
        <x:v>45345</x:v>
      </x:c>
      <x:c r="R157" s="27" t="n">
        <x:v>48163</x:v>
      </x:c>
      <x:c r="S157" s="27" t="n">
        <x:v>489285714.29</x:v>
      </x:c>
      <x:c r="T157" s="27" t="n">
        <x:v>489285714.29</x:v>
      </x:c>
      <x:c r="U157" s="27" t="n">
        <x:v>68500000</x:v>
      </x:c>
      <x:c r="V157" s="27" t="str">
        <x:v>M</x:v>
      </x:c>
      <x:c r="W157" s="27" t="str">
        <x:v>Y</x:v>
      </x:c>
      <x:c r="X157" s="27" t="n">
        <x:v>5</x:v>
      </x:c>
      <x:c r="Y157" s="27" t="str">
        <x:v>B</x:v>
      </x:c>
      <x:c r="Z157" s="27"/>
      <x:c r="AA157" s="27"/>
      <x:c r="AB157" s="27" t="n">
        <x:v>0</x:v>
      </x:c>
      <x:c r="AC157" s="27" t="n">
        <x:v>0</x:v>
      </x:c>
      <x:c r="AD157" s="27" t="n">
        <x:v>300852</x:v>
      </x:c>
      <x:c r="AE157" s="27" t="str">
        <x:v>Public-safe anonymized industry-style SA-CCR sample</x:v>
      </x:c>
      <x:c r="AF157" s="27" t="str">
        <x:v>ANON-000154</x:v>
      </x:c>
      <x:c r="AG157" s="27" t="str">
        <x:v>OIS</x:v>
      </x:c>
      <x:c r="AH157" s="27"/>
      <x:c r="AI157" s="27" t="str">
        <x:v>CNY</x:v>
      </x:c>
    </x:row>
    <x:row r="158">
      <x:c r="A158" s="27" t="n">
        <x:v>45702</x:v>
      </x:c>
      <x:c r="B158" s="27" t="str">
        <x:v>IND_CORPORATE_002</x:v>
      </x:c>
      <x:c r="C158" s="27" t="n">
        <x:v>3074</x:v>
      </x:c>
      <x:c r="D158" s="27" t="str">
        <x:v>IND-000155</x:v>
      </x:c>
      <x:c r="E158" s="27" t="str">
        <x:v>OIS</x:v>
      </x:c>
      <x:c r="F158" s="27" t="str">
        <x:v>Interest Rate</x:v>
      </x:c>
      <x:c r="G158" s="27"/>
      <x:c r="H158" s="27" t="str">
        <x:v>USD</x:v>
      </x:c>
      <x:c r="I158" s="27" t="str">
        <x:v>USD</x:v>
      </x:c>
      <x:c r="J158" s="27" t="str">
        <x:v>USD</x:v>
      </x:c>
      <x:c r="K158" s="27"/>
      <x:c r="L158" s="27"/>
      <x:c r="M158" s="27" t="str">
        <x:v>USD</x:v>
      </x:c>
      <x:c r="N158" s="27"/>
      <x:c r="O158" s="27"/>
      <x:c r="P158" s="27" t="n">
        <x:v>49582</x:v>
      </x:c>
      <x:c r="Q158" s="27" t="n">
        <x:v>45181</x:v>
      </x:c>
      <x:c r="R158" s="27" t="n">
        <x:v>49582</x:v>
      </x:c>
      <x:c r="S158" s="27" t="n">
        <x:v>949000000</x:v>
      </x:c>
      <x:c r="T158" s="27" t="n">
        <x:v>949000000</x:v>
      </x:c>
      <x:c r="U158" s="27" t="n">
        <x:v>949000000</x:v>
      </x:c>
      <x:c r="V158" s="27" t="str">
        <x:v>M</x:v>
      </x:c>
      <x:c r="W158" s="27" t="str">
        <x:v>N</x:v>
      </x:c>
      <x:c r="X158" s="27" t="n">
        <x:v>10</x:v>
      </x:c>
      <x:c r="Y158" s="27" t="str">
        <x:v>S</x:v>
      </x:c>
      <x:c r="Z158" s="27"/>
      <x:c r="AA158" s="27"/>
      <x:c r="AB158" s="27" t="n">
        <x:v>0</x:v>
      </x:c>
      <x:c r="AC158" s="27" t="n">
        <x:v>0</x:v>
      </x:c>
      <x:c r="AD158" s="27" t="n">
        <x:v>-3763734</x:v>
      </x:c>
      <x:c r="AE158" s="27" t="str">
        <x:v>Public-safe anonymized industry-style SA-CCR sample</x:v>
      </x:c>
      <x:c r="AF158" s="27" t="str">
        <x:v>ANON-000155</x:v>
      </x:c>
      <x:c r="AG158" s="27" t="str">
        <x:v>OIS</x:v>
      </x:c>
      <x:c r="AH158" s="27"/>
      <x:c r="AI158" s="27" t="str">
        <x:v>USD</x:v>
      </x:c>
    </x:row>
    <x:row r="159">
      <x:c r="A159" s="27" t="n">
        <x:v>45702</x:v>
      </x:c>
      <x:c r="B159" s="27" t="str">
        <x:v>IND_CORPORATE_002</x:v>
      </x:c>
      <x:c r="C159" s="27" t="n">
        <x:v>3074</x:v>
      </x:c>
      <x:c r="D159" s="27" t="str">
        <x:v>IND-000156</x:v>
      </x:c>
      <x:c r="E159" s="27" t="str">
        <x:v>OIS</x:v>
      </x:c>
      <x:c r="F159" s="27" t="str">
        <x:v>Interest Rate</x:v>
      </x:c>
      <x:c r="G159" s="27"/>
      <x:c r="H159" s="27" t="str">
        <x:v>USD</x:v>
      </x:c>
      <x:c r="I159" s="27" t="str">
        <x:v>USD</x:v>
      </x:c>
      <x:c r="J159" s="27" t="str">
        <x:v>USD</x:v>
      </x:c>
      <x:c r="K159" s="27"/>
      <x:c r="L159" s="27"/>
      <x:c r="M159" s="27" t="str">
        <x:v>USD</x:v>
      </x:c>
      <x:c r="N159" s="27"/>
      <x:c r="O159" s="27"/>
      <x:c r="P159" s="27" t="n">
        <x:v>46906</x:v>
      </x:c>
      <x:c r="Q159" s="27" t="n">
        <x:v>45649</x:v>
      </x:c>
      <x:c r="R159" s="27" t="n">
        <x:v>46906</x:v>
      </x:c>
      <x:c r="S159" s="27" t="n">
        <x:v>221000000</x:v>
      </x:c>
      <x:c r="T159" s="27" t="n">
        <x:v>221000000</x:v>
      </x:c>
      <x:c r="U159" s="27" t="n">
        <x:v>221000000</x:v>
      </x:c>
      <x:c r="V159" s="27" t="str">
        <x:v>M</x:v>
      </x:c>
      <x:c r="W159" s="27" t="str">
        <x:v>Y</x:v>
      </x:c>
      <x:c r="X159" s="27" t="n">
        <x:v>5</x:v>
      </x:c>
      <x:c r="Y159" s="27" t="str">
        <x:v>B</x:v>
      </x:c>
      <x:c r="Z159" s="27"/>
      <x:c r="AA159" s="27"/>
      <x:c r="AB159" s="27" t="n">
        <x:v>0</x:v>
      </x:c>
      <x:c r="AC159" s="27" t="n">
        <x:v>0</x:v>
      </x:c>
      <x:c r="AD159" s="27" t="n">
        <x:v>163098</x:v>
      </x:c>
      <x:c r="AE159" s="27" t="str">
        <x:v>Public-safe anonymized industry-style SA-CCR sample</x:v>
      </x:c>
      <x:c r="AF159" s="27" t="str">
        <x:v>ANON-000156</x:v>
      </x:c>
      <x:c r="AG159" s="27" t="str">
        <x:v>OIS</x:v>
      </x:c>
      <x:c r="AH159" s="27"/>
      <x:c r="AI159" s="27" t="str">
        <x:v>USD</x:v>
      </x:c>
    </x:row>
    <x:row r="160">
      <x:c r="A160" s="27" t="n">
        <x:v>45702</x:v>
      </x:c>
      <x:c r="B160" s="27" t="str">
        <x:v>IND_ASSET_MANAGER_001</x:v>
      </x:c>
      <x:c r="C160" s="27" t="n">
        <x:v>3050</x:v>
      </x:c>
      <x:c r="D160" s="27" t="str">
        <x:v>IND-000157</x:v>
      </x:c>
      <x:c r="E160" s="27" t="str">
        <x:v>OIS</x:v>
      </x:c>
      <x:c r="F160" s="27" t="str">
        <x:v>Interest Rate</x:v>
      </x:c>
      <x:c r="G160" s="27"/>
      <x:c r="H160" s="27" t="str">
        <x:v>USD</x:v>
      </x:c>
      <x:c r="I160" s="27" t="str">
        <x:v>USD</x:v>
      </x:c>
      <x:c r="J160" s="27" t="str">
        <x:v>USD</x:v>
      </x:c>
      <x:c r="K160" s="27"/>
      <x:c r="L160" s="27"/>
      <x:c r="M160" s="27" t="str">
        <x:v>USD</x:v>
      </x:c>
      <x:c r="N160" s="27"/>
      <x:c r="O160" s="27"/>
      <x:c r="P160" s="27" t="n">
        <x:v>47573</x:v>
      </x:c>
      <x:c r="Q160" s="27" t="n">
        <x:v>45465</x:v>
      </x:c>
      <x:c r="R160" s="27" t="n">
        <x:v>47573</x:v>
      </x:c>
      <x:c r="S160" s="27" t="n">
        <x:v>712000000</x:v>
      </x:c>
      <x:c r="T160" s="27" t="n">
        <x:v>712000000</x:v>
      </x:c>
      <x:c r="U160" s="27" t="n">
        <x:v>712000000</x:v>
      </x:c>
      <x:c r="V160" s="27" t="str">
        <x:v>M</x:v>
      </x:c>
      <x:c r="W160" s="27" t="str">
        <x:v>Y</x:v>
      </x:c>
      <x:c r="X160" s="27" t="n">
        <x:v>5</x:v>
      </x:c>
      <x:c r="Y160" s="27" t="str">
        <x:v>B</x:v>
      </x:c>
      <x:c r="Z160" s="27"/>
      <x:c r="AA160" s="27"/>
      <x:c r="AB160" s="27" t="n">
        <x:v>0</x:v>
      </x:c>
      <x:c r="AC160" s="27" t="n">
        <x:v>0</x:v>
      </x:c>
      <x:c r="AD160" s="27" t="n">
        <x:v>4058400</x:v>
      </x:c>
      <x:c r="AE160" s="27" t="str">
        <x:v>Public-safe anonymized industry-style SA-CCR sample</x:v>
      </x:c>
      <x:c r="AF160" s="27" t="str">
        <x:v>ANON-000157</x:v>
      </x:c>
      <x:c r="AG160" s="27" t="str">
        <x:v>OIS</x:v>
      </x:c>
      <x:c r="AH160" s="27"/>
      <x:c r="AI160" s="27" t="str">
        <x:v>USD</x:v>
      </x:c>
    </x:row>
    <x:row r="161">
      <x:c r="A161" s="27" t="n">
        <x:v>45702</x:v>
      </x:c>
      <x:c r="B161" s="27" t="str">
        <x:v>IND_BANK_002</x:v>
      </x:c>
      <x:c r="C161" s="27" t="n">
        <x:v>3049</x:v>
      </x:c>
      <x:c r="D161" s="27" t="str">
        <x:v>IND-000158</x:v>
      </x:c>
      <x:c r="E161" s="27" t="str">
        <x:v>OIS</x:v>
      </x:c>
      <x:c r="F161" s="27" t="str">
        <x:v>Interest Rate</x:v>
      </x:c>
      <x:c r="G161" s="27"/>
      <x:c r="H161" s="27" t="str">
        <x:v>EUR</x:v>
      </x:c>
      <x:c r="I161" s="27" t="str">
        <x:v>EUR</x:v>
      </x:c>
      <x:c r="J161" s="27" t="str">
        <x:v>EUR</x:v>
      </x:c>
      <x:c r="K161" s="27"/>
      <x:c r="L161" s="27"/>
      <x:c r="M161" s="27" t="str">
        <x:v>EUR</x:v>
      </x:c>
      <x:c r="N161" s="27"/>
      <x:c r="O161" s="27"/>
      <x:c r="P161" s="27" t="n">
        <x:v>48855</x:v>
      </x:c>
      <x:c r="Q161" s="27" t="n">
        <x:v>45580</x:v>
      </x:c>
      <x:c r="R161" s="27" t="n">
        <x:v>48855</x:v>
      </x:c>
      <x:c r="S161" s="27" t="n">
        <x:v>549523809.52</x:v>
      </x:c>
      <x:c r="T161" s="27" t="n">
        <x:v>549523809.52</x:v>
      </x:c>
      <x:c r="U161" s="27" t="n">
        <x:v>577000000</x:v>
      </x:c>
      <x:c r="V161" s="27" t="str">
        <x:v>M</x:v>
      </x:c>
      <x:c r="W161" s="27" t="str">
        <x:v>Y</x:v>
      </x:c>
      <x:c r="X161" s="27" t="n">
        <x:v>5</x:v>
      </x:c>
      <x:c r="Y161" s="27" t="str">
        <x:v>B</x:v>
      </x:c>
      <x:c r="Z161" s="27"/>
      <x:c r="AA161" s="27"/>
      <x:c r="AB161" s="27" t="n">
        <x:v>0</x:v>
      </x:c>
      <x:c r="AC161" s="27" t="n">
        <x:v>0</x:v>
      </x:c>
      <x:c r="AD161" s="27" t="n">
        <x:v>-405054</x:v>
      </x:c>
      <x:c r="AE161" s="27" t="str">
        <x:v>Public-safe anonymized industry-style SA-CCR sample</x:v>
      </x:c>
      <x:c r="AF161" s="27" t="str">
        <x:v>ANON-000158</x:v>
      </x:c>
      <x:c r="AG161" s="27" t="str">
        <x:v>OIS</x:v>
      </x:c>
      <x:c r="AH161" s="27"/>
      <x:c r="AI161" s="27" t="str">
        <x:v>EUR</x:v>
      </x:c>
    </x:row>
    <x:row r="162">
      <x:c r="A162" s="27" t="n">
        <x:v>45702</x:v>
      </x:c>
      <x:c r="B162" s="27" t="str">
        <x:v>IND_INSURER_001</x:v>
      </x:c>
      <x:c r="C162" s="27" t="n">
        <x:v>3297</x:v>
      </x:c>
      <x:c r="D162" s="27" t="str">
        <x:v>IND-000159</x:v>
      </x:c>
      <x:c r="E162" s="27" t="str">
        <x:v>OIS</x:v>
      </x:c>
      <x:c r="F162" s="27" t="str">
        <x:v>Interest Rate</x:v>
      </x:c>
      <x:c r="G162" s="27"/>
      <x:c r="H162" s="27" t="str">
        <x:v>EUR</x:v>
      </x:c>
      <x:c r="I162" s="27" t="str">
        <x:v>EUR</x:v>
      </x:c>
      <x:c r="J162" s="27" t="str">
        <x:v>EUR</x:v>
      </x:c>
      <x:c r="K162" s="27"/>
      <x:c r="L162" s="27"/>
      <x:c r="M162" s="27" t="str">
        <x:v>EUR</x:v>
      </x:c>
      <x:c r="N162" s="27"/>
      <x:c r="O162" s="27"/>
      <x:c r="P162" s="27" t="n">
        <x:v>47359</x:v>
      </x:c>
      <x:c r="Q162" s="27" t="n">
        <x:v>45168</x:v>
      </x:c>
      <x:c r="R162" s="27" t="n">
        <x:v>47359</x:v>
      </x:c>
      <x:c r="S162" s="27" t="n">
        <x:v>547619047.62</x:v>
      </x:c>
      <x:c r="T162" s="27" t="n">
        <x:v>547619047.62</x:v>
      </x:c>
      <x:c r="U162" s="27" t="n">
        <x:v>575000000</x:v>
      </x:c>
      <x:c r="V162" s="27" t="str">
        <x:v>M</x:v>
      </x:c>
      <x:c r="W162" s="27" t="str">
        <x:v>N</x:v>
      </x:c>
      <x:c r="X162" s="27" t="n">
        <x:v>10</x:v>
      </x:c>
      <x:c r="Y162" s="27" t="str">
        <x:v>S</x:v>
      </x:c>
      <x:c r="Z162" s="27"/>
      <x:c r="AA162" s="27"/>
      <x:c r="AB162" s="27" t="n">
        <x:v>0</x:v>
      </x:c>
      <x:c r="AC162" s="27" t="n">
        <x:v>0</x:v>
      </x:c>
      <x:c r="AD162" s="27" t="n">
        <x:v>-2904900</x:v>
      </x:c>
      <x:c r="AE162" s="27" t="str">
        <x:v>Public-safe anonymized industry-style SA-CCR sample</x:v>
      </x:c>
      <x:c r="AF162" s="27" t="str">
        <x:v>ANON-000159</x:v>
      </x:c>
      <x:c r="AG162" s="27" t="str">
        <x:v>OIS</x:v>
      </x:c>
      <x:c r="AH162" s="27"/>
      <x:c r="AI162" s="27" t="str">
        <x:v>EUR</x:v>
      </x:c>
    </x:row>
    <x:row r="163">
      <x:c r="A163" s="27" t="n">
        <x:v>45702</x:v>
      </x:c>
      <x:c r="B163" s="27" t="str">
        <x:v>IND_REGIONAL_BANK_001</x:v>
      </x:c>
      <x:c r="C163" s="27" t="n">
        <x:v>3315</x:v>
      </x:c>
      <x:c r="D163" s="27" t="str">
        <x:v>IND-000160</x:v>
      </x:c>
      <x:c r="E163" s="27" t="str">
        <x:v>OIS</x:v>
      </x:c>
      <x:c r="F163" s="27" t="str">
        <x:v>Interest Rate</x:v>
      </x:c>
      <x:c r="G163" s="27"/>
      <x:c r="H163" s="27" t="str">
        <x:v>CNY</x:v>
      </x:c>
      <x:c r="I163" s="27" t="str">
        <x:v>CNY</x:v>
      </x:c>
      <x:c r="J163" s="27" t="str">
        <x:v>CNY</x:v>
      </x:c>
      <x:c r="K163" s="27"/>
      <x:c r="L163" s="27"/>
      <x:c r="M163" s="27" t="str">
        <x:v>CNY</x:v>
      </x:c>
      <x:c r="N163" s="27"/>
      <x:c r="O163" s="27"/>
      <x:c r="P163" s="27" t="n">
        <x:v>47245</x:v>
      </x:c>
      <x:c r="Q163" s="27" t="n">
        <x:v>45606</x:v>
      </x:c>
      <x:c r="R163" s="27" t="n">
        <x:v>47245</x:v>
      </x:c>
      <x:c r="S163" s="27" t="n">
        <x:v>2100000000</x:v>
      </x:c>
      <x:c r="T163" s="27" t="n">
        <x:v>2100000000</x:v>
      </x:c>
      <x:c r="U163" s="27" t="n">
        <x:v>294000000</x:v>
      </x:c>
      <x:c r="V163" s="27" t="str">
        <x:v>M</x:v>
      </x:c>
      <x:c r="W163" s="27" t="str">
        <x:v>Y</x:v>
      </x:c>
      <x:c r="X163" s="27" t="n">
        <x:v>5</x:v>
      </x:c>
      <x:c r="Y163" s="27" t="str">
        <x:v>S</x:v>
      </x:c>
      <x:c r="Z163" s="27"/>
      <x:c r="AA163" s="27"/>
      <x:c r="AB163" s="27" t="n">
        <x:v>0</x:v>
      </x:c>
      <x:c r="AC163" s="27" t="n">
        <x:v>0</x:v>
      </x:c>
      <x:c r="AD163" s="27" t="n">
        <x:v>1529388</x:v>
      </x:c>
      <x:c r="AE163" s="27" t="str">
        <x:v>Public-safe anonymized industry-style SA-CCR sample</x:v>
      </x:c>
      <x:c r="AF163" s="27" t="str">
        <x:v>ANON-000160</x:v>
      </x:c>
      <x:c r="AG163" s="27" t="str">
        <x:v>OIS</x:v>
      </x:c>
      <x:c r="AH163" s="27"/>
      <x:c r="AI163" s="27" t="str">
        <x:v>CNY</x:v>
      </x:c>
    </x:row>
    <x:row r="164">
      <x:c r="A164" s="27" t="n">
        <x:v>45702</x:v>
      </x:c>
      <x:c r="B164" s="27" t="str">
        <x:v>IND_ASSET_MANAGER_001</x:v>
      </x:c>
      <x:c r="C164" s="27" t="n">
        <x:v>3050</x:v>
      </x:c>
      <x:c r="D164" s="27" t="str">
        <x:v>IND-000161</x:v>
      </x:c>
      <x:c r="E164" s="27" t="str">
        <x:v>OIS</x:v>
      </x:c>
      <x:c r="F164" s="27" t="str">
        <x:v>Interest Rate</x:v>
      </x:c>
      <x:c r="G164" s="27"/>
      <x:c r="H164" s="27" t="str">
        <x:v>USD</x:v>
      </x:c>
      <x:c r="I164" s="27" t="str">
        <x:v>USD</x:v>
      </x:c>
      <x:c r="J164" s="27" t="str">
        <x:v>USD</x:v>
      </x:c>
      <x:c r="K164" s="27"/>
      <x:c r="L164" s="27"/>
      <x:c r="M164" s="27" t="str">
        <x:v>USD</x:v>
      </x:c>
      <x:c r="N164" s="27"/>
      <x:c r="O164" s="27"/>
      <x:c r="P164" s="27" t="n">
        <x:v>46769</x:v>
      </x:c>
      <x:c r="Q164" s="27" t="n">
        <x:v>44841</x:v>
      </x:c>
      <x:c r="R164" s="27" t="n">
        <x:v>46769</x:v>
      </x:c>
      <x:c r="S164" s="27" t="n">
        <x:v>671000000</x:v>
      </x:c>
      <x:c r="T164" s="27" t="n">
        <x:v>671000000</x:v>
      </x:c>
      <x:c r="U164" s="27" t="n">
        <x:v>671000000</x:v>
      </x:c>
      <x:c r="V164" s="27" t="str">
        <x:v>M</x:v>
      </x:c>
      <x:c r="W164" s="27" t="str">
        <x:v>Y</x:v>
      </x:c>
      <x:c r="X164" s="27" t="n">
        <x:v>5</x:v>
      </x:c>
      <x:c r="Y164" s="27" t="str">
        <x:v>S</x:v>
      </x:c>
      <x:c r="Z164" s="27"/>
      <x:c r="AA164" s="27"/>
      <x:c r="AB164" s="27" t="n">
        <x:v>0</x:v>
      </x:c>
      <x:c r="AC164" s="27" t="n">
        <x:v>0</x:v>
      </x:c>
      <x:c r="AD164" s="27" t="n">
        <x:v>1453386</x:v>
      </x:c>
      <x:c r="AE164" s="27" t="str">
        <x:v>Public-safe anonymized industry-style SA-CCR sample</x:v>
      </x:c>
      <x:c r="AF164" s="27" t="str">
        <x:v>ANON-000161</x:v>
      </x:c>
      <x:c r="AG164" s="27" t="str">
        <x:v>OIS</x:v>
      </x:c>
      <x:c r="AH164" s="27"/>
      <x:c r="AI164" s="27" t="str">
        <x:v>USD</x:v>
      </x:c>
    </x:row>
    <x:row r="165">
      <x:c r="A165" s="27" t="n">
        <x:v>45702</x:v>
      </x:c>
      <x:c r="B165" s="27" t="str">
        <x:v>IND_REGIONAL_BANK_001</x:v>
      </x:c>
      <x:c r="C165" s="27" t="n">
        <x:v>3315</x:v>
      </x:c>
      <x:c r="D165" s="27" t="str">
        <x:v>IND-000162</x:v>
      </x:c>
      <x:c r="E165" s="27" t="str">
        <x:v>OIS</x:v>
      </x:c>
      <x:c r="F165" s="27" t="str">
        <x:v>Interest Rate</x:v>
      </x:c>
      <x:c r="G165" s="27"/>
      <x:c r="H165" s="27" t="str">
        <x:v>CNY</x:v>
      </x:c>
      <x:c r="I165" s="27" t="str">
        <x:v>CNY</x:v>
      </x:c>
      <x:c r="J165" s="27" t="str">
        <x:v>CNY</x:v>
      </x:c>
      <x:c r="K165" s="27"/>
      <x:c r="L165" s="27"/>
      <x:c r="M165" s="27" t="str">
        <x:v>CNY</x:v>
      </x:c>
      <x:c r="N165" s="27"/>
      <x:c r="O165" s="27"/>
      <x:c r="P165" s="27" t="n">
        <x:v>48211</x:v>
      </x:c>
      <x:c r="Q165" s="27" t="n">
        <x:v>45290</x:v>
      </x:c>
      <x:c r="R165" s="27" t="n">
        <x:v>48211</x:v>
      </x:c>
      <x:c r="S165" s="27" t="n">
        <x:v>107857142.86</x:v>
      </x:c>
      <x:c r="T165" s="27" t="n">
        <x:v>107857142.86</x:v>
      </x:c>
      <x:c r="U165" s="27" t="n">
        <x:v>15100000</x:v>
      </x:c>
      <x:c r="V165" s="27" t="str">
        <x:v>M</x:v>
      </x:c>
      <x:c r="W165" s="27" t="str">
        <x:v>N</x:v>
      </x:c>
      <x:c r="X165" s="27" t="n">
        <x:v>10</x:v>
      </x:c>
      <x:c r="Y165" s="27" t="str">
        <x:v>S</x:v>
      </x:c>
      <x:c r="Z165" s="27"/>
      <x:c r="AA165" s="27"/>
      <x:c r="AB165" s="27" t="n">
        <x:v>0</x:v>
      </x:c>
      <x:c r="AC165" s="27" t="n">
        <x:v>0</x:v>
      </x:c>
      <x:c r="AD165" s="27" t="n">
        <x:v>53635.2</x:v>
      </x:c>
      <x:c r="AE165" s="27" t="str">
        <x:v>Public-safe anonymized industry-style SA-CCR sample</x:v>
      </x:c>
      <x:c r="AF165" s="27" t="str">
        <x:v>ANON-000162</x:v>
      </x:c>
      <x:c r="AG165" s="27" t="str">
        <x:v>OIS</x:v>
      </x:c>
      <x:c r="AH165" s="27"/>
      <x:c r="AI165" s="27" t="str">
        <x:v>CNY</x:v>
      </x:c>
    </x:row>
    <x:row r="166">
      <x:c r="A166" s="27" t="n">
        <x:v>45702</x:v>
      </x:c>
      <x:c r="B166" s="27" t="str">
        <x:v>IND_INSURER_001</x:v>
      </x:c>
      <x:c r="C166" s="27" t="n">
        <x:v>3297</x:v>
      </x:c>
      <x:c r="D166" s="27" t="str">
        <x:v>IND-000163</x:v>
      </x:c>
      <x:c r="E166" s="27" t="str">
        <x:v>OIS</x:v>
      </x:c>
      <x:c r="F166" s="27" t="str">
        <x:v>Interest Rate</x:v>
      </x:c>
      <x:c r="G166" s="27"/>
      <x:c r="H166" s="27" t="str">
        <x:v>EUR</x:v>
      </x:c>
      <x:c r="I166" s="27" t="str">
        <x:v>EUR</x:v>
      </x:c>
      <x:c r="J166" s="27" t="str">
        <x:v>EUR</x:v>
      </x:c>
      <x:c r="K166" s="27"/>
      <x:c r="L166" s="27"/>
      <x:c r="M166" s="27" t="str">
        <x:v>EUR</x:v>
      </x:c>
      <x:c r="N166" s="27"/>
      <x:c r="O166" s="27"/>
      <x:c r="P166" s="27" t="n">
        <x:v>47622</x:v>
      </x:c>
      <x:c r="Q166" s="27" t="n">
        <x:v>45160</x:v>
      </x:c>
      <x:c r="R166" s="27" t="n">
        <x:v>47622</x:v>
      </x:c>
      <x:c r="S166" s="27" t="n">
        <x:v>527619047.62</x:v>
      </x:c>
      <x:c r="T166" s="27" t="n">
        <x:v>527619047.62</x:v>
      </x:c>
      <x:c r="U166" s="27" t="n">
        <x:v>554000000</x:v>
      </x:c>
      <x:c r="V166" s="27" t="str">
        <x:v>M</x:v>
      </x:c>
      <x:c r="W166" s="27" t="str">
        <x:v>Y</x:v>
      </x:c>
      <x:c r="X166" s="27" t="n">
        <x:v>5</x:v>
      </x:c>
      <x:c r="Y166" s="27" t="str">
        <x:v>S</x:v>
      </x:c>
      <x:c r="Z166" s="27"/>
      <x:c r="AA166" s="27"/>
      <x:c r="AB166" s="27" t="n">
        <x:v>0</x:v>
      </x:c>
      <x:c r="AC166" s="27" t="n">
        <x:v>0</x:v>
      </x:c>
      <x:c r="AD166" s="27" t="n">
        <x:v>-1901328</x:v>
      </x:c>
      <x:c r="AE166" s="27" t="str">
        <x:v>Public-safe anonymized industry-style SA-CCR sample</x:v>
      </x:c>
      <x:c r="AF166" s="27" t="str">
        <x:v>ANON-000163</x:v>
      </x:c>
      <x:c r="AG166" s="27" t="str">
        <x:v>OIS</x:v>
      </x:c>
      <x:c r="AH166" s="27"/>
      <x:c r="AI166" s="27" t="str">
        <x:v>EUR</x:v>
      </x:c>
    </x:row>
    <x:row r="167">
      <x:c r="A167" s="27" t="n">
        <x:v>45702</x:v>
      </x:c>
      <x:c r="B167" s="27" t="str">
        <x:v>IND_BROKER_001</x:v>
      </x:c>
      <x:c r="C167" s="27" t="n">
        <x:v>3332</x:v>
      </x:c>
      <x:c r="D167" s="27" t="str">
        <x:v>IND-000164</x:v>
      </x:c>
      <x:c r="E167" s="27" t="str">
        <x:v>OIS</x:v>
      </x:c>
      <x:c r="F167" s="27" t="str">
        <x:v>Interest Rate</x:v>
      </x:c>
      <x:c r="G167" s="27"/>
      <x:c r="H167" s="27" t="str">
        <x:v>CNY</x:v>
      </x:c>
      <x:c r="I167" s="27" t="str">
        <x:v>CNY</x:v>
      </x:c>
      <x:c r="J167" s="27" t="str">
        <x:v>CNY</x:v>
      </x:c>
      <x:c r="K167" s="27"/>
      <x:c r="L167" s="27"/>
      <x:c r="M167" s="27" t="str">
        <x:v>CNY</x:v>
      </x:c>
      <x:c r="N167" s="27"/>
      <x:c r="O167" s="27"/>
      <x:c r="P167" s="27" t="n">
        <x:v>46236</x:v>
      </x:c>
      <x:c r="Q167" s="27" t="n">
        <x:v>45424</x:v>
      </x:c>
      <x:c r="R167" s="27" t="n">
        <x:v>46236</x:v>
      </x:c>
      <x:c r="S167" s="27" t="n">
        <x:v>121428571.43</x:v>
      </x:c>
      <x:c r="T167" s="27" t="n">
        <x:v>121428571.43</x:v>
      </x:c>
      <x:c r="U167" s="27" t="n">
        <x:v>17000000</x:v>
      </x:c>
      <x:c r="V167" s="27" t="str">
        <x:v>M</x:v>
      </x:c>
      <x:c r="W167" s="27" t="str">
        <x:v>N</x:v>
      </x:c>
      <x:c r="X167" s="27" t="n">
        <x:v>10</x:v>
      </x:c>
      <x:c r="Y167" s="27" t="str">
        <x:v>S</x:v>
      </x:c>
      <x:c r="Z167" s="27"/>
      <x:c r="AA167" s="27"/>
      <x:c r="AB167" s="27" t="n">
        <x:v>0</x:v>
      </x:c>
      <x:c r="AC167" s="27" t="n">
        <x:v>0</x:v>
      </x:c>
      <x:c r="AD167" s="27" t="n">
        <x:v>68238</x:v>
      </x:c>
      <x:c r="AE167" s="27" t="str">
        <x:v>Public-safe anonymized industry-style SA-CCR sample</x:v>
      </x:c>
      <x:c r="AF167" s="27" t="str">
        <x:v>ANON-000164</x:v>
      </x:c>
      <x:c r="AG167" s="27" t="str">
        <x:v>OIS</x:v>
      </x:c>
      <x:c r="AH167" s="27"/>
      <x:c r="AI167" s="27" t="str">
        <x:v>CNY</x:v>
      </x:c>
    </x:row>
    <x:row r="168">
      <x:c r="A168" s="27" t="n">
        <x:v>45702</x:v>
      </x:c>
      <x:c r="B168" s="27" t="str">
        <x:v>IND_HEDGE_FUND_001</x:v>
      </x:c>
      <x:c r="C168" s="27" t="n">
        <x:v>3345</x:v>
      </x:c>
      <x:c r="D168" s="27" t="str">
        <x:v>IND-000165</x:v>
      </x:c>
      <x:c r="E168" s="27" t="str">
        <x:v>Swaption</x:v>
      </x:c>
      <x:c r="F168" s="27" t="str">
        <x:v>Interest Rate</x:v>
      </x:c>
      <x:c r="G168" s="27"/>
      <x:c r="H168" s="27" t="str">
        <x:v>USD</x:v>
      </x:c>
      <x:c r="I168" s="27" t="str">
        <x:v>USD</x:v>
      </x:c>
      <x:c r="J168" s="27" t="str">
        <x:v>USD</x:v>
      </x:c>
      <x:c r="K168" s="27"/>
      <x:c r="L168" s="27"/>
      <x:c r="M168" s="27" t="str">
        <x:v>USD</x:v>
      </x:c>
      <x:c r="N168" s="27"/>
      <x:c r="O168" s="27"/>
      <x:c r="P168" s="27" t="n">
        <x:v>45949</x:v>
      </x:c>
      <x:c r="Q168" s="27" t="n">
        <x:v>45024</x:v>
      </x:c>
      <x:c r="R168" s="27" t="n">
        <x:v>45949</x:v>
      </x:c>
      <x:c r="S168" s="27" t="n">
        <x:v>13700000</x:v>
      </x:c>
      <x:c r="T168" s="27" t="n">
        <x:v>13700000</x:v>
      </x:c>
      <x:c r="U168" s="27" t="n">
        <x:v>13700000</x:v>
      </x:c>
      <x:c r="V168" s="27" t="str">
        <x:v>M</x:v>
      </x:c>
      <x:c r="W168" s="27" t="str">
        <x:v>N</x:v>
      </x:c>
      <x:c r="X168" s="27" t="n">
        <x:v>10</x:v>
      </x:c>
      <x:c r="Y168" s="27" t="str">
        <x:v>B</x:v>
      </x:c>
      <x:c r="Z168" s="27" t="n">
        <x:v>45887</x:v>
      </x:c>
      <x:c r="AA168" s="27" t="str">
        <x:v>C</x:v>
      </x:c>
      <x:c r="AB168" s="27" t="n">
        <x:v>0.014448</x:v>
      </x:c>
      <x:c r="AC168" s="27" t="n">
        <x:v>0.0168</x:v>
      </x:c>
      <x:c r="AD168" s="27" t="n">
        <x:v>-6904.8</x:v>
      </x:c>
      <x:c r="AE168" s="27" t="str">
        <x:v>Public-safe anonymized industry-style SA-CCR sample</x:v>
      </x:c>
      <x:c r="AF168" s="27" t="str">
        <x:v>ANON-000165</x:v>
      </x:c>
      <x:c r="AG168" s="27" t="str">
        <x:v>Swaption</x:v>
      </x:c>
      <x:c r="AH168" s="27"/>
      <x:c r="AI168" s="27" t="str">
        <x:v>USD</x:v>
      </x:c>
    </x:row>
    <x:row r="169">
      <x:c r="A169" s="27" t="n">
        <x:v>45702</x:v>
      </x:c>
      <x:c r="B169" s="27" t="str">
        <x:v>IND_BANK_001</x:v>
      </x:c>
      <x:c r="C169" s="27" t="n">
        <x:v>3219</x:v>
      </x:c>
      <x:c r="D169" s="27" t="str">
        <x:v>IND-000166</x:v>
      </x:c>
      <x:c r="E169" s="27" t="str">
        <x:v>Swaption</x:v>
      </x:c>
      <x:c r="F169" s="27" t="str">
        <x:v>Interest Rate</x:v>
      </x:c>
      <x:c r="G169" s="27"/>
      <x:c r="H169" s="27" t="str">
        <x:v>CNY</x:v>
      </x:c>
      <x:c r="I169" s="27" t="str">
        <x:v>CNY</x:v>
      </x:c>
      <x:c r="J169" s="27" t="str">
        <x:v>CNY</x:v>
      </x:c>
      <x:c r="K169" s="27"/>
      <x:c r="L169" s="27"/>
      <x:c r="M169" s="27" t="str">
        <x:v>CNY</x:v>
      </x:c>
      <x:c r="N169" s="27"/>
      <x:c r="O169" s="27"/>
      <x:c r="P169" s="27" t="n">
        <x:v>46327</x:v>
      </x:c>
      <x:c r="Q169" s="27" t="n">
        <x:v>45041</x:v>
      </x:c>
      <x:c r="R169" s="27" t="n">
        <x:v>46327</x:v>
      </x:c>
      <x:c r="S169" s="27" t="n">
        <x:v>3542857142.86</x:v>
      </x:c>
      <x:c r="T169" s="27" t="n">
        <x:v>3542857142.86</x:v>
      </x:c>
      <x:c r="U169" s="27" t="n">
        <x:v>496000000</x:v>
      </x:c>
      <x:c r="V169" s="27" t="str">
        <x:v>M</x:v>
      </x:c>
      <x:c r="W169" s="27" t="str">
        <x:v>N</x:v>
      </x:c>
      <x:c r="X169" s="27" t="n">
        <x:v>10</x:v>
      </x:c>
      <x:c r="Y169" s="27" t="str">
        <x:v>S</x:v>
      </x:c>
      <x:c r="Z169" s="27" t="n">
        <x:v>46170</x:v>
      </x:c>
      <x:c r="AA169" s="27" t="str">
        <x:v>C</x:v>
      </x:c>
      <x:c r="AB169" s="27" t="n">
        <x:v>0.027425</x:v>
      </x:c>
      <x:c r="AC169" s="27" t="n">
        <x:v>0.025</x:v>
      </x:c>
      <x:c r="AD169" s="27" t="n">
        <x:v>-950832</x:v>
      </x:c>
      <x:c r="AE169" s="27" t="str">
        <x:v>Public-safe anonymized industry-style SA-CCR sample</x:v>
      </x:c>
      <x:c r="AF169" s="27" t="str">
        <x:v>ANON-000166</x:v>
      </x:c>
      <x:c r="AG169" s="27" t="str">
        <x:v>Swaption</x:v>
      </x:c>
      <x:c r="AH169" s="27"/>
      <x:c r="AI169" s="27" t="str">
        <x:v>CNY</x:v>
      </x:c>
    </x:row>
    <x:row r="170">
      <x:c r="A170" s="27" t="n">
        <x:v>45702</x:v>
      </x:c>
      <x:c r="B170" s="27" t="str">
        <x:v>IND_HEDGE_FUND_001</x:v>
      </x:c>
      <x:c r="C170" s="27" t="n">
        <x:v>3345</x:v>
      </x:c>
      <x:c r="D170" s="27" t="str">
        <x:v>IND-000167</x:v>
      </x:c>
      <x:c r="E170" s="27" t="str">
        <x:v>Swaption</x:v>
      </x:c>
      <x:c r="F170" s="27" t="str">
        <x:v>Interest Rate</x:v>
      </x:c>
      <x:c r="G170" s="27"/>
      <x:c r="H170" s="27" t="str">
        <x:v>USD</x:v>
      </x:c>
      <x:c r="I170" s="27" t="str">
        <x:v>USD</x:v>
      </x:c>
      <x:c r="J170" s="27" t="str">
        <x:v>USD</x:v>
      </x:c>
      <x:c r="K170" s="27"/>
      <x:c r="L170" s="27"/>
      <x:c r="M170" s="27" t="str">
        <x:v>USD</x:v>
      </x:c>
      <x:c r="N170" s="27"/>
      <x:c r="O170" s="27"/>
      <x:c r="P170" s="27" t="n">
        <x:v>46139</x:v>
      </x:c>
      <x:c r="Q170" s="27" t="n">
        <x:v>45612</x:v>
      </x:c>
      <x:c r="R170" s="27" t="n">
        <x:v>46139</x:v>
      </x:c>
      <x:c r="S170" s="27" t="n">
        <x:v>20200000</x:v>
      </x:c>
      <x:c r="T170" s="27" t="n">
        <x:v>20200000</x:v>
      </x:c>
      <x:c r="U170" s="27" t="n">
        <x:v>20200000</x:v>
      </x:c>
      <x:c r="V170" s="27" t="str">
        <x:v>M</x:v>
      </x:c>
      <x:c r="W170" s="27" t="str">
        <x:v>N</x:v>
      </x:c>
      <x:c r="X170" s="27" t="n">
        <x:v>10</x:v>
      </x:c>
      <x:c r="Y170" s="27" t="str">
        <x:v>B</x:v>
      </x:c>
      <x:c r="Z170" s="27" t="n">
        <x:v>46029</x:v>
      </x:c>
      <x:c r="AA170" s="27" t="str">
        <x:v>C</x:v>
      </x:c>
      <x:c r="AB170" s="27" t="n">
        <x:v>0.022885</x:v>
      </x:c>
      <x:c r="AC170" s="27" t="n">
        <x:v>0.0254</x:v>
      </x:c>
      <x:c r="AD170" s="27" t="n">
        <x:v>27451.8</x:v>
      </x:c>
      <x:c r="AE170" s="27" t="str">
        <x:v>Public-safe anonymized industry-style SA-CCR sample</x:v>
      </x:c>
      <x:c r="AF170" s="27" t="str">
        <x:v>ANON-000167</x:v>
      </x:c>
      <x:c r="AG170" s="27" t="str">
        <x:v>Swaption</x:v>
      </x:c>
      <x:c r="AH170" s="27"/>
      <x:c r="AI170" s="27" t="str">
        <x:v>USD</x:v>
      </x:c>
    </x:row>
    <x:row r="171">
      <x:c r="A171" s="27" t="n">
        <x:v>45702</x:v>
      </x:c>
      <x:c r="B171" s="27" t="str">
        <x:v>IND_REGIONAL_BANK_001</x:v>
      </x:c>
      <x:c r="C171" s="27" t="n">
        <x:v>3315</x:v>
      </x:c>
      <x:c r="D171" s="27" t="str">
        <x:v>IND-000168</x:v>
      </x:c>
      <x:c r="E171" s="27" t="str">
        <x:v>Swaption</x:v>
      </x:c>
      <x:c r="F171" s="27" t="str">
        <x:v>Interest Rate</x:v>
      </x:c>
      <x:c r="G171" s="27"/>
      <x:c r="H171" s="27" t="str">
        <x:v>EUR</x:v>
      </x:c>
      <x:c r="I171" s="27" t="str">
        <x:v>EUR</x:v>
      </x:c>
      <x:c r="J171" s="27" t="str">
        <x:v>EUR</x:v>
      </x:c>
      <x:c r="K171" s="27"/>
      <x:c r="L171" s="27"/>
      <x:c r="M171" s="27" t="str">
        <x:v>EUR</x:v>
      </x:c>
      <x:c r="N171" s="27"/>
      <x:c r="O171" s="27"/>
      <x:c r="P171" s="27" t="n">
        <x:v>46559</x:v>
      </x:c>
      <x:c r="Q171" s="27" t="n">
        <x:v>44826</x:v>
      </x:c>
      <x:c r="R171" s="27" t="n">
        <x:v>46559</x:v>
      </x:c>
      <x:c r="S171" s="27" t="n">
        <x:v>163809523.81</x:v>
      </x:c>
      <x:c r="T171" s="27" t="n">
        <x:v>163809523.81</x:v>
      </x:c>
      <x:c r="U171" s="27" t="n">
        <x:v>172000000</x:v>
      </x:c>
      <x:c r="V171" s="27" t="str">
        <x:v>M</x:v>
      </x:c>
      <x:c r="W171" s="27" t="str">
        <x:v>N</x:v>
      </x:c>
      <x:c r="X171" s="27" t="n">
        <x:v>10</x:v>
      </x:c>
      <x:c r="Y171" s="27" t="str">
        <x:v>S</x:v>
      </x:c>
      <x:c r="Z171" s="27" t="n">
        <x:v>46344</x:v>
      </x:c>
      <x:c r="AA171" s="27" t="str">
        <x:v>C</x:v>
      </x:c>
      <x:c r="AB171" s="27" t="n">
        <x:v>0.03689</x:v>
      </x:c>
      <x:c r="AC171" s="27" t="n">
        <x:v>0.0351</x:v>
      </x:c>
      <x:c r="AD171" s="27" t="n">
        <x:v>1301868</x:v>
      </x:c>
      <x:c r="AE171" s="27" t="str">
        <x:v>Public-safe anonymized industry-style SA-CCR sample</x:v>
      </x:c>
      <x:c r="AF171" s="27" t="str">
        <x:v>ANON-000168</x:v>
      </x:c>
      <x:c r="AG171" s="27" t="str">
        <x:v>Swaption</x:v>
      </x:c>
      <x:c r="AH171" s="27"/>
      <x:c r="AI171" s="27" t="str">
        <x:v>EUR</x:v>
      </x:c>
    </x:row>
    <x:row r="172">
      <x:c r="A172" s="27" t="n">
        <x:v>45702</x:v>
      </x:c>
      <x:c r="B172" s="27" t="str">
        <x:v>IND_SOVEREIGN_001</x:v>
      </x:c>
      <x:c r="C172" s="27" t="n">
        <x:v>3246</x:v>
      </x:c>
      <x:c r="D172" s="27" t="str">
        <x:v>IND-000169</x:v>
      </x:c>
      <x:c r="E172" s="27" t="str">
        <x:v>Swaption</x:v>
      </x:c>
      <x:c r="F172" s="27" t="str">
        <x:v>Interest Rate</x:v>
      </x:c>
      <x:c r="G172" s="27"/>
      <x:c r="H172" s="27" t="str">
        <x:v>EUR</x:v>
      </x:c>
      <x:c r="I172" s="27" t="str">
        <x:v>EUR</x:v>
      </x:c>
      <x:c r="J172" s="27" t="str">
        <x:v>EUR</x:v>
      </x:c>
      <x:c r="K172" s="27"/>
      <x:c r="L172" s="27"/>
      <x:c r="M172" s="27" t="str">
        <x:v>EUR</x:v>
      </x:c>
      <x:c r="N172" s="27"/>
      <x:c r="O172" s="27"/>
      <x:c r="P172" s="27" t="n">
        <x:v>47154</x:v>
      </x:c>
      <x:c r="Q172" s="27" t="n">
        <x:v>45072</x:v>
      </x:c>
      <x:c r="R172" s="27" t="n">
        <x:v>47154</x:v>
      </x:c>
      <x:c r="S172" s="27" t="n">
        <x:v>57142857.14</x:v>
      </x:c>
      <x:c r="T172" s="27" t="n">
        <x:v>57142857.14</x:v>
      </x:c>
      <x:c r="U172" s="27" t="n">
        <x:v>60000000</x:v>
      </x:c>
      <x:c r="V172" s="27" t="str">
        <x:v>M</x:v>
      </x:c>
      <x:c r="W172" s="27" t="str">
        <x:v>N</x:v>
      </x:c>
      <x:c r="X172" s="27" t="n">
        <x:v>10</x:v>
      </x:c>
      <x:c r="Y172" s="27" t="str">
        <x:v>S</x:v>
      </x:c>
      <x:c r="Z172" s="27" t="n">
        <x:v>46791</x:v>
      </x:c>
      <x:c r="AA172" s="27" t="str">
        <x:v>P</x:v>
      </x:c>
      <x:c r="AB172" s="27" t="n">
        <x:v>0.01573</x:v>
      </x:c>
      <x:c r="AC172" s="27" t="n">
        <x:v>0.0161</x:v>
      </x:c>
      <x:c r="AD172" s="27" t="n">
        <x:v>296460</x:v>
      </x:c>
      <x:c r="AE172" s="27" t="str">
        <x:v>Public-safe anonymized industry-style SA-CCR sample</x:v>
      </x:c>
      <x:c r="AF172" s="27" t="str">
        <x:v>ANON-000169</x:v>
      </x:c>
      <x:c r="AG172" s="27" t="str">
        <x:v>Swaption</x:v>
      </x:c>
      <x:c r="AH172" s="27"/>
      <x:c r="AI172" s="27" t="str">
        <x:v>EUR</x:v>
      </x:c>
    </x:row>
    <x:row r="173">
      <x:c r="A173" s="27" t="n">
        <x:v>45702</x:v>
      </x:c>
      <x:c r="B173" s="27" t="str">
        <x:v>IND_BANK_001</x:v>
      </x:c>
      <x:c r="C173" s="27" t="n">
        <x:v>3219</x:v>
      </x:c>
      <x:c r="D173" s="27" t="str">
        <x:v>IND-000170</x:v>
      </x:c>
      <x:c r="E173" s="27" t="str">
        <x:v>Swaption</x:v>
      </x:c>
      <x:c r="F173" s="27" t="str">
        <x:v>Interest Rate</x:v>
      </x:c>
      <x:c r="G173" s="27"/>
      <x:c r="H173" s="27" t="str">
        <x:v>CNY</x:v>
      </x:c>
      <x:c r="I173" s="27" t="str">
        <x:v>CNY</x:v>
      </x:c>
      <x:c r="J173" s="27" t="str">
        <x:v>CNY</x:v>
      </x:c>
      <x:c r="K173" s="27"/>
      <x:c r="L173" s="27"/>
      <x:c r="M173" s="27" t="str">
        <x:v>CNY</x:v>
      </x:c>
      <x:c r="N173" s="27"/>
      <x:c r="O173" s="27"/>
      <x:c r="P173" s="27" t="n">
        <x:v>46006</x:v>
      </x:c>
      <x:c r="Q173" s="27" t="n">
        <x:v>45407</x:v>
      </x:c>
      <x:c r="R173" s="27" t="n">
        <x:v>46006</x:v>
      </x:c>
      <x:c r="S173" s="27" t="n">
        <x:v>821428571.43</x:v>
      </x:c>
      <x:c r="T173" s="27" t="n">
        <x:v>821428571.43</x:v>
      </x:c>
      <x:c r="U173" s="27" t="n">
        <x:v>115000000</x:v>
      </x:c>
      <x:c r="V173" s="27" t="str">
        <x:v>M</x:v>
      </x:c>
      <x:c r="W173" s="27" t="str">
        <x:v>Y</x:v>
      </x:c>
      <x:c r="X173" s="27" t="n">
        <x:v>5</x:v>
      </x:c>
      <x:c r="Y173" s="27" t="str">
        <x:v>B</x:v>
      </x:c>
      <x:c r="Z173" s="27" t="n">
        <x:v>45930</x:v>
      </x:c>
      <x:c r="AA173" s="27" t="str">
        <x:v>P</x:v>
      </x:c>
      <x:c r="AB173" s="27" t="n">
        <x:v>0.026866</x:v>
      </x:c>
      <x:c r="AC173" s="27" t="n">
        <x:v>0.0284</x:v>
      </x:c>
      <x:c r="AD173" s="27" t="n">
        <x:v>-542340</x:v>
      </x:c>
      <x:c r="AE173" s="27" t="str">
        <x:v>Public-safe anonymized industry-style SA-CCR sample</x:v>
      </x:c>
      <x:c r="AF173" s="27" t="str">
        <x:v>ANON-000170</x:v>
      </x:c>
      <x:c r="AG173" s="27" t="str">
        <x:v>Swaption</x:v>
      </x:c>
      <x:c r="AH173" s="27"/>
      <x:c r="AI173" s="27" t="str">
        <x:v>CNY</x:v>
      </x:c>
    </x:row>
    <x:row r="174">
      <x:c r="A174" s="27" t="n">
        <x:v>45702</x:v>
      </x:c>
      <x:c r="B174" s="27" t="str">
        <x:v>IND_BROKER_001</x:v>
      </x:c>
      <x:c r="C174" s="27" t="n">
        <x:v>3220</x:v>
      </x:c>
      <x:c r="D174" s="27" t="str">
        <x:v>IND-000171</x:v>
      </x:c>
      <x:c r="E174" s="27" t="str">
        <x:v>Swaption</x:v>
      </x:c>
      <x:c r="F174" s="27" t="str">
        <x:v>Interest Rate</x:v>
      </x:c>
      <x:c r="G174" s="27"/>
      <x:c r="H174" s="27" t="str">
        <x:v>EUR</x:v>
      </x:c>
      <x:c r="I174" s="27" t="str">
        <x:v>EUR</x:v>
      </x:c>
      <x:c r="J174" s="27" t="str">
        <x:v>EUR</x:v>
      </x:c>
      <x:c r="K174" s="27"/>
      <x:c r="L174" s="27"/>
      <x:c r="M174" s="27" t="str">
        <x:v>EUR</x:v>
      </x:c>
      <x:c r="N174" s="27"/>
      <x:c r="O174" s="27"/>
      <x:c r="P174" s="27" t="n">
        <x:v>46416</x:v>
      </x:c>
      <x:c r="Q174" s="27" t="n">
        <x:v>45394</x:v>
      </x:c>
      <x:c r="R174" s="27" t="n">
        <x:v>46416</x:v>
      </x:c>
      <x:c r="S174" s="27" t="n">
        <x:v>292380952.38</x:v>
      </x:c>
      <x:c r="T174" s="27" t="n">
        <x:v>292380952.38</x:v>
      </x:c>
      <x:c r="U174" s="27" t="n">
        <x:v>307000000</x:v>
      </x:c>
      <x:c r="V174" s="27" t="str">
        <x:v>U</x:v>
      </x:c>
      <x:c r="W174" s="27" t="str">
        <x:v>N</x:v>
      </x:c>
      <x:c r="X174" s="27"/>
      <x:c r="Y174" s="27" t="str">
        <x:v>B</x:v>
      </x:c>
      <x:c r="Z174" s="27" t="n">
        <x:v>46237</x:v>
      </x:c>
      <x:c r="AA174" s="27" t="str">
        <x:v>P</x:v>
      </x:c>
      <x:c r="AB174" s="27" t="n">
        <x:v>0.041656</x:v>
      </x:c>
      <x:c r="AC174" s="27" t="n">
        <x:v>0.0446</x:v>
      </x:c>
      <x:c r="AD174" s="27" t="n">
        <x:v>-1425708</x:v>
      </x:c>
      <x:c r="AE174" s="27" t="str">
        <x:v>Public-safe anonymized industry-style SA-CCR sample</x:v>
      </x:c>
      <x:c r="AF174" s="27" t="str">
        <x:v>ANON-000171</x:v>
      </x:c>
      <x:c r="AG174" s="27" t="str">
        <x:v>Swaption</x:v>
      </x:c>
      <x:c r="AH174" s="27"/>
      <x:c r="AI174" s="27" t="str">
        <x:v>EUR</x:v>
      </x:c>
    </x:row>
    <x:row r="175">
      <x:c r="A175" s="27" t="n">
        <x:v>45702</x:v>
      </x:c>
      <x:c r="B175" s="27" t="str">
        <x:v>IND_HEDGE_FUND_001</x:v>
      </x:c>
      <x:c r="C175" s="27" t="n">
        <x:v>3345</x:v>
      </x:c>
      <x:c r="D175" s="27" t="str">
        <x:v>IND-000172</x:v>
      </x:c>
      <x:c r="E175" s="27" t="str">
        <x:v>Swaption</x:v>
      </x:c>
      <x:c r="F175" s="27" t="str">
        <x:v>Interest Rate</x:v>
      </x:c>
      <x:c r="G175" s="27"/>
      <x:c r="H175" s="27" t="str">
        <x:v>USD</x:v>
      </x:c>
      <x:c r="I175" s="27" t="str">
        <x:v>USD</x:v>
      </x:c>
      <x:c r="J175" s="27" t="str">
        <x:v>USD</x:v>
      </x:c>
      <x:c r="K175" s="27"/>
      <x:c r="L175" s="27"/>
      <x:c r="M175" s="27" t="str">
        <x:v>USD</x:v>
      </x:c>
      <x:c r="N175" s="27"/>
      <x:c r="O175" s="27"/>
      <x:c r="P175" s="27" t="n">
        <x:v>46624</x:v>
      </x:c>
      <x:c r="Q175" s="27" t="n">
        <x:v>45073</x:v>
      </x:c>
      <x:c r="R175" s="27" t="n">
        <x:v>46624</x:v>
      </x:c>
      <x:c r="S175" s="27" t="n">
        <x:v>233000000</x:v>
      </x:c>
      <x:c r="T175" s="27" t="n">
        <x:v>233000000</x:v>
      </x:c>
      <x:c r="U175" s="27" t="n">
        <x:v>233000000</x:v>
      </x:c>
      <x:c r="V175" s="27" t="str">
        <x:v>M</x:v>
      </x:c>
      <x:c r="W175" s="27" t="str">
        <x:v>N</x:v>
      </x:c>
      <x:c r="X175" s="27" t="n">
        <x:v>10</x:v>
      </x:c>
      <x:c r="Y175" s="27" t="str">
        <x:v>S</x:v>
      </x:c>
      <x:c r="Z175" s="27" t="n">
        <x:v>46393</x:v>
      </x:c>
      <x:c r="AA175" s="27" t="str">
        <x:v>C</x:v>
      </x:c>
      <x:c r="AB175" s="27" t="n">
        <x:v>0.03219</x:v>
      </x:c>
      <x:c r="AC175" s="27" t="n">
        <x:v>0.03</x:v>
      </x:c>
      <x:c r="AD175" s="27" t="n">
        <x:v>710883</x:v>
      </x:c>
      <x:c r="AE175" s="27" t="str">
        <x:v>Public-safe anonymized industry-style SA-CCR sample</x:v>
      </x:c>
      <x:c r="AF175" s="27" t="str">
        <x:v>ANON-000172</x:v>
      </x:c>
      <x:c r="AG175" s="27" t="str">
        <x:v>Swaption</x:v>
      </x:c>
      <x:c r="AH175" s="27"/>
      <x:c r="AI175" s="27" t="str">
        <x:v>USD</x:v>
      </x:c>
    </x:row>
    <x:row r="176">
      <x:c r="A176" s="27" t="n">
        <x:v>45702</x:v>
      </x:c>
      <x:c r="B176" s="27" t="str">
        <x:v>IND_CORPORATE_002</x:v>
      </x:c>
      <x:c r="C176" s="27" t="n">
        <x:v>3074</x:v>
      </x:c>
      <x:c r="D176" s="27" t="str">
        <x:v>IND-000173</x:v>
      </x:c>
      <x:c r="E176" s="27" t="str">
        <x:v>Swaption</x:v>
      </x:c>
      <x:c r="F176" s="27" t="str">
        <x:v>Interest Rate</x:v>
      </x:c>
      <x:c r="G176" s="27"/>
      <x:c r="H176" s="27" t="str">
        <x:v>CNY</x:v>
      </x:c>
      <x:c r="I176" s="27" t="str">
        <x:v>CNY</x:v>
      </x:c>
      <x:c r="J176" s="27" t="str">
        <x:v>CNY</x:v>
      </x:c>
      <x:c r="K176" s="27"/>
      <x:c r="L176" s="27"/>
      <x:c r="M176" s="27" t="str">
        <x:v>CNY</x:v>
      </x:c>
      <x:c r="N176" s="27"/>
      <x:c r="O176" s="27"/>
      <x:c r="P176" s="27" t="n">
        <x:v>46042</x:v>
      </x:c>
      <x:c r="Q176" s="27" t="n">
        <x:v>45589</x:v>
      </x:c>
      <x:c r="R176" s="27" t="n">
        <x:v>46042</x:v>
      </x:c>
      <x:c r="S176" s="27" t="n">
        <x:v>2242857142.86</x:v>
      </x:c>
      <x:c r="T176" s="27" t="n">
        <x:v>2242857142.86</x:v>
      </x:c>
      <x:c r="U176" s="27" t="n">
        <x:v>314000000</x:v>
      </x:c>
      <x:c r="V176" s="27" t="str">
        <x:v>M</x:v>
      </x:c>
      <x:c r="W176" s="27" t="str">
        <x:v>Y</x:v>
      </x:c>
      <x:c r="X176" s="27" t="n">
        <x:v>5</x:v>
      </x:c>
      <x:c r="Y176" s="27" t="str">
        <x:v>S</x:v>
      </x:c>
      <x:c r="Z176" s="27" t="n">
        <x:v>45957</x:v>
      </x:c>
      <x:c r="AA176" s="27" t="str">
        <x:v>C</x:v>
      </x:c>
      <x:c r="AB176" s="27" t="n">
        <x:v>0.044822</x:v>
      </x:c>
      <x:c r="AC176" s="27" t="n">
        <x:v>0.0439</x:v>
      </x:c>
      <x:c r="AD176" s="27" t="n">
        <x:v>-2291886</x:v>
      </x:c>
      <x:c r="AE176" s="27" t="str">
        <x:v>Public-safe anonymized industry-style SA-CCR sample</x:v>
      </x:c>
      <x:c r="AF176" s="27" t="str">
        <x:v>ANON-000173</x:v>
      </x:c>
      <x:c r="AG176" s="27" t="str">
        <x:v>Swaption</x:v>
      </x:c>
      <x:c r="AH176" s="27"/>
      <x:c r="AI176" s="27" t="str">
        <x:v>CNY</x:v>
      </x:c>
    </x:row>
    <x:row r="177">
      <x:c r="A177" s="27" t="n">
        <x:v>45702</x:v>
      </x:c>
      <x:c r="B177" s="27" t="str">
        <x:v>IND_ASSET_MANAGER_001</x:v>
      </x:c>
      <x:c r="C177" s="27" t="n">
        <x:v>3050</x:v>
      </x:c>
      <x:c r="D177" s="27" t="str">
        <x:v>IND-000174</x:v>
      </x:c>
      <x:c r="E177" s="27" t="str">
        <x:v>Swaption</x:v>
      </x:c>
      <x:c r="F177" s="27" t="str">
        <x:v>Interest Rate</x:v>
      </x:c>
      <x:c r="G177" s="27"/>
      <x:c r="H177" s="27" t="str">
        <x:v>CNY</x:v>
      </x:c>
      <x:c r="I177" s="27" t="str">
        <x:v>CNY</x:v>
      </x:c>
      <x:c r="J177" s="27" t="str">
        <x:v>CNY</x:v>
      </x:c>
      <x:c r="K177" s="27"/>
      <x:c r="L177" s="27"/>
      <x:c r="M177" s="27" t="str">
        <x:v>CNY</x:v>
      </x:c>
      <x:c r="N177" s="27"/>
      <x:c r="O177" s="27"/>
      <x:c r="P177" s="27" t="n">
        <x:v>46329</x:v>
      </x:c>
      <x:c r="Q177" s="27" t="n">
        <x:v>45183</x:v>
      </x:c>
      <x:c r="R177" s="27" t="n">
        <x:v>46329</x:v>
      </x:c>
      <x:c r="S177" s="27" t="n">
        <x:v>322142857.14</x:v>
      </x:c>
      <x:c r="T177" s="27" t="n">
        <x:v>322142857.14</x:v>
      </x:c>
      <x:c r="U177" s="27" t="n">
        <x:v>45100000</x:v>
      </x:c>
      <x:c r="V177" s="27" t="str">
        <x:v>M</x:v>
      </x:c>
      <x:c r="W177" s="27" t="str">
        <x:v>N</x:v>
      </x:c>
      <x:c r="X177" s="27" t="n">
        <x:v>10</x:v>
      </x:c>
      <x:c r="Y177" s="27" t="str">
        <x:v>S</x:v>
      </x:c>
      <x:c r="Z177" s="27" t="n">
        <x:v>46172</x:v>
      </x:c>
      <x:c r="AA177" s="27" t="str">
        <x:v>C</x:v>
      </x:c>
      <x:c r="AB177" s="27" t="n">
        <x:v>0.048639</x:v>
      </x:c>
      <x:c r="AC177" s="27" t="n">
        <x:v>0.0523</x:v>
      </x:c>
      <x:c r="AD177" s="27" t="n">
        <x:v>205791.3</x:v>
      </x:c>
      <x:c r="AE177" s="27" t="str">
        <x:v>Public-safe anonymized industry-style SA-CCR sample</x:v>
      </x:c>
      <x:c r="AF177" s="27" t="str">
        <x:v>ANON-000174</x:v>
      </x:c>
      <x:c r="AG177" s="27" t="str">
        <x:v>Swaption</x:v>
      </x:c>
      <x:c r="AH177" s="27"/>
      <x:c r="AI177" s="27" t="str">
        <x:v>CNY</x:v>
      </x:c>
    </x:row>
    <x:row r="178">
      <x:c r="A178" s="27" t="n">
        <x:v>45702</x:v>
      </x:c>
      <x:c r="B178" s="27" t="str">
        <x:v>IND_BANK_002</x:v>
      </x:c>
      <x:c r="C178" s="27" t="n">
        <x:v>3132</x:v>
      </x:c>
      <x:c r="D178" s="27" t="str">
        <x:v>IND-000175</x:v>
      </x:c>
      <x:c r="E178" s="27" t="str">
        <x:v>Cap/Floor</x:v>
      </x:c>
      <x:c r="F178" s="27" t="str">
        <x:v>Interest Rate</x:v>
      </x:c>
      <x:c r="G178" s="27"/>
      <x:c r="H178" s="27" t="str">
        <x:v>USD</x:v>
      </x:c>
      <x:c r="I178" s="27" t="str">
        <x:v>USD</x:v>
      </x:c>
      <x:c r="J178" s="27" t="str">
        <x:v>USD</x:v>
      </x:c>
      <x:c r="K178" s="27"/>
      <x:c r="L178" s="27"/>
      <x:c r="M178" s="27" t="str">
        <x:v>USD</x:v>
      </x:c>
      <x:c r="N178" s="27"/>
      <x:c r="O178" s="27"/>
      <x:c r="P178" s="27" t="n">
        <x:v>46094</x:v>
      </x:c>
      <x:c r="Q178" s="27" t="n">
        <x:v>45572</x:v>
      </x:c>
      <x:c r="R178" s="27" t="n">
        <x:v>46094</x:v>
      </x:c>
      <x:c r="S178" s="27" t="n">
        <x:v>373000000</x:v>
      </x:c>
      <x:c r="T178" s="27" t="n">
        <x:v>373000000</x:v>
      </x:c>
      <x:c r="U178" s="27" t="n">
        <x:v>373000000</x:v>
      </x:c>
      <x:c r="V178" s="27" t="str">
        <x:v>U</x:v>
      </x:c>
      <x:c r="W178" s="27" t="str">
        <x:v>Y</x:v>
      </x:c>
      <x:c r="X178" s="27" t="n">
        <x:v>5</x:v>
      </x:c>
      <x:c r="Y178" s="27" t="str">
        <x:v>B</x:v>
      </x:c>
      <x:c r="Z178" s="27" t="n">
        <x:v>45996</x:v>
      </x:c>
      <x:c r="AA178" s="27" t="str">
        <x:v>P</x:v>
      </x:c>
      <x:c r="AB178" s="27" t="n">
        <x:v>0.044689</x:v>
      </x:c>
      <x:c r="AC178" s="27" t="n">
        <x:v>0.0407</x:v>
      </x:c>
      <x:c r="AD178" s="27" t="n">
        <x:v>-218205</x:v>
      </x:c>
      <x:c r="AE178" s="27" t="str">
        <x:v>Public-safe anonymized industry-style SA-CCR sample</x:v>
      </x:c>
      <x:c r="AF178" s="27" t="str">
        <x:v>ANON-000175</x:v>
      </x:c>
      <x:c r="AG178" s="27" t="str">
        <x:v>Cap/Floor</x:v>
      </x:c>
      <x:c r="AH178" s="27"/>
      <x:c r="AI178" s="27" t="str">
        <x:v>USD</x:v>
      </x:c>
    </x:row>
    <x:row r="179">
      <x:c r="A179" s="27" t="n">
        <x:v>45702</x:v>
      </x:c>
      <x:c r="B179" s="27" t="str">
        <x:v>IND_SOVEREIGN_001</x:v>
      </x:c>
      <x:c r="C179" s="27" t="n">
        <x:v>3065</x:v>
      </x:c>
      <x:c r="D179" s="27" t="str">
        <x:v>IND-000176</x:v>
      </x:c>
      <x:c r="E179" s="27" t="str">
        <x:v>Cap/Floor</x:v>
      </x:c>
      <x:c r="F179" s="27" t="str">
        <x:v>Interest Rate</x:v>
      </x:c>
      <x:c r="G179" s="27"/>
      <x:c r="H179" s="27" t="str">
        <x:v>EUR</x:v>
      </x:c>
      <x:c r="I179" s="27" t="str">
        <x:v>EUR</x:v>
      </x:c>
      <x:c r="J179" s="27" t="str">
        <x:v>EUR</x:v>
      </x:c>
      <x:c r="K179" s="27"/>
      <x:c r="L179" s="27"/>
      <x:c r="M179" s="27" t="str">
        <x:v>EUR</x:v>
      </x:c>
      <x:c r="N179" s="27"/>
      <x:c r="O179" s="27"/>
      <x:c r="P179" s="27" t="n">
        <x:v>46498</x:v>
      </x:c>
      <x:c r="Q179" s="27" t="n">
        <x:v>44926</x:v>
      </x:c>
      <x:c r="R179" s="27" t="n">
        <x:v>46498</x:v>
      </x:c>
      <x:c r="S179" s="27" t="n">
        <x:v>71904761.9</x:v>
      </x:c>
      <x:c r="T179" s="27" t="n">
        <x:v>71904761.9</x:v>
      </x:c>
      <x:c r="U179" s="27" t="n">
        <x:v>75500000</x:v>
      </x:c>
      <x:c r="V179" s="27" t="str">
        <x:v>U</x:v>
      </x:c>
      <x:c r="W179" s="27" t="str">
        <x:v>Y</x:v>
      </x:c>
      <x:c r="X179" s="27" t="n">
        <x:v>5</x:v>
      </x:c>
      <x:c r="Y179" s="27" t="str">
        <x:v>B</x:v>
      </x:c>
      <x:c r="Z179" s="27" t="n">
        <x:v>46299</x:v>
      </x:c>
      <x:c r="AA179" s="27" t="str">
        <x:v>C</x:v>
      </x:c>
      <x:c r="AB179" s="27" t="n">
        <x:v>0.04114</x:v>
      </x:c>
      <x:c r="AC179" s="27" t="n">
        <x:v>0.0484</x:v>
      </x:c>
      <x:c r="AD179" s="27" t="n">
        <x:v>107361</x:v>
      </x:c>
      <x:c r="AE179" s="27" t="str">
        <x:v>Public-safe anonymized industry-style SA-CCR sample</x:v>
      </x:c>
      <x:c r="AF179" s="27" t="str">
        <x:v>ANON-000176</x:v>
      </x:c>
      <x:c r="AG179" s="27" t="str">
        <x:v>Cap/Floor</x:v>
      </x:c>
      <x:c r="AH179" s="27"/>
      <x:c r="AI179" s="27" t="str">
        <x:v>EUR</x:v>
      </x:c>
    </x:row>
    <x:row r="180">
      <x:c r="A180" s="27" t="n">
        <x:v>45702</x:v>
      </x:c>
      <x:c r="B180" s="27" t="str">
        <x:v>IND_INSURER_001</x:v>
      </x:c>
      <x:c r="C180" s="27" t="n">
        <x:v>3297</x:v>
      </x:c>
      <x:c r="D180" s="27" t="str">
        <x:v>IND-000177</x:v>
      </x:c>
      <x:c r="E180" s="27" t="str">
        <x:v>Cap/Floor</x:v>
      </x:c>
      <x:c r="F180" s="27" t="str">
        <x:v>Interest Rate</x:v>
      </x:c>
      <x:c r="G180" s="27"/>
      <x:c r="H180" s="27" t="str">
        <x:v>USD</x:v>
      </x:c>
      <x:c r="I180" s="27" t="str">
        <x:v>USD</x:v>
      </x:c>
      <x:c r="J180" s="27" t="str">
        <x:v>USD</x:v>
      </x:c>
      <x:c r="K180" s="27"/>
      <x:c r="L180" s="27"/>
      <x:c r="M180" s="27" t="str">
        <x:v>USD</x:v>
      </x:c>
      <x:c r="N180" s="27"/>
      <x:c r="O180" s="27"/>
      <x:c r="P180" s="27" t="n">
        <x:v>47447</x:v>
      </x:c>
      <x:c r="Q180" s="27" t="n">
        <x:v>45482</x:v>
      </x:c>
      <x:c r="R180" s="27" t="n">
        <x:v>47447</x:v>
      </x:c>
      <x:c r="S180" s="27" t="n">
        <x:v>336000000</x:v>
      </x:c>
      <x:c r="T180" s="27" t="n">
        <x:v>336000000</x:v>
      </x:c>
      <x:c r="U180" s="27" t="n">
        <x:v>336000000</x:v>
      </x:c>
      <x:c r="V180" s="27" t="str">
        <x:v>M</x:v>
      </x:c>
      <x:c r="W180" s="27" t="str">
        <x:v>Y</x:v>
      </x:c>
      <x:c r="X180" s="27" t="n">
        <x:v>5</x:v>
      </x:c>
      <x:c r="Y180" s="27" t="str">
        <x:v>S</x:v>
      </x:c>
      <x:c r="Z180" s="27" t="n">
        <x:v>47010</x:v>
      </x:c>
      <x:c r="AA180" s="27" t="str">
        <x:v>C</x:v>
      </x:c>
      <x:c r="AB180" s="27" t="n">
        <x:v>0.056368</x:v>
      </x:c>
      <x:c r="AC180" s="27" t="n">
        <x:v>0.0506</x:v>
      </x:c>
      <x:c r="AD180" s="27" t="n">
        <x:v>1013040</x:v>
      </x:c>
      <x:c r="AE180" s="27" t="str">
        <x:v>Public-safe anonymized industry-style SA-CCR sample</x:v>
      </x:c>
      <x:c r="AF180" s="27" t="str">
        <x:v>ANON-000177</x:v>
      </x:c>
      <x:c r="AG180" s="27" t="str">
        <x:v>Cap/Floor</x:v>
      </x:c>
      <x:c r="AH180" s="27"/>
      <x:c r="AI180" s="27" t="str">
        <x:v>USD</x:v>
      </x:c>
    </x:row>
    <x:row r="181">
      <x:c r="A181" s="27" t="n">
        <x:v>45702</x:v>
      </x:c>
      <x:c r="B181" s="27" t="str">
        <x:v>IND_BANK_002</x:v>
      </x:c>
      <x:c r="C181" s="27" t="n">
        <x:v>3132</x:v>
      </x:c>
      <x:c r="D181" s="27" t="str">
        <x:v>IND-000178</x:v>
      </x:c>
      <x:c r="E181" s="27" t="str">
        <x:v>Cap/Floor</x:v>
      </x:c>
      <x:c r="F181" s="27" t="str">
        <x:v>Interest Rate</x:v>
      </x:c>
      <x:c r="G181" s="27"/>
      <x:c r="H181" s="27" t="str">
        <x:v>USD</x:v>
      </x:c>
      <x:c r="I181" s="27" t="str">
        <x:v>USD</x:v>
      </x:c>
      <x:c r="J181" s="27" t="str">
        <x:v>USD</x:v>
      </x:c>
      <x:c r="K181" s="27"/>
      <x:c r="L181" s="27"/>
      <x:c r="M181" s="27" t="str">
        <x:v>USD</x:v>
      </x:c>
      <x:c r="N181" s="27"/>
      <x:c r="O181" s="27"/>
      <x:c r="P181" s="27" t="n">
        <x:v>47441</x:v>
      </x:c>
      <x:c r="Q181" s="27" t="n">
        <x:v>44810</x:v>
      </x:c>
      <x:c r="R181" s="27" t="n">
        <x:v>47441</x:v>
      </x:c>
      <x:c r="S181" s="27" t="n">
        <x:v>25100000</x:v>
      </x:c>
      <x:c r="T181" s="27" t="n">
        <x:v>25100000</x:v>
      </x:c>
      <x:c r="U181" s="27" t="n">
        <x:v>25100000</x:v>
      </x:c>
      <x:c r="V181" s="27" t="str">
        <x:v>U</x:v>
      </x:c>
      <x:c r="W181" s="27" t="str">
        <x:v>N</x:v>
      </x:c>
      <x:c r="X181" s="27"/>
      <x:c r="Y181" s="27" t="str">
        <x:v>S</x:v>
      </x:c>
      <x:c r="Z181" s="27" t="n">
        <x:v>47006</x:v>
      </x:c>
      <x:c r="AA181" s="27" t="str">
        <x:v>P</x:v>
      </x:c>
      <x:c r="AB181" s="27" t="n">
        <x:v>0.034679</x:v>
      </x:c>
      <x:c r="AC181" s="27" t="n">
        <x:v>0.0338</x:v>
      </x:c>
      <x:c r="AD181" s="27" t="n">
        <x:v>117693.9</x:v>
      </x:c>
      <x:c r="AE181" s="27" t="str">
        <x:v>Public-safe anonymized industry-style SA-CCR sample</x:v>
      </x:c>
      <x:c r="AF181" s="27" t="str">
        <x:v>ANON-000178</x:v>
      </x:c>
      <x:c r="AG181" s="27" t="str">
        <x:v>Cap/Floor</x:v>
      </x:c>
      <x:c r="AH181" s="27"/>
      <x:c r="AI181" s="27" t="str">
        <x:v>USD</x:v>
      </x:c>
    </x:row>
    <x:row r="182">
      <x:c r="A182" s="27" t="n">
        <x:v>45702</x:v>
      </x:c>
      <x:c r="B182" s="27" t="str">
        <x:v>IND_INSURER_001</x:v>
      </x:c>
      <x:c r="C182" s="27" t="n">
        <x:v>3297</x:v>
      </x:c>
      <x:c r="D182" s="27" t="str">
        <x:v>IND-000179</x:v>
      </x:c>
      <x:c r="E182" s="27" t="str">
        <x:v>Cap/Floor</x:v>
      </x:c>
      <x:c r="F182" s="27" t="str">
        <x:v>Interest Rate</x:v>
      </x:c>
      <x:c r="G182" s="27"/>
      <x:c r="H182" s="27" t="str">
        <x:v>USD</x:v>
      </x:c>
      <x:c r="I182" s="27" t="str">
        <x:v>USD</x:v>
      </x:c>
      <x:c r="J182" s="27" t="str">
        <x:v>USD</x:v>
      </x:c>
      <x:c r="K182" s="27"/>
      <x:c r="L182" s="27"/>
      <x:c r="M182" s="27" t="str">
        <x:v>USD</x:v>
      </x:c>
      <x:c r="N182" s="27"/>
      <x:c r="O182" s="27"/>
      <x:c r="P182" s="27" t="n">
        <x:v>47126</x:v>
      </x:c>
      <x:c r="Q182" s="27" t="n">
        <x:v>44882</x:v>
      </x:c>
      <x:c r="R182" s="27" t="n">
        <x:v>47126</x:v>
      </x:c>
      <x:c r="S182" s="27" t="n">
        <x:v>328000000</x:v>
      </x:c>
      <x:c r="T182" s="27" t="n">
        <x:v>328000000</x:v>
      </x:c>
      <x:c r="U182" s="27" t="n">
        <x:v>328000000</x:v>
      </x:c>
      <x:c r="V182" s="27" t="str">
        <x:v>M</x:v>
      </x:c>
      <x:c r="W182" s="27" t="str">
        <x:v>N</x:v>
      </x:c>
      <x:c r="X182" s="27" t="n">
        <x:v>10</x:v>
      </x:c>
      <x:c r="Y182" s="27" t="str">
        <x:v>B</x:v>
      </x:c>
      <x:c r="Z182" s="27" t="n">
        <x:v>46770</x:v>
      </x:c>
      <x:c r="AA182" s="27" t="str">
        <x:v>C</x:v>
      </x:c>
      <x:c r="AB182" s="27" t="n">
        <x:v>0.042059</x:v>
      </x:c>
      <x:c r="AC182" s="27" t="n">
        <x:v>0.0388</x:v>
      </x:c>
      <x:c r="AD182" s="27" t="n">
        <x:v>-1198512</x:v>
      </x:c>
      <x:c r="AE182" s="27" t="str">
        <x:v>Public-safe anonymized industry-style SA-CCR sample</x:v>
      </x:c>
      <x:c r="AF182" s="27" t="str">
        <x:v>ANON-000179</x:v>
      </x:c>
      <x:c r="AG182" s="27" t="str">
        <x:v>Cap/Floor</x:v>
      </x:c>
      <x:c r="AH182" s="27"/>
      <x:c r="AI182" s="27" t="str">
        <x:v>USD</x:v>
      </x:c>
    </x:row>
    <x:row r="183">
      <x:c r="A183" s="27" t="n">
        <x:v>45702</x:v>
      </x:c>
      <x:c r="B183" s="27" t="str">
        <x:v>IND_CORPORATE_001</x:v>
      </x:c>
      <x:c r="C183" s="27" t="n">
        <x:v>3004</x:v>
      </x:c>
      <x:c r="D183" s="27" t="str">
        <x:v>IND-000180</x:v>
      </x:c>
      <x:c r="E183" s="27" t="str">
        <x:v>Cap/Floor</x:v>
      </x:c>
      <x:c r="F183" s="27" t="str">
        <x:v>Interest Rate</x:v>
      </x:c>
      <x:c r="G183" s="27"/>
      <x:c r="H183" s="27" t="str">
        <x:v>EUR</x:v>
      </x:c>
      <x:c r="I183" s="27" t="str">
        <x:v>EUR</x:v>
      </x:c>
      <x:c r="J183" s="27" t="str">
        <x:v>EUR</x:v>
      </x:c>
      <x:c r="K183" s="27"/>
      <x:c r="L183" s="27"/>
      <x:c r="M183" s="27" t="str">
        <x:v>EUR</x:v>
      </x:c>
      <x:c r="N183" s="27"/>
      <x:c r="O183" s="27"/>
      <x:c r="P183" s="27" t="n">
        <x:v>46792</x:v>
      </x:c>
      <x:c r="Q183" s="27" t="n">
        <x:v>45216</x:v>
      </x:c>
      <x:c r="R183" s="27" t="n">
        <x:v>46792</x:v>
      </x:c>
      <x:c r="S183" s="27" t="n">
        <x:v>192380952.38</x:v>
      </x:c>
      <x:c r="T183" s="27" t="n">
        <x:v>192380952.38</x:v>
      </x:c>
      <x:c r="U183" s="27" t="n">
        <x:v>202000000</x:v>
      </x:c>
      <x:c r="V183" s="27" t="str">
        <x:v>M</x:v>
      </x:c>
      <x:c r="W183" s="27" t="str">
        <x:v>Y</x:v>
      </x:c>
      <x:c r="X183" s="27" t="n">
        <x:v>5</x:v>
      </x:c>
      <x:c r="Y183" s="27" t="str">
        <x:v>S</x:v>
      </x:c>
      <x:c r="Z183" s="27" t="n">
        <x:v>46519</x:v>
      </x:c>
      <x:c r="AA183" s="27" t="str">
        <x:v>C</x:v>
      </x:c>
      <x:c r="AB183" s="27" t="n">
        <x:v>0.030956</x:v>
      </x:c>
      <x:c r="AC183" s="27" t="n">
        <x:v>0.0349</x:v>
      </x:c>
      <x:c r="AD183" s="27" t="n">
        <x:v>-123624</x:v>
      </x:c>
      <x:c r="AE183" s="27" t="str">
        <x:v>Public-safe anonymized industry-style SA-CCR sample</x:v>
      </x:c>
      <x:c r="AF183" s="27" t="str">
        <x:v>ANON-000180</x:v>
      </x:c>
      <x:c r="AG183" s="27" t="str">
        <x:v>Cap/Floor</x:v>
      </x:c>
      <x:c r="AH183" s="27"/>
      <x:c r="AI183" s="27" t="str">
        <x:v>EUR</x:v>
      </x:c>
    </x:row>
    <x:row r="184">
      <x:c r="A184" s="27" t="n">
        <x:v>45702</x:v>
      </x:c>
      <x:c r="B184" s="27" t="str">
        <x:v>IND_HEDGE_FUND_001</x:v>
      </x:c>
      <x:c r="C184" s="27" t="n">
        <x:v>3345</x:v>
      </x:c>
      <x:c r="D184" s="27" t="str">
        <x:v>IND-000181</x:v>
      </x:c>
      <x:c r="E184" s="27" t="str">
        <x:v>Cap/Floor</x:v>
      </x:c>
      <x:c r="F184" s="27" t="str">
        <x:v>Interest Rate</x:v>
      </x:c>
      <x:c r="G184" s="27"/>
      <x:c r="H184" s="27" t="str">
        <x:v>USD</x:v>
      </x:c>
      <x:c r="I184" s="27" t="str">
        <x:v>USD</x:v>
      </x:c>
      <x:c r="J184" s="27" t="str">
        <x:v>USD</x:v>
      </x:c>
      <x:c r="K184" s="27"/>
      <x:c r="L184" s="27"/>
      <x:c r="M184" s="27" t="str">
        <x:v>USD</x:v>
      </x:c>
      <x:c r="N184" s="27"/>
      <x:c r="O184" s="27"/>
      <x:c r="P184" s="27" t="n">
        <x:v>45994</x:v>
      </x:c>
      <x:c r="Q184" s="27" t="n">
        <x:v>45592</x:v>
      </x:c>
      <x:c r="R184" s="27" t="n">
        <x:v>45994</x:v>
      </x:c>
      <x:c r="S184" s="27" t="n">
        <x:v>304000000</x:v>
      </x:c>
      <x:c r="T184" s="27" t="n">
        <x:v>304000000</x:v>
      </x:c>
      <x:c r="U184" s="27" t="n">
        <x:v>304000000</x:v>
      </x:c>
      <x:c r="V184" s="27" t="str">
        <x:v>M</x:v>
      </x:c>
      <x:c r="W184" s="27" t="str">
        <x:v>N</x:v>
      </x:c>
      <x:c r="X184" s="27" t="n">
        <x:v>10</x:v>
      </x:c>
      <x:c r="Y184" s="27" t="str">
        <x:v>B</x:v>
      </x:c>
      <x:c r="Z184" s="27" t="n">
        <x:v>45921</x:v>
      </x:c>
      <x:c r="AA184" s="27" t="str">
        <x:v>C</x:v>
      </x:c>
      <x:c r="AB184" s="27" t="n">
        <x:v>0.015272</x:v>
      </x:c>
      <x:c r="AC184" s="27" t="n">
        <x:v>0.0156</x:v>
      </x:c>
      <x:c r="AD184" s="27" t="n">
        <x:v>588240</x:v>
      </x:c>
      <x:c r="AE184" s="27" t="str">
        <x:v>Public-safe anonymized industry-style SA-CCR sample</x:v>
      </x:c>
      <x:c r="AF184" s="27" t="str">
        <x:v>ANON-000181</x:v>
      </x:c>
      <x:c r="AG184" s="27" t="str">
        <x:v>Cap/Floor</x:v>
      </x:c>
      <x:c r="AH184" s="27"/>
      <x:c r="AI184" s="27" t="str">
        <x:v>USD</x:v>
      </x:c>
    </x:row>
    <x:row r="185">
      <x:c r="A185" s="27" t="n">
        <x:v>45702</x:v>
      </x:c>
      <x:c r="B185" s="27" t="str">
        <x:v>IND_SOVEREIGN_001</x:v>
      </x:c>
      <x:c r="C185" s="27" t="n">
        <x:v>3246</x:v>
      </x:c>
      <x:c r="D185" s="27" t="str">
        <x:v>IND-000182</x:v>
      </x:c>
      <x:c r="E185" s="27" t="str">
        <x:v>Cap/Floor</x:v>
      </x:c>
      <x:c r="F185" s="27" t="str">
        <x:v>Interest Rate</x:v>
      </x:c>
      <x:c r="G185" s="27"/>
      <x:c r="H185" s="27" t="str">
        <x:v>EUR</x:v>
      </x:c>
      <x:c r="I185" s="27" t="str">
        <x:v>EUR</x:v>
      </x:c>
      <x:c r="J185" s="27" t="str">
        <x:v>EUR</x:v>
      </x:c>
      <x:c r="K185" s="27"/>
      <x:c r="L185" s="27"/>
      <x:c r="M185" s="27" t="str">
        <x:v>EUR</x:v>
      </x:c>
      <x:c r="N185" s="27"/>
      <x:c r="O185" s="27"/>
      <x:c r="P185" s="27" t="n">
        <x:v>45967</x:v>
      </x:c>
      <x:c r="Q185" s="27" t="n">
        <x:v>45055</x:v>
      </x:c>
      <x:c r="R185" s="27" t="n">
        <x:v>45967</x:v>
      </x:c>
      <x:c r="S185" s="27" t="n">
        <x:v>103809523.81</x:v>
      </x:c>
      <x:c r="T185" s="27" t="n">
        <x:v>103809523.81</x:v>
      </x:c>
      <x:c r="U185" s="27" t="n">
        <x:v>109000000</x:v>
      </x:c>
      <x:c r="V185" s="27" t="str">
        <x:v>M</x:v>
      </x:c>
      <x:c r="W185" s="27" t="str">
        <x:v>Y</x:v>
      </x:c>
      <x:c r="X185" s="27" t="n">
        <x:v>5</x:v>
      </x:c>
      <x:c r="Y185" s="27" t="str">
        <x:v>B</x:v>
      </x:c>
      <x:c r="Z185" s="27" t="n">
        <x:v>45900</x:v>
      </x:c>
      <x:c r="AA185" s="27" t="str">
        <x:v>C</x:v>
      </x:c>
      <x:c r="AB185" s="27" t="n">
        <x:v>0.051283</x:v>
      </x:c>
      <x:c r="AC185" s="27" t="n">
        <x:v>0.0537</x:v>
      </x:c>
      <x:c r="AD185" s="27" t="n">
        <x:v>930969</x:v>
      </x:c>
      <x:c r="AE185" s="27" t="str">
        <x:v>Public-safe anonymized industry-style SA-CCR sample</x:v>
      </x:c>
      <x:c r="AF185" s="27" t="str">
        <x:v>ANON-000182</x:v>
      </x:c>
      <x:c r="AG185" s="27" t="str">
        <x:v>Cap/Floor</x:v>
      </x:c>
      <x:c r="AH185" s="27"/>
      <x:c r="AI185" s="27" t="str">
        <x:v>EUR</x:v>
      </x:c>
    </x:row>
    <x:row r="186">
      <x:c r="A186" s="27" t="n">
        <x:v>45702</x:v>
      </x:c>
      <x:c r="B186" s="27" t="str">
        <x:v>IND_PENSION_001</x:v>
      </x:c>
      <x:c r="C186" s="27" t="n">
        <x:v>3174</x:v>
      </x:c>
      <x:c r="D186" s="27" t="str">
        <x:v>IND-000183</x:v>
      </x:c>
      <x:c r="E186" s="27" t="str">
        <x:v>Cap/Floor</x:v>
      </x:c>
      <x:c r="F186" s="27" t="str">
        <x:v>Interest Rate</x:v>
      </x:c>
      <x:c r="G186" s="27"/>
      <x:c r="H186" s="27" t="str">
        <x:v>CNY</x:v>
      </x:c>
      <x:c r="I186" s="27" t="str">
        <x:v>CNY</x:v>
      </x:c>
      <x:c r="J186" s="27" t="str">
        <x:v>CNY</x:v>
      </x:c>
      <x:c r="K186" s="27"/>
      <x:c r="L186" s="27"/>
      <x:c r="M186" s="27" t="str">
        <x:v>CNY</x:v>
      </x:c>
      <x:c r="N186" s="27"/>
      <x:c r="O186" s="27"/>
      <x:c r="P186" s="27" t="n">
        <x:v>45882</x:v>
      </x:c>
      <x:c r="Q186" s="27" t="n">
        <x:v>45498</x:v>
      </x:c>
      <x:c r="R186" s="27" t="n">
        <x:v>45882</x:v>
      </x:c>
      <x:c r="S186" s="27" t="n">
        <x:v>1992857142.86</x:v>
      </x:c>
      <x:c r="T186" s="27" t="n">
        <x:v>1992857142.86</x:v>
      </x:c>
      <x:c r="U186" s="27" t="n">
        <x:v>279000000</x:v>
      </x:c>
      <x:c r="V186" s="27" t="str">
        <x:v>U</x:v>
      </x:c>
      <x:c r="W186" s="27" t="str">
        <x:v>N</x:v>
      </x:c>
      <x:c r="X186" s="27"/>
      <x:c r="Y186" s="27" t="str">
        <x:v>S</x:v>
      </x:c>
      <x:c r="Z186" s="27" t="n">
        <x:v>45837</x:v>
      </x:c>
      <x:c r="AA186" s="27" t="str">
        <x:v>C</x:v>
      </x:c>
      <x:c r="AB186" s="27" t="n">
        <x:v>0.017075</x:v>
      </x:c>
      <x:c r="AC186" s="27" t="n">
        <x:v>0.0185</x:v>
      </x:c>
      <x:c r="AD186" s="27" t="n">
        <x:v>150660</x:v>
      </x:c>
      <x:c r="AE186" s="27" t="str">
        <x:v>Public-safe anonymized industry-style SA-CCR sample</x:v>
      </x:c>
      <x:c r="AF186" s="27" t="str">
        <x:v>ANON-000183</x:v>
      </x:c>
      <x:c r="AG186" s="27" t="str">
        <x:v>Cap/Floor</x:v>
      </x:c>
      <x:c r="AH186" s="27"/>
      <x:c r="AI186" s="27" t="str">
        <x:v>CNY</x:v>
      </x:c>
    </x:row>
    <x:row r="187">
      <x:c r="A187" s="27" t="n">
        <x:v>45702</x:v>
      </x:c>
      <x:c r="B187" s="27" t="str">
        <x:v>IND_HEDGE_FUND_001</x:v>
      </x:c>
      <x:c r="C187" s="27" t="n">
        <x:v>3345</x:v>
      </x:c>
      <x:c r="D187" s="27" t="str">
        <x:v>IND-000184</x:v>
      </x:c>
      <x:c r="E187" s="27" t="str">
        <x:v>Cap/Floor</x:v>
      </x:c>
      <x:c r="F187" s="27" t="str">
        <x:v>Interest Rate</x:v>
      </x:c>
      <x:c r="G187" s="27"/>
      <x:c r="H187" s="27" t="str">
        <x:v>USD</x:v>
      </x:c>
      <x:c r="I187" s="27" t="str">
        <x:v>USD</x:v>
      </x:c>
      <x:c r="J187" s="27" t="str">
        <x:v>USD</x:v>
      </x:c>
      <x:c r="K187" s="27"/>
      <x:c r="L187" s="27"/>
      <x:c r="M187" s="27" t="str">
        <x:v>USD</x:v>
      </x:c>
      <x:c r="N187" s="27"/>
      <x:c r="O187" s="27"/>
      <x:c r="P187" s="27" t="n">
        <x:v>45945</x:v>
      </x:c>
      <x:c r="Q187" s="27" t="n">
        <x:v>45225</x:v>
      </x:c>
      <x:c r="R187" s="27" t="n">
        <x:v>45945</x:v>
      </x:c>
      <x:c r="S187" s="27" t="n">
        <x:v>233000000</x:v>
      </x:c>
      <x:c r="T187" s="27" t="n">
        <x:v>233000000</x:v>
      </x:c>
      <x:c r="U187" s="27" t="n">
        <x:v>233000000</x:v>
      </x:c>
      <x:c r="V187" s="27" t="str">
        <x:v>M</x:v>
      </x:c>
      <x:c r="W187" s="27" t="str">
        <x:v>N</x:v>
      </x:c>
      <x:c r="X187" s="27" t="n">
        <x:v>10</x:v>
      </x:c>
      <x:c r="Y187" s="27" t="str">
        <x:v>S</x:v>
      </x:c>
      <x:c r="Z187" s="27" t="n">
        <x:v>45884</x:v>
      </x:c>
      <x:c r="AA187" s="27" t="str">
        <x:v>C</x:v>
      </x:c>
      <x:c r="AB187" s="27" t="n">
        <x:v>0.023358</x:v>
      </x:c>
      <x:c r="AC187" s="27" t="n">
        <x:v>0.0208</x:v>
      </x:c>
      <x:c r="AD187" s="27" t="n">
        <x:v>543123</x:v>
      </x:c>
      <x:c r="AE187" s="27" t="str">
        <x:v>Public-safe anonymized industry-style SA-CCR sample</x:v>
      </x:c>
      <x:c r="AF187" s="27" t="str">
        <x:v>ANON-000184</x:v>
      </x:c>
      <x:c r="AG187" s="27" t="str">
        <x:v>Cap/Floor</x:v>
      </x:c>
      <x:c r="AH187" s="27"/>
      <x:c r="AI187" s="27" t="str">
        <x:v>USD</x:v>
      </x:c>
    </x:row>
    <x:row r="188">
      <x:c r="A188" s="27" t="n">
        <x:v>45702</x:v>
      </x:c>
      <x:c r="B188" s="27" t="str">
        <x:v>IND_CLEARING_MEMBER_001</x:v>
      </x:c>
      <x:c r="C188" s="27" t="n">
        <x:v>3399</x:v>
      </x:c>
      <x:c r="D188" s="27" t="str">
        <x:v>IND-000185</x:v>
      </x:c>
      <x:c r="E188" s="27" t="str">
        <x:v>Cap/Floor</x:v>
      </x:c>
      <x:c r="F188" s="27" t="str">
        <x:v>Interest Rate</x:v>
      </x:c>
      <x:c r="G188" s="27"/>
      <x:c r="H188" s="27" t="str">
        <x:v>USD</x:v>
      </x:c>
      <x:c r="I188" s="27" t="str">
        <x:v>USD</x:v>
      </x:c>
      <x:c r="J188" s="27" t="str">
        <x:v>USD</x:v>
      </x:c>
      <x:c r="K188" s="27"/>
      <x:c r="L188" s="27"/>
      <x:c r="M188" s="27" t="str">
        <x:v>USD</x:v>
      </x:c>
      <x:c r="N188" s="27"/>
      <x:c r="O188" s="27"/>
      <x:c r="P188" s="27" t="n">
        <x:v>46562</x:v>
      </x:c>
      <x:c r="Q188" s="27" t="n">
        <x:v>45521</x:v>
      </x:c>
      <x:c r="R188" s="27" t="n">
        <x:v>46562</x:v>
      </x:c>
      <x:c r="S188" s="27" t="n">
        <x:v>397000000</x:v>
      </x:c>
      <x:c r="T188" s="27" t="n">
        <x:v>397000000</x:v>
      </x:c>
      <x:c r="U188" s="27" t="n">
        <x:v>397000000</x:v>
      </x:c>
      <x:c r="V188" s="27" t="str">
        <x:v>U</x:v>
      </x:c>
      <x:c r="W188" s="27" t="str">
        <x:v>N</x:v>
      </x:c>
      <x:c r="X188" s="27"/>
      <x:c r="Y188" s="27" t="str">
        <x:v>S</x:v>
      </x:c>
      <x:c r="Z188" s="27" t="n">
        <x:v>46347</x:v>
      </x:c>
      <x:c r="AA188" s="27" t="str">
        <x:v>C</x:v>
      </x:c>
      <x:c r="AB188" s="27" t="n">
        <x:v>0.042792</x:v>
      </x:c>
      <x:c r="AC188" s="27" t="n">
        <x:v>0.0493</x:v>
      </x:c>
      <x:c r="AD188" s="27" t="n">
        <x:v>1168371</x:v>
      </x:c>
      <x:c r="AE188" s="27" t="str">
        <x:v>Public-safe anonymized industry-style SA-CCR sample</x:v>
      </x:c>
      <x:c r="AF188" s="27" t="str">
        <x:v>ANON-000185</x:v>
      </x:c>
      <x:c r="AG188" s="27" t="str">
        <x:v>Cap/Floor</x:v>
      </x:c>
      <x:c r="AH188" s="27"/>
      <x:c r="AI188" s="27" t="str">
        <x:v>USD</x:v>
      </x:c>
    </x:row>
    <x:row r="189">
      <x:c r="A189" s="27" t="n">
        <x:v>45702</x:v>
      </x:c>
      <x:c r="B189" s="27" t="str">
        <x:v>IND_CORPORATE_001</x:v>
      </x:c>
      <x:c r="C189" s="27" t="n">
        <x:v>3004</x:v>
      </x:c>
      <x:c r="D189" s="27" t="str">
        <x:v>IND-000186</x:v>
      </x:c>
      <x:c r="E189" s="27" t="str">
        <x:v>Cap/Floor</x:v>
      </x:c>
      <x:c r="F189" s="27" t="str">
        <x:v>Interest Rate</x:v>
      </x:c>
      <x:c r="G189" s="27"/>
      <x:c r="H189" s="27" t="str">
        <x:v>EUR</x:v>
      </x:c>
      <x:c r="I189" s="27" t="str">
        <x:v>EUR</x:v>
      </x:c>
      <x:c r="J189" s="27" t="str">
        <x:v>EUR</x:v>
      </x:c>
      <x:c r="K189" s="27"/>
      <x:c r="L189" s="27"/>
      <x:c r="M189" s="27" t="str">
        <x:v>EUR</x:v>
      </x:c>
      <x:c r="N189" s="27"/>
      <x:c r="O189" s="27"/>
      <x:c r="P189" s="27" t="n">
        <x:v>46893</x:v>
      </x:c>
      <x:c r="Q189" s="27" t="n">
        <x:v>44894</x:v>
      </x:c>
      <x:c r="R189" s="27" t="n">
        <x:v>46893</x:v>
      </x:c>
      <x:c r="S189" s="27" t="n">
        <x:v>202857142.86</x:v>
      </x:c>
      <x:c r="T189" s="27" t="n">
        <x:v>202857142.86</x:v>
      </x:c>
      <x:c r="U189" s="27" t="n">
        <x:v>213000000</x:v>
      </x:c>
      <x:c r="V189" s="27" t="str">
        <x:v>M</x:v>
      </x:c>
      <x:c r="W189" s="27" t="str">
        <x:v>N</x:v>
      </x:c>
      <x:c r="X189" s="27" t="n">
        <x:v>10</x:v>
      </x:c>
      <x:c r="Y189" s="27" t="str">
        <x:v>S</x:v>
      </x:c>
      <x:c r="Z189" s="27" t="n">
        <x:v>46595</x:v>
      </x:c>
      <x:c r="AA189" s="27" t="str">
        <x:v>C</x:v>
      </x:c>
      <x:c r="AB189" s="27" t="n">
        <x:v>0.017691</x:v>
      </x:c>
      <x:c r="AC189" s="27" t="n">
        <x:v>0.0188</x:v>
      </x:c>
      <x:c r="AD189" s="27" t="n">
        <x:v>-17253</x:v>
      </x:c>
      <x:c r="AE189" s="27" t="str">
        <x:v>Public-safe anonymized industry-style SA-CCR sample</x:v>
      </x:c>
      <x:c r="AF189" s="27" t="str">
        <x:v>ANON-000186</x:v>
      </x:c>
      <x:c r="AG189" s="27" t="str">
        <x:v>Cap/Floor</x:v>
      </x:c>
      <x:c r="AH189" s="27"/>
      <x:c r="AI189" s="27" t="str">
        <x:v>EUR</x:v>
      </x:c>
    </x:row>
    <x:row r="190">
      <x:c r="A190" s="27" t="n">
        <x:v>45702</x:v>
      </x:c>
      <x:c r="B190" s="27" t="str">
        <x:v>IND_BANK_002</x:v>
      </x:c>
      <x:c r="C190" s="27" t="n">
        <x:v>3049</x:v>
      </x:c>
      <x:c r="D190" s="27" t="str">
        <x:v>IND-000187</x:v>
      </x:c>
      <x:c r="E190" s="27" t="str">
        <x:v>Cap/Floor</x:v>
      </x:c>
      <x:c r="F190" s="27" t="str">
        <x:v>Interest Rate</x:v>
      </x:c>
      <x:c r="G190" s="27"/>
      <x:c r="H190" s="27" t="str">
        <x:v>USD</x:v>
      </x:c>
      <x:c r="I190" s="27" t="str">
        <x:v>USD</x:v>
      </x:c>
      <x:c r="J190" s="27" t="str">
        <x:v>USD</x:v>
      </x:c>
      <x:c r="K190" s="27"/>
      <x:c r="L190" s="27"/>
      <x:c r="M190" s="27" t="str">
        <x:v>USD</x:v>
      </x:c>
      <x:c r="N190" s="27"/>
      <x:c r="O190" s="27"/>
      <x:c r="P190" s="27" t="n">
        <x:v>46452</x:v>
      </x:c>
      <x:c r="Q190" s="27" t="n">
        <x:v>45595</x:v>
      </x:c>
      <x:c r="R190" s="27" t="n">
        <x:v>46452</x:v>
      </x:c>
      <x:c r="S190" s="27" t="n">
        <x:v>175000000</x:v>
      </x:c>
      <x:c r="T190" s="27" t="n">
        <x:v>175000000</x:v>
      </x:c>
      <x:c r="U190" s="27" t="n">
        <x:v>175000000</x:v>
      </x:c>
      <x:c r="V190" s="27" t="str">
        <x:v>M</x:v>
      </x:c>
      <x:c r="W190" s="27" t="str">
        <x:v>N</x:v>
      </x:c>
      <x:c r="X190" s="27" t="n">
        <x:v>10</x:v>
      </x:c>
      <x:c r="Y190" s="27" t="str">
        <x:v>S</x:v>
      </x:c>
      <x:c r="Z190" s="27" t="n">
        <x:v>46264</x:v>
      </x:c>
      <x:c r="AA190" s="27" t="str">
        <x:v>C</x:v>
      </x:c>
      <x:c r="AB190" s="27" t="n">
        <x:v>0.050251</x:v>
      </x:c>
      <x:c r="AC190" s="27" t="n">
        <x:v>0.0464</x:v>
      </x:c>
      <x:c r="AD190" s="27" t="n">
        <x:v>1168650</x:v>
      </x:c>
      <x:c r="AE190" s="27" t="str">
        <x:v>Public-safe anonymized industry-style SA-CCR sample</x:v>
      </x:c>
      <x:c r="AF190" s="27" t="str">
        <x:v>ANON-000187</x:v>
      </x:c>
      <x:c r="AG190" s="27" t="str">
        <x:v>Cap/Floor</x:v>
      </x:c>
      <x:c r="AH190" s="27"/>
      <x:c r="AI190" s="27" t="str">
        <x:v>USD</x:v>
      </x:c>
    </x:row>
    <x:row r="191">
      <x:c r="A191" s="27" t="n">
        <x:v>45702</x:v>
      </x:c>
      <x:c r="B191" s="27" t="str">
        <x:v>IND_BROKER_001</x:v>
      </x:c>
      <x:c r="C191" s="27" t="n">
        <x:v>3332</x:v>
      </x:c>
      <x:c r="D191" s="27" t="str">
        <x:v>IND-000188</x:v>
      </x:c>
      <x:c r="E191" s="27" t="str">
        <x:v>Cap/Floor</x:v>
      </x:c>
      <x:c r="F191" s="27" t="str">
        <x:v>Interest Rate</x:v>
      </x:c>
      <x:c r="G191" s="27"/>
      <x:c r="H191" s="27" t="str">
        <x:v>EUR</x:v>
      </x:c>
      <x:c r="I191" s="27" t="str">
        <x:v>EUR</x:v>
      </x:c>
      <x:c r="J191" s="27" t="str">
        <x:v>EUR</x:v>
      </x:c>
      <x:c r="K191" s="27"/>
      <x:c r="L191" s="27"/>
      <x:c r="M191" s="27" t="str">
        <x:v>EUR</x:v>
      </x:c>
      <x:c r="N191" s="27"/>
      <x:c r="O191" s="27"/>
      <x:c r="P191" s="27" t="n">
        <x:v>47398</x:v>
      </x:c>
      <x:c r="Q191" s="27" t="n">
        <x:v>45238</x:v>
      </x:c>
      <x:c r="R191" s="27" t="n">
        <x:v>47398</x:v>
      </x:c>
      <x:c r="S191" s="27" t="n">
        <x:v>235238095.24</x:v>
      </x:c>
      <x:c r="T191" s="27" t="n">
        <x:v>235238095.24</x:v>
      </x:c>
      <x:c r="U191" s="27" t="n">
        <x:v>247000000</x:v>
      </x:c>
      <x:c r="V191" s="27" t="str">
        <x:v>M</x:v>
      </x:c>
      <x:c r="W191" s="27" t="str">
        <x:v>Y</x:v>
      </x:c>
      <x:c r="X191" s="27" t="n">
        <x:v>5</x:v>
      </x:c>
      <x:c r="Y191" s="27" t="str">
        <x:v>S</x:v>
      </x:c>
      <x:c r="Z191" s="27" t="n">
        <x:v>46974</x:v>
      </x:c>
      <x:c r="AA191" s="27" t="str">
        <x:v>P</x:v>
      </x:c>
      <x:c r="AB191" s="27" t="n">
        <x:v>0.026705</x:v>
      </x:c>
      <x:c r="AC191" s="27" t="n">
        <x:v>0.0245</x:v>
      </x:c>
      <x:c r="AD191" s="27" t="n">
        <x:v>-2205216</x:v>
      </x:c>
      <x:c r="AE191" s="27" t="str">
        <x:v>Public-safe anonymized industry-style SA-CCR sample</x:v>
      </x:c>
      <x:c r="AF191" s="27" t="str">
        <x:v>ANON-000188</x:v>
      </x:c>
      <x:c r="AG191" s="27" t="str">
        <x:v>Cap/Floor</x:v>
      </x:c>
      <x:c r="AH191" s="27"/>
      <x:c r="AI191" s="27" t="str">
        <x:v>EUR</x:v>
      </x:c>
    </x:row>
    <x:row r="192">
      <x:c r="A192" s="27" t="n">
        <x:v>45702</x:v>
      </x:c>
      <x:c r="B192" s="27" t="str">
        <x:v>IND_CORPORATE_001</x:v>
      </x:c>
      <x:c r="C192" s="27" t="n">
        <x:v>3100</x:v>
      </x:c>
      <x:c r="D192" s="27" t="str">
        <x:v>IND-000189</x:v>
      </x:c>
      <x:c r="E192" s="27" t="str">
        <x:v>Precious Metal Forward</x:v>
      </x:c>
      <x:c r="F192" s="27" t="str">
        <x:v>Commodity</x:v>
      </x:c>
      <x:c r="G192" s="27" t="str">
        <x:v>Gold</x:v>
      </x:c>
      <x:c r="H192" s="27" t="str">
        <x:v>XAU</x:v>
      </x:c>
      <x:c r="I192" s="27" t="str">
        <x:v>CNY</x:v>
      </x:c>
      <x:c r="J192" s="27" t="str">
        <x:v>CNY</x:v>
      </x:c>
      <x:c r="K192" s="27"/>
      <x:c r="L192" s="27"/>
      <x:c r="M192" s="27" t="str">
        <x:v>XAU/CNY</x:v>
      </x:c>
      <x:c r="N192" s="27"/>
      <x:c r="O192" s="27"/>
      <x:c r="P192" s="27" t="n">
        <x:v>45952</x:v>
      </x:c>
      <x:c r="Q192" s="27" t="n">
        <x:v>44968</x:v>
      </x:c>
      <x:c r="R192" s="27" t="n">
        <x:v>45952</x:v>
      </x:c>
      <x:c r="S192" s="27" t="n">
        <x:v>700</x:v>
      </x:c>
      <x:c r="T192" s="27" t="n">
        <x:v>10000000</x:v>
      </x:c>
      <x:c r="U192" s="27" t="n">
        <x:v>1400000</x:v>
      </x:c>
      <x:c r="V192" s="27" t="str">
        <x:v>M</x:v>
      </x:c>
      <x:c r="W192" s="27" t="str">
        <x:v>N</x:v>
      </x:c>
      <x:c r="X192" s="27" t="n">
        <x:v>10</x:v>
      </x:c>
      <x:c r="Y192" s="27" t="str">
        <x:v>B</x:v>
      </x:c>
      <x:c r="Z192" s="27"/>
      <x:c r="AA192" s="27"/>
      <x:c r="AB192" s="27" t="n">
        <x:v>0</x:v>
      </x:c>
      <x:c r="AC192" s="27" t="n">
        <x:v>0</x:v>
      </x:c>
      <x:c r="AD192" s="27" t="n">
        <x:v>34524</x:v>
      </x:c>
      <x:c r="AE192" s="27" t="str">
        <x:v>Public-safe anonymized industry-style SA-CCR sample</x:v>
      </x:c>
      <x:c r="AF192" s="27" t="str">
        <x:v>ANON-000189</x:v>
      </x:c>
      <x:c r="AG192" s="27" t="str">
        <x:v>Precious Metal Forward</x:v>
      </x:c>
      <x:c r="AH192" s="27"/>
      <x:c r="AI192" s="27" t="str">
        <x:v>XAU/CNY</x:v>
      </x:c>
    </x:row>
    <x:row r="193">
      <x:c r="A193" s="27" t="n">
        <x:v>45702</x:v>
      </x:c>
      <x:c r="B193" s="27" t="str">
        <x:v>IND_PENSION_001</x:v>
      </x:c>
      <x:c r="C193" s="27" t="n">
        <x:v>3113</x:v>
      </x:c>
      <x:c r="D193" s="27" t="str">
        <x:v>IND-000190</x:v>
      </x:c>
      <x:c r="E193" s="27" t="str">
        <x:v>Precious Metal Forward</x:v>
      </x:c>
      <x:c r="F193" s="27" t="str">
        <x:v>Commodity</x:v>
      </x:c>
      <x:c r="G193" s="27" t="str">
        <x:v>Gold</x:v>
      </x:c>
      <x:c r="H193" s="27" t="str">
        <x:v>XAU</x:v>
      </x:c>
      <x:c r="I193" s="27" t="str">
        <x:v>CNY</x:v>
      </x:c>
      <x:c r="J193" s="27" t="str">
        <x:v>CNY</x:v>
      </x:c>
      <x:c r="K193" s="27"/>
      <x:c r="L193" s="27"/>
      <x:c r="M193" s="27" t="str">
        <x:v>XAU/CNY</x:v>
      </x:c>
      <x:c r="N193" s="27"/>
      <x:c r="O193" s="27"/>
      <x:c r="P193" s="27" t="n">
        <x:v>45761</x:v>
      </x:c>
      <x:c r="Q193" s="27" t="n">
        <x:v>44856</x:v>
      </x:c>
      <x:c r="R193" s="27" t="n">
        <x:v>45761</x:v>
      </x:c>
      <x:c r="S193" s="27" t="n">
        <x:v>37300</x:v>
      </x:c>
      <x:c r="T193" s="27" t="n">
        <x:v>532857142.86</x:v>
      </x:c>
      <x:c r="U193" s="27" t="n">
        <x:v>74600000</x:v>
      </x:c>
      <x:c r="V193" s="27" t="str">
        <x:v>M</x:v>
      </x:c>
      <x:c r="W193" s="27" t="str">
        <x:v>N</x:v>
      </x:c>
      <x:c r="X193" s="27" t="n">
        <x:v>10</x:v>
      </x:c>
      <x:c r="Y193" s="27" t="str">
        <x:v>B</x:v>
      </x:c>
      <x:c r="Z193" s="27"/>
      <x:c r="AA193" s="27"/>
      <x:c r="AB193" s="27" t="n">
        <x:v>0</x:v>
      </x:c>
      <x:c r="AC193" s="27" t="n">
        <x:v>0</x:v>
      </x:c>
      <x:c r="AD193" s="27" t="n">
        <x:v>1685214</x:v>
      </x:c>
      <x:c r="AE193" s="27" t="str">
        <x:v>Public-safe anonymized industry-style SA-CCR sample</x:v>
      </x:c>
      <x:c r="AF193" s="27" t="str">
        <x:v>ANON-000190</x:v>
      </x:c>
      <x:c r="AG193" s="27" t="str">
        <x:v>Precious Metal Forward</x:v>
      </x:c>
      <x:c r="AH193" s="27"/>
      <x:c r="AI193" s="27" t="str">
        <x:v>XAU/CNY</x:v>
      </x:c>
    </x:row>
    <x:row r="194">
      <x:c r="A194" s="27" t="n">
        <x:v>45702</x:v>
      </x:c>
      <x:c r="B194" s="27" t="str">
        <x:v>IND_CORPORATE_001</x:v>
      </x:c>
      <x:c r="C194" s="27" t="n">
        <x:v>3358</x:v>
      </x:c>
      <x:c r="D194" s="27" t="str">
        <x:v>IND-000191</x:v>
      </x:c>
      <x:c r="E194" s="27" t="str">
        <x:v>Precious Metal Forward</x:v>
      </x:c>
      <x:c r="F194" s="27" t="str">
        <x:v>Commodity</x:v>
      </x:c>
      <x:c r="G194" s="27" t="str">
        <x:v>Gold</x:v>
      </x:c>
      <x:c r="H194" s="27" t="str">
        <x:v>XAU</x:v>
      </x:c>
      <x:c r="I194" s="27" t="str">
        <x:v>CNY</x:v>
      </x:c>
      <x:c r="J194" s="27" t="str">
        <x:v>CNY</x:v>
      </x:c>
      <x:c r="K194" s="27"/>
      <x:c r="L194" s="27"/>
      <x:c r="M194" s="27" t="str">
        <x:v>XAU/CNY</x:v>
      </x:c>
      <x:c r="N194" s="27"/>
      <x:c r="O194" s="27"/>
      <x:c r="P194" s="27" t="n">
        <x:v>46563</x:v>
      </x:c>
      <x:c r="Q194" s="27" t="n">
        <x:v>45637</x:v>
      </x:c>
      <x:c r="R194" s="27" t="n">
        <x:v>46563</x:v>
      </x:c>
      <x:c r="S194" s="27" t="n">
        <x:v>5100</x:v>
      </x:c>
      <x:c r="T194" s="27" t="n">
        <x:v>72857142.86</x:v>
      </x:c>
      <x:c r="U194" s="27" t="n">
        <x:v>10200000</x:v>
      </x:c>
      <x:c r="V194" s="27" t="str">
        <x:v>U</x:v>
      </x:c>
      <x:c r="W194" s="27" t="str">
        <x:v>N</x:v>
      </x:c>
      <x:c r="X194" s="27"/>
      <x:c r="Y194" s="27" t="str">
        <x:v>S</x:v>
      </x:c>
      <x:c r="Z194" s="27"/>
      <x:c r="AA194" s="27"/>
      <x:c r="AB194" s="27" t="n">
        <x:v>0</x:v>
      </x:c>
      <x:c r="AC194" s="27" t="n">
        <x:v>0</x:v>
      </x:c>
      <x:c r="AD194" s="27" t="n">
        <x:v>300186</x:v>
      </x:c>
      <x:c r="AE194" s="27" t="str">
        <x:v>Public-safe anonymized industry-style SA-CCR sample</x:v>
      </x:c>
      <x:c r="AF194" s="27" t="str">
        <x:v>ANON-000191</x:v>
      </x:c>
      <x:c r="AG194" s="27" t="str">
        <x:v>Precious Metal Forward</x:v>
      </x:c>
      <x:c r="AH194" s="27"/>
      <x:c r="AI194" s="27" t="str">
        <x:v>XAU/CNY</x:v>
      </x:c>
    </x:row>
    <x:row r="195">
      <x:c r="A195" s="27" t="n">
        <x:v>45702</x:v>
      </x:c>
      <x:c r="B195" s="27" t="str">
        <x:v>IND_CORPORATE_001</x:v>
      </x:c>
      <x:c r="C195" s="27" t="n">
        <x:v>3100</x:v>
      </x:c>
      <x:c r="D195" s="27" t="str">
        <x:v>IND-000192</x:v>
      </x:c>
      <x:c r="E195" s="27" t="str">
        <x:v>Precious Metal Forward</x:v>
      </x:c>
      <x:c r="F195" s="27" t="str">
        <x:v>Commodity</x:v>
      </x:c>
      <x:c r="G195" s="27" t="str">
        <x:v>Gold</x:v>
      </x:c>
      <x:c r="H195" s="27" t="str">
        <x:v>XAU</x:v>
      </x:c>
      <x:c r="I195" s="27" t="str">
        <x:v>CNY</x:v>
      </x:c>
      <x:c r="J195" s="27" t="str">
        <x:v>CNY</x:v>
      </x:c>
      <x:c r="K195" s="27"/>
      <x:c r="L195" s="27"/>
      <x:c r="M195" s="27" t="str">
        <x:v>XAU/CNY</x:v>
      </x:c>
      <x:c r="N195" s="27"/>
      <x:c r="O195" s="27"/>
      <x:c r="P195" s="27" t="n">
        <x:v>45807</x:v>
      </x:c>
      <x:c r="Q195" s="27" t="n">
        <x:v>44845</x:v>
      </x:c>
      <x:c r="R195" s="27" t="n">
        <x:v>45807</x:v>
      </x:c>
      <x:c r="S195" s="27" t="n">
        <x:v>55000</x:v>
      </x:c>
      <x:c r="T195" s="27" t="n">
        <x:v>785714285.71</x:v>
      </x:c>
      <x:c r="U195" s="27" t="n">
        <x:v>110000000</x:v>
      </x:c>
      <x:c r="V195" s="27" t="str">
        <x:v>M</x:v>
      </x:c>
      <x:c r="W195" s="27" t="str">
        <x:v>N</x:v>
      </x:c>
      <x:c r="X195" s="27" t="n">
        <x:v>10</x:v>
      </x:c>
      <x:c r="Y195" s="27" t="str">
        <x:v>S</x:v>
      </x:c>
      <x:c r="Z195" s="27"/>
      <x:c r="AA195" s="27"/>
      <x:c r="AB195" s="27" t="n">
        <x:v>0</x:v>
      </x:c>
      <x:c r="AC195" s="27" t="n">
        <x:v>0</x:v>
      </x:c>
      <x:c r="AD195" s="27" t="n">
        <x:v>211200</x:v>
      </x:c>
      <x:c r="AE195" s="27" t="str">
        <x:v>Public-safe anonymized industry-style SA-CCR sample</x:v>
      </x:c>
      <x:c r="AF195" s="27" t="str">
        <x:v>ANON-000192</x:v>
      </x:c>
      <x:c r="AG195" s="27" t="str">
        <x:v>Precious Metal Forward</x:v>
      </x:c>
      <x:c r="AH195" s="27"/>
      <x:c r="AI195" s="27" t="str">
        <x:v>XAU/CNY</x:v>
      </x:c>
    </x:row>
    <x:row r="196">
      <x:c r="A196" s="27" t="n">
        <x:v>45702</x:v>
      </x:c>
      <x:c r="B196" s="27" t="str">
        <x:v>IND_PENSION_001</x:v>
      </x:c>
      <x:c r="C196" s="27" t="n">
        <x:v>3060</x:v>
      </x:c>
      <x:c r="D196" s="27" t="str">
        <x:v>IND-000193</x:v>
      </x:c>
      <x:c r="E196" s="27" t="str">
        <x:v>Precious Metal Forward</x:v>
      </x:c>
      <x:c r="F196" s="27" t="str">
        <x:v>Commodity</x:v>
      </x:c>
      <x:c r="G196" s="27" t="str">
        <x:v>Gold</x:v>
      </x:c>
      <x:c r="H196" s="27" t="str">
        <x:v>XAU</x:v>
      </x:c>
      <x:c r="I196" s="27" t="str">
        <x:v>CNY</x:v>
      </x:c>
      <x:c r="J196" s="27" t="str">
        <x:v>CNY</x:v>
      </x:c>
      <x:c r="K196" s="27"/>
      <x:c r="L196" s="27"/>
      <x:c r="M196" s="27" t="str">
        <x:v>XAU/CNY</x:v>
      </x:c>
      <x:c r="N196" s="27"/>
      <x:c r="O196" s="27"/>
      <x:c r="P196" s="27" t="n">
        <x:v>46913</x:v>
      </x:c>
      <x:c r="Q196" s="27" t="n">
        <x:v>45685</x:v>
      </x:c>
      <x:c r="R196" s="27" t="n">
        <x:v>46913</x:v>
      </x:c>
      <x:c r="S196" s="27" t="n">
        <x:v>35000</x:v>
      </x:c>
      <x:c r="T196" s="27" t="n">
        <x:v>500000000</x:v>
      </x:c>
      <x:c r="U196" s="27" t="n">
        <x:v>70000000</x:v>
      </x:c>
      <x:c r="V196" s="27" t="str">
        <x:v>U</x:v>
      </x:c>
      <x:c r="W196" s="27" t="str">
        <x:v>N</x:v>
      </x:c>
      <x:c r="X196" s="27"/>
      <x:c r="Y196" s="27" t="str">
        <x:v>S</x:v>
      </x:c>
      <x:c r="Z196" s="27"/>
      <x:c r="AA196" s="27"/>
      <x:c r="AB196" s="27" t="n">
        <x:v>0</x:v>
      </x:c>
      <x:c r="AC196" s="27" t="n">
        <x:v>0</x:v>
      </x:c>
      <x:c r="AD196" s="27" t="n">
        <x:v>417900</x:v>
      </x:c>
      <x:c r="AE196" s="27" t="str">
        <x:v>Public-safe anonymized industry-style SA-CCR sample</x:v>
      </x:c>
      <x:c r="AF196" s="27" t="str">
        <x:v>ANON-000193</x:v>
      </x:c>
      <x:c r="AG196" s="27" t="str">
        <x:v>Precious Metal Forward</x:v>
      </x:c>
      <x:c r="AH196" s="27"/>
      <x:c r="AI196" s="27" t="str">
        <x:v>XAU/CNY</x:v>
      </x:c>
    </x:row>
    <x:row r="197">
      <x:c r="A197" s="27" t="n">
        <x:v>45702</x:v>
      </x:c>
      <x:c r="B197" s="27" t="str">
        <x:v>IND_CORPORATE_001</x:v>
      </x:c>
      <x:c r="C197" s="27" t="n">
        <x:v>3100</x:v>
      </x:c>
      <x:c r="D197" s="27" t="str">
        <x:v>IND-000194</x:v>
      </x:c>
      <x:c r="E197" s="27" t="str">
        <x:v>Precious Metal Forward</x:v>
      </x:c>
      <x:c r="F197" s="27" t="str">
        <x:v>Commodity</x:v>
      </x:c>
      <x:c r="G197" s="27" t="str">
        <x:v>Gold</x:v>
      </x:c>
      <x:c r="H197" s="27" t="str">
        <x:v>XAU</x:v>
      </x:c>
      <x:c r="I197" s="27" t="str">
        <x:v>CNY</x:v>
      </x:c>
      <x:c r="J197" s="27" t="str">
        <x:v>CNY</x:v>
      </x:c>
      <x:c r="K197" s="27"/>
      <x:c r="L197" s="27"/>
      <x:c r="M197" s="27" t="str">
        <x:v>XAU/CNY</x:v>
      </x:c>
      <x:c r="N197" s="27"/>
      <x:c r="O197" s="27"/>
      <x:c r="P197" s="27" t="n">
        <x:v>46875</x:v>
      </x:c>
      <x:c r="Q197" s="27" t="n">
        <x:v>45062</x:v>
      </x:c>
      <x:c r="R197" s="27" t="n">
        <x:v>46875</x:v>
      </x:c>
      <x:c r="S197" s="27" t="n">
        <x:v>8650</x:v>
      </x:c>
      <x:c r="T197" s="27" t="n">
        <x:v>123571428.57</x:v>
      </x:c>
      <x:c r="U197" s="27" t="n">
        <x:v>17300000</x:v>
      </x:c>
      <x:c r="V197" s="27" t="str">
        <x:v>M</x:v>
      </x:c>
      <x:c r="W197" s="27" t="str">
        <x:v>N</x:v>
      </x:c>
      <x:c r="X197" s="27" t="n">
        <x:v>10</x:v>
      </x:c>
      <x:c r="Y197" s="27" t="str">
        <x:v>B</x:v>
      </x:c>
      <x:c r="Z197" s="27"/>
      <x:c r="AA197" s="27"/>
      <x:c r="AB197" s="27" t="n">
        <x:v>0</x:v>
      </x:c>
      <x:c r="AC197" s="27" t="n">
        <x:v>0</x:v>
      </x:c>
      <x:c r="AD197" s="27" t="n">
        <x:v>-242892</x:v>
      </x:c>
      <x:c r="AE197" s="27" t="str">
        <x:v>Public-safe anonymized industry-style SA-CCR sample</x:v>
      </x:c>
      <x:c r="AF197" s="27" t="str">
        <x:v>ANON-000194</x:v>
      </x:c>
      <x:c r="AG197" s="27" t="str">
        <x:v>Precious Metal Forward</x:v>
      </x:c>
      <x:c r="AH197" s="27"/>
      <x:c r="AI197" s="27" t="str">
        <x:v>XAU/CNY</x:v>
      </x:c>
    </x:row>
    <x:row r="198">
      <x:c r="A198" s="27" t="n">
        <x:v>45702</x:v>
      </x:c>
      <x:c r="B198" s="27" t="str">
        <x:v>IND_PENSION_001</x:v>
      </x:c>
      <x:c r="C198" s="27" t="n">
        <x:v>3113</x:v>
      </x:c>
      <x:c r="D198" s="27" t="str">
        <x:v>IND-000195</x:v>
      </x:c>
      <x:c r="E198" s="27" t="str">
        <x:v>Precious Metal Forward</x:v>
      </x:c>
      <x:c r="F198" s="27" t="str">
        <x:v>Commodity</x:v>
      </x:c>
      <x:c r="G198" s="27" t="str">
        <x:v>Gold</x:v>
      </x:c>
      <x:c r="H198" s="27" t="str">
        <x:v>XAU</x:v>
      </x:c>
      <x:c r="I198" s="27" t="str">
        <x:v>CNY</x:v>
      </x:c>
      <x:c r="J198" s="27" t="str">
        <x:v>CNY</x:v>
      </x:c>
      <x:c r="K198" s="27"/>
      <x:c r="L198" s="27"/>
      <x:c r="M198" s="27" t="str">
        <x:v>XAU/CNY</x:v>
      </x:c>
      <x:c r="N198" s="27"/>
      <x:c r="O198" s="27"/>
      <x:c r="P198" s="27" t="n">
        <x:v>46758</x:v>
      </x:c>
      <x:c r="Q198" s="27" t="n">
        <x:v>45195</x:v>
      </x:c>
      <x:c r="R198" s="27" t="n">
        <x:v>46758</x:v>
      </x:c>
      <x:c r="S198" s="27" t="n">
        <x:v>52000</x:v>
      </x:c>
      <x:c r="T198" s="27" t="n">
        <x:v>742857142.86</x:v>
      </x:c>
      <x:c r="U198" s="27" t="n">
        <x:v>104000000</x:v>
      </x:c>
      <x:c r="V198" s="27" t="str">
        <x:v>M</x:v>
      </x:c>
      <x:c r="W198" s="27" t="str">
        <x:v>N</x:v>
      </x:c>
      <x:c r="X198" s="27" t="n">
        <x:v>10</x:v>
      </x:c>
      <x:c r="Y198" s="27" t="str">
        <x:v>B</x:v>
      </x:c>
      <x:c r="Z198" s="27"/>
      <x:c r="AA198" s="27"/>
      <x:c r="AB198" s="27" t="n">
        <x:v>0</x:v>
      </x:c>
      <x:c r="AC198" s="27" t="n">
        <x:v>0</x:v>
      </x:c>
      <x:c r="AD198" s="27" t="n">
        <x:v>-705120</x:v>
      </x:c>
      <x:c r="AE198" s="27" t="str">
        <x:v>Public-safe anonymized industry-style SA-CCR sample</x:v>
      </x:c>
      <x:c r="AF198" s="27" t="str">
        <x:v>ANON-000195</x:v>
      </x:c>
      <x:c r="AG198" s="27" t="str">
        <x:v>Precious Metal Forward</x:v>
      </x:c>
      <x:c r="AH198" s="27"/>
      <x:c r="AI198" s="27" t="str">
        <x:v>XAU/CNY</x:v>
      </x:c>
    </x:row>
    <x:row r="199">
      <x:c r="A199" s="27" t="n">
        <x:v>45702</x:v>
      </x:c>
      <x:c r="B199" s="27" t="str">
        <x:v>IND_ASSET_MANAGER_001</x:v>
      </x:c>
      <x:c r="C199" s="27" t="n">
        <x:v>3205</x:v>
      </x:c>
      <x:c r="D199" s="27" t="str">
        <x:v>IND-000196</x:v>
      </x:c>
      <x:c r="E199" s="27" t="str">
        <x:v>Precious Metal Forward</x:v>
      </x:c>
      <x:c r="F199" s="27" t="str">
        <x:v>Commodity</x:v>
      </x:c>
      <x:c r="G199" s="27" t="str">
        <x:v>Gold</x:v>
      </x:c>
      <x:c r="H199" s="27" t="str">
        <x:v>XAU</x:v>
      </x:c>
      <x:c r="I199" s="27" t="str">
        <x:v>CNY</x:v>
      </x:c>
      <x:c r="J199" s="27" t="str">
        <x:v>CNY</x:v>
      </x:c>
      <x:c r="K199" s="27"/>
      <x:c r="L199" s="27"/>
      <x:c r="M199" s="27" t="str">
        <x:v>XAU/CNY</x:v>
      </x:c>
      <x:c r="N199" s="27"/>
      <x:c r="O199" s="27"/>
      <x:c r="P199" s="27" t="n">
        <x:v>46508</x:v>
      </x:c>
      <x:c r="Q199" s="27" t="n">
        <x:v>45259</x:v>
      </x:c>
      <x:c r="R199" s="27" t="n">
        <x:v>46508</x:v>
      </x:c>
      <x:c r="S199" s="27" t="n">
        <x:v>44950</x:v>
      </x:c>
      <x:c r="T199" s="27" t="n">
        <x:v>642142857.14</x:v>
      </x:c>
      <x:c r="U199" s="27" t="n">
        <x:v>89900000</x:v>
      </x:c>
      <x:c r="V199" s="27" t="str">
        <x:v>U</x:v>
      </x:c>
      <x:c r="W199" s="27" t="str">
        <x:v>N</x:v>
      </x:c>
      <x:c r="X199" s="27"/>
      <x:c r="Y199" s="27" t="str">
        <x:v>S</x:v>
      </x:c>
      <x:c r="Z199" s="27"/>
      <x:c r="AA199" s="27"/>
      <x:c r="AB199" s="27" t="n">
        <x:v>0</x:v>
      </x:c>
      <x:c r="AC199" s="27" t="n">
        <x:v>0</x:v>
      </x:c>
      <x:c r="AD199" s="27" t="n">
        <x:v>-2691606</x:v>
      </x:c>
      <x:c r="AE199" s="27" t="str">
        <x:v>Public-safe anonymized industry-style SA-CCR sample</x:v>
      </x:c>
      <x:c r="AF199" s="27" t="str">
        <x:v>ANON-000196</x:v>
      </x:c>
      <x:c r="AG199" s="27" t="str">
        <x:v>Precious Metal Forward</x:v>
      </x:c>
      <x:c r="AH199" s="27"/>
      <x:c r="AI199" s="27" t="str">
        <x:v>XAU/CNY</x:v>
      </x:c>
    </x:row>
    <x:row r="200">
      <x:c r="A200" s="27" t="n">
        <x:v>45702</x:v>
      </x:c>
      <x:c r="B200" s="27" t="str">
        <x:v>IND_BANK_001</x:v>
      </x:c>
      <x:c r="C200" s="27" t="n">
        <x:v>3172</x:v>
      </x:c>
      <x:c r="D200" s="27" t="str">
        <x:v>IND-000197</x:v>
      </x:c>
      <x:c r="E200" s="27" t="str">
        <x:v>Precious Metal Forward</x:v>
      </x:c>
      <x:c r="F200" s="27" t="str">
        <x:v>Commodity</x:v>
      </x:c>
      <x:c r="G200" s="27" t="str">
        <x:v>Gold</x:v>
      </x:c>
      <x:c r="H200" s="27" t="str">
        <x:v>XAU</x:v>
      </x:c>
      <x:c r="I200" s="27" t="str">
        <x:v>USD</x:v>
      </x:c>
      <x:c r="J200" s="27" t="str">
        <x:v>USD</x:v>
      </x:c>
      <x:c r="K200" s="27"/>
      <x:c r="L200" s="27"/>
      <x:c r="M200" s="27" t="str">
        <x:v>XAU/USD</x:v>
      </x:c>
      <x:c r="N200" s="27"/>
      <x:c r="O200" s="27"/>
      <x:c r="P200" s="27" t="n">
        <x:v>47463</x:v>
      </x:c>
      <x:c r="Q200" s="27" t="n">
        <x:v>45451</x:v>
      </x:c>
      <x:c r="R200" s="27" t="n">
        <x:v>47463</x:v>
      </x:c>
      <x:c r="S200" s="27" t="n">
        <x:v>12350</x:v>
      </x:c>
      <x:c r="T200" s="27" t="n">
        <x:v>24700000</x:v>
      </x:c>
      <x:c r="U200" s="27" t="n">
        <x:v>24700000</x:v>
      </x:c>
      <x:c r="V200" s="27" t="str">
        <x:v>M</x:v>
      </x:c>
      <x:c r="W200" s="27" t="str">
        <x:v>N</x:v>
      </x:c>
      <x:c r="X200" s="27" t="n">
        <x:v>10</x:v>
      </x:c>
      <x:c r="Y200" s="27" t="str">
        <x:v>B</x:v>
      </x:c>
      <x:c r="Z200" s="27"/>
      <x:c r="AA200" s="27"/>
      <x:c r="AB200" s="27" t="n">
        <x:v>0</x:v>
      </x:c>
      <x:c r="AC200" s="27" t="n">
        <x:v>0</x:v>
      </x:c>
      <x:c r="AD200" s="27" t="n">
        <x:v>172653</x:v>
      </x:c>
      <x:c r="AE200" s="27" t="str">
        <x:v>Public-safe anonymized industry-style SA-CCR sample</x:v>
      </x:c>
      <x:c r="AF200" s="27" t="str">
        <x:v>ANON-000197</x:v>
      </x:c>
      <x:c r="AG200" s="27" t="str">
        <x:v>Precious Metal Forward</x:v>
      </x:c>
      <x:c r="AH200" s="27"/>
      <x:c r="AI200" s="27" t="str">
        <x:v>XAU/USD</x:v>
      </x:c>
    </x:row>
    <x:row r="201">
      <x:c r="A201" s="27" t="n">
        <x:v>45702</x:v>
      </x:c>
      <x:c r="B201" s="27" t="str">
        <x:v>IND_BANK_002</x:v>
      </x:c>
      <x:c r="C201" s="27" t="n">
        <x:v>3323</x:v>
      </x:c>
      <x:c r="D201" s="27" t="str">
        <x:v>IND-000198</x:v>
      </x:c>
      <x:c r="E201" s="27" t="str">
        <x:v>Precious Metal Forward</x:v>
      </x:c>
      <x:c r="F201" s="27" t="str">
        <x:v>Commodity</x:v>
      </x:c>
      <x:c r="G201" s="27" t="str">
        <x:v>Gold</x:v>
      </x:c>
      <x:c r="H201" s="27" t="str">
        <x:v>XAU</x:v>
      </x:c>
      <x:c r="I201" s="27" t="str">
        <x:v>CNY</x:v>
      </x:c>
      <x:c r="J201" s="27" t="str">
        <x:v>CNY</x:v>
      </x:c>
      <x:c r="K201" s="27"/>
      <x:c r="L201" s="27"/>
      <x:c r="M201" s="27" t="str">
        <x:v>XAU/CNY</x:v>
      </x:c>
      <x:c r="N201" s="27"/>
      <x:c r="O201" s="27"/>
      <x:c r="P201" s="27" t="n">
        <x:v>46968</x:v>
      </x:c>
      <x:c r="Q201" s="27" t="n">
        <x:v>45438</x:v>
      </x:c>
      <x:c r="R201" s="27" t="n">
        <x:v>46968</x:v>
      </x:c>
      <x:c r="S201" s="27" t="n">
        <x:v>3100</x:v>
      </x:c>
      <x:c r="T201" s="27" t="n">
        <x:v>44285714.29</x:v>
      </x:c>
      <x:c r="U201" s="27" t="n">
        <x:v>6200000</x:v>
      </x:c>
      <x:c r="V201" s="27" t="str">
        <x:v>U</x:v>
      </x:c>
      <x:c r="W201" s="27" t="str">
        <x:v>N</x:v>
      </x:c>
      <x:c r="X201" s="27"/>
      <x:c r="Y201" s="27" t="str">
        <x:v>B</x:v>
      </x:c>
      <x:c r="Z201" s="27"/>
      <x:c r="AA201" s="27"/>
      <x:c r="AB201" s="27" t="n">
        <x:v>0</x:v>
      </x:c>
      <x:c r="AC201" s="27" t="n">
        <x:v>0</x:v>
      </x:c>
      <x:c r="AD201" s="27" t="n">
        <x:v>158100</x:v>
      </x:c>
      <x:c r="AE201" s="27" t="str">
        <x:v>Public-safe anonymized industry-style SA-CCR sample</x:v>
      </x:c>
      <x:c r="AF201" s="27" t="str">
        <x:v>ANON-000198</x:v>
      </x:c>
      <x:c r="AG201" s="27" t="str">
        <x:v>Precious Metal Forward</x:v>
      </x:c>
      <x:c r="AH201" s="27"/>
      <x:c r="AI201" s="27" t="str">
        <x:v>XAU/CNY</x:v>
      </x:c>
    </x:row>
    <x:row r="202">
      <x:c r="A202" s="27" t="n">
        <x:v>45702</x:v>
      </x:c>
      <x:c r="B202" s="27" t="str">
        <x:v>IND_CORPORATE_001</x:v>
      </x:c>
      <x:c r="C202" s="27" t="n">
        <x:v>3100</x:v>
      </x:c>
      <x:c r="D202" s="27" t="str">
        <x:v>IND-000199</x:v>
      </x:c>
      <x:c r="E202" s="27" t="str">
        <x:v>Precious Metal Forward</x:v>
      </x:c>
      <x:c r="F202" s="27" t="str">
        <x:v>Commodity</x:v>
      </x:c>
      <x:c r="G202" s="27" t="str">
        <x:v>Gold</x:v>
      </x:c>
      <x:c r="H202" s="27" t="str">
        <x:v>XAU</x:v>
      </x:c>
      <x:c r="I202" s="27" t="str">
        <x:v>CNY</x:v>
      </x:c>
      <x:c r="J202" s="27" t="str">
        <x:v>CNY</x:v>
      </x:c>
      <x:c r="K202" s="27"/>
      <x:c r="L202" s="27"/>
      <x:c r="M202" s="27" t="str">
        <x:v>XAU/CNY</x:v>
      </x:c>
      <x:c r="N202" s="27"/>
      <x:c r="O202" s="27"/>
      <x:c r="P202" s="27" t="n">
        <x:v>46417</x:v>
      </x:c>
      <x:c r="Q202" s="27" t="n">
        <x:v>45333</x:v>
      </x:c>
      <x:c r="R202" s="27" t="n">
        <x:v>46417</x:v>
      </x:c>
      <x:c r="S202" s="27" t="n">
        <x:v>4150</x:v>
      </x:c>
      <x:c r="T202" s="27" t="n">
        <x:v>59285714.29</x:v>
      </x:c>
      <x:c r="U202" s="27" t="n">
        <x:v>8300000</x:v>
      </x:c>
      <x:c r="V202" s="27" t="str">
        <x:v>M</x:v>
      </x:c>
      <x:c r="W202" s="27" t="str">
        <x:v>N</x:v>
      </x:c>
      <x:c r="X202" s="27" t="n">
        <x:v>10</x:v>
      </x:c>
      <x:c r="Y202" s="27" t="str">
        <x:v>B</x:v>
      </x:c>
      <x:c r="Z202" s="27"/>
      <x:c r="AA202" s="27"/>
      <x:c r="AB202" s="27" t="n">
        <x:v>0</x:v>
      </x:c>
      <x:c r="AC202" s="27" t="n">
        <x:v>0</x:v>
      </x:c>
      <x:c r="AD202" s="27" t="n">
        <x:v>183264</x:v>
      </x:c>
      <x:c r="AE202" s="27" t="str">
        <x:v>Public-safe anonymized industry-style SA-CCR sample</x:v>
      </x:c>
      <x:c r="AF202" s="27" t="str">
        <x:v>ANON-000199</x:v>
      </x:c>
      <x:c r="AG202" s="27" t="str">
        <x:v>Precious Metal Forward</x:v>
      </x:c>
      <x:c r="AH202" s="27"/>
      <x:c r="AI202" s="27" t="str">
        <x:v>XAU/CNY</x:v>
      </x:c>
    </x:row>
    <x:row r="203">
      <x:c r="A203" s="27" t="n">
        <x:v>45702</x:v>
      </x:c>
      <x:c r="B203" s="27" t="str">
        <x:v>IND_REGIONAL_BANK_001</x:v>
      </x:c>
      <x:c r="C203" s="27" t="n">
        <x:v>3082</x:v>
      </x:c>
      <x:c r="D203" s="27" t="str">
        <x:v>IND-000200</x:v>
      </x:c>
      <x:c r="E203" s="27" t="str">
        <x:v>Precious Metal Forward</x:v>
      </x:c>
      <x:c r="F203" s="27" t="str">
        <x:v>Commodity</x:v>
      </x:c>
      <x:c r="G203" s="27" t="str">
        <x:v>Gold</x:v>
      </x:c>
      <x:c r="H203" s="27" t="str">
        <x:v>XAU</x:v>
      </x:c>
      <x:c r="I203" s="27" t="str">
        <x:v>CNY</x:v>
      </x:c>
      <x:c r="J203" s="27" t="str">
        <x:v>CNY</x:v>
      </x:c>
      <x:c r="K203" s="27"/>
      <x:c r="L203" s="27"/>
      <x:c r="M203" s="27" t="str">
        <x:v>XAU/CNY</x:v>
      </x:c>
      <x:c r="N203" s="27"/>
      <x:c r="O203" s="27"/>
      <x:c r="P203" s="27" t="n">
        <x:v>46051</x:v>
      </x:c>
      <x:c r="Q203" s="27" t="n">
        <x:v>45638</x:v>
      </x:c>
      <x:c r="R203" s="27" t="n">
        <x:v>46051</x:v>
      </x:c>
      <x:c r="S203" s="27" t="n">
        <x:v>6300</x:v>
      </x:c>
      <x:c r="T203" s="27" t="n">
        <x:v>90000000</x:v>
      </x:c>
      <x:c r="U203" s="27" t="n">
        <x:v>12600000</x:v>
      </x:c>
      <x:c r="V203" s="27" t="str">
        <x:v>M</x:v>
      </x:c>
      <x:c r="W203" s="27" t="str">
        <x:v>N</x:v>
      </x:c>
      <x:c r="X203" s="27" t="n">
        <x:v>10</x:v>
      </x:c>
      <x:c r="Y203" s="27" t="str">
        <x:v>S</x:v>
      </x:c>
      <x:c r="Z203" s="27"/>
      <x:c r="AA203" s="27"/>
      <x:c r="AB203" s="27" t="n">
        <x:v>0</x:v>
      </x:c>
      <x:c r="AC203" s="27" t="n">
        <x:v>0</x:v>
      </x:c>
      <x:c r="AD203" s="27" t="n">
        <x:v>346626</x:v>
      </x:c>
      <x:c r="AE203" s="27" t="str">
        <x:v>Public-safe anonymized industry-style SA-CCR sample</x:v>
      </x:c>
      <x:c r="AF203" s="27" t="str">
        <x:v>ANON-000200</x:v>
      </x:c>
      <x:c r="AG203" s="27" t="str">
        <x:v>Precious Metal Forward</x:v>
      </x:c>
      <x:c r="AH203" s="27"/>
      <x:c r="AI203" s="27" t="str">
        <x:v>XAU/CNY</x:v>
      </x:c>
    </x:row>
    <x:row r="204">
      <x:c r="A204" s="27" t="n">
        <x:v>45702</x:v>
      </x:c>
      <x:c r="B204" s="27" t="str">
        <x:v>IND_BANK_002</x:v>
      </x:c>
      <x:c r="C204" s="27" t="n">
        <x:v>3259</x:v>
      </x:c>
      <x:c r="D204" s="27" t="str">
        <x:v>IND-000201</x:v>
      </x:c>
      <x:c r="E204" s="27" t="str">
        <x:v>Precious Metal Forward</x:v>
      </x:c>
      <x:c r="F204" s="27" t="str">
        <x:v>Commodity</x:v>
      </x:c>
      <x:c r="G204" s="27" t="str">
        <x:v>Gold</x:v>
      </x:c>
      <x:c r="H204" s="27" t="str">
        <x:v>XAU</x:v>
      </x:c>
      <x:c r="I204" s="27" t="str">
        <x:v>CNY</x:v>
      </x:c>
      <x:c r="J204" s="27" t="str">
        <x:v>CNY</x:v>
      </x:c>
      <x:c r="K204" s="27"/>
      <x:c r="L204" s="27"/>
      <x:c r="M204" s="27" t="str">
        <x:v>XAU/CNY</x:v>
      </x:c>
      <x:c r="N204" s="27"/>
      <x:c r="O204" s="27"/>
      <x:c r="P204" s="27" t="n">
        <x:v>45997</x:v>
      </x:c>
      <x:c r="Q204" s="27" t="n">
        <x:v>45189</x:v>
      </x:c>
      <x:c r="R204" s="27" t="n">
        <x:v>45997</x:v>
      </x:c>
      <x:c r="S204" s="27" t="n">
        <x:v>29950</x:v>
      </x:c>
      <x:c r="T204" s="27" t="n">
        <x:v>427857142.86</x:v>
      </x:c>
      <x:c r="U204" s="27" t="n">
        <x:v>59900000</x:v>
      </x:c>
      <x:c r="V204" s="27" t="str">
        <x:v>M</x:v>
      </x:c>
      <x:c r="W204" s="27" t="str">
        <x:v>N</x:v>
      </x:c>
      <x:c r="X204" s="27" t="n">
        <x:v>10</x:v>
      </x:c>
      <x:c r="Y204" s="27" t="str">
        <x:v>B</x:v>
      </x:c>
      <x:c r="Z204" s="27"/>
      <x:c r="AA204" s="27"/>
      <x:c r="AB204" s="27" t="n">
        <x:v>0</x:v>
      </x:c>
      <x:c r="AC204" s="27" t="n">
        <x:v>0</x:v>
      </x:c>
      <x:c r="AD204" s="27" t="n">
        <x:v>-1522059</x:v>
      </x:c>
      <x:c r="AE204" s="27" t="str">
        <x:v>Public-safe anonymized industry-style SA-CCR sample</x:v>
      </x:c>
      <x:c r="AF204" s="27" t="str">
        <x:v>ANON-000201</x:v>
      </x:c>
      <x:c r="AG204" s="27" t="str">
        <x:v>Precious Metal Forward</x:v>
      </x:c>
      <x:c r="AH204" s="27"/>
      <x:c r="AI204" s="27" t="str">
        <x:v>XAU/CNY</x:v>
      </x:c>
    </x:row>
    <x:row r="205">
      <x:c r="A205" s="27" t="n">
        <x:v>45702</x:v>
      </x:c>
      <x:c r="B205" s="27" t="str">
        <x:v>IND_BANK_002</x:v>
      </x:c>
      <x:c r="C205" s="27" t="n">
        <x:v>3259</x:v>
      </x:c>
      <x:c r="D205" s="27" t="str">
        <x:v>IND-000202</x:v>
      </x:c>
      <x:c r="E205" s="27" t="str">
        <x:v>Precious Metal Forward</x:v>
      </x:c>
      <x:c r="F205" s="27" t="str">
        <x:v>Commodity</x:v>
      </x:c>
      <x:c r="G205" s="27" t="str">
        <x:v>Gold</x:v>
      </x:c>
      <x:c r="H205" s="27" t="str">
        <x:v>XAU</x:v>
      </x:c>
      <x:c r="I205" s="27" t="str">
        <x:v>CNY</x:v>
      </x:c>
      <x:c r="J205" s="27" t="str">
        <x:v>CNY</x:v>
      </x:c>
      <x:c r="K205" s="27"/>
      <x:c r="L205" s="27"/>
      <x:c r="M205" s="27" t="str">
        <x:v>XAU/CNY</x:v>
      </x:c>
      <x:c r="N205" s="27"/>
      <x:c r="O205" s="27"/>
      <x:c r="P205" s="27" t="n">
        <x:v>46327</x:v>
      </x:c>
      <x:c r="Q205" s="27" t="n">
        <x:v>45131</x:v>
      </x:c>
      <x:c r="R205" s="27" t="n">
        <x:v>46327</x:v>
      </x:c>
      <x:c r="S205" s="27" t="n">
        <x:v>2550</x:v>
      </x:c>
      <x:c r="T205" s="27" t="n">
        <x:v>36428571.43</x:v>
      </x:c>
      <x:c r="U205" s="27" t="n">
        <x:v>5100000</x:v>
      </x:c>
      <x:c r="V205" s="27" t="str">
        <x:v>M</x:v>
      </x:c>
      <x:c r="W205" s="27" t="str">
        <x:v>N</x:v>
      </x:c>
      <x:c r="X205" s="27" t="n">
        <x:v>10</x:v>
      </x:c>
      <x:c r="Y205" s="27" t="str">
        <x:v>S</x:v>
      </x:c>
      <x:c r="Z205" s="27"/>
      <x:c r="AA205" s="27"/>
      <x:c r="AB205" s="27" t="n">
        <x:v>0</x:v>
      </x:c>
      <x:c r="AC205" s="27" t="n">
        <x:v>0</x:v>
      </x:c>
      <x:c r="AD205" s="27" t="n">
        <x:v>-151623</x:v>
      </x:c>
      <x:c r="AE205" s="27" t="str">
        <x:v>Public-safe anonymized industry-style SA-CCR sample</x:v>
      </x:c>
      <x:c r="AF205" s="27" t="str">
        <x:v>ANON-000202</x:v>
      </x:c>
      <x:c r="AG205" s="27" t="str">
        <x:v>Precious Metal Forward</x:v>
      </x:c>
      <x:c r="AH205" s="27"/>
      <x:c r="AI205" s="27" t="str">
        <x:v>XAU/CNY</x:v>
      </x:c>
    </x:row>
    <x:row r="206">
      <x:c r="A206" s="27" t="n">
        <x:v>45702</x:v>
      </x:c>
      <x:c r="B206" s="27" t="str">
        <x:v>IND_INSURER_001</x:v>
      </x:c>
      <x:c r="C206" s="27" t="n">
        <x:v>3257</x:v>
      </x:c>
      <x:c r="D206" s="27" t="str">
        <x:v>IND-000203</x:v>
      </x:c>
      <x:c r="E206" s="27" t="str">
        <x:v>Precious Metal Swap</x:v>
      </x:c>
      <x:c r="F206" s="27" t="str">
        <x:v>Commodity</x:v>
      </x:c>
      <x:c r="G206" s="27" t="str">
        <x:v>Gold</x:v>
      </x:c>
      <x:c r="H206" s="27" t="str">
        <x:v>XAU</x:v>
      </x:c>
      <x:c r="I206" s="27" t="str">
        <x:v>CNY</x:v>
      </x:c>
      <x:c r="J206" s="27" t="str">
        <x:v>CNY</x:v>
      </x:c>
      <x:c r="K206" s="27"/>
      <x:c r="L206" s="27"/>
      <x:c r="M206" s="27" t="str">
        <x:v>XAU/CNY</x:v>
      </x:c>
      <x:c r="N206" s="27"/>
      <x:c r="O206" s="27"/>
      <x:c r="P206" s="27" t="n">
        <x:v>46035</x:v>
      </x:c>
      <x:c r="Q206" s="27" t="n">
        <x:v>45200</x:v>
      </x:c>
      <x:c r="R206" s="27" t="n">
        <x:v>46035</x:v>
      </x:c>
      <x:c r="S206" s="27" t="n">
        <x:v>35000</x:v>
      </x:c>
      <x:c r="T206" s="27" t="n">
        <x:v>500000000</x:v>
      </x:c>
      <x:c r="U206" s="27" t="n">
        <x:v>70000000</x:v>
      </x:c>
      <x:c r="V206" s="27" t="str">
        <x:v>M</x:v>
      </x:c>
      <x:c r="W206" s="27" t="str">
        <x:v>N</x:v>
      </x:c>
      <x:c r="X206" s="27" t="n">
        <x:v>10</x:v>
      </x:c>
      <x:c r="Y206" s="27" t="str">
        <x:v>B</x:v>
      </x:c>
      <x:c r="Z206" s="27"/>
      <x:c r="AA206" s="27"/>
      <x:c r="AB206" s="27" t="n">
        <x:v>0</x:v>
      </x:c>
      <x:c r="AC206" s="27" t="n">
        <x:v>0</x:v>
      </x:c>
      <x:c r="AD206" s="27" t="n">
        <x:v>1497300</x:v>
      </x:c>
      <x:c r="AE206" s="27" t="str">
        <x:v>Public-safe anonymized industry-style SA-CCR sample</x:v>
      </x:c>
      <x:c r="AF206" s="27" t="str">
        <x:v>ANON-000203</x:v>
      </x:c>
      <x:c r="AG206" s="27" t="str">
        <x:v>Precious Metal Swap</x:v>
      </x:c>
      <x:c r="AH206" s="27"/>
      <x:c r="AI206" s="27" t="str">
        <x:v>XAU/CNY</x:v>
      </x:c>
    </x:row>
    <x:row r="207">
      <x:c r="A207" s="27" t="n">
        <x:v>45702</x:v>
      </x:c>
      <x:c r="B207" s="27" t="str">
        <x:v>IND_BANK_001</x:v>
      </x:c>
      <x:c r="C207" s="27" t="n">
        <x:v>3172</x:v>
      </x:c>
      <x:c r="D207" s="27" t="str">
        <x:v>IND-000204</x:v>
      </x:c>
      <x:c r="E207" s="27" t="str">
        <x:v>Precious Metal Swap</x:v>
      </x:c>
      <x:c r="F207" s="27" t="str">
        <x:v>Commodity</x:v>
      </x:c>
      <x:c r="G207" s="27" t="str">
        <x:v>Gold</x:v>
      </x:c>
      <x:c r="H207" s="27" t="str">
        <x:v>XAU</x:v>
      </x:c>
      <x:c r="I207" s="27" t="str">
        <x:v>USD</x:v>
      </x:c>
      <x:c r="J207" s="27" t="str">
        <x:v>USD</x:v>
      </x:c>
      <x:c r="K207" s="27"/>
      <x:c r="L207" s="27"/>
      <x:c r="M207" s="27" t="str">
        <x:v>XAU/USD</x:v>
      </x:c>
      <x:c r="N207" s="27"/>
      <x:c r="O207" s="27"/>
      <x:c r="P207" s="27" t="n">
        <x:v>45999</x:v>
      </x:c>
      <x:c r="Q207" s="27" t="n">
        <x:v>44899</x:v>
      </x:c>
      <x:c r="R207" s="27" t="n">
        <x:v>45999</x:v>
      </x:c>
      <x:c r="S207" s="27" t="n">
        <x:v>2900</x:v>
      </x:c>
      <x:c r="T207" s="27" t="n">
        <x:v>5800000</x:v>
      </x:c>
      <x:c r="U207" s="27" t="n">
        <x:v>5800000</x:v>
      </x:c>
      <x:c r="V207" s="27" t="str">
        <x:v>M</x:v>
      </x:c>
      <x:c r="W207" s="27" t="str">
        <x:v>N</x:v>
      </x:c>
      <x:c r="X207" s="27" t="n">
        <x:v>10</x:v>
      </x:c>
      <x:c r="Y207" s="27" t="str">
        <x:v>S</x:v>
      </x:c>
      <x:c r="Z207" s="27"/>
      <x:c r="AA207" s="27"/>
      <x:c r="AB207" s="27" t="n">
        <x:v>0</x:v>
      </x:c>
      <x:c r="AC207" s="27" t="n">
        <x:v>0</x:v>
      </x:c>
      <x:c r="AD207" s="27" t="n">
        <x:v>-91350</x:v>
      </x:c>
      <x:c r="AE207" s="27" t="str">
        <x:v>Public-safe anonymized industry-style SA-CCR sample</x:v>
      </x:c>
      <x:c r="AF207" s="27" t="str">
        <x:v>ANON-000204</x:v>
      </x:c>
      <x:c r="AG207" s="27" t="str">
        <x:v>Precious Metal Swap</x:v>
      </x:c>
      <x:c r="AH207" s="27"/>
      <x:c r="AI207" s="27" t="str">
        <x:v>XAU/USD</x:v>
      </x:c>
    </x:row>
    <x:row r="208">
      <x:c r="A208" s="27" t="n">
        <x:v>45702</x:v>
      </x:c>
      <x:c r="B208" s="27" t="str">
        <x:v>IND_REGIONAL_BANK_001</x:v>
      </x:c>
      <x:c r="C208" s="27" t="n">
        <x:v>3082</x:v>
      </x:c>
      <x:c r="D208" s="27" t="str">
        <x:v>IND-000205</x:v>
      </x:c>
      <x:c r="E208" s="27" t="str">
        <x:v>Precious Metal Swap</x:v>
      </x:c>
      <x:c r="F208" s="27" t="str">
        <x:v>Commodity</x:v>
      </x:c>
      <x:c r="G208" s="27" t="str">
        <x:v>Gold</x:v>
      </x:c>
      <x:c r="H208" s="27" t="str">
        <x:v>XAU</x:v>
      </x:c>
      <x:c r="I208" s="27" t="str">
        <x:v>CNY</x:v>
      </x:c>
      <x:c r="J208" s="27" t="str">
        <x:v>CNY</x:v>
      </x:c>
      <x:c r="K208" s="27"/>
      <x:c r="L208" s="27"/>
      <x:c r="M208" s="27" t="str">
        <x:v>XAU/CNY</x:v>
      </x:c>
      <x:c r="N208" s="27"/>
      <x:c r="O208" s="27"/>
      <x:c r="P208" s="27" t="n">
        <x:v>47351</x:v>
      </x:c>
      <x:c r="Q208" s="27" t="n">
        <x:v>45650</x:v>
      </x:c>
      <x:c r="R208" s="27" t="n">
        <x:v>47351</x:v>
      </x:c>
      <x:c r="S208" s="27" t="n">
        <x:v>43250</x:v>
      </x:c>
      <x:c r="T208" s="27" t="n">
        <x:v>617857142.86</x:v>
      </x:c>
      <x:c r="U208" s="27" t="n">
        <x:v>86500000</x:v>
      </x:c>
      <x:c r="V208" s="27" t="str">
        <x:v>M</x:v>
      </x:c>
      <x:c r="W208" s="27" t="str">
        <x:v>N</x:v>
      </x:c>
      <x:c r="X208" s="27" t="n">
        <x:v>10</x:v>
      </x:c>
      <x:c r="Y208" s="27" t="str">
        <x:v>S</x:v>
      </x:c>
      <x:c r="Z208" s="27"/>
      <x:c r="AA208" s="27"/>
      <x:c r="AB208" s="27" t="n">
        <x:v>0</x:v>
      </x:c>
      <x:c r="AC208" s="27" t="n">
        <x:v>0</x:v>
      </x:c>
      <x:c r="AD208" s="27" t="n">
        <x:v>-1204080</x:v>
      </x:c>
      <x:c r="AE208" s="27" t="str">
        <x:v>Public-safe anonymized industry-style SA-CCR sample</x:v>
      </x:c>
      <x:c r="AF208" s="27" t="str">
        <x:v>ANON-000205</x:v>
      </x:c>
      <x:c r="AG208" s="27" t="str">
        <x:v>Precious Metal Swap</x:v>
      </x:c>
      <x:c r="AH208" s="27"/>
      <x:c r="AI208" s="27" t="str">
        <x:v>XAU/CNY</x:v>
      </x:c>
    </x:row>
    <x:row r="209">
      <x:c r="A209" s="27" t="n">
        <x:v>45702</x:v>
      </x:c>
      <x:c r="B209" s="27" t="str">
        <x:v>IND_CORPORATE_001</x:v>
      </x:c>
      <x:c r="C209" s="27" t="n">
        <x:v>3100</x:v>
      </x:c>
      <x:c r="D209" s="27" t="str">
        <x:v>IND-000206</x:v>
      </x:c>
      <x:c r="E209" s="27" t="str">
        <x:v>Precious Metal Swap</x:v>
      </x:c>
      <x:c r="F209" s="27" t="str">
        <x:v>Commodity</x:v>
      </x:c>
      <x:c r="G209" s="27" t="str">
        <x:v>Gold</x:v>
      </x:c>
      <x:c r="H209" s="27" t="str">
        <x:v>XAU</x:v>
      </x:c>
      <x:c r="I209" s="27" t="str">
        <x:v>CNY</x:v>
      </x:c>
      <x:c r="J209" s="27" t="str">
        <x:v>CNY</x:v>
      </x:c>
      <x:c r="K209" s="27"/>
      <x:c r="L209" s="27"/>
      <x:c r="M209" s="27" t="str">
        <x:v>XAU/CNY</x:v>
      </x:c>
      <x:c r="N209" s="27"/>
      <x:c r="O209" s="27"/>
      <x:c r="P209" s="27" t="n">
        <x:v>47330</x:v>
      </x:c>
      <x:c r="Q209" s="27" t="n">
        <x:v>45225</x:v>
      </x:c>
      <x:c r="R209" s="27" t="n">
        <x:v>47330</x:v>
      </x:c>
      <x:c r="S209" s="27" t="n">
        <x:v>35250</x:v>
      </x:c>
      <x:c r="T209" s="27" t="n">
        <x:v>503571428.57</x:v>
      </x:c>
      <x:c r="U209" s="27" t="n">
        <x:v>70500000</x:v>
      </x:c>
      <x:c r="V209" s="27" t="str">
        <x:v>M</x:v>
      </x:c>
      <x:c r="W209" s="27" t="str">
        <x:v>N</x:v>
      </x:c>
      <x:c r="X209" s="27" t="n">
        <x:v>10</x:v>
      </x:c>
      <x:c r="Y209" s="27" t="str">
        <x:v>B</x:v>
      </x:c>
      <x:c r="Z209" s="27"/>
      <x:c r="AA209" s="27"/>
      <x:c r="AB209" s="27" t="n">
        <x:v>0</x:v>
      </x:c>
      <x:c r="AC209" s="27" t="n">
        <x:v>0</x:v>
      </x:c>
      <x:c r="AD209" s="27" t="n">
        <x:v>738135</x:v>
      </x:c>
      <x:c r="AE209" s="27" t="str">
        <x:v>Public-safe anonymized industry-style SA-CCR sample</x:v>
      </x:c>
      <x:c r="AF209" s="27" t="str">
        <x:v>ANON-000206</x:v>
      </x:c>
      <x:c r="AG209" s="27" t="str">
        <x:v>Precious Metal Swap</x:v>
      </x:c>
      <x:c r="AH209" s="27"/>
      <x:c r="AI209" s="27" t="str">
        <x:v>XAU/CNY</x:v>
      </x:c>
    </x:row>
    <x:row r="210">
      <x:c r="A210" s="27" t="n">
        <x:v>45702</x:v>
      </x:c>
      <x:c r="B210" s="27" t="str">
        <x:v>IND_CORPORATE_002</x:v>
      </x:c>
      <x:c r="C210" s="27" t="n">
        <x:v>3130</x:v>
      </x:c>
      <x:c r="D210" s="27" t="str">
        <x:v>IND-000207</x:v>
      </x:c>
      <x:c r="E210" s="27" t="str">
        <x:v>Precious Metal Swap</x:v>
      </x:c>
      <x:c r="F210" s="27" t="str">
        <x:v>Commodity</x:v>
      </x:c>
      <x:c r="G210" s="27" t="str">
        <x:v>Gold</x:v>
      </x:c>
      <x:c r="H210" s="27" t="str">
        <x:v>XAU</x:v>
      </x:c>
      <x:c r="I210" s="27" t="str">
        <x:v>USD</x:v>
      </x:c>
      <x:c r="J210" s="27" t="str">
        <x:v>USD</x:v>
      </x:c>
      <x:c r="K210" s="27"/>
      <x:c r="L210" s="27"/>
      <x:c r="M210" s="27" t="str">
        <x:v>XAU/USD</x:v>
      </x:c>
      <x:c r="N210" s="27"/>
      <x:c r="O210" s="27"/>
      <x:c r="P210" s="27" t="n">
        <x:v>45794</x:v>
      </x:c>
      <x:c r="Q210" s="27" t="n">
        <x:v>45277</x:v>
      </x:c>
      <x:c r="R210" s="27" t="n">
        <x:v>45794</x:v>
      </x:c>
      <x:c r="S210" s="27" t="n">
        <x:v>21050</x:v>
      </x:c>
      <x:c r="T210" s="27" t="n">
        <x:v>42100000</x:v>
      </x:c>
      <x:c r="U210" s="27" t="n">
        <x:v>42100000</x:v>
      </x:c>
      <x:c r="V210" s="27" t="str">
        <x:v>U</x:v>
      </x:c>
      <x:c r="W210" s="27" t="str">
        <x:v>N</x:v>
      </x:c>
      <x:c r="X210" s="27"/>
      <x:c r="Y210" s="27" t="str">
        <x:v>S</x:v>
      </x:c>
      <x:c r="Z210" s="27"/>
      <x:c r="AA210" s="27"/>
      <x:c r="AB210" s="27" t="n">
        <x:v>0</x:v>
      </x:c>
      <x:c r="AC210" s="27" t="n">
        <x:v>0</x:v>
      </x:c>
      <x:c r="AD210" s="27" t="n">
        <x:v>1213743</x:v>
      </x:c>
      <x:c r="AE210" s="27" t="str">
        <x:v>Public-safe anonymized industry-style SA-CCR sample</x:v>
      </x:c>
      <x:c r="AF210" s="27" t="str">
        <x:v>ANON-000207</x:v>
      </x:c>
      <x:c r="AG210" s="27" t="str">
        <x:v>Precious Metal Swap</x:v>
      </x:c>
      <x:c r="AH210" s="27"/>
      <x:c r="AI210" s="27" t="str">
        <x:v>XAU/USD</x:v>
      </x:c>
    </x:row>
    <x:row r="211">
      <x:c r="A211" s="27" t="n">
        <x:v>45702</x:v>
      </x:c>
      <x:c r="B211" s="27" t="str">
        <x:v>IND_BANK_001</x:v>
      </x:c>
      <x:c r="C211" s="27" t="n">
        <x:v>3348</x:v>
      </x:c>
      <x:c r="D211" s="27" t="str">
        <x:v>IND-000208</x:v>
      </x:c>
      <x:c r="E211" s="27" t="str">
        <x:v>Precious Metal Swap</x:v>
      </x:c>
      <x:c r="F211" s="27" t="str">
        <x:v>Commodity</x:v>
      </x:c>
      <x:c r="G211" s="27" t="str">
        <x:v>Gold</x:v>
      </x:c>
      <x:c r="H211" s="27" t="str">
        <x:v>XAU</x:v>
      </x:c>
      <x:c r="I211" s="27" t="str">
        <x:v>USD</x:v>
      </x:c>
      <x:c r="J211" s="27" t="str">
        <x:v>USD</x:v>
      </x:c>
      <x:c r="K211" s="27"/>
      <x:c r="L211" s="27"/>
      <x:c r="M211" s="27" t="str">
        <x:v>XAU/USD</x:v>
      </x:c>
      <x:c r="N211" s="27"/>
      <x:c r="O211" s="27"/>
      <x:c r="P211" s="27" t="n">
        <x:v>46418</x:v>
      </x:c>
      <x:c r="Q211" s="27" t="n">
        <x:v>45337</x:v>
      </x:c>
      <x:c r="R211" s="27" t="n">
        <x:v>46418</x:v>
      </x:c>
      <x:c r="S211" s="27" t="n">
        <x:v>25800</x:v>
      </x:c>
      <x:c r="T211" s="27" t="n">
        <x:v>51600000</x:v>
      </x:c>
      <x:c r="U211" s="27" t="n">
        <x:v>51600000</x:v>
      </x:c>
      <x:c r="V211" s="27" t="str">
        <x:v>U</x:v>
      </x:c>
      <x:c r="W211" s="27" t="str">
        <x:v>N</x:v>
      </x:c>
      <x:c r="X211" s="27"/>
      <x:c r="Y211" s="27" t="str">
        <x:v>B</x:v>
      </x:c>
      <x:c r="Z211" s="27"/>
      <x:c r="AA211" s="27"/>
      <x:c r="AB211" s="27" t="n">
        <x:v>0</x:v>
      </x:c>
      <x:c r="AC211" s="27" t="n">
        <x:v>0</x:v>
      </x:c>
      <x:c r="AD211" s="27" t="n">
        <x:v>-958212</x:v>
      </x:c>
      <x:c r="AE211" s="27" t="str">
        <x:v>Public-safe anonymized industry-style SA-CCR sample</x:v>
      </x:c>
      <x:c r="AF211" s="27" t="str">
        <x:v>ANON-000208</x:v>
      </x:c>
      <x:c r="AG211" s="27" t="str">
        <x:v>Precious Metal Swap</x:v>
      </x:c>
      <x:c r="AH211" s="27"/>
      <x:c r="AI211" s="27" t="str">
        <x:v>XAU/USD</x:v>
      </x:c>
    </x:row>
    <x:row r="212">
      <x:c r="A212" s="27" t="n">
        <x:v>45702</x:v>
      </x:c>
      <x:c r="B212" s="27" t="str">
        <x:v>IND_BANK_002</x:v>
      </x:c>
      <x:c r="C212" s="27" t="n">
        <x:v>3259</x:v>
      </x:c>
      <x:c r="D212" s="27" t="str">
        <x:v>IND-000209</x:v>
      </x:c>
      <x:c r="E212" s="27" t="str">
        <x:v>Precious Metal Swap</x:v>
      </x:c>
      <x:c r="F212" s="27" t="str">
        <x:v>Commodity</x:v>
      </x:c>
      <x:c r="G212" s="27" t="str">
        <x:v>Gold</x:v>
      </x:c>
      <x:c r="H212" s="27" t="str">
        <x:v>XAU</x:v>
      </x:c>
      <x:c r="I212" s="27" t="str">
        <x:v>CNY</x:v>
      </x:c>
      <x:c r="J212" s="27" t="str">
        <x:v>CNY</x:v>
      </x:c>
      <x:c r="K212" s="27"/>
      <x:c r="L212" s="27"/>
      <x:c r="M212" s="27" t="str">
        <x:v>XAU/CNY</x:v>
      </x:c>
      <x:c r="N212" s="27"/>
      <x:c r="O212" s="27"/>
      <x:c r="P212" s="27" t="n">
        <x:v>47457</x:v>
      </x:c>
      <x:c r="Q212" s="27" t="n">
        <x:v>45247</x:v>
      </x:c>
      <x:c r="R212" s="27" t="n">
        <x:v>47457</x:v>
      </x:c>
      <x:c r="S212" s="27" t="n">
        <x:v>11900</x:v>
      </x:c>
      <x:c r="T212" s="27" t="n">
        <x:v>170000000</x:v>
      </x:c>
      <x:c r="U212" s="27" t="n">
        <x:v>23800000</x:v>
      </x:c>
      <x:c r="V212" s="27" t="str">
        <x:v>M</x:v>
      </x:c>
      <x:c r="W212" s="27" t="str">
        <x:v>N</x:v>
      </x:c>
      <x:c r="X212" s="27" t="n">
        <x:v>10</x:v>
      </x:c>
      <x:c r="Y212" s="27" t="str">
        <x:v>B</x:v>
      </x:c>
      <x:c r="Z212" s="27"/>
      <x:c r="AA212" s="27"/>
      <x:c r="AB212" s="27" t="n">
        <x:v>0</x:v>
      </x:c>
      <x:c r="AC212" s="27" t="n">
        <x:v>0</x:v>
      </x:c>
      <x:c r="AD212" s="27" t="n">
        <x:v>127092</x:v>
      </x:c>
      <x:c r="AE212" s="27" t="str">
        <x:v>Public-safe anonymized industry-style SA-CCR sample</x:v>
      </x:c>
      <x:c r="AF212" s="27" t="str">
        <x:v>ANON-000209</x:v>
      </x:c>
      <x:c r="AG212" s="27" t="str">
        <x:v>Precious Metal Swap</x:v>
      </x:c>
      <x:c r="AH212" s="27"/>
      <x:c r="AI212" s="27" t="str">
        <x:v>XAU/CNY</x:v>
      </x:c>
    </x:row>
    <x:row r="213">
      <x:c r="A213" s="27" t="n">
        <x:v>45702</x:v>
      </x:c>
      <x:c r="B213" s="27" t="str">
        <x:v>IND_CORPORATE_002</x:v>
      </x:c>
      <x:c r="C213" s="27" t="n">
        <x:v>3126</x:v>
      </x:c>
      <x:c r="D213" s="27" t="str">
        <x:v>IND-000210</x:v>
      </x:c>
      <x:c r="E213" s="27" t="str">
        <x:v>Precious Metal Swap</x:v>
      </x:c>
      <x:c r="F213" s="27" t="str">
        <x:v>Commodity</x:v>
      </x:c>
      <x:c r="G213" s="27" t="str">
        <x:v>Gold</x:v>
      </x:c>
      <x:c r="H213" s="27" t="str">
        <x:v>XAU</x:v>
      </x:c>
      <x:c r="I213" s="27" t="str">
        <x:v>USD</x:v>
      </x:c>
      <x:c r="J213" s="27" t="str">
        <x:v>USD</x:v>
      </x:c>
      <x:c r="K213" s="27"/>
      <x:c r="L213" s="27"/>
      <x:c r="M213" s="27" t="str">
        <x:v>XAU/USD</x:v>
      </x:c>
      <x:c r="N213" s="27"/>
      <x:c r="O213" s="27"/>
      <x:c r="P213" s="27" t="n">
        <x:v>47152</x:v>
      </x:c>
      <x:c r="Q213" s="27" t="n">
        <x:v>45255</x:v>
      </x:c>
      <x:c r="R213" s="27" t="n">
        <x:v>47152</x:v>
      </x:c>
      <x:c r="S213" s="27" t="n">
        <x:v>3650</x:v>
      </x:c>
      <x:c r="T213" s="27" t="n">
        <x:v>7300000</x:v>
      </x:c>
      <x:c r="U213" s="27" t="n">
        <x:v>7300000</x:v>
      </x:c>
      <x:c r="V213" s="27" t="str">
        <x:v>M</x:v>
      </x:c>
      <x:c r="W213" s="27" t="str">
        <x:v>N</x:v>
      </x:c>
      <x:c r="X213" s="27" t="n">
        <x:v>10</x:v>
      </x:c>
      <x:c r="Y213" s="27" t="str">
        <x:v>B</x:v>
      </x:c>
      <x:c r="Z213" s="27"/>
      <x:c r="AA213" s="27"/>
      <x:c r="AB213" s="27" t="n">
        <x:v>0</x:v>
      </x:c>
      <x:c r="AC213" s="27" t="n">
        <x:v>0</x:v>
      </x:c>
      <x:c r="AD213" s="27" t="n">
        <x:v>-55626</x:v>
      </x:c>
      <x:c r="AE213" s="27" t="str">
        <x:v>Public-safe anonymized industry-style SA-CCR sample</x:v>
      </x:c>
      <x:c r="AF213" s="27" t="str">
        <x:v>ANON-000210</x:v>
      </x:c>
      <x:c r="AG213" s="27" t="str">
        <x:v>Precious Metal Swap</x:v>
      </x:c>
      <x:c r="AH213" s="27"/>
      <x:c r="AI213" s="27" t="str">
        <x:v>XAU/USD</x:v>
      </x:c>
    </x:row>
    <x:row r="214">
      <x:c r="A214" s="27" t="n">
        <x:v>45702</x:v>
      </x:c>
      <x:c r="B214" s="27" t="str">
        <x:v>IND_CORPORATE_002</x:v>
      </x:c>
      <x:c r="C214" s="27" t="n">
        <x:v>3130</x:v>
      </x:c>
      <x:c r="D214" s="27" t="str">
        <x:v>IND-000211</x:v>
      </x:c>
      <x:c r="E214" s="27" t="str">
        <x:v>Precious Metal Swap</x:v>
      </x:c>
      <x:c r="F214" s="27" t="str">
        <x:v>Commodity</x:v>
      </x:c>
      <x:c r="G214" s="27" t="str">
        <x:v>Gold</x:v>
      </x:c>
      <x:c r="H214" s="27" t="str">
        <x:v>XAU</x:v>
      </x:c>
      <x:c r="I214" s="27" t="str">
        <x:v>USD</x:v>
      </x:c>
      <x:c r="J214" s="27" t="str">
        <x:v>USD</x:v>
      </x:c>
      <x:c r="K214" s="27"/>
      <x:c r="L214" s="27"/>
      <x:c r="M214" s="27" t="str">
        <x:v>XAU/USD</x:v>
      </x:c>
      <x:c r="N214" s="27"/>
      <x:c r="O214" s="27"/>
      <x:c r="P214" s="27" t="n">
        <x:v>46591</x:v>
      </x:c>
      <x:c r="Q214" s="27" t="n">
        <x:v>45165</x:v>
      </x:c>
      <x:c r="R214" s="27" t="n">
        <x:v>46591</x:v>
      </x:c>
      <x:c r="S214" s="27" t="n">
        <x:v>4500</x:v>
      </x:c>
      <x:c r="T214" s="27" t="n">
        <x:v>9000000</x:v>
      </x:c>
      <x:c r="U214" s="27" t="n">
        <x:v>9000000</x:v>
      </x:c>
      <x:c r="V214" s="27" t="str">
        <x:v>U</x:v>
      </x:c>
      <x:c r="W214" s="27" t="str">
        <x:v>N</x:v>
      </x:c>
      <x:c r="X214" s="27"/>
      <x:c r="Y214" s="27" t="str">
        <x:v>B</x:v>
      </x:c>
      <x:c r="Z214" s="27"/>
      <x:c r="AA214" s="27"/>
      <x:c r="AB214" s="27" t="n">
        <x:v>0</x:v>
      </x:c>
      <x:c r="AC214" s="27" t="n">
        <x:v>0</x:v>
      </x:c>
      <x:c r="AD214" s="27" t="n">
        <x:v>140400</x:v>
      </x:c>
      <x:c r="AE214" s="27" t="str">
        <x:v>Public-safe anonymized industry-style SA-CCR sample</x:v>
      </x:c>
      <x:c r="AF214" s="27" t="str">
        <x:v>ANON-000211</x:v>
      </x:c>
      <x:c r="AG214" s="27" t="str">
        <x:v>Precious Metal Swap</x:v>
      </x:c>
      <x:c r="AH214" s="27"/>
      <x:c r="AI214" s="27" t="str">
        <x:v>XAU/USD</x:v>
      </x:c>
    </x:row>
    <x:row r="215">
      <x:c r="A215" s="27" t="n">
        <x:v>45702</x:v>
      </x:c>
      <x:c r="B215" s="27" t="str">
        <x:v>IND_CLEARING_MEMBER_001</x:v>
      </x:c>
      <x:c r="C215" s="27" t="n">
        <x:v>3340</x:v>
      </x:c>
      <x:c r="D215" s="27" t="str">
        <x:v>IND-000212</x:v>
      </x:c>
      <x:c r="E215" s="27" t="str">
        <x:v>Precious Metal Swap</x:v>
      </x:c>
      <x:c r="F215" s="27" t="str">
        <x:v>Commodity</x:v>
      </x:c>
      <x:c r="G215" s="27" t="str">
        <x:v>Gold</x:v>
      </x:c>
      <x:c r="H215" s="27" t="str">
        <x:v>XAU</x:v>
      </x:c>
      <x:c r="I215" s="27" t="str">
        <x:v>USD</x:v>
      </x:c>
      <x:c r="J215" s="27" t="str">
        <x:v>USD</x:v>
      </x:c>
      <x:c r="K215" s="27"/>
      <x:c r="L215" s="27"/>
      <x:c r="M215" s="27" t="str">
        <x:v>XAU/USD</x:v>
      </x:c>
      <x:c r="N215" s="27"/>
      <x:c r="O215" s="27"/>
      <x:c r="P215" s="27" t="n">
        <x:v>46779</x:v>
      </x:c>
      <x:c r="Q215" s="27" t="n">
        <x:v>45479</x:v>
      </x:c>
      <x:c r="R215" s="27" t="n">
        <x:v>46779</x:v>
      </x:c>
      <x:c r="S215" s="27" t="n">
        <x:v>1500</x:v>
      </x:c>
      <x:c r="T215" s="27" t="n">
        <x:v>3000000</x:v>
      </x:c>
      <x:c r="U215" s="27" t="n">
        <x:v>3000000</x:v>
      </x:c>
      <x:c r="V215" s="27" t="str">
        <x:v>M</x:v>
      </x:c>
      <x:c r="W215" s="27" t="str">
        <x:v>N</x:v>
      </x:c>
      <x:c r="X215" s="27" t="n">
        <x:v>10</x:v>
      </x:c>
      <x:c r="Y215" s="27" t="str">
        <x:v>S</x:v>
      </x:c>
      <x:c r="Z215" s="27"/>
      <x:c r="AA215" s="27"/>
      <x:c r="AB215" s="27" t="n">
        <x:v>0</x:v>
      </x:c>
      <x:c r="AC215" s="27" t="n">
        <x:v>0</x:v>
      </x:c>
      <x:c r="AD215" s="27" t="n">
        <x:v>44190</x:v>
      </x:c>
      <x:c r="AE215" s="27" t="str">
        <x:v>Public-safe anonymized industry-style SA-CCR sample</x:v>
      </x:c>
      <x:c r="AF215" s="27" t="str">
        <x:v>ANON-000212</x:v>
      </x:c>
      <x:c r="AG215" s="27" t="str">
        <x:v>Precious Metal Swap</x:v>
      </x:c>
      <x:c r="AH215" s="27"/>
      <x:c r="AI215" s="27" t="str">
        <x:v>XAU/USD</x:v>
      </x:c>
    </x:row>
    <x:row r="216">
      <x:c r="A216" s="27" t="n">
        <x:v>45702</x:v>
      </x:c>
      <x:c r="B216" s="27" t="str">
        <x:v>IND_HEDGE_FUND_001</x:v>
      </x:c>
      <x:c r="C216" s="27" t="n">
        <x:v>3109</x:v>
      </x:c>
      <x:c r="D216" s="27" t="str">
        <x:v>IND-000213</x:v>
      </x:c>
      <x:c r="E216" s="27" t="str">
        <x:v>Commodity Option</x:v>
      </x:c>
      <x:c r="F216" s="27" t="str">
        <x:v>Commodity</x:v>
      </x:c>
      <x:c r="G216" s="27" t="str">
        <x:v>Gold</x:v>
      </x:c>
      <x:c r="H216" s="27" t="str">
        <x:v>XAU</x:v>
      </x:c>
      <x:c r="I216" s="27" t="str">
        <x:v>CNY</x:v>
      </x:c>
      <x:c r="J216" s="27" t="str">
        <x:v>CNY</x:v>
      </x:c>
      <x:c r="K216" s="27"/>
      <x:c r="L216" s="27"/>
      <x:c r="M216" s="27" t="str">
        <x:v>XAU/CNY</x:v>
      </x:c>
      <x:c r="N216" s="27"/>
      <x:c r="O216" s="27"/>
      <x:c r="P216" s="27" t="n">
        <x:v>47401</x:v>
      </x:c>
      <x:c r="Q216" s="27" t="n">
        <x:v>44986</x:v>
      </x:c>
      <x:c r="R216" s="27" t="n">
        <x:v>47401</x:v>
      </x:c>
      <x:c r="S216" s="27" t="n">
        <x:v>25500</x:v>
      </x:c>
      <x:c r="T216" s="27" t="n">
        <x:v>364285714.29</x:v>
      </x:c>
      <x:c r="U216" s="27" t="n">
        <x:v>51000000</x:v>
      </x:c>
      <x:c r="V216" s="27" t="str">
        <x:v>M</x:v>
      </x:c>
      <x:c r="W216" s="27" t="str">
        <x:v>N</x:v>
      </x:c>
      <x:c r="X216" s="27" t="n">
        <x:v>10</x:v>
      </x:c>
      <x:c r="Y216" s="27" t="str">
        <x:v>B</x:v>
      </x:c>
      <x:c r="Z216" s="27" t="n">
        <x:v>46976</x:v>
      </x:c>
      <x:c r="AA216" s="27" t="str">
        <x:v>P</x:v>
      </x:c>
      <x:c r="AB216" s="27" t="n">
        <x:v>2041.8</x:v>
      </x:c>
      <x:c r="AC216" s="27" t="n">
        <x:v>2050</x:v>
      </x:c>
      <x:c r="AD216" s="27" t="n">
        <x:v>2047140</x:v>
      </x:c>
      <x:c r="AE216" s="27" t="str">
        <x:v>Public-safe anonymized industry-style SA-CCR sample</x:v>
      </x:c>
      <x:c r="AF216" s="27" t="str">
        <x:v>ANON-000213</x:v>
      </x:c>
      <x:c r="AG216" s="27" t="str">
        <x:v>Commodity Option</x:v>
      </x:c>
      <x:c r="AH216" s="27"/>
      <x:c r="AI216" s="27" t="str">
        <x:v>XAU/CNY</x:v>
      </x:c>
    </x:row>
    <x:row r="217">
      <x:c r="A217" s="27" t="n">
        <x:v>45702</x:v>
      </x:c>
      <x:c r="B217" s="27" t="str">
        <x:v>IND_ASSET_MANAGER_001</x:v>
      </x:c>
      <x:c r="C217" s="27" t="n">
        <x:v>3331</x:v>
      </x:c>
      <x:c r="D217" s="27" t="str">
        <x:v>IND-000214</x:v>
      </x:c>
      <x:c r="E217" s="27" t="str">
        <x:v>Commodity Option</x:v>
      </x:c>
      <x:c r="F217" s="27" t="str">
        <x:v>Commodity</x:v>
      </x:c>
      <x:c r="G217" s="27" t="str">
        <x:v>Gold</x:v>
      </x:c>
      <x:c r="H217" s="27" t="str">
        <x:v>XAU</x:v>
      </x:c>
      <x:c r="I217" s="27" t="str">
        <x:v>USD</x:v>
      </x:c>
      <x:c r="J217" s="27" t="str">
        <x:v>USD</x:v>
      </x:c>
      <x:c r="K217" s="27"/>
      <x:c r="L217" s="27"/>
      <x:c r="M217" s="27" t="str">
        <x:v>XAU/USD</x:v>
      </x:c>
      <x:c r="N217" s="27"/>
      <x:c r="O217" s="27"/>
      <x:c r="P217" s="27" t="n">
        <x:v>47446</x:v>
      </x:c>
      <x:c r="Q217" s="27" t="n">
        <x:v>45565</x:v>
      </x:c>
      <x:c r="R217" s="27" t="n">
        <x:v>47446</x:v>
      </x:c>
      <x:c r="S217" s="27" t="n">
        <x:v>5250</x:v>
      </x:c>
      <x:c r="T217" s="27" t="n">
        <x:v>10500000</x:v>
      </x:c>
      <x:c r="U217" s="27" t="n">
        <x:v>10500000</x:v>
      </x:c>
      <x:c r="V217" s="27" t="str">
        <x:v>M</x:v>
      </x:c>
      <x:c r="W217" s="27" t="str">
        <x:v>N</x:v>
      </x:c>
      <x:c r="X217" s="27" t="n">
        <x:v>10</x:v>
      </x:c>
      <x:c r="Y217" s="27" t="str">
        <x:v>B</x:v>
      </x:c>
      <x:c r="Z217" s="27" t="n">
        <x:v>47010</x:v>
      </x:c>
      <x:c r="AA217" s="27" t="str">
        <x:v>P</x:v>
      </x:c>
      <x:c r="AB217" s="27" t="n">
        <x:v>1777.35</x:v>
      </x:c>
      <x:c r="AC217" s="27" t="n">
        <x:v>2050</x:v>
      </x:c>
      <x:c r="AD217" s="27" t="n">
        <x:v>432810</x:v>
      </x:c>
      <x:c r="AE217" s="27" t="str">
        <x:v>Public-safe anonymized industry-style SA-CCR sample</x:v>
      </x:c>
      <x:c r="AF217" s="27" t="str">
        <x:v>ANON-000214</x:v>
      </x:c>
      <x:c r="AG217" s="27" t="str">
        <x:v>Commodity Option</x:v>
      </x:c>
      <x:c r="AH217" s="27"/>
      <x:c r="AI217" s="27" t="str">
        <x:v>XAU/USD</x:v>
      </x:c>
    </x:row>
    <x:row r="218">
      <x:c r="A218" s="27" t="n">
        <x:v>45702</x:v>
      </x:c>
      <x:c r="B218" s="27" t="str">
        <x:v>IND_SOVEREIGN_001</x:v>
      </x:c>
      <x:c r="C218" s="27" t="n">
        <x:v>3357</x:v>
      </x:c>
      <x:c r="D218" s="27" t="str">
        <x:v>IND-000215</x:v>
      </x:c>
      <x:c r="E218" s="27" t="str">
        <x:v>Commodity Option</x:v>
      </x:c>
      <x:c r="F218" s="27" t="str">
        <x:v>Commodity</x:v>
      </x:c>
      <x:c r="G218" s="27" t="str">
        <x:v>Gold</x:v>
      </x:c>
      <x:c r="H218" s="27" t="str">
        <x:v>Oil</x:v>
      </x:c>
      <x:c r="I218" s="27" t="str">
        <x:v>USD</x:v>
      </x:c>
      <x:c r="J218" s="27" t="str">
        <x:v>USD</x:v>
      </x:c>
      <x:c r="K218" s="27"/>
      <x:c r="L218" s="27"/>
      <x:c r="M218" s="27" t="str">
        <x:v>Oil/USD</x:v>
      </x:c>
      <x:c r="N218" s="27"/>
      <x:c r="O218" s="27"/>
      <x:c r="P218" s="27" t="n">
        <x:v>46530</x:v>
      </x:c>
      <x:c r="Q218" s="27" t="n">
        <x:v>45178</x:v>
      </x:c>
      <x:c r="R218" s="27" t="n">
        <x:v>46530</x:v>
      </x:c>
      <x:c r="S218" s="27" t="n">
        <x:v>7300000</x:v>
      </x:c>
      <x:c r="T218" s="27" t="n">
        <x:v>7300000</x:v>
      </x:c>
      <x:c r="U218" s="27" t="n">
        <x:v>7300000</x:v>
      </x:c>
      <x:c r="V218" s="27" t="str">
        <x:v>M</x:v>
      </x:c>
      <x:c r="W218" s="27" t="str">
        <x:v>N</x:v>
      </x:c>
      <x:c r="X218" s="27" t="n">
        <x:v>10</x:v>
      </x:c>
      <x:c r="Y218" s="27" t="str">
        <x:v>S</x:v>
      </x:c>
      <x:c r="Z218" s="27" t="n">
        <x:v>46323</x:v>
      </x:c>
      <x:c r="AA218" s="27" t="str">
        <x:v>C</x:v>
      </x:c>
      <x:c r="AB218" s="27" t="n">
        <x:v>69.186</x:v>
      </x:c>
      <x:c r="AC218" s="27" t="n">
        <x:v>78</x:v>
      </x:c>
      <x:c r="AD218" s="27" t="n">
        <x:v>139612.5</x:v>
      </x:c>
      <x:c r="AE218" s="27" t="str">
        <x:v>Public-safe anonymized industry-style SA-CCR sample</x:v>
      </x:c>
      <x:c r="AF218" s="27" t="str">
        <x:v>ANON-000215</x:v>
      </x:c>
      <x:c r="AG218" s="27" t="str">
        <x:v>Commodity Option</x:v>
      </x:c>
      <x:c r="AH218" s="27"/>
      <x:c r="AI218" s="27" t="str">
        <x:v>Oil/USD</x:v>
      </x:c>
    </x:row>
    <x:row r="219">
      <x:c r="A219" s="27" t="n">
        <x:v>45702</x:v>
      </x:c>
      <x:c r="B219" s="27" t="str">
        <x:v>IND_CLEARING_MEMBER_001</x:v>
      </x:c>
      <x:c r="C219" s="27" t="n">
        <x:v>3186</x:v>
      </x:c>
      <x:c r="D219" s="27" t="str">
        <x:v>IND-000216</x:v>
      </x:c>
      <x:c r="E219" s="27" t="str">
        <x:v>Commodity Option</x:v>
      </x:c>
      <x:c r="F219" s="27" t="str">
        <x:v>Commodity</x:v>
      </x:c>
      <x:c r="G219" s="27" t="str">
        <x:v>Gold</x:v>
      </x:c>
      <x:c r="H219" s="27" t="str">
        <x:v>XAU</x:v>
      </x:c>
      <x:c r="I219" s="27" t="str">
        <x:v>CNY</x:v>
      </x:c>
      <x:c r="J219" s="27" t="str">
        <x:v>CNY</x:v>
      </x:c>
      <x:c r="K219" s="27"/>
      <x:c r="L219" s="27"/>
      <x:c r="M219" s="27" t="str">
        <x:v>XAU/CNY</x:v>
      </x:c>
      <x:c r="N219" s="27"/>
      <x:c r="O219" s="27"/>
      <x:c r="P219" s="27" t="n">
        <x:v>46511</x:v>
      </x:c>
      <x:c r="Q219" s="27" t="n">
        <x:v>45653</x:v>
      </x:c>
      <x:c r="R219" s="27" t="n">
        <x:v>46511</x:v>
      </x:c>
      <x:c r="S219" s="27" t="n">
        <x:v>10750</x:v>
      </x:c>
      <x:c r="T219" s="27" t="n">
        <x:v>153571428.57</x:v>
      </x:c>
      <x:c r="U219" s="27" t="n">
        <x:v>21500000</x:v>
      </x:c>
      <x:c r="V219" s="27" t="str">
        <x:v>U</x:v>
      </x:c>
      <x:c r="W219" s="27" t="str">
        <x:v>N</x:v>
      </x:c>
      <x:c r="X219" s="27"/>
      <x:c r="Y219" s="27" t="str">
        <x:v>B</x:v>
      </x:c>
      <x:c r="Z219" s="27" t="n">
        <x:v>46308</x:v>
      </x:c>
      <x:c r="AA219" s="27" t="str">
        <x:v>C</x:v>
      </x:c>
      <x:c r="AB219" s="27" t="n">
        <x:v>2380.05</x:v>
      </x:c>
      <x:c r="AC219" s="27" t="n">
        <x:v>2050</x:v>
      </x:c>
      <x:c r="AD219" s="27" t="n">
        <x:v>78367.5</x:v>
      </x:c>
      <x:c r="AE219" s="27" t="str">
        <x:v>Public-safe anonymized industry-style SA-CCR sample</x:v>
      </x:c>
      <x:c r="AF219" s="27" t="str">
        <x:v>ANON-000216</x:v>
      </x:c>
      <x:c r="AG219" s="27" t="str">
        <x:v>Commodity Option</x:v>
      </x:c>
      <x:c r="AH219" s="27"/>
      <x:c r="AI219" s="27" t="str">
        <x:v>XAU/CNY</x:v>
      </x:c>
    </x:row>
    <x:row r="220">
      <x:c r="A220" s="27" t="n">
        <x:v>45702</x:v>
      </x:c>
      <x:c r="B220" s="27" t="str">
        <x:v>IND_PENSION_001</x:v>
      </x:c>
      <x:c r="C220" s="27" t="n">
        <x:v>3060</x:v>
      </x:c>
      <x:c r="D220" s="27" t="str">
        <x:v>IND-000217</x:v>
      </x:c>
      <x:c r="E220" s="27" t="str">
        <x:v>Commodity Option</x:v>
      </x:c>
      <x:c r="F220" s="27" t="str">
        <x:v>Commodity</x:v>
      </x:c>
      <x:c r="G220" s="27" t="str">
        <x:v>Gold</x:v>
      </x:c>
      <x:c r="H220" s="27" t="str">
        <x:v>XAU</x:v>
      </x:c>
      <x:c r="I220" s="27" t="str">
        <x:v>USD</x:v>
      </x:c>
      <x:c r="J220" s="27" t="str">
        <x:v>USD</x:v>
      </x:c>
      <x:c r="K220" s="27"/>
      <x:c r="L220" s="27"/>
      <x:c r="M220" s="27" t="str">
        <x:v>XAU/USD</x:v>
      </x:c>
      <x:c r="N220" s="27"/>
      <x:c r="O220" s="27"/>
      <x:c r="P220" s="27" t="n">
        <x:v>46035</x:v>
      </x:c>
      <x:c r="Q220" s="27" t="n">
        <x:v>45329</x:v>
      </x:c>
      <x:c r="R220" s="27" t="n">
        <x:v>46035</x:v>
      </x:c>
      <x:c r="S220" s="27" t="n">
        <x:v>2850</x:v>
      </x:c>
      <x:c r="T220" s="27" t="n">
        <x:v>5700000</x:v>
      </x:c>
      <x:c r="U220" s="27" t="n">
        <x:v>5700000</x:v>
      </x:c>
      <x:c r="V220" s="27" t="str">
        <x:v>U</x:v>
      </x:c>
      <x:c r="W220" s="27" t="str">
        <x:v>N</x:v>
      </x:c>
      <x:c r="X220" s="27"/>
      <x:c r="Y220" s="27" t="str">
        <x:v>B</x:v>
      </x:c>
      <x:c r="Z220" s="27" t="n">
        <x:v>45951</x:v>
      </x:c>
      <x:c r="AA220" s="27" t="str">
        <x:v>P</x:v>
      </x:c>
      <x:c r="AB220" s="27" t="n">
        <x:v>1890.1</x:v>
      </x:c>
      <x:c r="AC220" s="27" t="n">
        <x:v>2050</x:v>
      </x:c>
      <x:c r="AD220" s="27" t="n">
        <x:v>-150565.5</x:v>
      </x:c>
      <x:c r="AE220" s="27" t="str">
        <x:v>Public-safe anonymized industry-style SA-CCR sample</x:v>
      </x:c>
      <x:c r="AF220" s="27" t="str">
        <x:v>ANON-000217</x:v>
      </x:c>
      <x:c r="AG220" s="27" t="str">
        <x:v>Commodity Option</x:v>
      </x:c>
      <x:c r="AH220" s="27"/>
      <x:c r="AI220" s="27" t="str">
        <x:v>XAU/USD</x:v>
      </x:c>
    </x:row>
    <x:row r="221">
      <x:c r="A221" s="27" t="n">
        <x:v>45702</x:v>
      </x:c>
      <x:c r="B221" s="27" t="str">
        <x:v>IND_PENSION_001</x:v>
      </x:c>
      <x:c r="C221" s="27" t="n">
        <x:v>3060</x:v>
      </x:c>
      <x:c r="D221" s="27" t="str">
        <x:v>IND-000218</x:v>
      </x:c>
      <x:c r="E221" s="27" t="str">
        <x:v>Commodity Option</x:v>
      </x:c>
      <x:c r="F221" s="27" t="str">
        <x:v>Commodity</x:v>
      </x:c>
      <x:c r="G221" s="27" t="str">
        <x:v>Gold</x:v>
      </x:c>
      <x:c r="H221" s="27" t="str">
        <x:v>XAU</x:v>
      </x:c>
      <x:c r="I221" s="27" t="str">
        <x:v>USD</x:v>
      </x:c>
      <x:c r="J221" s="27" t="str">
        <x:v>USD</x:v>
      </x:c>
      <x:c r="K221" s="27"/>
      <x:c r="L221" s="27"/>
      <x:c r="M221" s="27" t="str">
        <x:v>XAU/USD</x:v>
      </x:c>
      <x:c r="N221" s="27"/>
      <x:c r="O221" s="27"/>
      <x:c r="P221" s="27" t="n">
        <x:v>47056</x:v>
      </x:c>
      <x:c r="Q221" s="27" t="n">
        <x:v>45610</x:v>
      </x:c>
      <x:c r="R221" s="27" t="n">
        <x:v>47056</x:v>
      </x:c>
      <x:c r="S221" s="27" t="n">
        <x:v>25150</x:v>
      </x:c>
      <x:c r="T221" s="27" t="n">
        <x:v>50300000</x:v>
      </x:c>
      <x:c r="U221" s="27" t="n">
        <x:v>50300000</x:v>
      </x:c>
      <x:c r="V221" s="27" t="str">
        <x:v>U</x:v>
      </x:c>
      <x:c r="W221" s="27" t="str">
        <x:v>N</x:v>
      </x:c>
      <x:c r="X221" s="27"/>
      <x:c r="Y221" s="27" t="str">
        <x:v>S</x:v>
      </x:c>
      <x:c r="Z221" s="27" t="n">
        <x:v>46717</x:v>
      </x:c>
      <x:c r="AA221" s="27" t="str">
        <x:v>C</x:v>
      </x:c>
      <x:c r="AB221" s="27" t="n">
        <x:v>1812.2</x:v>
      </x:c>
      <x:c r="AC221" s="27" t="n">
        <x:v>2050</x:v>
      </x:c>
      <x:c r="AD221" s="27" t="n">
        <x:v>-1170229.5</x:v>
      </x:c>
      <x:c r="AE221" s="27" t="str">
        <x:v>Public-safe anonymized industry-style SA-CCR sample</x:v>
      </x:c>
      <x:c r="AF221" s="27" t="str">
        <x:v>ANON-000218</x:v>
      </x:c>
      <x:c r="AG221" s="27" t="str">
        <x:v>Commodity Option</x:v>
      </x:c>
      <x:c r="AH221" s="27"/>
      <x:c r="AI221" s="27" t="str">
        <x:v>XAU/USD</x:v>
      </x:c>
    </x:row>
    <x:row r="222">
      <x:c r="A222" s="27" t="n">
        <x:v>45702</x:v>
      </x:c>
      <x:c r="B222" s="27" t="str">
        <x:v>IND_ASSET_MANAGER_001</x:v>
      </x:c>
      <x:c r="C222" s="27" t="n">
        <x:v>3331</x:v>
      </x:c>
      <x:c r="D222" s="27" t="str">
        <x:v>IND-000219</x:v>
      </x:c>
      <x:c r="E222" s="27" t="str">
        <x:v>Commodity Option</x:v>
      </x:c>
      <x:c r="F222" s="27" t="str">
        <x:v>Commodity</x:v>
      </x:c>
      <x:c r="G222" s="27" t="str">
        <x:v>Gold</x:v>
      </x:c>
      <x:c r="H222" s="27" t="str">
        <x:v>XAU</x:v>
      </x:c>
      <x:c r="I222" s="27" t="str">
        <x:v>USD</x:v>
      </x:c>
      <x:c r="J222" s="27" t="str">
        <x:v>USD</x:v>
      </x:c>
      <x:c r="K222" s="27"/>
      <x:c r="L222" s="27"/>
      <x:c r="M222" s="27" t="str">
        <x:v>XAU/USD</x:v>
      </x:c>
      <x:c r="N222" s="27"/>
      <x:c r="O222" s="27"/>
      <x:c r="P222" s="27" t="n">
        <x:v>47268</x:v>
      </x:c>
      <x:c r="Q222" s="27" t="n">
        <x:v>45546</x:v>
      </x:c>
      <x:c r="R222" s="27" t="n">
        <x:v>47268</x:v>
      </x:c>
      <x:c r="S222" s="27" t="n">
        <x:v>30950</x:v>
      </x:c>
      <x:c r="T222" s="27" t="n">
        <x:v>61900000</x:v>
      </x:c>
      <x:c r="U222" s="27" t="n">
        <x:v>61900000</x:v>
      </x:c>
      <x:c r="V222" s="27" t="str">
        <x:v>M</x:v>
      </x:c>
      <x:c r="W222" s="27" t="str">
        <x:v>N</x:v>
      </x:c>
      <x:c r="X222" s="27" t="n">
        <x:v>10</x:v>
      </x:c>
      <x:c r="Y222" s="27" t="str">
        <x:v>B</x:v>
      </x:c>
      <x:c r="Z222" s="27" t="n">
        <x:v>46876</x:v>
      </x:c>
      <x:c r="AA222" s="27" t="str">
        <x:v>P</x:v>
      </x:c>
      <x:c r="AB222" s="27" t="n">
        <x:v>2004.9</x:v>
      </x:c>
      <x:c r="AC222" s="27" t="n">
        <x:v>2050</x:v>
      </x:c>
      <x:c r="AD222" s="27" t="n">
        <x:v>-1339825.5</x:v>
      </x:c>
      <x:c r="AE222" s="27" t="str">
        <x:v>Public-safe anonymized industry-style SA-CCR sample</x:v>
      </x:c>
      <x:c r="AF222" s="27" t="str">
        <x:v>ANON-000219</x:v>
      </x:c>
      <x:c r="AG222" s="27" t="str">
        <x:v>Commodity Option</x:v>
      </x:c>
      <x:c r="AH222" s="27"/>
      <x:c r="AI222" s="27" t="str">
        <x:v>XAU/USD</x:v>
      </x:c>
    </x:row>
    <x:row r="223">
      <x:c r="A223" s="27" t="n">
        <x:v>45702</x:v>
      </x:c>
      <x:c r="B223" s="27" t="str">
        <x:v>IND_ASSET_MANAGER_001</x:v>
      </x:c>
      <x:c r="C223" s="27" t="n">
        <x:v>3331</x:v>
      </x:c>
      <x:c r="D223" s="27" t="str">
        <x:v>IND-000220</x:v>
      </x:c>
      <x:c r="E223" s="27" t="str">
        <x:v>Commodity Option</x:v>
      </x:c>
      <x:c r="F223" s="27" t="str">
        <x:v>Commodity</x:v>
      </x:c>
      <x:c r="G223" s="27" t="str">
        <x:v>Gold</x:v>
      </x:c>
      <x:c r="H223" s="27" t="str">
        <x:v>XAU</x:v>
      </x:c>
      <x:c r="I223" s="27" t="str">
        <x:v>USD</x:v>
      </x:c>
      <x:c r="J223" s="27" t="str">
        <x:v>USD</x:v>
      </x:c>
      <x:c r="K223" s="27"/>
      <x:c r="L223" s="27"/>
      <x:c r="M223" s="27" t="str">
        <x:v>XAU/USD</x:v>
      </x:c>
      <x:c r="N223" s="27"/>
      <x:c r="O223" s="27"/>
      <x:c r="P223" s="27" t="n">
        <x:v>47561</x:v>
      </x:c>
      <x:c r="Q223" s="27" t="n">
        <x:v>45343</x:v>
      </x:c>
      <x:c r="R223" s="27" t="n">
        <x:v>47561</x:v>
      </x:c>
      <x:c r="S223" s="27" t="n">
        <x:v>9800</x:v>
      </x:c>
      <x:c r="T223" s="27" t="n">
        <x:v>19600000</x:v>
      </x:c>
      <x:c r="U223" s="27" t="n">
        <x:v>19600000</x:v>
      </x:c>
      <x:c r="V223" s="27" t="str">
        <x:v>M</x:v>
      </x:c>
      <x:c r="W223" s="27" t="str">
        <x:v>N</x:v>
      </x:c>
      <x:c r="X223" s="27" t="n">
        <x:v>10</x:v>
      </x:c>
      <x:c r="Y223" s="27" t="str">
        <x:v>S</x:v>
      </x:c>
      <x:c r="Z223" s="27" t="n">
        <x:v>47096</x:v>
      </x:c>
      <x:c r="AA223" s="27" t="str">
        <x:v>C</x:v>
      </x:c>
      <x:c r="AB223" s="27" t="n">
        <x:v>2240.65</x:v>
      </x:c>
      <x:c r="AC223" s="27" t="n">
        <x:v>2050</x:v>
      </x:c>
      <x:c r="AD223" s="27" t="n">
        <x:v>150822</x:v>
      </x:c>
      <x:c r="AE223" s="27" t="str">
        <x:v>Public-safe anonymized industry-style SA-CCR sample</x:v>
      </x:c>
      <x:c r="AF223" s="27" t="str">
        <x:v>ANON-000220</x:v>
      </x:c>
      <x:c r="AG223" s="27" t="str">
        <x:v>Commodity Option</x:v>
      </x:c>
      <x:c r="AH223" s="27"/>
      <x:c r="AI223" s="27" t="str">
        <x:v>XAU/USD</x:v>
      </x:c>
    </x:row>
    <x:row r="224">
      <x:c r="A224" s="27" t="n">
        <x:v>45702</x:v>
      </x:c>
      <x:c r="B224" s="27" t="str">
        <x:v>IND_HEDGE_FUND_001</x:v>
      </x:c>
      <x:c r="C224" s="27" t="n">
        <x:v>3109</x:v>
      </x:c>
      <x:c r="D224" s="27" t="str">
        <x:v>IND-000221</x:v>
      </x:c>
      <x:c r="E224" s="27" t="str">
        <x:v>Commodity Option</x:v>
      </x:c>
      <x:c r="F224" s="27" t="str">
        <x:v>Commodity</x:v>
      </x:c>
      <x:c r="G224" s="27" t="str">
        <x:v>Gold</x:v>
      </x:c>
      <x:c r="H224" s="27" t="str">
        <x:v>XAU</x:v>
      </x:c>
      <x:c r="I224" s="27" t="str">
        <x:v>CNY</x:v>
      </x:c>
      <x:c r="J224" s="27" t="str">
        <x:v>CNY</x:v>
      </x:c>
      <x:c r="K224" s="27"/>
      <x:c r="L224" s="27"/>
      <x:c r="M224" s="27" t="str">
        <x:v>XAU/CNY</x:v>
      </x:c>
      <x:c r="N224" s="27"/>
      <x:c r="O224" s="27"/>
      <x:c r="P224" s="27" t="n">
        <x:v>46351</x:v>
      </x:c>
      <x:c r="Q224" s="27" t="n">
        <x:v>45538</x:v>
      </x:c>
      <x:c r="R224" s="27" t="n">
        <x:v>46351</x:v>
      </x:c>
      <x:c r="S224" s="27" t="n">
        <x:v>29050</x:v>
      </x:c>
      <x:c r="T224" s="27" t="n">
        <x:v>415000000</x:v>
      </x:c>
      <x:c r="U224" s="27" t="n">
        <x:v>58100000</x:v>
      </x:c>
      <x:c r="V224" s="27" t="str">
        <x:v>M</x:v>
      </x:c>
      <x:c r="W224" s="27" t="str">
        <x:v>N</x:v>
      </x:c>
      <x:c r="X224" s="27" t="n">
        <x:v>10</x:v>
      </x:c>
      <x:c r="Y224" s="27" t="str">
        <x:v>B</x:v>
      </x:c>
      <x:c r="Z224" s="27" t="n">
        <x:v>46188</x:v>
      </x:c>
      <x:c r="AA224" s="27" t="str">
        <x:v>C</x:v>
      </x:c>
      <x:c r="AB224" s="27" t="n">
        <x:v>1822.45</x:v>
      </x:c>
      <x:c r="AC224" s="27" t="n">
        <x:v>2050</x:v>
      </x:c>
      <x:c r="AD224" s="27" t="n">
        <x:v>2567439</x:v>
      </x:c>
      <x:c r="AE224" s="27" t="str">
        <x:v>Public-safe anonymized industry-style SA-CCR sample</x:v>
      </x:c>
      <x:c r="AF224" s="27" t="str">
        <x:v>ANON-000221</x:v>
      </x:c>
      <x:c r="AG224" s="27" t="str">
        <x:v>Commodity Option</x:v>
      </x:c>
      <x:c r="AH224" s="27"/>
      <x:c r="AI224" s="27" t="str">
        <x:v>XAU/CNY</x:v>
      </x:c>
    </x:row>
    <x:row r="225">
      <x:c r="A225" s="27" t="n">
        <x:v>45702</x:v>
      </x:c>
      <x:c r="B225" s="27" t="str">
        <x:v>IND_SOVEREIGN_001</x:v>
      </x:c>
      <x:c r="C225" s="27" t="n">
        <x:v>3126</x:v>
      </x:c>
      <x:c r="D225" s="27" t="str">
        <x:v>IND-000222</x:v>
      </x:c>
      <x:c r="E225" s="27" t="str">
        <x:v>Commodity Option</x:v>
      </x:c>
      <x:c r="F225" s="27" t="str">
        <x:v>Commodity</x:v>
      </x:c>
      <x:c r="G225" s="27" t="str">
        <x:v>Gold</x:v>
      </x:c>
      <x:c r="H225" s="27" t="str">
        <x:v>Oil</x:v>
      </x:c>
      <x:c r="I225" s="27" t="str">
        <x:v>USD</x:v>
      </x:c>
      <x:c r="J225" s="27" t="str">
        <x:v>USD</x:v>
      </x:c>
      <x:c r="K225" s="27"/>
      <x:c r="L225" s="27"/>
      <x:c r="M225" s="27" t="str">
        <x:v>Oil/USD</x:v>
      </x:c>
      <x:c r="N225" s="27"/>
      <x:c r="O225" s="27"/>
      <x:c r="P225" s="27" t="n">
        <x:v>46228</x:v>
      </x:c>
      <x:c r="Q225" s="27" t="n">
        <x:v>45615</x:v>
      </x:c>
      <x:c r="R225" s="27" t="n">
        <x:v>46228</x:v>
      </x:c>
      <x:c r="S225" s="27" t="n">
        <x:v>29200000</x:v>
      </x:c>
      <x:c r="T225" s="27" t="n">
        <x:v>29200000</x:v>
      </x:c>
      <x:c r="U225" s="27" t="n">
        <x:v>29200000</x:v>
      </x:c>
      <x:c r="V225" s="27" t="str">
        <x:v>U</x:v>
      </x:c>
      <x:c r="W225" s="27" t="str">
        <x:v>N</x:v>
      </x:c>
      <x:c r="X225" s="27"/>
      <x:c r="Y225" s="27" t="str">
        <x:v>S</x:v>
      </x:c>
      <x:c r="Z225" s="27" t="n">
        <x:v>46096</x:v>
      </x:c>
      <x:c r="AA225" s="27" t="str">
        <x:v>C</x:v>
      </x:c>
      <x:c r="AB225" s="27" t="n">
        <x:v>88.998</x:v>
      </x:c>
      <x:c r="AC225" s="27" t="n">
        <x:v>78</x:v>
      </x:c>
      <x:c r="AD225" s="27" t="n">
        <x:v>45990</x:v>
      </x:c>
      <x:c r="AE225" s="27" t="str">
        <x:v>Public-safe anonymized industry-style SA-CCR sample</x:v>
      </x:c>
      <x:c r="AF225" s="27" t="str">
        <x:v>ANON-000222</x:v>
      </x:c>
      <x:c r="AG225" s="27" t="str">
        <x:v>Commodity Option</x:v>
      </x:c>
      <x:c r="AH225" s="27"/>
      <x:c r="AI225" s="27" t="str">
        <x:v>Oil/USD</x:v>
      </x:c>
    </x:row>
    <x:row r="226">
      <x:c r="A226" s="27" t="n">
        <x:v>45702</x:v>
      </x:c>
      <x:c r="B226" s="27" t="str">
        <x:v>IND_HEDGE_FUND_001</x:v>
      </x:c>
      <x:c r="C226" s="27" t="n">
        <x:v>3109</x:v>
      </x:c>
      <x:c r="D226" s="27" t="str">
        <x:v>IND-000223</x:v>
      </x:c>
      <x:c r="E226" s="27" t="str">
        <x:v>Commodity Option</x:v>
      </x:c>
      <x:c r="F226" s="27" t="str">
        <x:v>Commodity</x:v>
      </x:c>
      <x:c r="G226" s="27" t="str">
        <x:v>Gold</x:v>
      </x:c>
      <x:c r="H226" s="27" t="str">
        <x:v>XAU</x:v>
      </x:c>
      <x:c r="I226" s="27" t="str">
        <x:v>CNY</x:v>
      </x:c>
      <x:c r="J226" s="27" t="str">
        <x:v>CNY</x:v>
      </x:c>
      <x:c r="K226" s="27"/>
      <x:c r="L226" s="27"/>
      <x:c r="M226" s="27" t="str">
        <x:v>XAU/CNY</x:v>
      </x:c>
      <x:c r="N226" s="27"/>
      <x:c r="O226" s="27"/>
      <x:c r="P226" s="27" t="n">
        <x:v>47407</x:v>
      </x:c>
      <x:c r="Q226" s="27" t="n">
        <x:v>45069</x:v>
      </x:c>
      <x:c r="R226" s="27" t="n">
        <x:v>47407</x:v>
      </x:c>
      <x:c r="S226" s="27" t="n">
        <x:v>24600</x:v>
      </x:c>
      <x:c r="T226" s="27" t="n">
        <x:v>351428571.43</x:v>
      </x:c>
      <x:c r="U226" s="27" t="n">
        <x:v>49200000</x:v>
      </x:c>
      <x:c r="V226" s="27" t="str">
        <x:v>M</x:v>
      </x:c>
      <x:c r="W226" s="27" t="str">
        <x:v>N</x:v>
      </x:c>
      <x:c r="X226" s="27" t="n">
        <x:v>10</x:v>
      </x:c>
      <x:c r="Y226" s="27" t="str">
        <x:v>B</x:v>
      </x:c>
      <x:c r="Z226" s="27" t="n">
        <x:v>46980</x:v>
      </x:c>
      <x:c r="AA226" s="27" t="str">
        <x:v>C</x:v>
      </x:c>
      <x:c r="AB226" s="27" t="n">
        <x:v>2002.85</x:v>
      </x:c>
      <x:c r="AC226" s="27" t="n">
        <x:v>2050</x:v>
      </x:c>
      <x:c r="AD226" s="27" t="n">
        <x:v>172692</x:v>
      </x:c>
      <x:c r="AE226" s="27" t="str">
        <x:v>Public-safe anonymized industry-style SA-CCR sample</x:v>
      </x:c>
      <x:c r="AF226" s="27" t="str">
        <x:v>ANON-000223</x:v>
      </x:c>
      <x:c r="AG226" s="27" t="str">
        <x:v>Commodity Option</x:v>
      </x:c>
      <x:c r="AH226" s="27"/>
      <x:c r="AI226" s="27" t="str">
        <x:v>XAU/CNY</x:v>
      </x:c>
    </x:row>
    <x:row r="227">
      <x:c r="A227" s="27" t="n">
        <x:v>45702</x:v>
      </x:c>
      <x:c r="B227" s="27" t="str">
        <x:v>IND_BANK_002</x:v>
      </x:c>
      <x:c r="C227" s="27" t="n">
        <x:v>3259</x:v>
      </x:c>
      <x:c r="D227" s="27" t="str">
        <x:v>IND-000224</x:v>
      </x:c>
      <x:c r="E227" s="27" t="str">
        <x:v>Commodity Option</x:v>
      </x:c>
      <x:c r="F227" s="27" t="str">
        <x:v>Commodity</x:v>
      </x:c>
      <x:c r="G227" s="27" t="str">
        <x:v>Gold</x:v>
      </x:c>
      <x:c r="H227" s="27" t="str">
        <x:v>XAU</x:v>
      </x:c>
      <x:c r="I227" s="27" t="str">
        <x:v>CNY</x:v>
      </x:c>
      <x:c r="J227" s="27" t="str">
        <x:v>CNY</x:v>
      </x:c>
      <x:c r="K227" s="27"/>
      <x:c r="L227" s="27"/>
      <x:c r="M227" s="27" t="str">
        <x:v>XAU/CNY</x:v>
      </x:c>
      <x:c r="N227" s="27"/>
      <x:c r="O227" s="27"/>
      <x:c r="P227" s="27" t="n">
        <x:v>46799</x:v>
      </x:c>
      <x:c r="Q227" s="27" t="n">
        <x:v>45241</x:v>
      </x:c>
      <x:c r="R227" s="27" t="n">
        <x:v>46799</x:v>
      </x:c>
      <x:c r="S227" s="27" t="n">
        <x:v>1900</x:v>
      </x:c>
      <x:c r="T227" s="27" t="n">
        <x:v>27142857.14</x:v>
      </x:c>
      <x:c r="U227" s="27" t="n">
        <x:v>3800000</x:v>
      </x:c>
      <x:c r="V227" s="27" t="str">
        <x:v>M</x:v>
      </x:c>
      <x:c r="W227" s="27" t="str">
        <x:v>N</x:v>
      </x:c>
      <x:c r="X227" s="27" t="n">
        <x:v>10</x:v>
      </x:c>
      <x:c r="Y227" s="27" t="str">
        <x:v>B</x:v>
      </x:c>
      <x:c r="Z227" s="27" t="n">
        <x:v>46524</x:v>
      </x:c>
      <x:c r="AA227" s="27" t="str">
        <x:v>P</x:v>
      </x:c>
      <x:c r="AB227" s="27" t="n">
        <x:v>1867.55</x:v>
      </x:c>
      <x:c r="AC227" s="27" t="n">
        <x:v>2050</x:v>
      </x:c>
      <x:c r="AD227" s="27" t="n">
        <x:v>23769</x:v>
      </x:c>
      <x:c r="AE227" s="27" t="str">
        <x:v>Public-safe anonymized industry-style SA-CCR sample</x:v>
      </x:c>
      <x:c r="AF227" s="27" t="str">
        <x:v>ANON-000224</x:v>
      </x:c>
      <x:c r="AG227" s="27" t="str">
        <x:v>Commodity Option</x:v>
      </x:c>
      <x:c r="AH227" s="27"/>
      <x:c r="AI227" s="27" t="str">
        <x:v>XAU/CNY</x:v>
      </x:c>
    </x:row>
    <x:row r="228">
      <x:c r="A228" s="27" t="n">
        <x:v>45702</x:v>
      </x:c>
      <x:c r="B228" s="27" t="str">
        <x:v>IND_ASSET_MANAGER_001</x:v>
      </x:c>
      <x:c r="C228" s="27" t="n">
        <x:v>3331</x:v>
      </x:c>
      <x:c r="D228" s="27" t="str">
        <x:v>IND-000225</x:v>
      </x:c>
      <x:c r="E228" s="27" t="str">
        <x:v>Oil Forward</x:v>
      </x:c>
      <x:c r="F228" s="27" t="str">
        <x:v>Commodity</x:v>
      </x:c>
      <x:c r="G228" s="27" t="str">
        <x:v>Oil</x:v>
      </x:c>
      <x:c r="H228" s="27" t="str">
        <x:v>Oil</x:v>
      </x:c>
      <x:c r="I228" s="27" t="str">
        <x:v>USD</x:v>
      </x:c>
      <x:c r="J228" s="27" t="str">
        <x:v>USD</x:v>
      </x:c>
      <x:c r="K228" s="27"/>
      <x:c r="L228" s="27"/>
      <x:c r="M228" s="27" t="str">
        <x:v>Oil/USD</x:v>
      </x:c>
      <x:c r="N228" s="27"/>
      <x:c r="O228" s="27"/>
      <x:c r="P228" s="27" t="n">
        <x:v>46750</x:v>
      </x:c>
      <x:c r="Q228" s="27" t="n">
        <x:v>44941</x:v>
      </x:c>
      <x:c r="R228" s="27" t="n">
        <x:v>46750</x:v>
      </x:c>
      <x:c r="S228" s="27" t="n">
        <x:v>3600000</x:v>
      </x:c>
      <x:c r="T228" s="27" t="n">
        <x:v>3600000</x:v>
      </x:c>
      <x:c r="U228" s="27" t="n">
        <x:v>3600000</x:v>
      </x:c>
      <x:c r="V228" s="27" t="str">
        <x:v>M</x:v>
      </x:c>
      <x:c r="W228" s="27" t="str">
        <x:v>N</x:v>
      </x:c>
      <x:c r="X228" s="27" t="n">
        <x:v>10</x:v>
      </x:c>
      <x:c r="Y228" s="27" t="str">
        <x:v>B</x:v>
      </x:c>
      <x:c r="Z228" s="27"/>
      <x:c r="AA228" s="27"/>
      <x:c r="AB228" s="27" t="n">
        <x:v>0</x:v>
      </x:c>
      <x:c r="AC228" s="27" t="n">
        <x:v>0</x:v>
      </x:c>
      <x:c r="AD228" s="27" t="n">
        <x:v>-3780</x:v>
      </x:c>
      <x:c r="AE228" s="27" t="str">
        <x:v>Public-safe anonymized industry-style SA-CCR sample</x:v>
      </x:c>
      <x:c r="AF228" s="27" t="str">
        <x:v>ANON-000225</x:v>
      </x:c>
      <x:c r="AG228" s="27" t="str">
        <x:v>Oil Forward</x:v>
      </x:c>
      <x:c r="AH228" s="27"/>
      <x:c r="AI228" s="27" t="str">
        <x:v>Oil/USD</x:v>
      </x:c>
    </x:row>
    <x:row r="229">
      <x:c r="A229" s="27" t="n">
        <x:v>45702</x:v>
      </x:c>
      <x:c r="B229" s="27" t="str">
        <x:v>IND_HEDGE_FUND_001</x:v>
      </x:c>
      <x:c r="C229" s="27" t="n">
        <x:v>3109</x:v>
      </x:c>
      <x:c r="D229" s="27" t="str">
        <x:v>IND-000226</x:v>
      </x:c>
      <x:c r="E229" s="27" t="str">
        <x:v>Oil Forward</x:v>
      </x:c>
      <x:c r="F229" s="27" t="str">
        <x:v>Commodity</x:v>
      </x:c>
      <x:c r="G229" s="27" t="str">
        <x:v>Oil</x:v>
      </x:c>
      <x:c r="H229" s="27" t="str">
        <x:v>Oil</x:v>
      </x:c>
      <x:c r="I229" s="27" t="str">
        <x:v>USD</x:v>
      </x:c>
      <x:c r="J229" s="27" t="str">
        <x:v>USD</x:v>
      </x:c>
      <x:c r="K229" s="27"/>
      <x:c r="L229" s="27"/>
      <x:c r="M229" s="27" t="str">
        <x:v>Oil/USD</x:v>
      </x:c>
      <x:c r="N229" s="27"/>
      <x:c r="O229" s="27"/>
      <x:c r="P229" s="27" t="n">
        <x:v>47861</x:v>
      </x:c>
      <x:c r="Q229" s="27" t="n">
        <x:v>44888</x:v>
      </x:c>
      <x:c r="R229" s="27" t="n">
        <x:v>47861</x:v>
      </x:c>
      <x:c r="S229" s="27" t="n">
        <x:v>1100000</x:v>
      </x:c>
      <x:c r="T229" s="27" t="n">
        <x:v>1100000</x:v>
      </x:c>
      <x:c r="U229" s="27" t="n">
        <x:v>1100000</x:v>
      </x:c>
      <x:c r="V229" s="27" t="str">
        <x:v>M</x:v>
      </x:c>
      <x:c r="W229" s="27" t="str">
        <x:v>N</x:v>
      </x:c>
      <x:c r="X229" s="27" t="n">
        <x:v>10</x:v>
      </x:c>
      <x:c r="Y229" s="27" t="str">
        <x:v>S</x:v>
      </x:c>
      <x:c r="Z229" s="27"/>
      <x:c r="AA229" s="27"/>
      <x:c r="AB229" s="27" t="n">
        <x:v>0</x:v>
      </x:c>
      <x:c r="AC229" s="27" t="n">
        <x:v>0</x:v>
      </x:c>
      <x:c r="AD229" s="27" t="n">
        <x:v>1584</x:v>
      </x:c>
      <x:c r="AE229" s="27" t="str">
        <x:v>Public-safe anonymized industry-style SA-CCR sample</x:v>
      </x:c>
      <x:c r="AF229" s="27" t="str">
        <x:v>ANON-000226</x:v>
      </x:c>
      <x:c r="AG229" s="27" t="str">
        <x:v>Oil Forward</x:v>
      </x:c>
      <x:c r="AH229" s="27"/>
      <x:c r="AI229" s="27" t="str">
        <x:v>Oil/USD</x:v>
      </x:c>
    </x:row>
    <x:row r="230">
      <x:c r="A230" s="27" t="n">
        <x:v>45702</x:v>
      </x:c>
      <x:c r="B230" s="27" t="str">
        <x:v>IND_INSURER_001</x:v>
      </x:c>
      <x:c r="C230" s="27" t="n">
        <x:v>3257</x:v>
      </x:c>
      <x:c r="D230" s="27" t="str">
        <x:v>IND-000227</x:v>
      </x:c>
      <x:c r="E230" s="27" t="str">
        <x:v>Oil Forward</x:v>
      </x:c>
      <x:c r="F230" s="27" t="str">
        <x:v>Commodity</x:v>
      </x:c>
      <x:c r="G230" s="27" t="str">
        <x:v>Oil</x:v>
      </x:c>
      <x:c r="H230" s="27" t="str">
        <x:v>Oil</x:v>
      </x:c>
      <x:c r="I230" s="27" t="str">
        <x:v>USD</x:v>
      </x:c>
      <x:c r="J230" s="27" t="str">
        <x:v>USD</x:v>
      </x:c>
      <x:c r="K230" s="27"/>
      <x:c r="L230" s="27"/>
      <x:c r="M230" s="27" t="str">
        <x:v>Oil/USD</x:v>
      </x:c>
      <x:c r="N230" s="27"/>
      <x:c r="O230" s="27"/>
      <x:c r="P230" s="27" t="n">
        <x:v>47653</x:v>
      </x:c>
      <x:c r="Q230" s="27" t="n">
        <x:v>45437</x:v>
      </x:c>
      <x:c r="R230" s="27" t="n">
        <x:v>47653</x:v>
      </x:c>
      <x:c r="S230" s="27" t="n">
        <x:v>4800000</x:v>
      </x:c>
      <x:c r="T230" s="27" t="n">
        <x:v>4800000</x:v>
      </x:c>
      <x:c r="U230" s="27" t="n">
        <x:v>4800000</x:v>
      </x:c>
      <x:c r="V230" s="27" t="str">
        <x:v>M</x:v>
      </x:c>
      <x:c r="W230" s="27" t="str">
        <x:v>N</x:v>
      </x:c>
      <x:c r="X230" s="27" t="n">
        <x:v>10</x:v>
      </x:c>
      <x:c r="Y230" s="27" t="str">
        <x:v>B</x:v>
      </x:c>
      <x:c r="Z230" s="27"/>
      <x:c r="AA230" s="27"/>
      <x:c r="AB230" s="27" t="n">
        <x:v>0</x:v>
      </x:c>
      <x:c r="AC230" s="27" t="n">
        <x:v>0</x:v>
      </x:c>
      <x:c r="AD230" s="27" t="n">
        <x:v>-135504</x:v>
      </x:c>
      <x:c r="AE230" s="27" t="str">
        <x:v>Public-safe anonymized industry-style SA-CCR sample</x:v>
      </x:c>
      <x:c r="AF230" s="27" t="str">
        <x:v>ANON-000227</x:v>
      </x:c>
      <x:c r="AG230" s="27" t="str">
        <x:v>Oil Forward</x:v>
      </x:c>
      <x:c r="AH230" s="27"/>
      <x:c r="AI230" s="27" t="str">
        <x:v>Oil/USD</x:v>
      </x:c>
    </x:row>
    <x:row r="231">
      <x:c r="A231" s="27" t="n">
        <x:v>45702</x:v>
      </x:c>
      <x:c r="B231" s="27" t="str">
        <x:v>IND_PENSION_001</x:v>
      </x:c>
      <x:c r="C231" s="27" t="n">
        <x:v>3113</x:v>
      </x:c>
      <x:c r="D231" s="27" t="str">
        <x:v>IND-000228</x:v>
      </x:c>
      <x:c r="E231" s="27" t="str">
        <x:v>Oil Forward</x:v>
      </x:c>
      <x:c r="F231" s="27" t="str">
        <x:v>Commodity</x:v>
      </x:c>
      <x:c r="G231" s="27" t="str">
        <x:v>Oil</x:v>
      </x:c>
      <x:c r="H231" s="27" t="str">
        <x:v>Oil</x:v>
      </x:c>
      <x:c r="I231" s="27" t="str">
        <x:v>USD</x:v>
      </x:c>
      <x:c r="J231" s="27" t="str">
        <x:v>USD</x:v>
      </x:c>
      <x:c r="K231" s="27"/>
      <x:c r="L231" s="27"/>
      <x:c r="M231" s="27" t="str">
        <x:v>Oil/USD</x:v>
      </x:c>
      <x:c r="N231" s="27"/>
      <x:c r="O231" s="27"/>
      <x:c r="P231" s="27" t="n">
        <x:v>47172</x:v>
      </x:c>
      <x:c r="Q231" s="27" t="n">
        <x:v>45467</x:v>
      </x:c>
      <x:c r="R231" s="27" t="n">
        <x:v>47172</x:v>
      </x:c>
      <x:c r="S231" s="27" t="n">
        <x:v>4900000</x:v>
      </x:c>
      <x:c r="T231" s="27" t="n">
        <x:v>4900000</x:v>
      </x:c>
      <x:c r="U231" s="27" t="n">
        <x:v>4900000</x:v>
      </x:c>
      <x:c r="V231" s="27" t="str">
        <x:v>M</x:v>
      </x:c>
      <x:c r="W231" s="27" t="str">
        <x:v>N</x:v>
      </x:c>
      <x:c r="X231" s="27" t="n">
        <x:v>10</x:v>
      </x:c>
      <x:c r="Y231" s="27" t="str">
        <x:v>S</x:v>
      </x:c>
      <x:c r="Z231" s="27"/>
      <x:c r="AA231" s="27"/>
      <x:c r="AB231" s="27" t="n">
        <x:v>0</x:v>
      </x:c>
      <x:c r="AC231" s="27" t="n">
        <x:v>0</x:v>
      </x:c>
      <x:c r="AD231" s="27" t="n">
        <x:v>6321</x:v>
      </x:c>
      <x:c r="AE231" s="27" t="str">
        <x:v>Public-safe anonymized industry-style SA-CCR sample</x:v>
      </x:c>
      <x:c r="AF231" s="27" t="str">
        <x:v>ANON-000228</x:v>
      </x:c>
      <x:c r="AG231" s="27" t="str">
        <x:v>Oil Forward</x:v>
      </x:c>
      <x:c r="AH231" s="27"/>
      <x:c r="AI231" s="27" t="str">
        <x:v>Oil/USD</x:v>
      </x:c>
    </x:row>
    <x:row r="232">
      <x:c r="A232" s="27" t="n">
        <x:v>45702</x:v>
      </x:c>
      <x:c r="B232" s="27" t="str">
        <x:v>IND_ASSET_MANAGER_001</x:v>
      </x:c>
      <x:c r="C232" s="27" t="n">
        <x:v>3205</x:v>
      </x:c>
      <x:c r="D232" s="27" t="str">
        <x:v>IND-000229</x:v>
      </x:c>
      <x:c r="E232" s="27" t="str">
        <x:v>Oil Forward</x:v>
      </x:c>
      <x:c r="F232" s="27" t="str">
        <x:v>Commodity</x:v>
      </x:c>
      <x:c r="G232" s="27" t="str">
        <x:v>Oil</x:v>
      </x:c>
      <x:c r="H232" s="27" t="str">
        <x:v>Oil</x:v>
      </x:c>
      <x:c r="I232" s="27" t="str">
        <x:v>USD</x:v>
      </x:c>
      <x:c r="J232" s="27" t="str">
        <x:v>USD</x:v>
      </x:c>
      <x:c r="K232" s="27"/>
      <x:c r="L232" s="27"/>
      <x:c r="M232" s="27" t="str">
        <x:v>Oil/USD</x:v>
      </x:c>
      <x:c r="N232" s="27"/>
      <x:c r="O232" s="27"/>
      <x:c r="P232" s="27" t="n">
        <x:v>46300</x:v>
      </x:c>
      <x:c r="Q232" s="27" t="n">
        <x:v>45352</x:v>
      </x:c>
      <x:c r="R232" s="27" t="n">
        <x:v>46300</x:v>
      </x:c>
      <x:c r="S232" s="27" t="n">
        <x:v>43200000</x:v>
      </x:c>
      <x:c r="T232" s="27" t="n">
        <x:v>43200000</x:v>
      </x:c>
      <x:c r="U232" s="27" t="n">
        <x:v>43200000</x:v>
      </x:c>
      <x:c r="V232" s="27" t="str">
        <x:v>U</x:v>
      </x:c>
      <x:c r="W232" s="27" t="str">
        <x:v>N</x:v>
      </x:c>
      <x:c r="X232" s="27"/>
      <x:c r="Y232" s="27" t="str">
        <x:v>S</x:v>
      </x:c>
      <x:c r="Z232" s="27"/>
      <x:c r="AA232" s="27"/>
      <x:c r="AB232" s="27" t="n">
        <x:v>0</x:v>
      </x:c>
      <x:c r="AC232" s="27" t="n">
        <x:v>0</x:v>
      </x:c>
      <x:c r="AD232" s="27" t="n">
        <x:v>-145152</x:v>
      </x:c>
      <x:c r="AE232" s="27" t="str">
        <x:v>Public-safe anonymized industry-style SA-CCR sample</x:v>
      </x:c>
      <x:c r="AF232" s="27" t="str">
        <x:v>ANON-000229</x:v>
      </x:c>
      <x:c r="AG232" s="27" t="str">
        <x:v>Oil Forward</x:v>
      </x:c>
      <x:c r="AH232" s="27"/>
      <x:c r="AI232" s="27" t="str">
        <x:v>Oil/USD</x:v>
      </x:c>
    </x:row>
    <x:row r="233">
      <x:c r="A233" s="27" t="n">
        <x:v>45702</x:v>
      </x:c>
      <x:c r="B233" s="27" t="str">
        <x:v>IND_BANK_002</x:v>
      </x:c>
      <x:c r="C233" s="27" t="n">
        <x:v>3259</x:v>
      </x:c>
      <x:c r="D233" s="27" t="str">
        <x:v>IND-000230</x:v>
      </x:c>
      <x:c r="E233" s="27" t="str">
        <x:v>Oil Forward</x:v>
      </x:c>
      <x:c r="F233" s="27" t="str">
        <x:v>Commodity</x:v>
      </x:c>
      <x:c r="G233" s="27" t="str">
        <x:v>Oil</x:v>
      </x:c>
      <x:c r="H233" s="27" t="str">
        <x:v>Oil</x:v>
      </x:c>
      <x:c r="I233" s="27" t="str">
        <x:v>USD</x:v>
      </x:c>
      <x:c r="J233" s="27" t="str">
        <x:v>USD</x:v>
      </x:c>
      <x:c r="K233" s="27"/>
      <x:c r="L233" s="27"/>
      <x:c r="M233" s="27" t="str">
        <x:v>Oil/USD</x:v>
      </x:c>
      <x:c r="N233" s="27"/>
      <x:c r="O233" s="27"/>
      <x:c r="P233" s="27" t="n">
        <x:v>46946</x:v>
      </x:c>
      <x:c r="Q233" s="27" t="n">
        <x:v>45643</x:v>
      </x:c>
      <x:c r="R233" s="27" t="n">
        <x:v>46946</x:v>
      </x:c>
      <x:c r="S233" s="27" t="n">
        <x:v>13500000</x:v>
      </x:c>
      <x:c r="T233" s="27" t="n">
        <x:v>13500000</x:v>
      </x:c>
      <x:c r="U233" s="27" t="n">
        <x:v>13500000</x:v>
      </x:c>
      <x:c r="V233" s="27" t="str">
        <x:v>M</x:v>
      </x:c>
      <x:c r="W233" s="27" t="str">
        <x:v>N</x:v>
      </x:c>
      <x:c r="X233" s="27" t="n">
        <x:v>10</x:v>
      </x:c>
      <x:c r="Y233" s="27" t="str">
        <x:v>S</x:v>
      </x:c>
      <x:c r="Z233" s="27"/>
      <x:c r="AA233" s="27"/>
      <x:c r="AB233" s="27" t="n">
        <x:v>0</x:v>
      </x:c>
      <x:c r="AC233" s="27" t="n">
        <x:v>0</x:v>
      </x:c>
      <x:c r="AD233" s="27" t="n">
        <x:v>363285</x:v>
      </x:c>
      <x:c r="AE233" s="27" t="str">
        <x:v>Public-safe anonymized industry-style SA-CCR sample</x:v>
      </x:c>
      <x:c r="AF233" s="27" t="str">
        <x:v>ANON-000230</x:v>
      </x:c>
      <x:c r="AG233" s="27" t="str">
        <x:v>Oil Forward</x:v>
      </x:c>
      <x:c r="AH233" s="27"/>
      <x:c r="AI233" s="27" t="str">
        <x:v>Oil/USD</x:v>
      </x:c>
    </x:row>
    <x:row r="234">
      <x:c r="A234" s="27" t="n">
        <x:v>45702</x:v>
      </x:c>
      <x:c r="B234" s="27" t="str">
        <x:v>IND_CORPORATE_001</x:v>
      </x:c>
      <x:c r="C234" s="27" t="n">
        <x:v>3100</x:v>
      </x:c>
      <x:c r="D234" s="27" t="str">
        <x:v>IND-000231</x:v>
      </x:c>
      <x:c r="E234" s="27" t="str">
        <x:v>Oil Forward</x:v>
      </x:c>
      <x:c r="F234" s="27" t="str">
        <x:v>Commodity</x:v>
      </x:c>
      <x:c r="G234" s="27" t="str">
        <x:v>Oil</x:v>
      </x:c>
      <x:c r="H234" s="27" t="str">
        <x:v>Oil</x:v>
      </x:c>
      <x:c r="I234" s="27" t="str">
        <x:v>USD</x:v>
      </x:c>
      <x:c r="J234" s="27" t="str">
        <x:v>USD</x:v>
      </x:c>
      <x:c r="K234" s="27"/>
      <x:c r="L234" s="27"/>
      <x:c r="M234" s="27" t="str">
        <x:v>Oil/USD</x:v>
      </x:c>
      <x:c r="N234" s="27"/>
      <x:c r="O234" s="27"/>
      <x:c r="P234" s="27" t="n">
        <x:v>47100</x:v>
      </x:c>
      <x:c r="Q234" s="27" t="n">
        <x:v>45566</x:v>
      </x:c>
      <x:c r="R234" s="27" t="n">
        <x:v>47100</x:v>
      </x:c>
      <x:c r="S234" s="27" t="n">
        <x:v>5300000</x:v>
      </x:c>
      <x:c r="T234" s="27" t="n">
        <x:v>5300000</x:v>
      </x:c>
      <x:c r="U234" s="27" t="n">
        <x:v>5300000</x:v>
      </x:c>
      <x:c r="V234" s="27" t="str">
        <x:v>M</x:v>
      </x:c>
      <x:c r="W234" s="27" t="str">
        <x:v>N</x:v>
      </x:c>
      <x:c r="X234" s="27" t="n">
        <x:v>10</x:v>
      </x:c>
      <x:c r="Y234" s="27" t="str">
        <x:v>B</x:v>
      </x:c>
      <x:c r="Z234" s="27"/>
      <x:c r="AA234" s="27"/>
      <x:c r="AB234" s="27" t="n">
        <x:v>0</x:v>
      </x:c>
      <x:c r="AC234" s="27" t="n">
        <x:v>0</x:v>
      </x:c>
      <x:c r="AD234" s="27" t="n">
        <x:v>-92697</x:v>
      </x:c>
      <x:c r="AE234" s="27" t="str">
        <x:v>Public-safe anonymized industry-style SA-CCR sample</x:v>
      </x:c>
      <x:c r="AF234" s="27" t="str">
        <x:v>ANON-000231</x:v>
      </x:c>
      <x:c r="AG234" s="27" t="str">
        <x:v>Oil Forward</x:v>
      </x:c>
      <x:c r="AH234" s="27"/>
      <x:c r="AI234" s="27" t="str">
        <x:v>Oil/USD</x:v>
      </x:c>
    </x:row>
    <x:row r="235">
      <x:c r="A235" s="27" t="n">
        <x:v>45702</x:v>
      </x:c>
      <x:c r="B235" s="27" t="str">
        <x:v>IND_CLEARING_MEMBER_001</x:v>
      </x:c>
      <x:c r="C235" s="27" t="n">
        <x:v>3186</x:v>
      </x:c>
      <x:c r="D235" s="27" t="str">
        <x:v>IND-000232</x:v>
      </x:c>
      <x:c r="E235" s="27" t="str">
        <x:v>Oil Forward</x:v>
      </x:c>
      <x:c r="F235" s="27" t="str">
        <x:v>Commodity</x:v>
      </x:c>
      <x:c r="G235" s="27" t="str">
        <x:v>Oil</x:v>
      </x:c>
      <x:c r="H235" s="27" t="str">
        <x:v>Oil</x:v>
      </x:c>
      <x:c r="I235" s="27" t="str">
        <x:v>USD</x:v>
      </x:c>
      <x:c r="J235" s="27" t="str">
        <x:v>USD</x:v>
      </x:c>
      <x:c r="K235" s="27"/>
      <x:c r="L235" s="27"/>
      <x:c r="M235" s="27" t="str">
        <x:v>Oil/USD</x:v>
      </x:c>
      <x:c r="N235" s="27"/>
      <x:c r="O235" s="27"/>
      <x:c r="P235" s="27" t="n">
        <x:v>46732</x:v>
      </x:c>
      <x:c r="Q235" s="27" t="n">
        <x:v>45208</x:v>
      </x:c>
      <x:c r="R235" s="27" t="n">
        <x:v>46732</x:v>
      </x:c>
      <x:c r="S235" s="27" t="n">
        <x:v>18800000</x:v>
      </x:c>
      <x:c r="T235" s="27" t="n">
        <x:v>18800000</x:v>
      </x:c>
      <x:c r="U235" s="27" t="n">
        <x:v>18800000</x:v>
      </x:c>
      <x:c r="V235" s="27" t="str">
        <x:v>U</x:v>
      </x:c>
      <x:c r="W235" s="27" t="str">
        <x:v>N</x:v>
      </x:c>
      <x:c r="X235" s="27"/>
      <x:c r="Y235" s="27" t="str">
        <x:v>B</x:v>
      </x:c>
      <x:c r="Z235" s="27"/>
      <x:c r="AA235" s="27"/>
      <x:c r="AB235" s="27" t="n">
        <x:v>0</x:v>
      </x:c>
      <x:c r="AC235" s="27" t="n">
        <x:v>0</x:v>
      </x:c>
      <x:c r="AD235" s="27" t="n">
        <x:v>469248</x:v>
      </x:c>
      <x:c r="AE235" s="27" t="str">
        <x:v>Public-safe anonymized industry-style SA-CCR sample</x:v>
      </x:c>
      <x:c r="AF235" s="27" t="str">
        <x:v>ANON-000232</x:v>
      </x:c>
      <x:c r="AG235" s="27" t="str">
        <x:v>Oil Forward</x:v>
      </x:c>
      <x:c r="AH235" s="27"/>
      <x:c r="AI235" s="27" t="str">
        <x:v>Oil/USD</x:v>
      </x:c>
    </x:row>
    <x:row r="236">
      <x:c r="A236" s="27" t="n">
        <x:v>45702</x:v>
      </x:c>
      <x:c r="B236" s="27" t="str">
        <x:v>IND_CORPORATE_002</x:v>
      </x:c>
      <x:c r="C236" s="27" t="n">
        <x:v>3126</x:v>
      </x:c>
      <x:c r="D236" s="27" t="str">
        <x:v>IND-000233</x:v>
      </x:c>
      <x:c r="E236" s="27" t="str">
        <x:v>Oil Forward</x:v>
      </x:c>
      <x:c r="F236" s="27" t="str">
        <x:v>Commodity</x:v>
      </x:c>
      <x:c r="G236" s="27" t="str">
        <x:v>Oil</x:v>
      </x:c>
      <x:c r="H236" s="27" t="str">
        <x:v>Oil</x:v>
      </x:c>
      <x:c r="I236" s="27" t="str">
        <x:v>USD</x:v>
      </x:c>
      <x:c r="J236" s="27" t="str">
        <x:v>USD</x:v>
      </x:c>
      <x:c r="K236" s="27"/>
      <x:c r="L236" s="27"/>
      <x:c r="M236" s="27" t="str">
        <x:v>Oil/USD</x:v>
      </x:c>
      <x:c r="N236" s="27"/>
      <x:c r="O236" s="27"/>
      <x:c r="P236" s="27" t="n">
        <x:v>47644</x:v>
      </x:c>
      <x:c r="Q236" s="27" t="n">
        <x:v>45646</x:v>
      </x:c>
      <x:c r="R236" s="27" t="n">
        <x:v>47644</x:v>
      </x:c>
      <x:c r="S236" s="27" t="n">
        <x:v>7800000</x:v>
      </x:c>
      <x:c r="T236" s="27" t="n">
        <x:v>7800000</x:v>
      </x:c>
      <x:c r="U236" s="27" t="n">
        <x:v>7800000</x:v>
      </x:c>
      <x:c r="V236" s="27" t="str">
        <x:v>M</x:v>
      </x:c>
      <x:c r="W236" s="27" t="str">
        <x:v>N</x:v>
      </x:c>
      <x:c r="X236" s="27" t="n">
        <x:v>10</x:v>
      </x:c>
      <x:c r="Y236" s="27" t="str">
        <x:v>S</x:v>
      </x:c>
      <x:c r="Z236" s="27"/>
      <x:c r="AA236" s="27"/>
      <x:c r="AB236" s="27" t="n">
        <x:v>0</x:v>
      </x:c>
      <x:c r="AC236" s="27" t="n">
        <x:v>0</x:v>
      </x:c>
      <x:c r="AD236" s="27" t="n">
        <x:v>-138294</x:v>
      </x:c>
      <x:c r="AE236" s="27" t="str">
        <x:v>Public-safe anonymized industry-style SA-CCR sample</x:v>
      </x:c>
      <x:c r="AF236" s="27" t="str">
        <x:v>ANON-000233</x:v>
      </x:c>
      <x:c r="AG236" s="27" t="str">
        <x:v>Oil Forward</x:v>
      </x:c>
      <x:c r="AH236" s="27"/>
      <x:c r="AI236" s="27" t="str">
        <x:v>Oil/USD</x:v>
      </x:c>
    </x:row>
    <x:row r="237">
      <x:c r="A237" s="27" t="n">
        <x:v>45702</x:v>
      </x:c>
      <x:c r="B237" s="27" t="str">
        <x:v>IND_CORPORATE_002</x:v>
      </x:c>
      <x:c r="C237" s="27" t="n">
        <x:v>3126</x:v>
      </x:c>
      <x:c r="D237" s="27" t="str">
        <x:v>IND-000234</x:v>
      </x:c>
      <x:c r="E237" s="27" t="str">
        <x:v>Oil Forward</x:v>
      </x:c>
      <x:c r="F237" s="27" t="str">
        <x:v>Commodity</x:v>
      </x:c>
      <x:c r="G237" s="27" t="str">
        <x:v>Oil</x:v>
      </x:c>
      <x:c r="H237" s="27" t="str">
        <x:v>Oil</x:v>
      </x:c>
      <x:c r="I237" s="27" t="str">
        <x:v>USD</x:v>
      </x:c>
      <x:c r="J237" s="27" t="str">
        <x:v>USD</x:v>
      </x:c>
      <x:c r="K237" s="27"/>
      <x:c r="L237" s="27"/>
      <x:c r="M237" s="27" t="str">
        <x:v>Oil/USD</x:v>
      </x:c>
      <x:c r="N237" s="27"/>
      <x:c r="O237" s="27"/>
      <x:c r="P237" s="27" t="n">
        <x:v>46893</x:v>
      </x:c>
      <x:c r="Q237" s="27" t="n">
        <x:v>45576</x:v>
      </x:c>
      <x:c r="R237" s="27" t="n">
        <x:v>46893</x:v>
      </x:c>
      <x:c r="S237" s="27" t="n">
        <x:v>38500000</x:v>
      </x:c>
      <x:c r="T237" s="27" t="n">
        <x:v>38500000</x:v>
      </x:c>
      <x:c r="U237" s="27" t="n">
        <x:v>38500000</x:v>
      </x:c>
      <x:c r="V237" s="27" t="str">
        <x:v>M</x:v>
      </x:c>
      <x:c r="W237" s="27" t="str">
        <x:v>N</x:v>
      </x:c>
      <x:c r="X237" s="27" t="n">
        <x:v>10</x:v>
      </x:c>
      <x:c r="Y237" s="27" t="str">
        <x:v>B</x:v>
      </x:c>
      <x:c r="Z237" s="27"/>
      <x:c r="AA237" s="27"/>
      <x:c r="AB237" s="27" t="n">
        <x:v>0</x:v>
      </x:c>
      <x:c r="AC237" s="27" t="n">
        <x:v>0</x:v>
      </x:c>
      <x:c r="AD237" s="27" t="n">
        <x:v>-629475</x:v>
      </x:c>
      <x:c r="AE237" s="27" t="str">
        <x:v>Public-safe anonymized industry-style SA-CCR sample</x:v>
      </x:c>
      <x:c r="AF237" s="27" t="str">
        <x:v>ANON-000234</x:v>
      </x:c>
      <x:c r="AG237" s="27" t="str">
        <x:v>Oil Forward</x:v>
      </x:c>
      <x:c r="AH237" s="27"/>
      <x:c r="AI237" s="27" t="str">
        <x:v>Oil/USD</x:v>
      </x:c>
    </x:row>
    <x:row r="238">
      <x:c r="A238" s="27" t="n">
        <x:v>45702</x:v>
      </x:c>
      <x:c r="B238" s="27" t="str">
        <x:v>IND_REGIONAL_BANK_001</x:v>
      </x:c>
      <x:c r="C238" s="27" t="n">
        <x:v>3082</x:v>
      </x:c>
      <x:c r="D238" s="27" t="str">
        <x:v>IND-000235</x:v>
      </x:c>
      <x:c r="E238" s="27" t="str">
        <x:v>Electricity Swap</x:v>
      </x:c>
      <x:c r="F238" s="27" t="str">
        <x:v>Commodity</x:v>
      </x:c>
      <x:c r="G238" s="27" t="str">
        <x:v>Electricity</x:v>
      </x:c>
      <x:c r="H238" s="27" t="str">
        <x:v>Pow</x:v>
      </x:c>
      <x:c r="I238" s="27" t="str">
        <x:v>USD</x:v>
      </x:c>
      <x:c r="J238" s="27" t="str">
        <x:v>USD</x:v>
      </x:c>
      <x:c r="K238" s="27"/>
      <x:c r="L238" s="27"/>
      <x:c r="M238" s="27" t="str">
        <x:v>Power/USD</x:v>
      </x:c>
      <x:c r="N238" s="27"/>
      <x:c r="O238" s="27"/>
      <x:c r="P238" s="27" t="n">
        <x:v>46745</x:v>
      </x:c>
      <x:c r="Q238" s="27" t="n">
        <x:v>45491</x:v>
      </x:c>
      <x:c r="R238" s="27" t="n">
        <x:v>46745</x:v>
      </x:c>
      <x:c r="S238" s="27" t="n">
        <x:v>7100000</x:v>
      </x:c>
      <x:c r="T238" s="27" t="n">
        <x:v>7100000</x:v>
      </x:c>
      <x:c r="U238" s="27" t="n">
        <x:v>7100000</x:v>
      </x:c>
      <x:c r="V238" s="27" t="str">
        <x:v>M</x:v>
      </x:c>
      <x:c r="W238" s="27" t="str">
        <x:v>N</x:v>
      </x:c>
      <x:c r="X238" s="27" t="n">
        <x:v>10</x:v>
      </x:c>
      <x:c r="Y238" s="27" t="str">
        <x:v>B</x:v>
      </x:c>
      <x:c r="Z238" s="27"/>
      <x:c r="AA238" s="27"/>
      <x:c r="AB238" s="27" t="n">
        <x:v>0</x:v>
      </x:c>
      <x:c r="AC238" s="27" t="n">
        <x:v>0</x:v>
      </x:c>
      <x:c r="AD238" s="27" t="n">
        <x:v>-73059</x:v>
      </x:c>
      <x:c r="AE238" s="27" t="str">
        <x:v>Public-safe anonymized industry-style SA-CCR sample</x:v>
      </x:c>
      <x:c r="AF238" s="27" t="str">
        <x:v>ANON-000235</x:v>
      </x:c>
      <x:c r="AG238" s="27" t="str">
        <x:v>Electricity Swap</x:v>
      </x:c>
      <x:c r="AH238" s="27"/>
      <x:c r="AI238" s="27" t="str">
        <x:v>Power/USD</x:v>
      </x:c>
    </x:row>
    <x:row r="239">
      <x:c r="A239" s="27" t="n">
        <x:v>45702</x:v>
      </x:c>
      <x:c r="B239" s="27" t="str">
        <x:v>IND_SOVEREIGN_001</x:v>
      </x:c>
      <x:c r="C239" s="27" t="n">
        <x:v>3126</x:v>
      </x:c>
      <x:c r="D239" s="27" t="str">
        <x:v>IND-000236</x:v>
      </x:c>
      <x:c r="E239" s="27" t="str">
        <x:v>Electricity Swap</x:v>
      </x:c>
      <x:c r="F239" s="27" t="str">
        <x:v>Commodity</x:v>
      </x:c>
      <x:c r="G239" s="27" t="str">
        <x:v>Electricity</x:v>
      </x:c>
      <x:c r="H239" s="27" t="str">
        <x:v>Pow</x:v>
      </x:c>
      <x:c r="I239" s="27" t="str">
        <x:v>USD</x:v>
      </x:c>
      <x:c r="J239" s="27" t="str">
        <x:v>USD</x:v>
      </x:c>
      <x:c r="K239" s="27"/>
      <x:c r="L239" s="27"/>
      <x:c r="M239" s="27" t="str">
        <x:v>Power/USD</x:v>
      </x:c>
      <x:c r="N239" s="27"/>
      <x:c r="O239" s="27"/>
      <x:c r="P239" s="27" t="n">
        <x:v>47607</x:v>
      </x:c>
      <x:c r="Q239" s="27" t="n">
        <x:v>45282</x:v>
      </x:c>
      <x:c r="R239" s="27" t="n">
        <x:v>47607</x:v>
      </x:c>
      <x:c r="S239" s="27" t="n">
        <x:v>16800000</x:v>
      </x:c>
      <x:c r="T239" s="27" t="n">
        <x:v>16800000</x:v>
      </x:c>
      <x:c r="U239" s="27" t="n">
        <x:v>16800000</x:v>
      </x:c>
      <x:c r="V239" s="27" t="str">
        <x:v>U</x:v>
      </x:c>
      <x:c r="W239" s="27" t="str">
        <x:v>N</x:v>
      </x:c>
      <x:c r="X239" s="27"/>
      <x:c r="Y239" s="27" t="str">
        <x:v>B</x:v>
      </x:c>
      <x:c r="Z239" s="27"/>
      <x:c r="AA239" s="27"/>
      <x:c r="AB239" s="27" t="n">
        <x:v>0</x:v>
      </x:c>
      <x:c r="AC239" s="27" t="n">
        <x:v>0</x:v>
      </x:c>
      <x:c r="AD239" s="27" t="n">
        <x:v>-24192</x:v>
      </x:c>
      <x:c r="AE239" s="27" t="str">
        <x:v>Public-safe anonymized industry-style SA-CCR sample</x:v>
      </x:c>
      <x:c r="AF239" s="27" t="str">
        <x:v>ANON-000236</x:v>
      </x:c>
      <x:c r="AG239" s="27" t="str">
        <x:v>Electricity Swap</x:v>
      </x:c>
      <x:c r="AH239" s="27"/>
      <x:c r="AI239" s="27" t="str">
        <x:v>Power/USD</x:v>
      </x:c>
    </x:row>
    <x:row r="240">
      <x:c r="A240" s="27" t="n">
        <x:v>45702</x:v>
      </x:c>
      <x:c r="B240" s="27" t="str">
        <x:v>IND_CLEARING_MEMBER_001</x:v>
      </x:c>
      <x:c r="C240" s="27" t="n">
        <x:v>3340</x:v>
      </x:c>
      <x:c r="D240" s="27" t="str">
        <x:v>IND-000237</x:v>
      </x:c>
      <x:c r="E240" s="27" t="str">
        <x:v>Electricity Swap</x:v>
      </x:c>
      <x:c r="F240" s="27" t="str">
        <x:v>Commodity</x:v>
      </x:c>
      <x:c r="G240" s="27" t="str">
        <x:v>Electricity</x:v>
      </x:c>
      <x:c r="H240" s="27" t="str">
        <x:v>Pow</x:v>
      </x:c>
      <x:c r="I240" s="27" t="str">
        <x:v>USD</x:v>
      </x:c>
      <x:c r="J240" s="27" t="str">
        <x:v>USD</x:v>
      </x:c>
      <x:c r="K240" s="27"/>
      <x:c r="L240" s="27"/>
      <x:c r="M240" s="27" t="str">
        <x:v>Power/USD</x:v>
      </x:c>
      <x:c r="N240" s="27"/>
      <x:c r="O240" s="27"/>
      <x:c r="P240" s="27" t="n">
        <x:v>46450</x:v>
      </x:c>
      <x:c r="Q240" s="27" t="n">
        <x:v>44861</x:v>
      </x:c>
      <x:c r="R240" s="27" t="n">
        <x:v>46450</x:v>
      </x:c>
      <x:c r="S240" s="27" t="n">
        <x:v>10600000</x:v>
      </x:c>
      <x:c r="T240" s="27" t="n">
        <x:v>10600000</x:v>
      </x:c>
      <x:c r="U240" s="27" t="n">
        <x:v>10600000</x:v>
      </x:c>
      <x:c r="V240" s="27" t="str">
        <x:v>M</x:v>
      </x:c>
      <x:c r="W240" s="27" t="str">
        <x:v>N</x:v>
      </x:c>
      <x:c r="X240" s="27" t="n">
        <x:v>10</x:v>
      </x:c>
      <x:c r="Y240" s="27" t="str">
        <x:v>S</x:v>
      </x:c>
      <x:c r="Z240" s="27"/>
      <x:c r="AA240" s="27"/>
      <x:c r="AB240" s="27" t="n">
        <x:v>0</x:v>
      </x:c>
      <x:c r="AC240" s="27" t="n">
        <x:v>0</x:v>
      </x:c>
      <x:c r="AD240" s="27" t="n">
        <x:v>-12720</x:v>
      </x:c>
      <x:c r="AE240" s="27" t="str">
        <x:v>Public-safe anonymized industry-style SA-CCR sample</x:v>
      </x:c>
      <x:c r="AF240" s="27" t="str">
        <x:v>ANON-000237</x:v>
      </x:c>
      <x:c r="AG240" s="27" t="str">
        <x:v>Electricity Swap</x:v>
      </x:c>
      <x:c r="AH240" s="27"/>
      <x:c r="AI240" s="27" t="str">
        <x:v>Power/USD</x:v>
      </x:c>
    </x:row>
    <x:row r="241">
      <x:c r="A241" s="27" t="n">
        <x:v>45702</x:v>
      </x:c>
      <x:c r="B241" s="27" t="str">
        <x:v>IND_SOVEREIGN_001</x:v>
      </x:c>
      <x:c r="C241" s="27" t="n">
        <x:v>3357</x:v>
      </x:c>
      <x:c r="D241" s="27" t="str">
        <x:v>IND-000238</x:v>
      </x:c>
      <x:c r="E241" s="27" t="str">
        <x:v>Electricity Swap</x:v>
      </x:c>
      <x:c r="F241" s="27" t="str">
        <x:v>Commodity</x:v>
      </x:c>
      <x:c r="G241" s="27" t="str">
        <x:v>Electricity</x:v>
      </x:c>
      <x:c r="H241" s="27" t="str">
        <x:v>Pow</x:v>
      </x:c>
      <x:c r="I241" s="27" t="str">
        <x:v>USD</x:v>
      </x:c>
      <x:c r="J241" s="27" t="str">
        <x:v>USD</x:v>
      </x:c>
      <x:c r="K241" s="27"/>
      <x:c r="L241" s="27"/>
      <x:c r="M241" s="27" t="str">
        <x:v>Power/USD</x:v>
      </x:c>
      <x:c r="N241" s="27"/>
      <x:c r="O241" s="27"/>
      <x:c r="P241" s="27" t="n">
        <x:v>45973</x:v>
      </x:c>
      <x:c r="Q241" s="27" t="n">
        <x:v>45398</x:v>
      </x:c>
      <x:c r="R241" s="27" t="n">
        <x:v>45973</x:v>
      </x:c>
      <x:c r="S241" s="27" t="n">
        <x:v>52400000</x:v>
      </x:c>
      <x:c r="T241" s="27" t="n">
        <x:v>52400000</x:v>
      </x:c>
      <x:c r="U241" s="27" t="n">
        <x:v>52400000</x:v>
      </x:c>
      <x:c r="V241" s="27" t="str">
        <x:v>M</x:v>
      </x:c>
      <x:c r="W241" s="27" t="str">
        <x:v>N</x:v>
      </x:c>
      <x:c r="X241" s="27" t="n">
        <x:v>10</x:v>
      </x:c>
      <x:c r="Y241" s="27" t="str">
        <x:v>B</x:v>
      </x:c>
      <x:c r="Z241" s="27"/>
      <x:c r="AA241" s="27"/>
      <x:c r="AB241" s="27" t="n">
        <x:v>0</x:v>
      </x:c>
      <x:c r="AC241" s="27" t="n">
        <x:v>0</x:v>
      </x:c>
      <x:c r="AD241" s="27" t="n">
        <x:v>297108</x:v>
      </x:c>
      <x:c r="AE241" s="27" t="str">
        <x:v>Public-safe anonymized industry-style SA-CCR sample</x:v>
      </x:c>
      <x:c r="AF241" s="27" t="str">
        <x:v>ANON-000238</x:v>
      </x:c>
      <x:c r="AG241" s="27" t="str">
        <x:v>Electricity Swap</x:v>
      </x:c>
      <x:c r="AH241" s="27"/>
      <x:c r="AI241" s="27" t="str">
        <x:v>Power/USD</x:v>
      </x:c>
    </x:row>
    <x:row r="242">
      <x:c r="A242" s="27" t="n">
        <x:v>45702</x:v>
      </x:c>
      <x:c r="B242" s="27" t="str">
        <x:v>IND_ASSET_MANAGER_001</x:v>
      </x:c>
      <x:c r="C242" s="27" t="n">
        <x:v>3331</x:v>
      </x:c>
      <x:c r="D242" s="27" t="str">
        <x:v>IND-000239</x:v>
      </x:c>
      <x:c r="E242" s="27" t="str">
        <x:v>Electricity Swap</x:v>
      </x:c>
      <x:c r="F242" s="27" t="str">
        <x:v>Commodity</x:v>
      </x:c>
      <x:c r="G242" s="27" t="str">
        <x:v>Electricity</x:v>
      </x:c>
      <x:c r="H242" s="27" t="str">
        <x:v>Pow</x:v>
      </x:c>
      <x:c r="I242" s="27" t="str">
        <x:v>USD</x:v>
      </x:c>
      <x:c r="J242" s="27" t="str">
        <x:v>USD</x:v>
      </x:c>
      <x:c r="K242" s="27"/>
      <x:c r="L242" s="27"/>
      <x:c r="M242" s="27" t="str">
        <x:v>Power/USD</x:v>
      </x:c>
      <x:c r="N242" s="27"/>
      <x:c r="O242" s="27"/>
      <x:c r="P242" s="27" t="n">
        <x:v>46065</x:v>
      </x:c>
      <x:c r="Q242" s="27" t="n">
        <x:v>45532</x:v>
      </x:c>
      <x:c r="R242" s="27" t="n">
        <x:v>46065</x:v>
      </x:c>
      <x:c r="S242" s="27" t="n">
        <x:v>6600000</x:v>
      </x:c>
      <x:c r="T242" s="27" t="n">
        <x:v>6600000</x:v>
      </x:c>
      <x:c r="U242" s="27" t="n">
        <x:v>6600000</x:v>
      </x:c>
      <x:c r="V242" s="27" t="str">
        <x:v>M</x:v>
      </x:c>
      <x:c r="W242" s="27" t="str">
        <x:v>N</x:v>
      </x:c>
      <x:c r="X242" s="27" t="n">
        <x:v>10</x:v>
      </x:c>
      <x:c r="Y242" s="27" t="str">
        <x:v>B</x:v>
      </x:c>
      <x:c r="Z242" s="27"/>
      <x:c r="AA242" s="27"/>
      <x:c r="AB242" s="27" t="n">
        <x:v>0</x:v>
      </x:c>
      <x:c r="AC242" s="27" t="n">
        <x:v>0</x:v>
      </x:c>
      <x:c r="AD242" s="27" t="n">
        <x:v>-70092</x:v>
      </x:c>
      <x:c r="AE242" s="27" t="str">
        <x:v>Public-safe anonymized industry-style SA-CCR sample</x:v>
      </x:c>
      <x:c r="AF242" s="27" t="str">
        <x:v>ANON-000239</x:v>
      </x:c>
      <x:c r="AG242" s="27" t="str">
        <x:v>Electricity Swap</x:v>
      </x:c>
      <x:c r="AH242" s="27"/>
      <x:c r="AI242" s="27" t="str">
        <x:v>Power/USD</x:v>
      </x:c>
    </x:row>
    <x:row r="243">
      <x:c r="A243" s="27" t="n">
        <x:v>45702</x:v>
      </x:c>
      <x:c r="B243" s="27" t="str">
        <x:v>IND_BANK_001</x:v>
      </x:c>
      <x:c r="C243" s="27" t="n">
        <x:v>3172</x:v>
      </x:c>
      <x:c r="D243" s="27" t="str">
        <x:v>IND-000240</x:v>
      </x:c>
      <x:c r="E243" s="27" t="str">
        <x:v>Electricity Swap</x:v>
      </x:c>
      <x:c r="F243" s="27" t="str">
        <x:v>Commodity</x:v>
      </x:c>
      <x:c r="G243" s="27" t="str">
        <x:v>Electricity</x:v>
      </x:c>
      <x:c r="H243" s="27" t="str">
        <x:v>Pow</x:v>
      </x:c>
      <x:c r="I243" s="27" t="str">
        <x:v>USD</x:v>
      </x:c>
      <x:c r="J243" s="27" t="str">
        <x:v>USD</x:v>
      </x:c>
      <x:c r="K243" s="27"/>
      <x:c r="L243" s="27"/>
      <x:c r="M243" s="27" t="str">
        <x:v>Power/USD</x:v>
      </x:c>
      <x:c r="N243" s="27"/>
      <x:c r="O243" s="27"/>
      <x:c r="P243" s="27" t="n">
        <x:v>47697</x:v>
      </x:c>
      <x:c r="Q243" s="27" t="n">
        <x:v>45230</x:v>
      </x:c>
      <x:c r="R243" s="27" t="n">
        <x:v>47697</x:v>
      </x:c>
      <x:c r="S243" s="27" t="n">
        <x:v>47400000</x:v>
      </x:c>
      <x:c r="T243" s="27" t="n">
        <x:v>47400000</x:v>
      </x:c>
      <x:c r="U243" s="27" t="n">
        <x:v>47400000</x:v>
      </x:c>
      <x:c r="V243" s="27" t="str">
        <x:v>M</x:v>
      </x:c>
      <x:c r="W243" s="27" t="str">
        <x:v>N</x:v>
      </x:c>
      <x:c r="X243" s="27" t="n">
        <x:v>10</x:v>
      </x:c>
      <x:c r="Y243" s="27" t="str">
        <x:v>B</x:v>
      </x:c>
      <x:c r="Z243" s="27"/>
      <x:c r="AA243" s="27"/>
      <x:c r="AB243" s="27" t="n">
        <x:v>0</x:v>
      </x:c>
      <x:c r="AC243" s="27" t="n">
        <x:v>0</x:v>
      </x:c>
      <x:c r="AD243" s="27" t="n">
        <x:v>-1335258</x:v>
      </x:c>
      <x:c r="AE243" s="27" t="str">
        <x:v>Public-safe anonymized industry-style SA-CCR sample</x:v>
      </x:c>
      <x:c r="AF243" s="27" t="str">
        <x:v>ANON-000240</x:v>
      </x:c>
      <x:c r="AG243" s="27" t="str">
        <x:v>Electricity Swap</x:v>
      </x:c>
      <x:c r="AH243" s="27"/>
      <x:c r="AI243" s="27" t="str">
        <x:v>Power/USD</x:v>
      </x:c>
    </x:row>
    <x:row r="244">
      <x:c r="A244" s="27" t="n">
        <x:v>45702</x:v>
      </x:c>
      <x:c r="B244" s="27" t="str">
        <x:v>IND_REGIONAL_BANK_001</x:v>
      </x:c>
      <x:c r="C244" s="27" t="n">
        <x:v>3161</x:v>
      </x:c>
      <x:c r="D244" s="27" t="str">
        <x:v>IND-000241</x:v>
      </x:c>
      <x:c r="E244" s="27" t="str">
        <x:v>Credit TRS</x:v>
      </x:c>
      <x:c r="F244" s="27" t="str">
        <x:v>Credit</x:v>
      </x:c>
      <x:c r="G244" s="27"/>
      <x:c r="H244" s="27" t="str">
        <x:v>USD</x:v>
      </x:c>
      <x:c r="I244" s="27"/>
      <x:c r="J244" s="27" t="str">
        <x:v>USD</x:v>
      </x:c>
      <x:c r="K244" s="27"/>
      <x:c r="L244" s="27"/>
      <x:c r="M244" s="27" t="str">
        <x:v>CREDIT_INDEX_29</x:v>
      </x:c>
      <x:c r="N244" s="27" t="str">
        <x:v>Singleton</x:v>
      </x:c>
      <x:c r="O244" s="27" t="str">
        <x:v>B</x:v>
      </x:c>
      <x:c r="P244" s="27" t="n">
        <x:v>47735</x:v>
      </x:c>
      <x:c r="Q244" s="27" t="n">
        <x:v>45099</x:v>
      </x:c>
      <x:c r="R244" s="27" t="n">
        <x:v>47735</x:v>
      </x:c>
      <x:c r="S244" s="27" t="n">
        <x:v>45600000</x:v>
      </x:c>
      <x:c r="T244" s="27" t="n">
        <x:v>0</x:v>
      </x:c>
      <x:c r="U244" s="27" t="n">
        <x:v>45600000</x:v>
      </x:c>
      <x:c r="V244" s="27" t="str">
        <x:v>U</x:v>
      </x:c>
      <x:c r="W244" s="27" t="str">
        <x:v>N</x:v>
      </x:c>
      <x:c r="X244" s="27"/>
      <x:c r="Y244" s="27" t="str">
        <x:v>S</x:v>
      </x:c>
      <x:c r="Z244" s="27"/>
      <x:c r="AA244" s="27"/>
      <x:c r="AB244" s="27" t="n">
        <x:v>0</x:v>
      </x:c>
      <x:c r="AC244" s="27" t="n">
        <x:v>0</x:v>
      </x:c>
      <x:c r="AD244" s="27" t="n">
        <x:v>207024</x:v>
      </x:c>
      <x:c r="AE244" s="27" t="str">
        <x:v>Public-safe anonymized industry-style SA-CCR sample</x:v>
      </x:c>
      <x:c r="AF244" s="27" t="str">
        <x:v>ANON-000241</x:v>
      </x:c>
      <x:c r="AG244" s="27" t="str">
        <x:v>Credit TRS</x:v>
      </x:c>
      <x:c r="AH244" s="27"/>
      <x:c r="AI244" s="27" t="str">
        <x:v>Credit Index</x:v>
      </x:c>
    </x:row>
    <x:row r="245">
      <x:c r="A245" s="27" t="n">
        <x:v>45702</x:v>
      </x:c>
      <x:c r="B245" s="27" t="str">
        <x:v>IND_BANK_002</x:v>
      </x:c>
      <x:c r="C245" s="27" t="n">
        <x:v>3341</x:v>
      </x:c>
      <x:c r="D245" s="27" t="str">
        <x:v>IND-000242</x:v>
      </x:c>
      <x:c r="E245" s="27" t="str">
        <x:v>Credit TRS</x:v>
      </x:c>
      <x:c r="F245" s="27" t="str">
        <x:v>Credit</x:v>
      </x:c>
      <x:c r="G245" s="27"/>
      <x:c r="H245" s="27" t="str">
        <x:v>USD</x:v>
      </x:c>
      <x:c r="I245" s="27"/>
      <x:c r="J245" s="27" t="str">
        <x:v>USD</x:v>
      </x:c>
      <x:c r="K245" s="27"/>
      <x:c r="L245" s="27"/>
      <x:c r="M245" s="27" t="str">
        <x:v>CREDIT_INDEX_13</x:v>
      </x:c>
      <x:c r="N245" s="27" t="str">
        <x:v>Singleton</x:v>
      </x:c>
      <x:c r="O245" s="27" t="str">
        <x:v>AA</x:v>
      </x:c>
      <x:c r="P245" s="27" t="n">
        <x:v>47473</x:v>
      </x:c>
      <x:c r="Q245" s="27" t="n">
        <x:v>45054</x:v>
      </x:c>
      <x:c r="R245" s="27" t="n">
        <x:v>47473</x:v>
      </x:c>
      <x:c r="S245" s="27" t="n">
        <x:v>77300000</x:v>
      </x:c>
      <x:c r="T245" s="27" t="n">
        <x:v>0</x:v>
      </x:c>
      <x:c r="U245" s="27" t="n">
        <x:v>77300000</x:v>
      </x:c>
      <x:c r="V245" s="27" t="str">
        <x:v>M</x:v>
      </x:c>
      <x:c r="W245" s="27" t="str">
        <x:v>N</x:v>
      </x:c>
      <x:c r="X245" s="27" t="n">
        <x:v>10</x:v>
      </x:c>
      <x:c r="Y245" s="27" t="str">
        <x:v>B</x:v>
      </x:c>
      <x:c r="Z245" s="27"/>
      <x:c r="AA245" s="27"/>
      <x:c r="AB245" s="27" t="n">
        <x:v>0</x:v>
      </x:c>
      <x:c r="AC245" s="27" t="n">
        <x:v>0</x:v>
      </x:c>
      <x:c r="AD245" s="27" t="n">
        <x:v>-1417682</x:v>
      </x:c>
      <x:c r="AE245" s="27" t="str">
        <x:v>Public-safe anonymized industry-style SA-CCR sample</x:v>
      </x:c>
      <x:c r="AF245" s="27" t="str">
        <x:v>ANON-000242</x:v>
      </x:c>
      <x:c r="AG245" s="27" t="str">
        <x:v>Credit TRS</x:v>
      </x:c>
      <x:c r="AH245" s="27"/>
      <x:c r="AI245" s="27" t="str">
        <x:v>Credit Index</x:v>
      </x:c>
    </x:row>
    <x:row r="246">
      <x:c r="A246" s="27" t="n">
        <x:v>45702</x:v>
      </x:c>
      <x:c r="B246" s="27" t="str">
        <x:v>IND_INSURER_001</x:v>
      </x:c>
      <x:c r="C246" s="27" t="n">
        <x:v>3338</x:v>
      </x:c>
      <x:c r="D246" s="27" t="str">
        <x:v>IND-000243</x:v>
      </x:c>
      <x:c r="E246" s="27" t="str">
        <x:v>Credit TRS</x:v>
      </x:c>
      <x:c r="F246" s="27" t="str">
        <x:v>Credit</x:v>
      </x:c>
      <x:c r="G246" s="27"/>
      <x:c r="H246" s="27" t="str">
        <x:v>USD</x:v>
      </x:c>
      <x:c r="I246" s="27"/>
      <x:c r="J246" s="27" t="str">
        <x:v>USD</x:v>
      </x:c>
      <x:c r="K246" s="27"/>
      <x:c r="L246" s="27"/>
      <x:c r="M246" s="27" t="str">
        <x:v>CREDIT_INDEX_01</x:v>
      </x:c>
      <x:c r="N246" s="27" t="str">
        <x:v>Singleton</x:v>
      </x:c>
      <x:c r="O246" s="27" t="str">
        <x:v>AA</x:v>
      </x:c>
      <x:c r="P246" s="27" t="n">
        <x:v>46465</x:v>
      </x:c>
      <x:c r="Q246" s="27" t="n">
        <x:v>44901</x:v>
      </x:c>
      <x:c r="R246" s="27" t="n">
        <x:v>46465</x:v>
      </x:c>
      <x:c r="S246" s="27" t="n">
        <x:v>31900000</x:v>
      </x:c>
      <x:c r="T246" s="27" t="n">
        <x:v>0</x:v>
      </x:c>
      <x:c r="U246" s="27" t="n">
        <x:v>31900000</x:v>
      </x:c>
      <x:c r="V246" s="27" t="str">
        <x:v>U</x:v>
      </x:c>
      <x:c r="W246" s="27" t="str">
        <x:v>N</x:v>
      </x:c>
      <x:c r="X246" s="27"/>
      <x:c r="Y246" s="27" t="str">
        <x:v>B</x:v>
      </x:c>
      <x:c r="Z246" s="27"/>
      <x:c r="AA246" s="27"/>
      <x:c r="AB246" s="27" t="n">
        <x:v>0</x:v>
      </x:c>
      <x:c r="AC246" s="27" t="n">
        <x:v>0</x:v>
      </x:c>
      <x:c r="AD246" s="27" t="n">
        <x:v>-54868</x:v>
      </x:c>
      <x:c r="AE246" s="27" t="str">
        <x:v>Public-safe anonymized industry-style SA-CCR sample</x:v>
      </x:c>
      <x:c r="AF246" s="27" t="str">
        <x:v>ANON-000243</x:v>
      </x:c>
      <x:c r="AG246" s="27" t="str">
        <x:v>Credit TRS</x:v>
      </x:c>
      <x:c r="AH246" s="27"/>
      <x:c r="AI246" s="27" t="str">
        <x:v>Credit Index</x:v>
      </x:c>
    </x:row>
    <x:row r="247">
      <x:c r="A247" s="27" t="n">
        <x:v>45702</x:v>
      </x:c>
      <x:c r="B247" s="27" t="str">
        <x:v>IND_ASSET_MANAGER_001</x:v>
      </x:c>
      <x:c r="C247" s="27" t="n">
        <x:v>3277</x:v>
      </x:c>
      <x:c r="D247" s="27" t="str">
        <x:v>IND-000244</x:v>
      </x:c>
      <x:c r="E247" s="27" t="str">
        <x:v>Credit TRS</x:v>
      </x:c>
      <x:c r="F247" s="27" t="str">
        <x:v>Credit</x:v>
      </x:c>
      <x:c r="G247" s="27"/>
      <x:c r="H247" s="27" t="str">
        <x:v>USD</x:v>
      </x:c>
      <x:c r="I247" s="27"/>
      <x:c r="J247" s="27" t="str">
        <x:v>USD</x:v>
      </x:c>
      <x:c r="K247" s="27"/>
      <x:c r="L247" s="27"/>
      <x:c r="M247" s="27" t="str">
        <x:v>CREDIT_INDEX_21</x:v>
      </x:c>
      <x:c r="N247" s="27" t="str">
        <x:v>Singleton</x:v>
      </x:c>
      <x:c r="O247" s="27" t="str">
        <x:v>BBB</x:v>
      </x:c>
      <x:c r="P247" s="27" t="n">
        <x:v>46568</x:v>
      </x:c>
      <x:c r="Q247" s="27" t="n">
        <x:v>45615</x:v>
      </x:c>
      <x:c r="R247" s="27" t="n">
        <x:v>46568</x:v>
      </x:c>
      <x:c r="S247" s="27" t="n">
        <x:v>84800000</x:v>
      </x:c>
      <x:c r="T247" s="27" t="n">
        <x:v>0</x:v>
      </x:c>
      <x:c r="U247" s="27" t="n">
        <x:v>84800000</x:v>
      </x:c>
      <x:c r="V247" s="27" t="str">
        <x:v>U</x:v>
      </x:c>
      <x:c r="W247" s="27" t="str">
        <x:v>N</x:v>
      </x:c>
      <x:c r="X247" s="27"/>
      <x:c r="Y247" s="27" t="str">
        <x:v>S</x:v>
      </x:c>
      <x:c r="Z247" s="27"/>
      <x:c r="AA247" s="27"/>
      <x:c r="AB247" s="27" t="n">
        <x:v>0</x:v>
      </x:c>
      <x:c r="AC247" s="27" t="n">
        <x:v>0</x:v>
      </x:c>
      <x:c r="AD247" s="27" t="n">
        <x:v>-347680</x:v>
      </x:c>
      <x:c r="AE247" s="27" t="str">
        <x:v>Public-safe anonymized industry-style SA-CCR sample</x:v>
      </x:c>
      <x:c r="AF247" s="27" t="str">
        <x:v>ANON-000244</x:v>
      </x:c>
      <x:c r="AG247" s="27" t="str">
        <x:v>Credit TRS</x:v>
      </x:c>
      <x:c r="AH247" s="27"/>
      <x:c r="AI247" s="27" t="str">
        <x:v>Credit Index</x:v>
      </x:c>
    </x:row>
    <x:row r="248">
      <x:c r="A248" s="27" t="n">
        <x:v>45702</x:v>
      </x:c>
      <x:c r="B248" s="27" t="str">
        <x:v>IND_PENSION_001</x:v>
      </x:c>
      <x:c r="C248" s="27" t="n">
        <x:v>3242</x:v>
      </x:c>
      <x:c r="D248" s="27" t="str">
        <x:v>IND-000245</x:v>
      </x:c>
      <x:c r="E248" s="27" t="str">
        <x:v>Credit TRS</x:v>
      </x:c>
      <x:c r="F248" s="27" t="str">
        <x:v>Credit</x:v>
      </x:c>
      <x:c r="G248" s="27"/>
      <x:c r="H248" s="27" t="str">
        <x:v>USD</x:v>
      </x:c>
      <x:c r="I248" s="27"/>
      <x:c r="J248" s="27" t="str">
        <x:v>USD</x:v>
      </x:c>
      <x:c r="K248" s="27"/>
      <x:c r="L248" s="27"/>
      <x:c r="M248" s="27" t="str">
        <x:v>CREDIT_INDEX_21</x:v>
      </x:c>
      <x:c r="N248" s="27" t="str">
        <x:v>Singleton</x:v>
      </x:c>
      <x:c r="O248" s="27" t="str">
        <x:v>BBB</x:v>
      </x:c>
      <x:c r="P248" s="27" t="n">
        <x:v>46454</x:v>
      </x:c>
      <x:c r="Q248" s="27" t="n">
        <x:v>45677</x:v>
      </x:c>
      <x:c r="R248" s="27" t="n">
        <x:v>46454</x:v>
      </x:c>
      <x:c r="S248" s="27" t="n">
        <x:v>41600000</x:v>
      </x:c>
      <x:c r="T248" s="27" t="n">
        <x:v>0</x:v>
      </x:c>
      <x:c r="U248" s="27" t="n">
        <x:v>41600000</x:v>
      </x:c>
      <x:c r="V248" s="27" t="str">
        <x:v>M</x:v>
      </x:c>
      <x:c r="W248" s="27" t="str">
        <x:v>N</x:v>
      </x:c>
      <x:c r="X248" s="27" t="n">
        <x:v>10</x:v>
      </x:c>
      <x:c r="Y248" s="27" t="str">
        <x:v>B</x:v>
      </x:c>
      <x:c r="Z248" s="27"/>
      <x:c r="AA248" s="27"/>
      <x:c r="AB248" s="27" t="n">
        <x:v>0</x:v>
      </x:c>
      <x:c r="AC248" s="27" t="n">
        <x:v>0</x:v>
      </x:c>
      <x:c r="AD248" s="27" t="n">
        <x:v>356928</x:v>
      </x:c>
      <x:c r="AE248" s="27" t="str">
        <x:v>Public-safe anonymized industry-style SA-CCR sample</x:v>
      </x:c>
      <x:c r="AF248" s="27" t="str">
        <x:v>ANON-000245</x:v>
      </x:c>
      <x:c r="AG248" s="27" t="str">
        <x:v>Credit TRS</x:v>
      </x:c>
      <x:c r="AH248" s="27"/>
      <x:c r="AI248" s="27" t="str">
        <x:v>Credit Index</x:v>
      </x:c>
    </x:row>
    <x:row r="249">
      <x:c r="A249" s="27" t="n">
        <x:v>45702</x:v>
      </x:c>
      <x:c r="B249" s="27" t="str">
        <x:v>IND_HEDGE_FUND_001</x:v>
      </x:c>
      <x:c r="C249" s="27" t="n">
        <x:v>3289</x:v>
      </x:c>
      <x:c r="D249" s="27" t="str">
        <x:v>IND-000246</x:v>
      </x:c>
      <x:c r="E249" s="27" t="str">
        <x:v>Credit TRS</x:v>
      </x:c>
      <x:c r="F249" s="27" t="str">
        <x:v>Credit</x:v>
      </x:c>
      <x:c r="G249" s="27"/>
      <x:c r="H249" s="27" t="str">
        <x:v>USD</x:v>
      </x:c>
      <x:c r="I249" s="27"/>
      <x:c r="J249" s="27" t="str">
        <x:v>USD</x:v>
      </x:c>
      <x:c r="K249" s="27"/>
      <x:c r="L249" s="27"/>
      <x:c r="M249" s="27" t="str">
        <x:v>CREDIT_NAME_16</x:v>
      </x:c>
      <x:c r="N249" s="27" t="str">
        <x:v>Singleton</x:v>
      </x:c>
      <x:c r="O249" s="27" t="str">
        <x:v>BB</x:v>
      </x:c>
      <x:c r="P249" s="27" t="n">
        <x:v>47380</x:v>
      </x:c>
      <x:c r="Q249" s="27" t="n">
        <x:v>45593</x:v>
      </x:c>
      <x:c r="R249" s="27" t="n">
        <x:v>47380</x:v>
      </x:c>
      <x:c r="S249" s="27" t="n">
        <x:v>43600000</x:v>
      </x:c>
      <x:c r="T249" s="27" t="n">
        <x:v>0</x:v>
      </x:c>
      <x:c r="U249" s="27" t="n">
        <x:v>43600000</x:v>
      </x:c>
      <x:c r="V249" s="27" t="str">
        <x:v>M</x:v>
      </x:c>
      <x:c r="W249" s="27" t="str">
        <x:v>N</x:v>
      </x:c>
      <x:c r="X249" s="27" t="n">
        <x:v>10</x:v>
      </x:c>
      <x:c r="Y249" s="27" t="str">
        <x:v>S</x:v>
      </x:c>
      <x:c r="Z249" s="27"/>
      <x:c r="AA249" s="27"/>
      <x:c r="AB249" s="27" t="n">
        <x:v>0</x:v>
      </x:c>
      <x:c r="AC249" s="27" t="n">
        <x:v>0</x:v>
      </x:c>
      <x:c r="AD249" s="27" t="n">
        <x:v>-809216</x:v>
      </x:c>
      <x:c r="AE249" s="27" t="str">
        <x:v>Public-safe anonymized industry-style SA-CCR sample</x:v>
      </x:c>
      <x:c r="AF249" s="27" t="str">
        <x:v>ANON-000246</x:v>
      </x:c>
      <x:c r="AG249" s="27" t="str">
        <x:v>Credit TRS</x:v>
      </x:c>
      <x:c r="AH249" s="27"/>
      <x:c r="AI249" s="27" t="str">
        <x:v>Corporate Bond</x:v>
      </x:c>
    </x:row>
    <x:row r="250">
      <x:c r="A250" s="27" t="n">
        <x:v>45702</x:v>
      </x:c>
      <x:c r="B250" s="27" t="str">
        <x:v>IND_CLEARING_MEMBER_001</x:v>
      </x:c>
      <x:c r="C250" s="27" t="n">
        <x:v>3116</x:v>
      </x:c>
      <x:c r="D250" s="27" t="str">
        <x:v>IND-000247</x:v>
      </x:c>
      <x:c r="E250" s="27" t="str">
        <x:v>Credit TRS</x:v>
      </x:c>
      <x:c r="F250" s="27" t="str">
        <x:v>Credit</x:v>
      </x:c>
      <x:c r="G250" s="27"/>
      <x:c r="H250" s="27" t="str">
        <x:v>USD</x:v>
      </x:c>
      <x:c r="I250" s="27"/>
      <x:c r="J250" s="27" t="str">
        <x:v>USD</x:v>
      </x:c>
      <x:c r="K250" s="27"/>
      <x:c r="L250" s="27"/>
      <x:c r="M250" s="27" t="str">
        <x:v>CREDIT_NAME_16</x:v>
      </x:c>
      <x:c r="N250" s="27" t="str">
        <x:v>Singleton</x:v>
      </x:c>
      <x:c r="O250" s="27" t="str">
        <x:v>BB</x:v>
      </x:c>
      <x:c r="P250" s="27" t="n">
        <x:v>46816</x:v>
      </x:c>
      <x:c r="Q250" s="27" t="n">
        <x:v>45622</x:v>
      </x:c>
      <x:c r="R250" s="27" t="n">
        <x:v>46816</x:v>
      </x:c>
      <x:c r="S250" s="27" t="n">
        <x:v>102000000</x:v>
      </x:c>
      <x:c r="T250" s="27" t="n">
        <x:v>0</x:v>
      </x:c>
      <x:c r="U250" s="27" t="n">
        <x:v>102000000</x:v>
      </x:c>
      <x:c r="V250" s="27" t="str">
        <x:v>M</x:v>
      </x:c>
      <x:c r="W250" s="27" t="str">
        <x:v>N</x:v>
      </x:c>
      <x:c r="X250" s="27" t="n">
        <x:v>10</x:v>
      </x:c>
      <x:c r="Y250" s="27" t="str">
        <x:v>S</x:v>
      </x:c>
      <x:c r="Z250" s="27"/>
      <x:c r="AA250" s="27"/>
      <x:c r="AB250" s="27" t="n">
        <x:v>0</x:v>
      </x:c>
      <x:c r="AC250" s="27" t="n">
        <x:v>0</x:v>
      </x:c>
      <x:c r="AD250" s="27" t="n">
        <x:v>-1632000</x:v>
      </x:c>
      <x:c r="AE250" s="27" t="str">
        <x:v>Public-safe anonymized industry-style SA-CCR sample</x:v>
      </x:c>
      <x:c r="AF250" s="27" t="str">
        <x:v>ANON-000247</x:v>
      </x:c>
      <x:c r="AG250" s="27" t="str">
        <x:v>Credit TRS</x:v>
      </x:c>
      <x:c r="AH250" s="27"/>
      <x:c r="AI250" s="27" t="str">
        <x:v>Corporate Bond</x:v>
      </x:c>
    </x:row>
    <x:row r="251">
      <x:c r="A251" s="27" t="n">
        <x:v>45702</x:v>
      </x:c>
      <x:c r="B251" s="27" t="str">
        <x:v>IND_BANK_001</x:v>
      </x:c>
      <x:c r="C251" s="27" t="n">
        <x:v>3372</x:v>
      </x:c>
      <x:c r="D251" s="27" t="str">
        <x:v>IND-000248</x:v>
      </x:c>
      <x:c r="E251" s="27" t="str">
        <x:v>Credit TRS</x:v>
      </x:c>
      <x:c r="F251" s="27" t="str">
        <x:v>Credit</x:v>
      </x:c>
      <x:c r="G251" s="27"/>
      <x:c r="H251" s="27" t="str">
        <x:v>USD</x:v>
      </x:c>
      <x:c r="I251" s="27"/>
      <x:c r="J251" s="27" t="str">
        <x:v>USD</x:v>
      </x:c>
      <x:c r="K251" s="27"/>
      <x:c r="L251" s="27"/>
      <x:c r="M251" s="27" t="str">
        <x:v>CREDIT_NAME_06</x:v>
      </x:c>
      <x:c r="N251" s="27" t="str">
        <x:v>Singleton</x:v>
      </x:c>
      <x:c r="O251" s="27" t="str">
        <x:v>AAA</x:v>
      </x:c>
      <x:c r="P251" s="27" t="n">
        <x:v>47240</x:v>
      </x:c>
      <x:c r="Q251" s="27" t="n">
        <x:v>44910</x:v>
      </x:c>
      <x:c r="R251" s="27" t="n">
        <x:v>47240</x:v>
      </x:c>
      <x:c r="S251" s="27" t="n">
        <x:v>144000000</x:v>
      </x:c>
      <x:c r="T251" s="27" t="n">
        <x:v>0</x:v>
      </x:c>
      <x:c r="U251" s="27" t="n">
        <x:v>144000000</x:v>
      </x:c>
      <x:c r="V251" s="27" t="str">
        <x:v>M</x:v>
      </x:c>
      <x:c r="W251" s="27" t="str">
        <x:v>N</x:v>
      </x:c>
      <x:c r="X251" s="27" t="n">
        <x:v>10</x:v>
      </x:c>
      <x:c r="Y251" s="27" t="str">
        <x:v>B</x:v>
      </x:c>
      <x:c r="Z251" s="27"/>
      <x:c r="AA251" s="27"/>
      <x:c r="AB251" s="27" t="n">
        <x:v>0</x:v>
      </x:c>
      <x:c r="AC251" s="27" t="n">
        <x:v>0</x:v>
      </x:c>
      <x:c r="AD251" s="27" t="n">
        <x:v>-2306880</x:v>
      </x:c>
      <x:c r="AE251" s="27" t="str">
        <x:v>Public-safe anonymized industry-style SA-CCR sample</x:v>
      </x:c>
      <x:c r="AF251" s="27" t="str">
        <x:v>ANON-000248</x:v>
      </x:c>
      <x:c r="AG251" s="27" t="str">
        <x:v>Credit TRS</x:v>
      </x:c>
      <x:c r="AH251" s="27"/>
      <x:c r="AI251" s="27" t="str">
        <x:v>Corporate Bond</x:v>
      </x:c>
    </x:row>
    <x:row r="252">
      <x:c r="A252" s="27" t="n">
        <x:v>45702</x:v>
      </x:c>
      <x:c r="B252" s="27" t="str">
        <x:v>IND_REGIONAL_BANK_001</x:v>
      </x:c>
      <x:c r="C252" s="27" t="n">
        <x:v>3161</x:v>
      </x:c>
      <x:c r="D252" s="27" t="str">
        <x:v>IND-000249</x:v>
      </x:c>
      <x:c r="E252" s="27" t="str">
        <x:v>Credit TRS</x:v>
      </x:c>
      <x:c r="F252" s="27" t="str">
        <x:v>Credit</x:v>
      </x:c>
      <x:c r="G252" s="27"/>
      <x:c r="H252" s="27" t="str">
        <x:v>USD</x:v>
      </x:c>
      <x:c r="I252" s="27"/>
      <x:c r="J252" s="27" t="str">
        <x:v>USD</x:v>
      </x:c>
      <x:c r="K252" s="27"/>
      <x:c r="L252" s="27"/>
      <x:c r="M252" s="27" t="str">
        <x:v>CREDIT_INDEX_05</x:v>
      </x:c>
      <x:c r="N252" s="27" t="str">
        <x:v>Singleton</x:v>
      </x:c>
      <x:c r="O252" s="27" t="str">
        <x:v>B</x:v>
      </x:c>
      <x:c r="P252" s="27" t="n">
        <x:v>45822</x:v>
      </x:c>
      <x:c r="Q252" s="27" t="n">
        <x:v>45684</x:v>
      </x:c>
      <x:c r="R252" s="27" t="n">
        <x:v>45822</x:v>
      </x:c>
      <x:c r="S252" s="27" t="n">
        <x:v>38100000</x:v>
      </x:c>
      <x:c r="T252" s="27" t="n">
        <x:v>0</x:v>
      </x:c>
      <x:c r="U252" s="27" t="n">
        <x:v>38100000</x:v>
      </x:c>
      <x:c r="V252" s="27" t="str">
        <x:v>U</x:v>
      </x:c>
      <x:c r="W252" s="27" t="str">
        <x:v>N</x:v>
      </x:c>
      <x:c r="X252" s="27"/>
      <x:c r="Y252" s="27" t="str">
        <x:v>B</x:v>
      </x:c>
      <x:c r="Z252" s="27"/>
      <x:c r="AA252" s="27"/>
      <x:c r="AB252" s="27" t="n">
        <x:v>0</x:v>
      </x:c>
      <x:c r="AC252" s="27" t="n">
        <x:v>0</x:v>
      </x:c>
      <x:c r="AD252" s="27" t="n">
        <x:v>-298704</x:v>
      </x:c>
      <x:c r="AE252" s="27" t="str">
        <x:v>Public-safe anonymized industry-style SA-CCR sample</x:v>
      </x:c>
      <x:c r="AF252" s="27" t="str">
        <x:v>ANON-000249</x:v>
      </x:c>
      <x:c r="AG252" s="27" t="str">
        <x:v>Credit TRS</x:v>
      </x:c>
      <x:c r="AH252" s="27"/>
      <x:c r="AI252" s="27" t="str">
        <x:v>Credit Index</x:v>
      </x:c>
    </x:row>
    <x:row r="253">
      <x:c r="A253" s="27" t="n">
        <x:v>45702</x:v>
      </x:c>
      <x:c r="B253" s="27" t="str">
        <x:v>IND_ASSET_MANAGER_001</x:v>
      </x:c>
      <x:c r="C253" s="27" t="n">
        <x:v>3277</x:v>
      </x:c>
      <x:c r="D253" s="27" t="str">
        <x:v>IND-000250</x:v>
      </x:c>
      <x:c r="E253" s="27" t="str">
        <x:v>Credit TRS</x:v>
      </x:c>
      <x:c r="F253" s="27" t="str">
        <x:v>Credit</x:v>
      </x:c>
      <x:c r="G253" s="27"/>
      <x:c r="H253" s="27" t="str">
        <x:v>USD</x:v>
      </x:c>
      <x:c r="I253" s="27"/>
      <x:c r="J253" s="27" t="str">
        <x:v>USD</x:v>
      </x:c>
      <x:c r="K253" s="27"/>
      <x:c r="L253" s="27"/>
      <x:c r="M253" s="27" t="str">
        <x:v>CREDIT_INDEX_27</x:v>
      </x:c>
      <x:c r="N253" s="27" t="str">
        <x:v>Singleton</x:v>
      </x:c>
      <x:c r="O253" s="27" t="str">
        <x:v>BBB</x:v>
      </x:c>
      <x:c r="P253" s="27" t="n">
        <x:v>46277</x:v>
      </x:c>
      <x:c r="Q253" s="27" t="n">
        <x:v>45085</x:v>
      </x:c>
      <x:c r="R253" s="27" t="n">
        <x:v>46277</x:v>
      </x:c>
      <x:c r="S253" s="27" t="n">
        <x:v>67400000</x:v>
      </x:c>
      <x:c r="T253" s="27" t="n">
        <x:v>0</x:v>
      </x:c>
      <x:c r="U253" s="27" t="n">
        <x:v>67400000</x:v>
      </x:c>
      <x:c r="V253" s="27" t="str">
        <x:v>U</x:v>
      </x:c>
      <x:c r="W253" s="27" t="str">
        <x:v>N</x:v>
      </x:c>
      <x:c r="X253" s="27"/>
      <x:c r="Y253" s="27" t="str">
        <x:v>B</x:v>
      </x:c>
      <x:c r="Z253" s="27"/>
      <x:c r="AA253" s="27"/>
      <x:c r="AB253" s="27" t="n">
        <x:v>0</x:v>
      </x:c>
      <x:c r="AC253" s="27" t="n">
        <x:v>0</x:v>
      </x:c>
      <x:c r="AD253" s="27" t="n">
        <x:v>876200</x:v>
      </x:c>
      <x:c r="AE253" s="27" t="str">
        <x:v>Public-safe anonymized industry-style SA-CCR sample</x:v>
      </x:c>
      <x:c r="AF253" s="27" t="str">
        <x:v>ANON-000250</x:v>
      </x:c>
      <x:c r="AG253" s="27" t="str">
        <x:v>Credit TRS</x:v>
      </x:c>
      <x:c r="AH253" s="27"/>
      <x:c r="AI253" s="27" t="str">
        <x:v>Credit Index</x:v>
      </x:c>
    </x:row>
    <x:row r="254">
      <x:c r="A254" s="27" t="n">
        <x:v>45702</x:v>
      </x:c>
      <x:c r="B254" s="27" t="str">
        <x:v>IND_BANK_002</x:v>
      </x:c>
      <x:c r="C254" s="27" t="n">
        <x:v>3341</x:v>
      </x:c>
      <x:c r="D254" s="27" t="str">
        <x:v>IND-000251</x:v>
      </x:c>
      <x:c r="E254" s="27" t="str">
        <x:v>Credit TRS</x:v>
      </x:c>
      <x:c r="F254" s="27" t="str">
        <x:v>Credit</x:v>
      </x:c>
      <x:c r="G254" s="27"/>
      <x:c r="H254" s="27" t="str">
        <x:v>USD</x:v>
      </x:c>
      <x:c r="I254" s="27"/>
      <x:c r="J254" s="27" t="str">
        <x:v>USD</x:v>
      </x:c>
      <x:c r="K254" s="27"/>
      <x:c r="L254" s="27"/>
      <x:c r="M254" s="27" t="str">
        <x:v>CREDIT_INDEX_13</x:v>
      </x:c>
      <x:c r="N254" s="27" t="str">
        <x:v>Singleton</x:v>
      </x:c>
      <x:c r="O254" s="27" t="str">
        <x:v>AA</x:v>
      </x:c>
      <x:c r="P254" s="27" t="n">
        <x:v>46000</x:v>
      </x:c>
      <x:c r="Q254" s="27" t="n">
        <x:v>45007</x:v>
      </x:c>
      <x:c r="R254" s="27" t="n">
        <x:v>46000</x:v>
      </x:c>
      <x:c r="S254" s="27" t="n">
        <x:v>25500000</x:v>
      </x:c>
      <x:c r="T254" s="27" t="n">
        <x:v>0</x:v>
      </x:c>
      <x:c r="U254" s="27" t="n">
        <x:v>25500000</x:v>
      </x:c>
      <x:c r="V254" s="27" t="str">
        <x:v>M</x:v>
      </x:c>
      <x:c r="W254" s="27" t="str">
        <x:v>N</x:v>
      </x:c>
      <x:c r="X254" s="27" t="n">
        <x:v>10</x:v>
      </x:c>
      <x:c r="Y254" s="27" t="str">
        <x:v>S</x:v>
      </x:c>
      <x:c r="Z254" s="27"/>
      <x:c r="AA254" s="27"/>
      <x:c r="AB254" s="27" t="n">
        <x:v>0</x:v>
      </x:c>
      <x:c r="AC254" s="27" t="n">
        <x:v>0</x:v>
      </x:c>
      <x:c r="AD254" s="27" t="n">
        <x:v>299370</x:v>
      </x:c>
      <x:c r="AE254" s="27" t="str">
        <x:v>Public-safe anonymized industry-style SA-CCR sample</x:v>
      </x:c>
      <x:c r="AF254" s="27" t="str">
        <x:v>ANON-000251</x:v>
      </x:c>
      <x:c r="AG254" s="27" t="str">
        <x:v>Credit TRS</x:v>
      </x:c>
      <x:c r="AH254" s="27"/>
      <x:c r="AI254" s="27" t="str">
        <x:v>Credit Index</x:v>
      </x:c>
    </x:row>
    <x:row r="255">
      <x:c r="A255" s="27" t="n">
        <x:v>45702</x:v>
      </x:c>
      <x:c r="B255" s="27" t="str">
        <x:v>IND_CORPORATE_001</x:v>
      </x:c>
      <x:c r="C255" s="27" t="n">
        <x:v>3015</x:v>
      </x:c>
      <x:c r="D255" s="27" t="str">
        <x:v>IND-000252</x:v>
      </x:c>
      <x:c r="E255" s="27" t="str">
        <x:v>Credit TRS</x:v>
      </x:c>
      <x:c r="F255" s="27" t="str">
        <x:v>Credit</x:v>
      </x:c>
      <x:c r="G255" s="27"/>
      <x:c r="H255" s="27" t="str">
        <x:v>USD</x:v>
      </x:c>
      <x:c r="I255" s="27"/>
      <x:c r="J255" s="27" t="str">
        <x:v>USD</x:v>
      </x:c>
      <x:c r="K255" s="27"/>
      <x:c r="L255" s="27"/>
      <x:c r="M255" s="27" t="str">
        <x:v>CREDIT_INDEX_17</x:v>
      </x:c>
      <x:c r="N255" s="27" t="str">
        <x:v>Singleton</x:v>
      </x:c>
      <x:c r="O255" s="27" t="str">
        <x:v>B</x:v>
      </x:c>
      <x:c r="P255" s="27" t="n">
        <x:v>45828</x:v>
      </x:c>
      <x:c r="Q255" s="27" t="n">
        <x:v>45027</x:v>
      </x:c>
      <x:c r="R255" s="27" t="n">
        <x:v>45828</x:v>
      </x:c>
      <x:c r="S255" s="27" t="n">
        <x:v>49600000</x:v>
      </x:c>
      <x:c r="T255" s="27" t="n">
        <x:v>0</x:v>
      </x:c>
      <x:c r="U255" s="27" t="n">
        <x:v>49600000</x:v>
      </x:c>
      <x:c r="V255" s="27" t="str">
        <x:v>U</x:v>
      </x:c>
      <x:c r="W255" s="27" t="str">
        <x:v>N</x:v>
      </x:c>
      <x:c r="X255" s="27"/>
      <x:c r="Y255" s="27" t="str">
        <x:v>S</x:v>
      </x:c>
      <x:c r="Z255" s="27"/>
      <x:c r="AA255" s="27"/>
      <x:c r="AB255" s="27" t="n">
        <x:v>0</x:v>
      </x:c>
      <x:c r="AC255" s="27" t="n">
        <x:v>0</x:v>
      </x:c>
      <x:c r="AD255" s="27" t="n">
        <x:v>354144</x:v>
      </x:c>
      <x:c r="AE255" s="27" t="str">
        <x:v>Public-safe anonymized industry-style SA-CCR sample</x:v>
      </x:c>
      <x:c r="AF255" s="27" t="str">
        <x:v>ANON-000252</x:v>
      </x:c>
      <x:c r="AG255" s="27" t="str">
        <x:v>Credit TRS</x:v>
      </x:c>
      <x:c r="AH255" s="27"/>
      <x:c r="AI255" s="27" t="str">
        <x:v>Credit Index</x:v>
      </x:c>
    </x:row>
    <x:row r="256">
      <x:c r="A256" s="27" t="n">
        <x:v>45702</x:v>
      </x:c>
      <x:c r="B256" s="27" t="str">
        <x:v>IND_PENSION_001</x:v>
      </x:c>
      <x:c r="C256" s="27" t="n">
        <x:v>3036</x:v>
      </x:c>
      <x:c r="D256" s="27" t="str">
        <x:v>IND-000253</x:v>
      </x:c>
      <x:c r="E256" s="27" t="str">
        <x:v>Credit Single Name CDS</x:v>
      </x:c>
      <x:c r="F256" s="27" t="str">
        <x:v>Credit</x:v>
      </x:c>
      <x:c r="G256" s="27"/>
      <x:c r="H256" s="27" t="str">
        <x:v>USD</x:v>
      </x:c>
      <x:c r="I256" s="27"/>
      <x:c r="J256" s="27" t="str">
        <x:v>USD</x:v>
      </x:c>
      <x:c r="K256" s="27"/>
      <x:c r="L256" s="27"/>
      <x:c r="M256" s="27" t="str">
        <x:v>CREDIT_NAME_27</x:v>
      </x:c>
      <x:c r="N256" s="27" t="str">
        <x:v>Singleton</x:v>
      </x:c>
      <x:c r="O256" s="27" t="str">
        <x:v>BBB</x:v>
      </x:c>
      <x:c r="P256" s="27" t="n">
        <x:v>46136</x:v>
      </x:c>
      <x:c r="Q256" s="27" t="n">
        <x:v>44883</x:v>
      </x:c>
      <x:c r="R256" s="27" t="n">
        <x:v>46136</x:v>
      </x:c>
      <x:c r="S256" s="27" t="n">
        <x:v>13100000</x:v>
      </x:c>
      <x:c r="T256" s="27" t="n">
        <x:v>0</x:v>
      </x:c>
      <x:c r="U256" s="27" t="n">
        <x:v>13100000</x:v>
      </x:c>
      <x:c r="V256" s="27" t="str">
        <x:v>U</x:v>
      </x:c>
      <x:c r="W256" s="27" t="str">
        <x:v>N</x:v>
      </x:c>
      <x:c r="X256" s="27"/>
      <x:c r="Y256" s="27" t="str">
        <x:v>B</x:v>
      </x:c>
      <x:c r="Z256" s="27"/>
      <x:c r="AA256" s="27"/>
      <x:c r="AB256" s="27" t="n">
        <x:v>0</x:v>
      </x:c>
      <x:c r="AC256" s="27" t="n">
        <x:v>0</x:v>
      </x:c>
      <x:c r="AD256" s="27" t="n">
        <x:v>-122878</x:v>
      </x:c>
      <x:c r="AE256" s="27" t="str">
        <x:v>Public-safe anonymized industry-style SA-CCR sample</x:v>
      </x:c>
      <x:c r="AF256" s="27" t="str">
        <x:v>ANON-000253</x:v>
      </x:c>
      <x:c r="AG256" s="27" t="str">
        <x:v>Credit Single Name CDS</x:v>
      </x:c>
      <x:c r="AH256" s="27"/>
      <x:c r="AI256" s="27" t="str">
        <x:v>Corporate Bond</x:v>
      </x:c>
    </x:row>
    <x:row r="257">
      <x:c r="A257" s="27" t="n">
        <x:v>45702</x:v>
      </x:c>
      <x:c r="B257" s="27" t="str">
        <x:v>IND_CORPORATE_001</x:v>
      </x:c>
      <x:c r="C257" s="27" t="n">
        <x:v>3041</x:v>
      </x:c>
      <x:c r="D257" s="27" t="str">
        <x:v>IND-000254</x:v>
      </x:c>
      <x:c r="E257" s="27" t="str">
        <x:v>Credit Single Name CDS</x:v>
      </x:c>
      <x:c r="F257" s="27" t="str">
        <x:v>Credit</x:v>
      </x:c>
      <x:c r="G257" s="27"/>
      <x:c r="H257" s="27" t="str">
        <x:v>USD</x:v>
      </x:c>
      <x:c r="I257" s="27"/>
      <x:c r="J257" s="27" t="str">
        <x:v>USD</x:v>
      </x:c>
      <x:c r="K257" s="27"/>
      <x:c r="L257" s="27"/>
      <x:c r="M257" s="27" t="str">
        <x:v>CREDIT_NAME_29</x:v>
      </x:c>
      <x:c r="N257" s="27" t="str">
        <x:v>Singleton</x:v>
      </x:c>
      <x:c r="O257" s="27" t="str">
        <x:v>B</x:v>
      </x:c>
      <x:c r="P257" s="27" t="n">
        <x:v>47056</x:v>
      </x:c>
      <x:c r="Q257" s="27" t="n">
        <x:v>45302</x:v>
      </x:c>
      <x:c r="R257" s="27" t="n">
        <x:v>47056</x:v>
      </x:c>
      <x:c r="S257" s="27" t="n">
        <x:v>9100000</x:v>
      </x:c>
      <x:c r="T257" s="27" t="n">
        <x:v>0</x:v>
      </x:c>
      <x:c r="U257" s="27" t="n">
        <x:v>9100000</x:v>
      </x:c>
      <x:c r="V257" s="27" t="str">
        <x:v>M</x:v>
      </x:c>
      <x:c r="W257" s="27" t="str">
        <x:v>N</x:v>
      </x:c>
      <x:c r="X257" s="27" t="n">
        <x:v>10</x:v>
      </x:c>
      <x:c r="Y257" s="27" t="str">
        <x:v>B</x:v>
      </x:c>
      <x:c r="Z257" s="27"/>
      <x:c r="AA257" s="27"/>
      <x:c r="AB257" s="27" t="n">
        <x:v>0</x:v>
      </x:c>
      <x:c r="AC257" s="27" t="n">
        <x:v>0</x:v>
      </x:c>
      <x:c r="AD257" s="27" t="n">
        <x:v>84266</x:v>
      </x:c>
      <x:c r="AE257" s="27" t="str">
        <x:v>Public-safe anonymized industry-style SA-CCR sample</x:v>
      </x:c>
      <x:c r="AF257" s="27" t="str">
        <x:v>ANON-000254</x:v>
      </x:c>
      <x:c r="AG257" s="27" t="str">
        <x:v>Credit Single Name CDS</x:v>
      </x:c>
      <x:c r="AH257" s="27"/>
      <x:c r="AI257" s="27" t="str">
        <x:v>Corporate Bond</x:v>
      </x:c>
    </x:row>
    <x:row r="258">
      <x:c r="A258" s="27" t="n">
        <x:v>45702</x:v>
      </x:c>
      <x:c r="B258" s="27" t="str">
        <x:v>IND_REGIONAL_BANK_001</x:v>
      </x:c>
      <x:c r="C258" s="27" t="n">
        <x:v>3161</x:v>
      </x:c>
      <x:c r="D258" s="27" t="str">
        <x:v>IND-000255</x:v>
      </x:c>
      <x:c r="E258" s="27" t="str">
        <x:v>Credit Single Name CDS</x:v>
      </x:c>
      <x:c r="F258" s="27" t="str">
        <x:v>Credit</x:v>
      </x:c>
      <x:c r="G258" s="27"/>
      <x:c r="H258" s="27" t="str">
        <x:v>USD</x:v>
      </x:c>
      <x:c r="I258" s="27"/>
      <x:c r="J258" s="27" t="str">
        <x:v>USD</x:v>
      </x:c>
      <x:c r="K258" s="27"/>
      <x:c r="L258" s="27"/>
      <x:c r="M258" s="27" t="str">
        <x:v>CREDIT_NAME_29</x:v>
      </x:c>
      <x:c r="N258" s="27" t="str">
        <x:v>Singleton</x:v>
      </x:c>
      <x:c r="O258" s="27" t="str">
        <x:v>B</x:v>
      </x:c>
      <x:c r="P258" s="27" t="n">
        <x:v>46074</x:v>
      </x:c>
      <x:c r="Q258" s="27" t="n">
        <x:v>45108</x:v>
      </x:c>
      <x:c r="R258" s="27" t="n">
        <x:v>46074</x:v>
      </x:c>
      <x:c r="S258" s="27" t="n">
        <x:v>92400000</x:v>
      </x:c>
      <x:c r="T258" s="27" t="n">
        <x:v>0</x:v>
      </x:c>
      <x:c r="U258" s="27" t="n">
        <x:v>92400000</x:v>
      </x:c>
      <x:c r="V258" s="27" t="str">
        <x:v>U</x:v>
      </x:c>
      <x:c r="W258" s="27" t="str">
        <x:v>N</x:v>
      </x:c>
      <x:c r="X258" s="27"/>
      <x:c r="Y258" s="27" t="str">
        <x:v>S</x:v>
      </x:c>
      <x:c r="Z258" s="27"/>
      <x:c r="AA258" s="27"/>
      <x:c r="AB258" s="27" t="n">
        <x:v>0</x:v>
      </x:c>
      <x:c r="AC258" s="27" t="n">
        <x:v>0</x:v>
      </x:c>
      <x:c r="AD258" s="27" t="n">
        <x:v>1500576</x:v>
      </x:c>
      <x:c r="AE258" s="27" t="str">
        <x:v>Public-safe anonymized industry-style SA-CCR sample</x:v>
      </x:c>
      <x:c r="AF258" s="27" t="str">
        <x:v>ANON-000255</x:v>
      </x:c>
      <x:c r="AG258" s="27" t="str">
        <x:v>Credit Single Name CDS</x:v>
      </x:c>
      <x:c r="AH258" s="27"/>
      <x:c r="AI258" s="27" t="str">
        <x:v>Corporate Bond</x:v>
      </x:c>
    </x:row>
    <x:row r="259">
      <x:c r="A259" s="27" t="n">
        <x:v>45702</x:v>
      </x:c>
      <x:c r="B259" s="27" t="str">
        <x:v>IND_SOVEREIGN_001</x:v>
      </x:c>
      <x:c r="C259" s="27" t="n">
        <x:v>3281</x:v>
      </x:c>
      <x:c r="D259" s="27" t="str">
        <x:v>IND-000256</x:v>
      </x:c>
      <x:c r="E259" s="27" t="str">
        <x:v>Credit Single Name CDS</x:v>
      </x:c>
      <x:c r="F259" s="27" t="str">
        <x:v>Credit</x:v>
      </x:c>
      <x:c r="G259" s="27"/>
      <x:c r="H259" s="27" t="str">
        <x:v>USD</x:v>
      </x:c>
      <x:c r="I259" s="27"/>
      <x:c r="J259" s="27" t="str">
        <x:v>USD</x:v>
      </x:c>
      <x:c r="K259" s="27"/>
      <x:c r="L259" s="27"/>
      <x:c r="M259" s="27" t="str">
        <x:v>CREDIT_NAME_14</x:v>
      </x:c>
      <x:c r="N259" s="27" t="str">
        <x:v>Singleton</x:v>
      </x:c>
      <x:c r="O259" s="27" t="str">
        <x:v>A</x:v>
      </x:c>
      <x:c r="P259" s="27" t="n">
        <x:v>47157</x:v>
      </x:c>
      <x:c r="Q259" s="27" t="n">
        <x:v>45315</x:v>
      </x:c>
      <x:c r="R259" s="27" t="n">
        <x:v>47157</x:v>
      </x:c>
      <x:c r="S259" s="27" t="n">
        <x:v>104000000</x:v>
      </x:c>
      <x:c r="T259" s="27" t="n">
        <x:v>0</x:v>
      </x:c>
      <x:c r="U259" s="27" t="n">
        <x:v>104000000</x:v>
      </x:c>
      <x:c r="V259" s="27" t="str">
        <x:v>U</x:v>
      </x:c>
      <x:c r="W259" s="27" t="str">
        <x:v>N</x:v>
      </x:c>
      <x:c r="X259" s="27"/>
      <x:c r="Y259" s="27" t="str">
        <x:v>S</x:v>
      </x:c>
      <x:c r="Z259" s="27"/>
      <x:c r="AA259" s="27"/>
      <x:c r="AB259" s="27" t="n">
        <x:v>0</x:v>
      </x:c>
      <x:c r="AC259" s="27" t="n">
        <x:v>0</x:v>
      </x:c>
      <x:c r="AD259" s="27" t="n">
        <x:v>-2044640</x:v>
      </x:c>
      <x:c r="AE259" s="27" t="str">
        <x:v>Public-safe anonymized industry-style SA-CCR sample</x:v>
      </x:c>
      <x:c r="AF259" s="27" t="str">
        <x:v>ANON-000256</x:v>
      </x:c>
      <x:c r="AG259" s="27" t="str">
        <x:v>Credit Single Name CDS</x:v>
      </x:c>
      <x:c r="AH259" s="27"/>
      <x:c r="AI259" s="27" t="str">
        <x:v>Corporate Bond</x:v>
      </x:c>
    </x:row>
    <x:row r="260">
      <x:c r="A260" s="27" t="n">
        <x:v>45702</x:v>
      </x:c>
      <x:c r="B260" s="27" t="str">
        <x:v>IND_REGIONAL_BANK_001</x:v>
      </x:c>
      <x:c r="C260" s="27" t="n">
        <x:v>3237</x:v>
      </x:c>
      <x:c r="D260" s="27" t="str">
        <x:v>IND-000257</x:v>
      </x:c>
      <x:c r="E260" s="27" t="str">
        <x:v>Credit Single Name CDS</x:v>
      </x:c>
      <x:c r="F260" s="27" t="str">
        <x:v>Credit</x:v>
      </x:c>
      <x:c r="G260" s="27"/>
      <x:c r="H260" s="27" t="str">
        <x:v>USD</x:v>
      </x:c>
      <x:c r="I260" s="27"/>
      <x:c r="J260" s="27" t="str">
        <x:v>USD</x:v>
      </x:c>
      <x:c r="K260" s="27"/>
      <x:c r="L260" s="27"/>
      <x:c r="M260" s="27" t="str">
        <x:v>CREDIT_NAME_11</x:v>
      </x:c>
      <x:c r="N260" s="27" t="str">
        <x:v>Singleton</x:v>
      </x:c>
      <x:c r="O260" s="27" t="str">
        <x:v>B</x:v>
      </x:c>
      <x:c r="P260" s="27" t="n">
        <x:v>46094</x:v>
      </x:c>
      <x:c r="Q260" s="27" t="n">
        <x:v>45141</x:v>
      </x:c>
      <x:c r="R260" s="27" t="n">
        <x:v>46094</x:v>
      </x:c>
      <x:c r="S260" s="27" t="n">
        <x:v>5800000</x:v>
      </x:c>
      <x:c r="T260" s="27" t="n">
        <x:v>0</x:v>
      </x:c>
      <x:c r="U260" s="27" t="n">
        <x:v>5800000</x:v>
      </x:c>
      <x:c r="V260" s="27" t="str">
        <x:v>M</x:v>
      </x:c>
      <x:c r="W260" s="27" t="str">
        <x:v>N</x:v>
      </x:c>
      <x:c r="X260" s="27" t="n">
        <x:v>10</x:v>
      </x:c>
      <x:c r="Y260" s="27" t="str">
        <x:v>S</x:v>
      </x:c>
      <x:c r="Z260" s="27"/>
      <x:c r="AA260" s="27"/>
      <x:c r="AB260" s="27" t="n">
        <x:v>0</x:v>
      </x:c>
      <x:c r="AC260" s="27" t="n">
        <x:v>0</x:v>
      </x:c>
      <x:c r="AD260" s="27" t="n">
        <x:v>8816</x:v>
      </x:c>
      <x:c r="AE260" s="27" t="str">
        <x:v>Public-safe anonymized industry-style SA-CCR sample</x:v>
      </x:c>
      <x:c r="AF260" s="27" t="str">
        <x:v>ANON-000257</x:v>
      </x:c>
      <x:c r="AG260" s="27" t="str">
        <x:v>Credit Single Name CDS</x:v>
      </x:c>
      <x:c r="AH260" s="27"/>
      <x:c r="AI260" s="27" t="str">
        <x:v>Corporate Bond</x:v>
      </x:c>
    </x:row>
    <x:row r="261">
      <x:c r="A261" s="27" t="n">
        <x:v>45702</x:v>
      </x:c>
      <x:c r="B261" s="27" t="str">
        <x:v>IND_CORPORATE_001</x:v>
      </x:c>
      <x:c r="C261" s="27" t="n">
        <x:v>3041</x:v>
      </x:c>
      <x:c r="D261" s="27" t="str">
        <x:v>IND-000258</x:v>
      </x:c>
      <x:c r="E261" s="27" t="str">
        <x:v>Credit Single Name CDS</x:v>
      </x:c>
      <x:c r="F261" s="27" t="str">
        <x:v>Credit</x:v>
      </x:c>
      <x:c r="G261" s="27"/>
      <x:c r="H261" s="27" t="str">
        <x:v>USD</x:v>
      </x:c>
      <x:c r="I261" s="27"/>
      <x:c r="J261" s="27" t="str">
        <x:v>USD</x:v>
      </x:c>
      <x:c r="K261" s="27"/>
      <x:c r="L261" s="27"/>
      <x:c r="M261" s="27" t="str">
        <x:v>CREDIT_NAME_11</x:v>
      </x:c>
      <x:c r="N261" s="27" t="str">
        <x:v>Singleton</x:v>
      </x:c>
      <x:c r="O261" s="27" t="str">
        <x:v>B</x:v>
      </x:c>
      <x:c r="P261" s="27" t="n">
        <x:v>46296</x:v>
      </x:c>
      <x:c r="Q261" s="27" t="n">
        <x:v>45661</x:v>
      </x:c>
      <x:c r="R261" s="27" t="n">
        <x:v>46296</x:v>
      </x:c>
      <x:c r="S261" s="27" t="n">
        <x:v>5800000</x:v>
      </x:c>
      <x:c r="T261" s="27" t="n">
        <x:v>0</x:v>
      </x:c>
      <x:c r="U261" s="27" t="n">
        <x:v>5800000</x:v>
      </x:c>
      <x:c r="V261" s="27" t="str">
        <x:v>M</x:v>
      </x:c>
      <x:c r="W261" s="27" t="str">
        <x:v>N</x:v>
      </x:c>
      <x:c r="X261" s="27" t="n">
        <x:v>10</x:v>
      </x:c>
      <x:c r="Y261" s="27" t="str">
        <x:v>B</x:v>
      </x:c>
      <x:c r="Z261" s="27"/>
      <x:c r="AA261" s="27"/>
      <x:c r="AB261" s="27" t="n">
        <x:v>0</x:v>
      </x:c>
      <x:c r="AC261" s="27" t="n">
        <x:v>0</x:v>
      </x:c>
      <x:c r="AD261" s="27" t="n">
        <x:v>13224</x:v>
      </x:c>
      <x:c r="AE261" s="27" t="str">
        <x:v>Public-safe anonymized industry-style SA-CCR sample</x:v>
      </x:c>
      <x:c r="AF261" s="27" t="str">
        <x:v>ANON-000258</x:v>
      </x:c>
      <x:c r="AG261" s="27" t="str">
        <x:v>Credit Single Name CDS</x:v>
      </x:c>
      <x:c r="AH261" s="27"/>
      <x:c r="AI261" s="27" t="str">
        <x:v>Corporate Bond</x:v>
      </x:c>
    </x:row>
    <x:row r="262">
      <x:c r="A262" s="27" t="n">
        <x:v>45702</x:v>
      </x:c>
      <x:c r="B262" s="27" t="str">
        <x:v>IND_CORPORATE_001</x:v>
      </x:c>
      <x:c r="C262" s="27" t="n">
        <x:v>3041</x:v>
      </x:c>
      <x:c r="D262" s="27" t="str">
        <x:v>IND-000259</x:v>
      </x:c>
      <x:c r="E262" s="27" t="str">
        <x:v>Credit Single Name CDS</x:v>
      </x:c>
      <x:c r="F262" s="27" t="str">
        <x:v>Credit</x:v>
      </x:c>
      <x:c r="G262" s="27"/>
      <x:c r="H262" s="27" t="str">
        <x:v>USD</x:v>
      </x:c>
      <x:c r="I262" s="27"/>
      <x:c r="J262" s="27" t="str">
        <x:v>USD</x:v>
      </x:c>
      <x:c r="K262" s="27"/>
      <x:c r="L262" s="27"/>
      <x:c r="M262" s="27" t="str">
        <x:v>CREDIT_NAME_05</x:v>
      </x:c>
      <x:c r="N262" s="27" t="str">
        <x:v>Singleton</x:v>
      </x:c>
      <x:c r="O262" s="27" t="str">
        <x:v>B</x:v>
      </x:c>
      <x:c r="P262" s="27" t="n">
        <x:v>47129</x:v>
      </x:c>
      <x:c r="Q262" s="27" t="n">
        <x:v>45032</x:v>
      </x:c>
      <x:c r="R262" s="27" t="n">
        <x:v>47129</x:v>
      </x:c>
      <x:c r="S262" s="27" t="n">
        <x:v>31400000</x:v>
      </x:c>
      <x:c r="T262" s="27" t="n">
        <x:v>0</x:v>
      </x:c>
      <x:c r="U262" s="27" t="n">
        <x:v>31400000</x:v>
      </x:c>
      <x:c r="V262" s="27" t="str">
        <x:v>M</x:v>
      </x:c>
      <x:c r="W262" s="27" t="str">
        <x:v>N</x:v>
      </x:c>
      <x:c r="X262" s="27" t="n">
        <x:v>10</x:v>
      </x:c>
      <x:c r="Y262" s="27" t="str">
        <x:v>S</x:v>
      </x:c>
      <x:c r="Z262" s="27"/>
      <x:c r="AA262" s="27"/>
      <x:c r="AB262" s="27" t="n">
        <x:v>0</x:v>
      </x:c>
      <x:c r="AC262" s="27" t="n">
        <x:v>0</x:v>
      </x:c>
      <x:c r="AD262" s="27" t="n">
        <x:v>-411968</x:v>
      </x:c>
      <x:c r="AE262" s="27" t="str">
        <x:v>Public-safe anonymized industry-style SA-CCR sample</x:v>
      </x:c>
      <x:c r="AF262" s="27" t="str">
        <x:v>ANON-000259</x:v>
      </x:c>
      <x:c r="AG262" s="27" t="str">
        <x:v>Credit Single Name CDS</x:v>
      </x:c>
      <x:c r="AH262" s="27"/>
      <x:c r="AI262" s="27" t="str">
        <x:v>Corporate Bond</x:v>
      </x:c>
    </x:row>
    <x:row r="263">
      <x:c r="A263" s="27" t="n">
        <x:v>45702</x:v>
      </x:c>
      <x:c r="B263" s="27" t="str">
        <x:v>IND_HEDGE_FUND_001</x:v>
      </x:c>
      <x:c r="C263" s="27" t="n">
        <x:v>3338</x:v>
      </x:c>
      <x:c r="D263" s="27" t="str">
        <x:v>IND-000260</x:v>
      </x:c>
      <x:c r="E263" s="27" t="str">
        <x:v>Credit Single Name CDS</x:v>
      </x:c>
      <x:c r="F263" s="27" t="str">
        <x:v>Credit</x:v>
      </x:c>
      <x:c r="G263" s="27"/>
      <x:c r="H263" s="27" t="str">
        <x:v>USD</x:v>
      </x:c>
      <x:c r="I263" s="27"/>
      <x:c r="J263" s="27" t="str">
        <x:v>USD</x:v>
      </x:c>
      <x:c r="K263" s="27"/>
      <x:c r="L263" s="27"/>
      <x:c r="M263" s="27" t="str">
        <x:v>CREDIT_NAME_10</x:v>
      </x:c>
      <x:c r="N263" s="27" t="str">
        <x:v>Singleton</x:v>
      </x:c>
      <x:c r="O263" s="27" t="str">
        <x:v>BB</x:v>
      </x:c>
      <x:c r="P263" s="27" t="n">
        <x:v>47225</x:v>
      </x:c>
      <x:c r="Q263" s="27" t="n">
        <x:v>45100</x:v>
      </x:c>
      <x:c r="R263" s="27" t="n">
        <x:v>47225</x:v>
      </x:c>
      <x:c r="S263" s="27" t="n">
        <x:v>26800000</x:v>
      </x:c>
      <x:c r="T263" s="27" t="n">
        <x:v>0</x:v>
      </x:c>
      <x:c r="U263" s="27" t="n">
        <x:v>26800000</x:v>
      </x:c>
      <x:c r="V263" s="27" t="str">
        <x:v>U</x:v>
      </x:c>
      <x:c r="W263" s="27" t="str">
        <x:v>N</x:v>
      </x:c>
      <x:c r="X263" s="27"/>
      <x:c r="Y263" s="27" t="str">
        <x:v>S</x:v>
      </x:c>
      <x:c r="Z263" s="27"/>
      <x:c r="AA263" s="27"/>
      <x:c r="AB263" s="27" t="n">
        <x:v>0</x:v>
      </x:c>
      <x:c r="AC263" s="27" t="n">
        <x:v>0</x:v>
      </x:c>
      <x:c r="AD263" s="27" t="n">
        <x:v>40736</x:v>
      </x:c>
      <x:c r="AE263" s="27" t="str">
        <x:v>Public-safe anonymized industry-style SA-CCR sample</x:v>
      </x:c>
      <x:c r="AF263" s="27" t="str">
        <x:v>ANON-000260</x:v>
      </x:c>
      <x:c r="AG263" s="27" t="str">
        <x:v>Credit Single Name CDS</x:v>
      </x:c>
      <x:c r="AH263" s="27"/>
      <x:c r="AI263" s="27" t="str">
        <x:v>Corporate Bond</x:v>
      </x:c>
    </x:row>
    <x:row r="264">
      <x:c r="A264" s="27" t="n">
        <x:v>45702</x:v>
      </x:c>
      <x:c r="B264" s="27" t="str">
        <x:v>IND_REGIONAL_BANK_001</x:v>
      </x:c>
      <x:c r="C264" s="27" t="n">
        <x:v>3161</x:v>
      </x:c>
      <x:c r="D264" s="27" t="str">
        <x:v>IND-000261</x:v>
      </x:c>
      <x:c r="E264" s="27" t="str">
        <x:v>Credit Single Name CDS</x:v>
      </x:c>
      <x:c r="F264" s="27" t="str">
        <x:v>Credit</x:v>
      </x:c>
      <x:c r="G264" s="27"/>
      <x:c r="H264" s="27" t="str">
        <x:v>USD</x:v>
      </x:c>
      <x:c r="I264" s="27"/>
      <x:c r="J264" s="27" t="str">
        <x:v>USD</x:v>
      </x:c>
      <x:c r="K264" s="27"/>
      <x:c r="L264" s="27"/>
      <x:c r="M264" s="27" t="str">
        <x:v>CREDIT_NAME_17</x:v>
      </x:c>
      <x:c r="N264" s="27" t="str">
        <x:v>Singleton</x:v>
      </x:c>
      <x:c r="O264" s="27" t="str">
        <x:v>B</x:v>
      </x:c>
      <x:c r="P264" s="27" t="n">
        <x:v>47675</x:v>
      </x:c>
      <x:c r="Q264" s="27" t="n">
        <x:v>45501</x:v>
      </x:c>
      <x:c r="R264" s="27" t="n">
        <x:v>47675</x:v>
      </x:c>
      <x:c r="S264" s="27" t="n">
        <x:v>70700000</x:v>
      </x:c>
      <x:c r="T264" s="27" t="n">
        <x:v>0</x:v>
      </x:c>
      <x:c r="U264" s="27" t="n">
        <x:v>70700000</x:v>
      </x:c>
      <x:c r="V264" s="27" t="str">
        <x:v>U</x:v>
      </x:c>
      <x:c r="W264" s="27" t="str">
        <x:v>N</x:v>
      </x:c>
      <x:c r="X264" s="27"/>
      <x:c r="Y264" s="27" t="str">
        <x:v>S</x:v>
      </x:c>
      <x:c r="Z264" s="27"/>
      <x:c r="AA264" s="27"/>
      <x:c r="AB264" s="27" t="n">
        <x:v>0</x:v>
      </x:c>
      <x:c r="AC264" s="27" t="n">
        <x:v>0</x:v>
      </x:c>
      <x:c r="AD264" s="27" t="n">
        <x:v>279972</x:v>
      </x:c>
      <x:c r="AE264" s="27" t="str">
        <x:v>Public-safe anonymized industry-style SA-CCR sample</x:v>
      </x:c>
      <x:c r="AF264" s="27" t="str">
        <x:v>ANON-000261</x:v>
      </x:c>
      <x:c r="AG264" s="27" t="str">
        <x:v>Credit Single Name CDS</x:v>
      </x:c>
      <x:c r="AH264" s="27"/>
      <x:c r="AI264" s="27" t="str">
        <x:v>Corporate Bond</x:v>
      </x:c>
    </x:row>
    <x:row r="265">
      <x:c r="A265" s="27" t="n">
        <x:v>45702</x:v>
      </x:c>
      <x:c r="B265" s="27" t="str">
        <x:v>IND_SOVEREIGN_001</x:v>
      </x:c>
      <x:c r="C265" s="27" t="n">
        <x:v>3042</x:v>
      </x:c>
      <x:c r="D265" s="27" t="str">
        <x:v>IND-000262</x:v>
      </x:c>
      <x:c r="E265" s="27" t="str">
        <x:v>Credit Single Name CDS</x:v>
      </x:c>
      <x:c r="F265" s="27" t="str">
        <x:v>Credit</x:v>
      </x:c>
      <x:c r="G265" s="27"/>
      <x:c r="H265" s="27" t="str">
        <x:v>USD</x:v>
      </x:c>
      <x:c r="I265" s="27"/>
      <x:c r="J265" s="27" t="str">
        <x:v>USD</x:v>
      </x:c>
      <x:c r="K265" s="27"/>
      <x:c r="L265" s="27"/>
      <x:c r="M265" s="27" t="str">
        <x:v>CREDIT_NAME_08</x:v>
      </x:c>
      <x:c r="N265" s="27" t="str">
        <x:v>Singleton</x:v>
      </x:c>
      <x:c r="O265" s="27" t="str">
        <x:v>A</x:v>
      </x:c>
      <x:c r="P265" s="27" t="n">
        <x:v>47093</x:v>
      </x:c>
      <x:c r="Q265" s="27" t="n">
        <x:v>45220</x:v>
      </x:c>
      <x:c r="R265" s="27" t="n">
        <x:v>47093</x:v>
      </x:c>
      <x:c r="S265" s="27" t="n">
        <x:v>103000000</x:v>
      </x:c>
      <x:c r="T265" s="27" t="n">
        <x:v>0</x:v>
      </x:c>
      <x:c r="U265" s="27" t="n">
        <x:v>103000000</x:v>
      </x:c>
      <x:c r="V265" s="27" t="str">
        <x:v>M</x:v>
      </x:c>
      <x:c r="W265" s="27" t="str">
        <x:v>N</x:v>
      </x:c>
      <x:c r="X265" s="27" t="n">
        <x:v>10</x:v>
      </x:c>
      <x:c r="Y265" s="27" t="str">
        <x:v>B</x:v>
      </x:c>
      <x:c r="Z265" s="27"/>
      <x:c r="AA265" s="27"/>
      <x:c r="AB265" s="27" t="n">
        <x:v>0</x:v>
      </x:c>
      <x:c r="AC265" s="27" t="n">
        <x:v>0</x:v>
      </x:c>
      <x:c r="AD265" s="27" t="n">
        <x:v>517060</x:v>
      </x:c>
      <x:c r="AE265" s="27" t="str">
        <x:v>Public-safe anonymized industry-style SA-CCR sample</x:v>
      </x:c>
      <x:c r="AF265" s="27" t="str">
        <x:v>ANON-000262</x:v>
      </x:c>
      <x:c r="AG265" s="27" t="str">
        <x:v>Credit Single Name CDS</x:v>
      </x:c>
      <x:c r="AH265" s="27"/>
      <x:c r="AI265" s="27" t="str">
        <x:v>Corporate Bond</x:v>
      </x:c>
    </x:row>
    <x:row r="266">
      <x:c r="A266" s="27" t="n">
        <x:v>45702</x:v>
      </x:c>
      <x:c r="B266" s="27" t="str">
        <x:v>IND_CORPORATE_001</x:v>
      </x:c>
      <x:c r="C266" s="27" t="n">
        <x:v>3041</x:v>
      </x:c>
      <x:c r="D266" s="27" t="str">
        <x:v>IND-000263</x:v>
      </x:c>
      <x:c r="E266" s="27" t="str">
        <x:v>Credit Index CDS</x:v>
      </x:c>
      <x:c r="F266" s="27" t="str">
        <x:v>Credit</x:v>
      </x:c>
      <x:c r="G266" s="27"/>
      <x:c r="H266" s="27" t="str">
        <x:v>USD</x:v>
      </x:c>
      <x:c r="I266" s="27"/>
      <x:c r="J266" s="27" t="str">
        <x:v>USD</x:v>
      </x:c>
      <x:c r="K266" s="27"/>
      <x:c r="L266" s="27"/>
      <x:c r="M266" s="27" t="str">
        <x:v>CREDIT_INDEX_29</x:v>
      </x:c>
      <x:c r="N266" s="27" t="str">
        <x:v>Index</x:v>
      </x:c>
      <x:c r="O266" s="27" t="str">
        <x:v>B</x:v>
      </x:c>
      <x:c r="P266" s="27" t="n">
        <x:v>46220</x:v>
      </x:c>
      <x:c r="Q266" s="27" t="n">
        <x:v>45674</x:v>
      </x:c>
      <x:c r="R266" s="27" t="n">
        <x:v>46220</x:v>
      </x:c>
      <x:c r="S266" s="27" t="n">
        <x:v>73800000</x:v>
      </x:c>
      <x:c r="T266" s="27" t="n">
        <x:v>0</x:v>
      </x:c>
      <x:c r="U266" s="27" t="n">
        <x:v>73800000</x:v>
      </x:c>
      <x:c r="V266" s="27" t="str">
        <x:v>M</x:v>
      </x:c>
      <x:c r="W266" s="27" t="str">
        <x:v>N</x:v>
      </x:c>
      <x:c r="X266" s="27" t="n">
        <x:v>10</x:v>
      </x:c>
      <x:c r="Y266" s="27" t="str">
        <x:v>S</x:v>
      </x:c>
      <x:c r="Z266" s="27"/>
      <x:c r="AA266" s="27"/>
      <x:c r="AB266" s="27" t="n">
        <x:v>0</x:v>
      </x:c>
      <x:c r="AC266" s="27" t="n">
        <x:v>0</x:v>
      </x:c>
      <x:c r="AD266" s="27" t="n">
        <x:v>-307008</x:v>
      </x:c>
      <x:c r="AE266" s="27" t="str">
        <x:v>Public-safe anonymized industry-style SA-CCR sample</x:v>
      </x:c>
      <x:c r="AF266" s="27" t="str">
        <x:v>ANON-000263</x:v>
      </x:c>
      <x:c r="AG266" s="27" t="str">
        <x:v>Credit Index CDS</x:v>
      </x:c>
      <x:c r="AH266" s="27"/>
      <x:c r="AI266" s="27" t="str">
        <x:v>Credit Index</x:v>
      </x:c>
    </x:row>
    <x:row r="267">
      <x:c r="A267" s="27" t="n">
        <x:v>45702</x:v>
      </x:c>
      <x:c r="B267" s="27" t="str">
        <x:v>IND_PENSION_001</x:v>
      </x:c>
      <x:c r="C267" s="27" t="n">
        <x:v>3036</x:v>
      </x:c>
      <x:c r="D267" s="27" t="str">
        <x:v>IND-000264</x:v>
      </x:c>
      <x:c r="E267" s="27" t="str">
        <x:v>Credit Index CDS</x:v>
      </x:c>
      <x:c r="F267" s="27" t="str">
        <x:v>Credit</x:v>
      </x:c>
      <x:c r="G267" s="27"/>
      <x:c r="H267" s="27" t="str">
        <x:v>USD</x:v>
      </x:c>
      <x:c r="I267" s="27"/>
      <x:c r="J267" s="27" t="str">
        <x:v>USD</x:v>
      </x:c>
      <x:c r="K267" s="27"/>
      <x:c r="L267" s="27"/>
      <x:c r="M267" s="27" t="str">
        <x:v>CREDIT_INDEX_21</x:v>
      </x:c>
      <x:c r="N267" s="27" t="str">
        <x:v>Index</x:v>
      </x:c>
      <x:c r="O267" s="27" t="str">
        <x:v>BBB</x:v>
      </x:c>
      <x:c r="P267" s="27" t="n">
        <x:v>46908</x:v>
      </x:c>
      <x:c r="Q267" s="27" t="n">
        <x:v>45620</x:v>
      </x:c>
      <x:c r="R267" s="27" t="n">
        <x:v>46908</x:v>
      </x:c>
      <x:c r="S267" s="27" t="n">
        <x:v>98600000</x:v>
      </x:c>
      <x:c r="T267" s="27" t="n">
        <x:v>0</x:v>
      </x:c>
      <x:c r="U267" s="27" t="n">
        <x:v>98600000</x:v>
      </x:c>
      <x:c r="V267" s="27" t="str">
        <x:v>U</x:v>
      </x:c>
      <x:c r="W267" s="27" t="str">
        <x:v>N</x:v>
      </x:c>
      <x:c r="X267" s="27"/>
      <x:c r="Y267" s="27" t="str">
        <x:v>S</x:v>
      </x:c>
      <x:c r="Z267" s="27"/>
      <x:c r="AA267" s="27"/>
      <x:c r="AB267" s="27" t="n">
        <x:v>0</x:v>
      </x:c>
      <x:c r="AC267" s="27" t="n">
        <x:v>0</x:v>
      </x:c>
      <x:c r="AD267" s="27" t="n">
        <x:v>-1382372</x:v>
      </x:c>
      <x:c r="AE267" s="27" t="str">
        <x:v>Public-safe anonymized industry-style SA-CCR sample</x:v>
      </x:c>
      <x:c r="AF267" s="27" t="str">
        <x:v>ANON-000264</x:v>
      </x:c>
      <x:c r="AG267" s="27" t="str">
        <x:v>Credit Index CDS</x:v>
      </x:c>
      <x:c r="AH267" s="27"/>
      <x:c r="AI267" s="27" t="str">
        <x:v>Credit Index</x:v>
      </x:c>
    </x:row>
    <x:row r="268">
      <x:c r="A268" s="27" t="n">
        <x:v>45702</x:v>
      </x:c>
      <x:c r="B268" s="27" t="str">
        <x:v>IND_REGIONAL_BANK_001</x:v>
      </x:c>
      <x:c r="C268" s="27" t="n">
        <x:v>3161</x:v>
      </x:c>
      <x:c r="D268" s="27" t="str">
        <x:v>IND-000265</x:v>
      </x:c>
      <x:c r="E268" s="27" t="str">
        <x:v>Credit Index CDS</x:v>
      </x:c>
      <x:c r="F268" s="27" t="str">
        <x:v>Credit</x:v>
      </x:c>
      <x:c r="G268" s="27"/>
      <x:c r="H268" s="27" t="str">
        <x:v>USD</x:v>
      </x:c>
      <x:c r="I268" s="27"/>
      <x:c r="J268" s="27" t="str">
        <x:v>USD</x:v>
      </x:c>
      <x:c r="K268" s="27"/>
      <x:c r="L268" s="27"/>
      <x:c r="M268" s="27" t="str">
        <x:v>CREDIT_INDEX_29</x:v>
      </x:c>
      <x:c r="N268" s="27" t="str">
        <x:v>Index</x:v>
      </x:c>
      <x:c r="O268" s="27" t="str">
        <x:v>B</x:v>
      </x:c>
      <x:c r="P268" s="27" t="n">
        <x:v>47781</x:v>
      </x:c>
      <x:c r="Q268" s="27" t="n">
        <x:v>44832</x:v>
      </x:c>
      <x:c r="R268" s="27" t="n">
        <x:v>47781</x:v>
      </x:c>
      <x:c r="S268" s="27" t="n">
        <x:v>58900000</x:v>
      </x:c>
      <x:c r="T268" s="27" t="n">
        <x:v>0</x:v>
      </x:c>
      <x:c r="U268" s="27" t="n">
        <x:v>58900000</x:v>
      </x:c>
      <x:c r="V268" s="27" t="str">
        <x:v>U</x:v>
      </x:c>
      <x:c r="W268" s="27" t="str">
        <x:v>N</x:v>
      </x:c>
      <x:c r="X268" s="27"/>
      <x:c r="Y268" s="27" t="str">
        <x:v>B</x:v>
      </x:c>
      <x:c r="Z268" s="27"/>
      <x:c r="AA268" s="27"/>
      <x:c r="AB268" s="27" t="n">
        <x:v>0</x:v>
      </x:c>
      <x:c r="AC268" s="27" t="n">
        <x:v>0</x:v>
      </x:c>
      <x:c r="AD268" s="27" t="n">
        <x:v>581932</x:v>
      </x:c>
      <x:c r="AE268" s="27" t="str">
        <x:v>Public-safe anonymized industry-style SA-CCR sample</x:v>
      </x:c>
      <x:c r="AF268" s="27" t="str">
        <x:v>ANON-000265</x:v>
      </x:c>
      <x:c r="AG268" s="27" t="str">
        <x:v>Credit Index CDS</x:v>
      </x:c>
      <x:c r="AH268" s="27"/>
      <x:c r="AI268" s="27" t="str">
        <x:v>Credit Index</x:v>
      </x:c>
    </x:row>
    <x:row r="269">
      <x:c r="A269" s="27" t="n">
        <x:v>45702</x:v>
      </x:c>
      <x:c r="B269" s="27" t="str">
        <x:v>IND_REGIONAL_BANK_001</x:v>
      </x:c>
      <x:c r="C269" s="27" t="n">
        <x:v>3237</x:v>
      </x:c>
      <x:c r="D269" s="27" t="str">
        <x:v>IND-000266</x:v>
      </x:c>
      <x:c r="E269" s="27" t="str">
        <x:v>Credit Index CDS</x:v>
      </x:c>
      <x:c r="F269" s="27" t="str">
        <x:v>Credit</x:v>
      </x:c>
      <x:c r="G269" s="27"/>
      <x:c r="H269" s="27" t="str">
        <x:v>USD</x:v>
      </x:c>
      <x:c r="I269" s="27"/>
      <x:c r="J269" s="27" t="str">
        <x:v>USD</x:v>
      </x:c>
      <x:c r="K269" s="27"/>
      <x:c r="L269" s="27"/>
      <x:c r="M269" s="27" t="str">
        <x:v>CREDIT_INDEX_29</x:v>
      </x:c>
      <x:c r="N269" s="27" t="str">
        <x:v>Index</x:v>
      </x:c>
      <x:c r="O269" s="27" t="str">
        <x:v>B</x:v>
      </x:c>
      <x:c r="P269" s="27" t="n">
        <x:v>47576</x:v>
      </x:c>
      <x:c r="Q269" s="27" t="n">
        <x:v>45684</x:v>
      </x:c>
      <x:c r="R269" s="27" t="n">
        <x:v>47576</x:v>
      </x:c>
      <x:c r="S269" s="27" t="n">
        <x:v>180000000</x:v>
      </x:c>
      <x:c r="T269" s="27" t="n">
        <x:v>0</x:v>
      </x:c>
      <x:c r="U269" s="27" t="n">
        <x:v>180000000</x:v>
      </x:c>
      <x:c r="V269" s="27" t="str">
        <x:v>M</x:v>
      </x:c>
      <x:c r="W269" s="27" t="str">
        <x:v>N</x:v>
      </x:c>
      <x:c r="X269" s="27" t="n">
        <x:v>10</x:v>
      </x:c>
      <x:c r="Y269" s="27" t="str">
        <x:v>S</x:v>
      </x:c>
      <x:c r="Z269" s="27"/>
      <x:c r="AA269" s="27"/>
      <x:c r="AB269" s="27" t="n">
        <x:v>0</x:v>
      </x:c>
      <x:c r="AC269" s="27" t="n">
        <x:v>0</x:v>
      </x:c>
      <x:c r="AD269" s="27" t="n">
        <x:v>-3114000</x:v>
      </x:c>
      <x:c r="AE269" s="27" t="str">
        <x:v>Public-safe anonymized industry-style SA-CCR sample</x:v>
      </x:c>
      <x:c r="AF269" s="27" t="str">
        <x:v>ANON-000266</x:v>
      </x:c>
      <x:c r="AG269" s="27" t="str">
        <x:v>Credit Index CDS</x:v>
      </x:c>
      <x:c r="AH269" s="27"/>
      <x:c r="AI269" s="27" t="str">
        <x:v>Credit Index</x:v>
      </x:c>
    </x:row>
    <x:row r="270">
      <x:c r="A270" s="27" t="n">
        <x:v>45702</x:v>
      </x:c>
      <x:c r="B270" s="27" t="str">
        <x:v>IND_INSURER_001</x:v>
      </x:c>
      <x:c r="C270" s="27" t="n">
        <x:v>3338</x:v>
      </x:c>
      <x:c r="D270" s="27" t="str">
        <x:v>IND-000267</x:v>
      </x:c>
      <x:c r="E270" s="27" t="str">
        <x:v>Credit Index CDS</x:v>
      </x:c>
      <x:c r="F270" s="27" t="str">
        <x:v>Credit</x:v>
      </x:c>
      <x:c r="G270" s="27"/>
      <x:c r="H270" s="27" t="str">
        <x:v>USD</x:v>
      </x:c>
      <x:c r="I270" s="27"/>
      <x:c r="J270" s="27" t="str">
        <x:v>USD</x:v>
      </x:c>
      <x:c r="K270" s="27"/>
      <x:c r="L270" s="27"/>
      <x:c r="M270" s="27" t="str">
        <x:v>CREDIT_INDEX_07</x:v>
      </x:c>
      <x:c r="N270" s="27" t="str">
        <x:v>Index</x:v>
      </x:c>
      <x:c r="O270" s="27" t="str">
        <x:v>AA</x:v>
      </x:c>
      <x:c r="P270" s="27" t="n">
        <x:v>47589</x:v>
      </x:c>
      <x:c r="Q270" s="27" t="n">
        <x:v>45696</x:v>
      </x:c>
      <x:c r="R270" s="27" t="n">
        <x:v>47589</x:v>
      </x:c>
      <x:c r="S270" s="27" t="n">
        <x:v>38800000</x:v>
      </x:c>
      <x:c r="T270" s="27" t="n">
        <x:v>0</x:v>
      </x:c>
      <x:c r="U270" s="27" t="n">
        <x:v>38800000</x:v>
      </x:c>
      <x:c r="V270" s="27" t="str">
        <x:v>U</x:v>
      </x:c>
      <x:c r="W270" s="27" t="str">
        <x:v>N</x:v>
      </x:c>
      <x:c r="X270" s="27"/>
      <x:c r="Y270" s="27" t="str">
        <x:v>S</x:v>
      </x:c>
      <x:c r="Z270" s="27"/>
      <x:c r="AA270" s="27"/>
      <x:c r="AB270" s="27" t="n">
        <x:v>0</x:v>
      </x:c>
      <x:c r="AC270" s="27" t="n">
        <x:v>0</x:v>
      </x:c>
      <x:c r="AD270" s="27" t="n">
        <x:v>262288</x:v>
      </x:c>
      <x:c r="AE270" s="27" t="str">
        <x:v>Public-safe anonymized industry-style SA-CCR sample</x:v>
      </x:c>
      <x:c r="AF270" s="27" t="str">
        <x:v>ANON-000267</x:v>
      </x:c>
      <x:c r="AG270" s="27" t="str">
        <x:v>Credit Index CDS</x:v>
      </x:c>
      <x:c r="AH270" s="27"/>
      <x:c r="AI270" s="27" t="str">
        <x:v>Credit Index</x:v>
      </x:c>
    </x:row>
    <x:row r="271">
      <x:c r="A271" s="27" t="n">
        <x:v>45702</x:v>
      </x:c>
      <x:c r="B271" s="27" t="str">
        <x:v>IND_CORPORATE_002</x:v>
      </x:c>
      <x:c r="C271" s="27" t="n">
        <x:v>3389</x:v>
      </x:c>
      <x:c r="D271" s="27" t="str">
        <x:v>IND-000268</x:v>
      </x:c>
      <x:c r="E271" s="27" t="str">
        <x:v>Credit Index CDS</x:v>
      </x:c>
      <x:c r="F271" s="27" t="str">
        <x:v>Credit</x:v>
      </x:c>
      <x:c r="G271" s="27"/>
      <x:c r="H271" s="27" t="str">
        <x:v>USD</x:v>
      </x:c>
      <x:c r="I271" s="27"/>
      <x:c r="J271" s="27" t="str">
        <x:v>USD</x:v>
      </x:c>
      <x:c r="K271" s="27"/>
      <x:c r="L271" s="27"/>
      <x:c r="M271" s="27" t="str">
        <x:v>CREDIT_INDEX_24</x:v>
      </x:c>
      <x:c r="N271" s="27" t="str">
        <x:v>Index</x:v>
      </x:c>
      <x:c r="O271" s="27" t="str">
        <x:v>AAA</x:v>
      </x:c>
      <x:c r="P271" s="27" t="n">
        <x:v>46331</x:v>
      </x:c>
      <x:c r="Q271" s="27" t="n">
        <x:v>45410</x:v>
      </x:c>
      <x:c r="R271" s="27" t="n">
        <x:v>46331</x:v>
      </x:c>
      <x:c r="S271" s="27" t="n">
        <x:v>210000000</x:v>
      </x:c>
      <x:c r="T271" s="27" t="n">
        <x:v>0</x:v>
      </x:c>
      <x:c r="U271" s="27" t="n">
        <x:v>210000000</x:v>
      </x:c>
      <x:c r="V271" s="27" t="str">
        <x:v>M</x:v>
      </x:c>
      <x:c r="W271" s="27" t="str">
        <x:v>N</x:v>
      </x:c>
      <x:c r="X271" s="27" t="n">
        <x:v>10</x:v>
      </x:c>
      <x:c r="Y271" s="27" t="str">
        <x:v>B</x:v>
      </x:c>
      <x:c r="Z271" s="27"/>
      <x:c r="AA271" s="27"/>
      <x:c r="AB271" s="27" t="n">
        <x:v>0</x:v>
      </x:c>
      <x:c r="AC271" s="27" t="n">
        <x:v>0</x:v>
      </x:c>
      <x:c r="AD271" s="27" t="n">
        <x:v>-1831200</x:v>
      </x:c>
      <x:c r="AE271" s="27" t="str">
        <x:v>Public-safe anonymized industry-style SA-CCR sample</x:v>
      </x:c>
      <x:c r="AF271" s="27" t="str">
        <x:v>ANON-000268</x:v>
      </x:c>
      <x:c r="AG271" s="27" t="str">
        <x:v>Credit Index CDS</x:v>
      </x:c>
      <x:c r="AH271" s="27"/>
      <x:c r="AI271" s="27" t="str">
        <x:v>Credit Index</x:v>
      </x:c>
    </x:row>
    <x:row r="272">
      <x:c r="A272" s="27" t="n">
        <x:v>45702</x:v>
      </x:c>
      <x:c r="B272" s="27" t="str">
        <x:v>IND_BANK_002</x:v>
      </x:c>
      <x:c r="C272" s="27" t="n">
        <x:v>3341</x:v>
      </x:c>
      <x:c r="D272" s="27" t="str">
        <x:v>IND-000269</x:v>
      </x:c>
      <x:c r="E272" s="27" t="str">
        <x:v>Credit Index CDS</x:v>
      </x:c>
      <x:c r="F272" s="27" t="str">
        <x:v>Credit</x:v>
      </x:c>
      <x:c r="G272" s="27"/>
      <x:c r="H272" s="27" t="str">
        <x:v>USD</x:v>
      </x:c>
      <x:c r="I272" s="27"/>
      <x:c r="J272" s="27" t="str">
        <x:v>USD</x:v>
      </x:c>
      <x:c r="K272" s="27"/>
      <x:c r="L272" s="27"/>
      <x:c r="M272" s="27" t="str">
        <x:v>CREDIT_INDEX_25</x:v>
      </x:c>
      <x:c r="N272" s="27" t="str">
        <x:v>Index</x:v>
      </x:c>
      <x:c r="O272" s="27" t="str">
        <x:v>AA</x:v>
      </x:c>
      <x:c r="P272" s="27" t="n">
        <x:v>45757</x:v>
      </x:c>
      <x:c r="Q272" s="27" t="n">
        <x:v>45353</x:v>
      </x:c>
      <x:c r="R272" s="27" t="n">
        <x:v>45757</x:v>
      </x:c>
      <x:c r="S272" s="27" t="n">
        <x:v>184000000</x:v>
      </x:c>
      <x:c r="T272" s="27" t="n">
        <x:v>0</x:v>
      </x:c>
      <x:c r="U272" s="27" t="n">
        <x:v>184000000</x:v>
      </x:c>
      <x:c r="V272" s="27" t="str">
        <x:v>M</x:v>
      </x:c>
      <x:c r="W272" s="27" t="str">
        <x:v>N</x:v>
      </x:c>
      <x:c r="X272" s="27" t="n">
        <x:v>10</x:v>
      </x:c>
      <x:c r="Y272" s="27" t="str">
        <x:v>S</x:v>
      </x:c>
      <x:c r="Z272" s="27"/>
      <x:c r="AA272" s="27"/>
      <x:c r="AB272" s="27" t="n">
        <x:v>0</x:v>
      </x:c>
      <x:c r="AC272" s="27" t="n">
        <x:v>0</x:v>
      </x:c>
      <x:c r="AD272" s="27" t="n">
        <x:v>-301760</x:v>
      </x:c>
      <x:c r="AE272" s="27" t="str">
        <x:v>Public-safe anonymized industry-style SA-CCR sample</x:v>
      </x:c>
      <x:c r="AF272" s="27" t="str">
        <x:v>ANON-000269</x:v>
      </x:c>
      <x:c r="AG272" s="27" t="str">
        <x:v>Credit Index CDS</x:v>
      </x:c>
      <x:c r="AH272" s="27"/>
      <x:c r="AI272" s="27" t="str">
        <x:v>Credit Index</x:v>
      </x:c>
    </x:row>
    <x:row r="273">
      <x:c r="A273" s="27" t="n">
        <x:v>45702</x:v>
      </x:c>
      <x:c r="B273" s="27" t="str">
        <x:v>IND_CORPORATE_001</x:v>
      </x:c>
      <x:c r="C273" s="27" t="n">
        <x:v>3041</x:v>
      </x:c>
      <x:c r="D273" s="27" t="str">
        <x:v>IND-000270</x:v>
      </x:c>
      <x:c r="E273" s="27" t="str">
        <x:v>Credit Index CDS</x:v>
      </x:c>
      <x:c r="F273" s="27" t="str">
        <x:v>Credit</x:v>
      </x:c>
      <x:c r="G273" s="27"/>
      <x:c r="H273" s="27" t="str">
        <x:v>USD</x:v>
      </x:c>
      <x:c r="I273" s="27"/>
      <x:c r="J273" s="27" t="str">
        <x:v>USD</x:v>
      </x:c>
      <x:c r="K273" s="27"/>
      <x:c r="L273" s="27"/>
      <x:c r="M273" s="27" t="str">
        <x:v>CREDIT_INDEX_29</x:v>
      </x:c>
      <x:c r="N273" s="27" t="str">
        <x:v>Index</x:v>
      </x:c>
      <x:c r="O273" s="27" t="str">
        <x:v>B</x:v>
      </x:c>
      <x:c r="P273" s="27" t="n">
        <x:v>46868</x:v>
      </x:c>
      <x:c r="Q273" s="27" t="n">
        <x:v>45702</x:v>
      </x:c>
      <x:c r="R273" s="27" t="n">
        <x:v>46868</x:v>
      </x:c>
      <x:c r="S273" s="27" t="n">
        <x:v>187000000</x:v>
      </x:c>
      <x:c r="T273" s="27" t="n">
        <x:v>0</x:v>
      </x:c>
      <x:c r="U273" s="27" t="n">
        <x:v>187000000</x:v>
      </x:c>
      <x:c r="V273" s="27" t="str">
        <x:v>M</x:v>
      </x:c>
      <x:c r="W273" s="27" t="str">
        <x:v>N</x:v>
      </x:c>
      <x:c r="X273" s="27" t="n">
        <x:v>10</x:v>
      </x:c>
      <x:c r="Y273" s="27" t="str">
        <x:v>S</x:v>
      </x:c>
      <x:c r="Z273" s="27"/>
      <x:c r="AA273" s="27"/>
      <x:c r="AB273" s="27" t="n">
        <x:v>0</x:v>
      </x:c>
      <x:c r="AC273" s="27" t="n">
        <x:v>0</x:v>
      </x:c>
      <x:c r="AD273" s="27" t="n">
        <x:v>1858780</x:v>
      </x:c>
      <x:c r="AE273" s="27" t="str">
        <x:v>Public-safe anonymized industry-style SA-CCR sample</x:v>
      </x:c>
      <x:c r="AF273" s="27" t="str">
        <x:v>ANON-000270</x:v>
      </x:c>
      <x:c r="AG273" s="27" t="str">
        <x:v>Credit Index CDS</x:v>
      </x:c>
      <x:c r="AH273" s="27"/>
      <x:c r="AI273" s="27" t="str">
        <x:v>Credit Index</x:v>
      </x:c>
    </x:row>
    <x:row r="274">
      <x:c r="A274" s="27" t="n">
        <x:v>45702</x:v>
      </x:c>
      <x:c r="B274" s="27" t="str">
        <x:v>IND_CORPORATE_002</x:v>
      </x:c>
      <x:c r="C274" s="27" t="n">
        <x:v>3389</x:v>
      </x:c>
      <x:c r="D274" s="27" t="str">
        <x:v>IND-000271</x:v>
      </x:c>
      <x:c r="E274" s="27" t="str">
        <x:v>Credit Index CDS</x:v>
      </x:c>
      <x:c r="F274" s="27" t="str">
        <x:v>Credit</x:v>
      </x:c>
      <x:c r="G274" s="27"/>
      <x:c r="H274" s="27" t="str">
        <x:v>USD</x:v>
      </x:c>
      <x:c r="I274" s="27"/>
      <x:c r="J274" s="27" t="str">
        <x:v>USD</x:v>
      </x:c>
      <x:c r="K274" s="27"/>
      <x:c r="L274" s="27"/>
      <x:c r="M274" s="27" t="str">
        <x:v>CREDIT_INDEX_12</x:v>
      </x:c>
      <x:c r="N274" s="27" t="str">
        <x:v>Index</x:v>
      </x:c>
      <x:c r="O274" s="27" t="str">
        <x:v>AAA</x:v>
      </x:c>
      <x:c r="P274" s="27" t="n">
        <x:v>46529</x:v>
      </x:c>
      <x:c r="Q274" s="27" t="n">
        <x:v>45255</x:v>
      </x:c>
      <x:c r="R274" s="27" t="n">
        <x:v>46529</x:v>
      </x:c>
      <x:c r="S274" s="27" t="n">
        <x:v>165000000</x:v>
      </x:c>
      <x:c r="T274" s="27" t="n">
        <x:v>0</x:v>
      </x:c>
      <x:c r="U274" s="27" t="n">
        <x:v>165000000</x:v>
      </x:c>
      <x:c r="V274" s="27" t="str">
        <x:v>M</x:v>
      </x:c>
      <x:c r="W274" s="27" t="str">
        <x:v>N</x:v>
      </x:c>
      <x:c r="X274" s="27" t="n">
        <x:v>10</x:v>
      </x:c>
      <x:c r="Y274" s="27" t="str">
        <x:v>B</x:v>
      </x:c>
      <x:c r="Z274" s="27"/>
      <x:c r="AA274" s="27"/>
      <x:c r="AB274" s="27" t="n">
        <x:v>0</x:v>
      </x:c>
      <x:c r="AC274" s="27" t="n">
        <x:v>0</x:v>
      </x:c>
      <x:c r="AD274" s="27" t="n">
        <x:v>1848000</x:v>
      </x:c>
      <x:c r="AE274" s="27" t="str">
        <x:v>Public-safe anonymized industry-style SA-CCR sample</x:v>
      </x:c>
      <x:c r="AF274" s="27" t="str">
        <x:v>ANON-000271</x:v>
      </x:c>
      <x:c r="AG274" s="27" t="str">
        <x:v>Credit Index CDS</x:v>
      </x:c>
      <x:c r="AH274" s="27"/>
      <x:c r="AI274" s="27" t="str">
        <x:v>Credit Index</x:v>
      </x:c>
    </x:row>
    <x:row r="275">
      <x:c r="A275" s="27" t="n">
        <x:v>45702</x:v>
      </x:c>
      <x:c r="B275" s="27" t="str">
        <x:v>IND_HEDGE_FUND_001</x:v>
      </x:c>
      <x:c r="C275" s="27" t="n">
        <x:v>3289</x:v>
      </x:c>
      <x:c r="D275" s="27" t="str">
        <x:v>IND-000272</x:v>
      </x:c>
      <x:c r="E275" s="27" t="str">
        <x:v>Credit Index CDS</x:v>
      </x:c>
      <x:c r="F275" s="27" t="str">
        <x:v>Credit</x:v>
      </x:c>
      <x:c r="G275" s="27"/>
      <x:c r="H275" s="27" t="str">
        <x:v>USD</x:v>
      </x:c>
      <x:c r="I275" s="27"/>
      <x:c r="J275" s="27" t="str">
        <x:v>USD</x:v>
      </x:c>
      <x:c r="K275" s="27"/>
      <x:c r="L275" s="27"/>
      <x:c r="M275" s="27" t="str">
        <x:v>CREDIT_INDEX_28</x:v>
      </x:c>
      <x:c r="N275" s="27" t="str">
        <x:v>Index</x:v>
      </x:c>
      <x:c r="O275" s="27" t="str">
        <x:v>BB</x:v>
      </x:c>
      <x:c r="P275" s="27" t="n">
        <x:v>46599</x:v>
      </x:c>
      <x:c r="Q275" s="27" t="n">
        <x:v>44987</x:v>
      </x:c>
      <x:c r="R275" s="27" t="n">
        <x:v>46599</x:v>
      </x:c>
      <x:c r="S275" s="27" t="n">
        <x:v>168000000</x:v>
      </x:c>
      <x:c r="T275" s="27" t="n">
        <x:v>0</x:v>
      </x:c>
      <x:c r="U275" s="27" t="n">
        <x:v>168000000</x:v>
      </x:c>
      <x:c r="V275" s="27" t="str">
        <x:v>M</x:v>
      </x:c>
      <x:c r="W275" s="27" t="str">
        <x:v>N</x:v>
      </x:c>
      <x:c r="X275" s="27" t="n">
        <x:v>10</x:v>
      </x:c>
      <x:c r="Y275" s="27" t="str">
        <x:v>B</x:v>
      </x:c>
      <x:c r="Z275" s="27"/>
      <x:c r="AA275" s="27"/>
      <x:c r="AB275" s="27" t="n">
        <x:v>0</x:v>
      </x:c>
      <x:c r="AC275" s="27" t="n">
        <x:v>0</x:v>
      </x:c>
      <x:c r="AD275" s="27" t="n">
        <x:v>-493920</x:v>
      </x:c>
      <x:c r="AE275" s="27" t="str">
        <x:v>Public-safe anonymized industry-style SA-CCR sample</x:v>
      </x:c>
      <x:c r="AF275" s="27" t="str">
        <x:v>ANON-000272</x:v>
      </x:c>
      <x:c r="AG275" s="27" t="str">
        <x:v>Credit Index CDS</x:v>
      </x:c>
      <x:c r="AH275" s="27"/>
      <x:c r="AI275" s="27" t="str">
        <x:v>Credit Index</x:v>
      </x:c>
    </x:row>
    <x:row r="276">
      <x:c r="A276" s="27" t="n">
        <x:v>45702</x:v>
      </x:c>
      <x:c r="B276" s="27" t="str">
        <x:v>IND_CORPORATE_001</x:v>
      </x:c>
      <x:c r="C276" s="27" t="n">
        <x:v>3015</x:v>
      </x:c>
      <x:c r="D276" s="27" t="str">
        <x:v>IND-000273</x:v>
      </x:c>
      <x:c r="E276" s="27" t="str">
        <x:v>Credit Index CDS</x:v>
      </x:c>
      <x:c r="F276" s="27" t="str">
        <x:v>Credit</x:v>
      </x:c>
      <x:c r="G276" s="27"/>
      <x:c r="H276" s="27" t="str">
        <x:v>USD</x:v>
      </x:c>
      <x:c r="I276" s="27"/>
      <x:c r="J276" s="27" t="str">
        <x:v>USD</x:v>
      </x:c>
      <x:c r="K276" s="27"/>
      <x:c r="L276" s="27"/>
      <x:c r="M276" s="27" t="str">
        <x:v>CREDIT_INDEX_17</x:v>
      </x:c>
      <x:c r="N276" s="27" t="str">
        <x:v>Index</x:v>
      </x:c>
      <x:c r="O276" s="27" t="str">
        <x:v>B</x:v>
      </x:c>
      <x:c r="P276" s="27" t="n">
        <x:v>46306</x:v>
      </x:c>
      <x:c r="Q276" s="27" t="n">
        <x:v>44816</x:v>
      </x:c>
      <x:c r="R276" s="27" t="n">
        <x:v>46306</x:v>
      </x:c>
      <x:c r="S276" s="27" t="n">
        <x:v>26000000</x:v>
      </x:c>
      <x:c r="T276" s="27" t="n">
        <x:v>0</x:v>
      </x:c>
      <x:c r="U276" s="27" t="n">
        <x:v>26000000</x:v>
      </x:c>
      <x:c r="V276" s="27" t="str">
        <x:v>U</x:v>
      </x:c>
      <x:c r="W276" s="27" t="str">
        <x:v>N</x:v>
      </x:c>
      <x:c r="X276" s="27"/>
      <x:c r="Y276" s="27" t="str">
        <x:v>B</x:v>
      </x:c>
      <x:c r="Z276" s="27"/>
      <x:c r="AA276" s="27"/>
      <x:c r="AB276" s="27" t="n">
        <x:v>0</x:v>
      </x:c>
      <x:c r="AC276" s="27" t="n">
        <x:v>0</x:v>
      </x:c>
      <x:c r="AD276" s="27" t="n">
        <x:v>332800</x:v>
      </x:c>
      <x:c r="AE276" s="27" t="str">
        <x:v>Public-safe anonymized industry-style SA-CCR sample</x:v>
      </x:c>
      <x:c r="AF276" s="27" t="str">
        <x:v>ANON-000273</x:v>
      </x:c>
      <x:c r="AG276" s="27" t="str">
        <x:v>Credit Index CDS</x:v>
      </x:c>
      <x:c r="AH276" s="27"/>
      <x:c r="AI276" s="27" t="str">
        <x:v>Credit Index</x:v>
      </x:c>
    </x:row>
    <x:row r="277">
      <x:c r="A277" s="27" t="n">
        <x:v>45702</x:v>
      </x:c>
      <x:c r="B277" s="27" t="str">
        <x:v>IND_HEDGE_FUND_001</x:v>
      </x:c>
      <x:c r="C277" s="27" t="n">
        <x:v>3289</x:v>
      </x:c>
      <x:c r="D277" s="27" t="str">
        <x:v>IND-000274</x:v>
      </x:c>
      <x:c r="E277" s="27" t="str">
        <x:v>Credit Index CDS</x:v>
      </x:c>
      <x:c r="F277" s="27" t="str">
        <x:v>Credit</x:v>
      </x:c>
      <x:c r="G277" s="27"/>
      <x:c r="H277" s="27" t="str">
        <x:v>USD</x:v>
      </x:c>
      <x:c r="I277" s="27"/>
      <x:c r="J277" s="27" t="str">
        <x:v>USD</x:v>
      </x:c>
      <x:c r="K277" s="27"/>
      <x:c r="L277" s="27"/>
      <x:c r="M277" s="27" t="str">
        <x:v>CREDIT_INDEX_04</x:v>
      </x:c>
      <x:c r="N277" s="27" t="str">
        <x:v>Index</x:v>
      </x:c>
      <x:c r="O277" s="27" t="str">
        <x:v>BB</x:v>
      </x:c>
      <x:c r="P277" s="27" t="n">
        <x:v>45774</x:v>
      </x:c>
      <x:c r="Q277" s="27" t="n">
        <x:v>45477</x:v>
      </x:c>
      <x:c r="R277" s="27" t="n">
        <x:v>45774</x:v>
      </x:c>
      <x:c r="S277" s="27" t="n">
        <x:v>45500000</x:v>
      </x:c>
      <x:c r="T277" s="27" t="n">
        <x:v>0</x:v>
      </x:c>
      <x:c r="U277" s="27" t="n">
        <x:v>45500000</x:v>
      </x:c>
      <x:c r="V277" s="27" t="str">
        <x:v>M</x:v>
      </x:c>
      <x:c r="W277" s="27" t="str">
        <x:v>N</x:v>
      </x:c>
      <x:c r="X277" s="27" t="n">
        <x:v>10</x:v>
      </x:c>
      <x:c r="Y277" s="27" t="str">
        <x:v>B</x:v>
      </x:c>
      <x:c r="Z277" s="27"/>
      <x:c r="AA277" s="27"/>
      <x:c r="AB277" s="27" t="n">
        <x:v>0</x:v>
      </x:c>
      <x:c r="AC277" s="27" t="n">
        <x:v>0</x:v>
      </x:c>
      <x:c r="AD277" s="27" t="n">
        <x:v>869960</x:v>
      </x:c>
      <x:c r="AE277" s="27" t="str">
        <x:v>Public-safe anonymized industry-style SA-CCR sample</x:v>
      </x:c>
      <x:c r="AF277" s="27" t="str">
        <x:v>ANON-000274</x:v>
      </x:c>
      <x:c r="AG277" s="27" t="str">
        <x:v>Credit Index CDS</x:v>
      </x:c>
      <x:c r="AH277" s="27"/>
      <x:c r="AI277" s="27" t="str">
        <x:v>Credit Index</x:v>
      </x:c>
    </x:row>
    <x:row r="278">
      <x:c r="A278" s="27" t="n">
        <x:v>45702</x:v>
      </x:c>
      <x:c r="B278" s="27" t="str">
        <x:v>IND_CLEARING_MEMBER_001</x:v>
      </x:c>
      <x:c r="C278" s="27" t="n">
        <x:v>3108</x:v>
      </x:c>
      <x:c r="D278" s="27" t="str">
        <x:v>IND-000275</x:v>
      </x:c>
      <x:c r="E278" s="27" t="str">
        <x:v>Equity TRS</x:v>
      </x:c>
      <x:c r="F278" s="27" t="str">
        <x:v>Equity</x:v>
      </x:c>
      <x:c r="G278" s="27" t="str">
        <x:v>Single Stock</x:v>
      </x:c>
      <x:c r="H278" s="27" t="str">
        <x:v>USD</x:v>
      </x:c>
      <x:c r="I278" s="27"/>
      <x:c r="J278" s="27" t="str">
        <x:v>USD</x:v>
      </x:c>
      <x:c r="K278" s="27"/>
      <x:c r="L278" s="27"/>
      <x:c r="M278" s="27" t="str">
        <x:v>EQUITY_NAME_04</x:v>
      </x:c>
      <x:c r="N278" s="27" t="str">
        <x:v>Singleton</x:v>
      </x:c>
      <x:c r="O278" s="27"/>
      <x:c r="P278" s="27" t="n">
        <x:v>46611</x:v>
      </x:c>
      <x:c r="Q278" s="27" t="n">
        <x:v>45645</x:v>
      </x:c>
      <x:c r="R278" s="27" t="n">
        <x:v>46611</x:v>
      </x:c>
      <x:c r="S278" s="27" t="n">
        <x:v>65200000</x:v>
      </x:c>
      <x:c r="T278" s="27" t="n">
        <x:v>0</x:v>
      </x:c>
      <x:c r="U278" s="27" t="n">
        <x:v>65200000</x:v>
      </x:c>
      <x:c r="V278" s="27" t="str">
        <x:v>M</x:v>
      </x:c>
      <x:c r="W278" s="27" t="str">
        <x:v>N</x:v>
      </x:c>
      <x:c r="X278" s="27" t="n">
        <x:v>10</x:v>
      </x:c>
      <x:c r="Y278" s="27" t="str">
        <x:v>B</x:v>
      </x:c>
      <x:c r="Z278" s="27"/>
      <x:c r="AA278" s="27"/>
      <x:c r="AB278" s="27" t="n">
        <x:v>0</x:v>
      </x:c>
      <x:c r="AC278" s="27" t="n">
        <x:v>0</x:v>
      </x:c>
      <x:c r="AD278" s="27" t="n">
        <x:v>-487044</x:v>
      </x:c>
      <x:c r="AE278" s="27" t="str">
        <x:v>Public-safe anonymized industry-style SA-CCR sample</x:v>
      </x:c>
      <x:c r="AF278" s="27" t="str">
        <x:v>ANON-000275</x:v>
      </x:c>
      <x:c r="AG278" s="27" t="str">
        <x:v>Equity TRS</x:v>
      </x:c>
      <x:c r="AH278" s="27"/>
      <x:c r="AI278" s="27" t="str">
        <x:v>Single Stock</x:v>
      </x:c>
    </x:row>
    <x:row r="279">
      <x:c r="A279" s="27" t="n">
        <x:v>45702</x:v>
      </x:c>
      <x:c r="B279" s="27" t="str">
        <x:v>IND_CLEARING_MEMBER_001</x:v>
      </x:c>
      <x:c r="C279" s="27" t="n">
        <x:v>3161</x:v>
      </x:c>
      <x:c r="D279" s="27" t="str">
        <x:v>IND-000276</x:v>
      </x:c>
      <x:c r="E279" s="27" t="str">
        <x:v>Equity TRS</x:v>
      </x:c>
      <x:c r="F279" s="27" t="str">
        <x:v>Equity</x:v>
      </x:c>
      <x:c r="G279" s="27" t="str">
        <x:v>Single Stock</x:v>
      </x:c>
      <x:c r="H279" s="27" t="str">
        <x:v>USD</x:v>
      </x:c>
      <x:c r="I279" s="27"/>
      <x:c r="J279" s="27" t="str">
        <x:v>USD</x:v>
      </x:c>
      <x:c r="K279" s="27"/>
      <x:c r="L279" s="27"/>
      <x:c r="M279" s="27" t="str">
        <x:v>EQUITY_NAME_16</x:v>
      </x:c>
      <x:c r="N279" s="27" t="str">
        <x:v>Singleton</x:v>
      </x:c>
      <x:c r="O279" s="27"/>
      <x:c r="P279" s="27" t="n">
        <x:v>46112</x:v>
      </x:c>
      <x:c r="Q279" s="27" t="n">
        <x:v>45556</x:v>
      </x:c>
      <x:c r="R279" s="27" t="n">
        <x:v>46112</x:v>
      </x:c>
      <x:c r="S279" s="27" t="n">
        <x:v>43900000</x:v>
      </x:c>
      <x:c r="T279" s="27" t="n">
        <x:v>0</x:v>
      </x:c>
      <x:c r="U279" s="27" t="n">
        <x:v>43900000</x:v>
      </x:c>
      <x:c r="V279" s="27" t="str">
        <x:v>U</x:v>
      </x:c>
      <x:c r="W279" s="27" t="str">
        <x:v>N</x:v>
      </x:c>
      <x:c r="X279" s="27"/>
      <x:c r="Y279" s="27" t="str">
        <x:v>B</x:v>
      </x:c>
      <x:c r="Z279" s="27"/>
      <x:c r="AA279" s="27"/>
      <x:c r="AB279" s="27" t="n">
        <x:v>0</x:v>
      </x:c>
      <x:c r="AC279" s="27" t="n">
        <x:v>0</x:v>
      </x:c>
      <x:c r="AD279" s="27" t="n">
        <x:v>877122</x:v>
      </x:c>
      <x:c r="AE279" s="27" t="str">
        <x:v>Public-safe anonymized industry-style SA-CCR sample</x:v>
      </x:c>
      <x:c r="AF279" s="27" t="str">
        <x:v>ANON-000276</x:v>
      </x:c>
      <x:c r="AG279" s="27" t="str">
        <x:v>Equity TRS</x:v>
      </x:c>
      <x:c r="AH279" s="27"/>
      <x:c r="AI279" s="27" t="str">
        <x:v>Single Stock</x:v>
      </x:c>
    </x:row>
    <x:row r="280">
      <x:c r="A280" s="27" t="n">
        <x:v>45702</x:v>
      </x:c>
      <x:c r="B280" s="27" t="str">
        <x:v>IND_BROKER_001</x:v>
      </x:c>
      <x:c r="C280" s="27" t="n">
        <x:v>3276</x:v>
      </x:c>
      <x:c r="D280" s="27" t="str">
        <x:v>IND-000277</x:v>
      </x:c>
      <x:c r="E280" s="27" t="str">
        <x:v>Equity TRS</x:v>
      </x:c>
      <x:c r="F280" s="27" t="str">
        <x:v>Equity</x:v>
      </x:c>
      <x:c r="G280" s="27" t="str">
        <x:v>Single Stock</x:v>
      </x:c>
      <x:c r="H280" s="27" t="str">
        <x:v>USD</x:v>
      </x:c>
      <x:c r="I280" s="27"/>
      <x:c r="J280" s="27" t="str">
        <x:v>USD</x:v>
      </x:c>
      <x:c r="K280" s="27"/>
      <x:c r="L280" s="27"/>
      <x:c r="M280" s="27" t="str">
        <x:v>EQUITY_NAME_14</x:v>
      </x:c>
      <x:c r="N280" s="27" t="str">
        <x:v>Singleton</x:v>
      </x:c>
      <x:c r="O280" s="27"/>
      <x:c r="P280" s="27" t="n">
        <x:v>45869</x:v>
      </x:c>
      <x:c r="Q280" s="27" t="n">
        <x:v>45420</x:v>
      </x:c>
      <x:c r="R280" s="27" t="n">
        <x:v>45869</x:v>
      </x:c>
      <x:c r="S280" s="27" t="n">
        <x:v>60700000</x:v>
      </x:c>
      <x:c r="T280" s="27" t="n">
        <x:v>0</x:v>
      </x:c>
      <x:c r="U280" s="27" t="n">
        <x:v>60700000</x:v>
      </x:c>
      <x:c r="V280" s="27" t="str">
        <x:v>U</x:v>
      </x:c>
      <x:c r="W280" s="27" t="str">
        <x:v>N</x:v>
      </x:c>
      <x:c r="X280" s="27"/>
      <x:c r="Y280" s="27" t="str">
        <x:v>B</x:v>
      </x:c>
      <x:c r="Z280" s="27"/>
      <x:c r="AA280" s="27"/>
      <x:c r="AB280" s="27" t="n">
        <x:v>0</x:v>
      </x:c>
      <x:c r="AC280" s="27" t="n">
        <x:v>0</x:v>
      </x:c>
      <x:c r="AD280" s="27" t="n">
        <x:v>480744</x:v>
      </x:c>
      <x:c r="AE280" s="27" t="str">
        <x:v>Public-safe anonymized industry-style SA-CCR sample</x:v>
      </x:c>
      <x:c r="AF280" s="27" t="str">
        <x:v>ANON-000277</x:v>
      </x:c>
      <x:c r="AG280" s="27" t="str">
        <x:v>Equity TRS</x:v>
      </x:c>
      <x:c r="AH280" s="27"/>
      <x:c r="AI280" s="27" t="str">
        <x:v>Single Stock</x:v>
      </x:c>
    </x:row>
    <x:row r="281">
      <x:c r="A281" s="27" t="n">
        <x:v>45702</x:v>
      </x:c>
      <x:c r="B281" s="27" t="str">
        <x:v>IND_CLEARING_MEMBER_001</x:v>
      </x:c>
      <x:c r="C281" s="27" t="n">
        <x:v>3108</x:v>
      </x:c>
      <x:c r="D281" s="27" t="str">
        <x:v>IND-000278</x:v>
      </x:c>
      <x:c r="E281" s="27" t="str">
        <x:v>Equity TRS</x:v>
      </x:c>
      <x:c r="F281" s="27" t="str">
        <x:v>Equity</x:v>
      </x:c>
      <x:c r="G281" s="27" t="str">
        <x:v>Single Stock</x:v>
      </x:c>
      <x:c r="H281" s="27" t="str">
        <x:v>USD</x:v>
      </x:c>
      <x:c r="I281" s="27"/>
      <x:c r="J281" s="27" t="str">
        <x:v>USD</x:v>
      </x:c>
      <x:c r="K281" s="27"/>
      <x:c r="L281" s="27"/>
      <x:c r="M281" s="27" t="str">
        <x:v>EQUITY_NAME_22</x:v>
      </x:c>
      <x:c r="N281" s="27" t="str">
        <x:v>Singleton</x:v>
      </x:c>
      <x:c r="O281" s="27"/>
      <x:c r="P281" s="27" t="n">
        <x:v>45880</x:v>
      </x:c>
      <x:c r="Q281" s="27" t="n">
        <x:v>45691</x:v>
      </x:c>
      <x:c r="R281" s="27" t="n">
        <x:v>45880</x:v>
      </x:c>
      <x:c r="S281" s="27" t="n">
        <x:v>25300000</x:v>
      </x:c>
      <x:c r="T281" s="27" t="n">
        <x:v>0</x:v>
      </x:c>
      <x:c r="U281" s="27" t="n">
        <x:v>25300000</x:v>
      </x:c>
      <x:c r="V281" s="27" t="str">
        <x:v>M</x:v>
      </x:c>
      <x:c r="W281" s="27" t="str">
        <x:v>N</x:v>
      </x:c>
      <x:c r="X281" s="27" t="n">
        <x:v>10</x:v>
      </x:c>
      <x:c r="Y281" s="27" t="str">
        <x:v>B</x:v>
      </x:c>
      <x:c r="Z281" s="27"/>
      <x:c r="AA281" s="27"/>
      <x:c r="AB281" s="27" t="n">
        <x:v>0</x:v>
      </x:c>
      <x:c r="AC281" s="27" t="n">
        <x:v>0</x:v>
      </x:c>
      <x:c r="AD281" s="27" t="n">
        <x:v>-169257</x:v>
      </x:c>
      <x:c r="AE281" s="27" t="str">
        <x:v>Public-safe anonymized industry-style SA-CCR sample</x:v>
      </x:c>
      <x:c r="AF281" s="27" t="str">
        <x:v>ANON-000278</x:v>
      </x:c>
      <x:c r="AG281" s="27" t="str">
        <x:v>Equity TRS</x:v>
      </x:c>
      <x:c r="AH281" s="27"/>
      <x:c r="AI281" s="27" t="str">
        <x:v>Single Stock</x:v>
      </x:c>
    </x:row>
    <x:row r="282">
      <x:c r="A282" s="27" t="n">
        <x:v>45702</x:v>
      </x:c>
      <x:c r="B282" s="27" t="str">
        <x:v>IND_CORPORATE_001</x:v>
      </x:c>
      <x:c r="C282" s="27" t="n">
        <x:v>3380</x:v>
      </x:c>
      <x:c r="D282" s="27" t="str">
        <x:v>IND-000279</x:v>
      </x:c>
      <x:c r="E282" s="27" t="str">
        <x:v>Equity TRS</x:v>
      </x:c>
      <x:c r="F282" s="27" t="str">
        <x:v>Equity</x:v>
      </x:c>
      <x:c r="G282" s="27" t="str">
        <x:v>Single Stock</x:v>
      </x:c>
      <x:c r="H282" s="27" t="str">
        <x:v>USD</x:v>
      </x:c>
      <x:c r="I282" s="27"/>
      <x:c r="J282" s="27" t="str">
        <x:v>USD</x:v>
      </x:c>
      <x:c r="K282" s="27"/>
      <x:c r="L282" s="27"/>
      <x:c r="M282" s="27" t="str">
        <x:v>EQUITY_NAME_11</x:v>
      </x:c>
      <x:c r="N282" s="27" t="str">
        <x:v>Singleton</x:v>
      </x:c>
      <x:c r="O282" s="27"/>
      <x:c r="P282" s="27" t="n">
        <x:v>46594</x:v>
      </x:c>
      <x:c r="Q282" s="27" t="n">
        <x:v>45649</x:v>
      </x:c>
      <x:c r="R282" s="27" t="n">
        <x:v>46594</x:v>
      </x:c>
      <x:c r="S282" s="27" t="n">
        <x:v>1500000</x:v>
      </x:c>
      <x:c r="T282" s="27" t="n">
        <x:v>0</x:v>
      </x:c>
      <x:c r="U282" s="27" t="n">
        <x:v>1500000</x:v>
      </x:c>
      <x:c r="V282" s="27" t="str">
        <x:v>U</x:v>
      </x:c>
      <x:c r="W282" s="27" t="str">
        <x:v>N</x:v>
      </x:c>
      <x:c r="X282" s="27"/>
      <x:c r="Y282" s="27" t="str">
        <x:v>S</x:v>
      </x:c>
      <x:c r="Z282" s="27"/>
      <x:c r="AA282" s="27"/>
      <x:c r="AB282" s="27" t="n">
        <x:v>0</x:v>
      </x:c>
      <x:c r="AC282" s="27" t="n">
        <x:v>0</x:v>
      </x:c>
      <x:c r="AD282" s="27" t="n">
        <x:v>-38655</x:v>
      </x:c>
      <x:c r="AE282" s="27" t="str">
        <x:v>Public-safe anonymized industry-style SA-CCR sample</x:v>
      </x:c>
      <x:c r="AF282" s="27" t="str">
        <x:v>ANON-000279</x:v>
      </x:c>
      <x:c r="AG282" s="27" t="str">
        <x:v>Equity TRS</x:v>
      </x:c>
      <x:c r="AH282" s="27"/>
      <x:c r="AI282" s="27" t="str">
        <x:v>Single Stock</x:v>
      </x:c>
    </x:row>
    <x:row r="283">
      <x:c r="A283" s="27" t="n">
        <x:v>45702</x:v>
      </x:c>
      <x:c r="B283" s="27" t="str">
        <x:v>IND_BANK_002</x:v>
      </x:c>
      <x:c r="C283" s="27" t="n">
        <x:v>3386</x:v>
      </x:c>
      <x:c r="D283" s="27" t="str">
        <x:v>IND-000280</x:v>
      </x:c>
      <x:c r="E283" s="27" t="str">
        <x:v>Equity TRS</x:v>
      </x:c>
      <x:c r="F283" s="27" t="str">
        <x:v>Equity</x:v>
      </x:c>
      <x:c r="G283" s="27" t="str">
        <x:v>Single Stock</x:v>
      </x:c>
      <x:c r="H283" s="27" t="str">
        <x:v>USD</x:v>
      </x:c>
      <x:c r="I283" s="27"/>
      <x:c r="J283" s="27" t="str">
        <x:v>USD</x:v>
      </x:c>
      <x:c r="K283" s="27"/>
      <x:c r="L283" s="27"/>
      <x:c r="M283" s="27" t="str">
        <x:v>EQUITY_NAME_13</x:v>
      </x:c>
      <x:c r="N283" s="27" t="str">
        <x:v>Singleton</x:v>
      </x:c>
      <x:c r="O283" s="27"/>
      <x:c r="P283" s="27" t="n">
        <x:v>47312</x:v>
      </x:c>
      <x:c r="Q283" s="27" t="n">
        <x:v>45522</x:v>
      </x:c>
      <x:c r="R283" s="27" t="n">
        <x:v>47312</x:v>
      </x:c>
      <x:c r="S283" s="27" t="n">
        <x:v>7500000</x:v>
      </x:c>
      <x:c r="T283" s="27" t="n">
        <x:v>0</x:v>
      </x:c>
      <x:c r="U283" s="27" t="n">
        <x:v>7500000</x:v>
      </x:c>
      <x:c r="V283" s="27" t="str">
        <x:v>M</x:v>
      </x:c>
      <x:c r="W283" s="27" t="str">
        <x:v>N</x:v>
      </x:c>
      <x:c r="X283" s="27" t="n">
        <x:v>10</x:v>
      </x:c>
      <x:c r="Y283" s="27" t="str">
        <x:v>B</x:v>
      </x:c>
      <x:c r="Z283" s="27"/>
      <x:c r="AA283" s="27"/>
      <x:c r="AB283" s="27" t="n">
        <x:v>0</x:v>
      </x:c>
      <x:c r="AC283" s="27" t="n">
        <x:v>0</x:v>
      </x:c>
      <x:c r="AD283" s="27" t="n">
        <x:v>-20925</x:v>
      </x:c>
      <x:c r="AE283" s="27" t="str">
        <x:v>Public-safe anonymized industry-style SA-CCR sample</x:v>
      </x:c>
      <x:c r="AF283" s="27" t="str">
        <x:v>ANON-000280</x:v>
      </x:c>
      <x:c r="AG283" s="27" t="str">
        <x:v>Equity TRS</x:v>
      </x:c>
      <x:c r="AH283" s="27"/>
      <x:c r="AI283" s="27" t="str">
        <x:v>Single Stock</x:v>
      </x:c>
    </x:row>
    <x:row r="284">
      <x:c r="A284" s="27" t="n">
        <x:v>45702</x:v>
      </x:c>
      <x:c r="B284" s="27" t="str">
        <x:v>IND_HEDGE_FUND_001</x:v>
      </x:c>
      <x:c r="C284" s="27" t="n">
        <x:v>3040</x:v>
      </x:c>
      <x:c r="D284" s="27" t="str">
        <x:v>IND-000281</x:v>
      </x:c>
      <x:c r="E284" s="27" t="str">
        <x:v>Equity TRS</x:v>
      </x:c>
      <x:c r="F284" s="27" t="str">
        <x:v>Equity</x:v>
      </x:c>
      <x:c r="G284" s="27" t="str">
        <x:v>Single Stock</x:v>
      </x:c>
      <x:c r="H284" s="27" t="str">
        <x:v>USD</x:v>
      </x:c>
      <x:c r="I284" s="27"/>
      <x:c r="J284" s="27" t="str">
        <x:v>USD</x:v>
      </x:c>
      <x:c r="K284" s="27"/>
      <x:c r="L284" s="27"/>
      <x:c r="M284" s="27" t="str">
        <x:v>EQUITY_NAME_16</x:v>
      </x:c>
      <x:c r="N284" s="27" t="str">
        <x:v>Singleton</x:v>
      </x:c>
      <x:c r="O284" s="27"/>
      <x:c r="P284" s="27" t="n">
        <x:v>46316</x:v>
      </x:c>
      <x:c r="Q284" s="27" t="n">
        <x:v>44979</x:v>
      </x:c>
      <x:c r="R284" s="27" t="n">
        <x:v>46316</x:v>
      </x:c>
      <x:c r="S284" s="27" t="n">
        <x:v>27300000</x:v>
      </x:c>
      <x:c r="T284" s="27" t="n">
        <x:v>0</x:v>
      </x:c>
      <x:c r="U284" s="27" t="n">
        <x:v>27300000</x:v>
      </x:c>
      <x:c r="V284" s="27" t="str">
        <x:v>M</x:v>
      </x:c>
      <x:c r="W284" s="27" t="str">
        <x:v>N</x:v>
      </x:c>
      <x:c r="X284" s="27" t="n">
        <x:v>10</x:v>
      </x:c>
      <x:c r="Y284" s="27" t="str">
        <x:v>S</x:v>
      </x:c>
      <x:c r="Z284" s="27"/>
      <x:c r="AA284" s="27"/>
      <x:c r="AB284" s="27" t="n">
        <x:v>0</x:v>
      </x:c>
      <x:c r="AC284" s="27" t="n">
        <x:v>0</x:v>
      </x:c>
      <x:c r="AD284" s="27" t="n">
        <x:v>140049</x:v>
      </x:c>
      <x:c r="AE284" s="27" t="str">
        <x:v>Public-safe anonymized industry-style SA-CCR sample</x:v>
      </x:c>
      <x:c r="AF284" s="27" t="str">
        <x:v>ANON-000281</x:v>
      </x:c>
      <x:c r="AG284" s="27" t="str">
        <x:v>Equity TRS</x:v>
      </x:c>
      <x:c r="AH284" s="27"/>
      <x:c r="AI284" s="27" t="str">
        <x:v>Single Stock</x:v>
      </x:c>
    </x:row>
    <x:row r="285">
      <x:c r="A285" s="27" t="n">
        <x:v>45702</x:v>
      </x:c>
      <x:c r="B285" s="27" t="str">
        <x:v>IND_REGIONAL_BANK_001</x:v>
      </x:c>
      <x:c r="C285" s="27" t="n">
        <x:v>3194</x:v>
      </x:c>
      <x:c r="D285" s="27" t="str">
        <x:v>IND-000282</x:v>
      </x:c>
      <x:c r="E285" s="27" t="str">
        <x:v>Equity TRS</x:v>
      </x:c>
      <x:c r="F285" s="27" t="str">
        <x:v>Equity</x:v>
      </x:c>
      <x:c r="G285" s="27" t="str">
        <x:v>Single Stock</x:v>
      </x:c>
      <x:c r="H285" s="27" t="str">
        <x:v>USD</x:v>
      </x:c>
      <x:c r="I285" s="27"/>
      <x:c r="J285" s="27" t="str">
        <x:v>USD</x:v>
      </x:c>
      <x:c r="K285" s="27"/>
      <x:c r="L285" s="27"/>
      <x:c r="M285" s="27" t="str">
        <x:v>EQUITY_NAME_23</x:v>
      </x:c>
      <x:c r="N285" s="27" t="str">
        <x:v>Singleton</x:v>
      </x:c>
      <x:c r="O285" s="27"/>
      <x:c r="P285" s="27" t="n">
        <x:v>47818</x:v>
      </x:c>
      <x:c r="Q285" s="27" t="n">
        <x:v>45418</x:v>
      </x:c>
      <x:c r="R285" s="27" t="n">
        <x:v>47818</x:v>
      </x:c>
      <x:c r="S285" s="27" t="n">
        <x:v>9600000</x:v>
      </x:c>
      <x:c r="T285" s="27" t="n">
        <x:v>0</x:v>
      </x:c>
      <x:c r="U285" s="27" t="n">
        <x:v>9600000</x:v>
      </x:c>
      <x:c r="V285" s="27" t="str">
        <x:v>M</x:v>
      </x:c>
      <x:c r="W285" s="27" t="str">
        <x:v>N</x:v>
      </x:c>
      <x:c r="X285" s="27" t="n">
        <x:v>10</x:v>
      </x:c>
      <x:c r="Y285" s="27" t="str">
        <x:v>S</x:v>
      </x:c>
      <x:c r="Z285" s="27"/>
      <x:c r="AA285" s="27"/>
      <x:c r="AB285" s="27" t="n">
        <x:v>0</x:v>
      </x:c>
      <x:c r="AC285" s="27" t="n">
        <x:v>0</x:v>
      </x:c>
      <x:c r="AD285" s="27" t="n">
        <x:v>198432</x:v>
      </x:c>
      <x:c r="AE285" s="27" t="str">
        <x:v>Public-safe anonymized industry-style SA-CCR sample</x:v>
      </x:c>
      <x:c r="AF285" s="27" t="str">
        <x:v>ANON-000282</x:v>
      </x:c>
      <x:c r="AG285" s="27" t="str">
        <x:v>Equity TRS</x:v>
      </x:c>
      <x:c r="AH285" s="27"/>
      <x:c r="AI285" s="27" t="str">
        <x:v>Single Stock</x:v>
      </x:c>
    </x:row>
    <x:row r="286">
      <x:c r="A286" s="27" t="n">
        <x:v>45702</x:v>
      </x:c>
      <x:c r="B286" s="27" t="str">
        <x:v>IND_SOVEREIGN_001</x:v>
      </x:c>
      <x:c r="C286" s="27" t="n">
        <x:v>3296</x:v>
      </x:c>
      <x:c r="D286" s="27" t="str">
        <x:v>IND-000283</x:v>
      </x:c>
      <x:c r="E286" s="27" t="str">
        <x:v>Equity TRS</x:v>
      </x:c>
      <x:c r="F286" s="27" t="str">
        <x:v>Equity</x:v>
      </x:c>
      <x:c r="G286" s="27" t="str">
        <x:v>Single Stock</x:v>
      </x:c>
      <x:c r="H286" s="27" t="str">
        <x:v>USD</x:v>
      </x:c>
      <x:c r="I286" s="27"/>
      <x:c r="J286" s="27" t="str">
        <x:v>USD</x:v>
      </x:c>
      <x:c r="K286" s="27"/>
      <x:c r="L286" s="27"/>
      <x:c r="M286" s="27" t="str">
        <x:v>EQUITY_NAME_14</x:v>
      </x:c>
      <x:c r="N286" s="27" t="str">
        <x:v>Singleton</x:v>
      </x:c>
      <x:c r="O286" s="27"/>
      <x:c r="P286" s="27" t="n">
        <x:v>47842</x:v>
      </x:c>
      <x:c r="Q286" s="27" t="n">
        <x:v>44983</x:v>
      </x:c>
      <x:c r="R286" s="27" t="n">
        <x:v>47842</x:v>
      </x:c>
      <x:c r="S286" s="27" t="n">
        <x:v>41400000</x:v>
      </x:c>
      <x:c r="T286" s="27" t="n">
        <x:v>0</x:v>
      </x:c>
      <x:c r="U286" s="27" t="n">
        <x:v>41400000</x:v>
      </x:c>
      <x:c r="V286" s="27" t="str">
        <x:v>M</x:v>
      </x:c>
      <x:c r="W286" s="27" t="str">
        <x:v>N</x:v>
      </x:c>
      <x:c r="X286" s="27" t="n">
        <x:v>10</x:v>
      </x:c>
      <x:c r="Y286" s="27" t="str">
        <x:v>B</x:v>
      </x:c>
      <x:c r="Z286" s="27"/>
      <x:c r="AA286" s="27"/>
      <x:c r="AB286" s="27" t="n">
        <x:v>0</x:v>
      </x:c>
      <x:c r="AC286" s="27" t="n">
        <x:v>0</x:v>
      </x:c>
      <x:c r="AD286" s="27" t="n">
        <x:v>-952614</x:v>
      </x:c>
      <x:c r="AE286" s="27" t="str">
        <x:v>Public-safe anonymized industry-style SA-CCR sample</x:v>
      </x:c>
      <x:c r="AF286" s="27" t="str">
        <x:v>ANON-000283</x:v>
      </x:c>
      <x:c r="AG286" s="27" t="str">
        <x:v>Equity TRS</x:v>
      </x:c>
      <x:c r="AH286" s="27"/>
      <x:c r="AI286" s="27" t="str">
        <x:v>Single Stock</x:v>
      </x:c>
    </x:row>
    <x:row r="287">
      <x:c r="A287" s="27" t="n">
        <x:v>45702</x:v>
      </x:c>
      <x:c r="B287" s="27" t="str">
        <x:v>IND_PENSION_001</x:v>
      </x:c>
      <x:c r="C287" s="27" t="n">
        <x:v>3121</x:v>
      </x:c>
      <x:c r="D287" s="27" t="str">
        <x:v>IND-000284</x:v>
      </x:c>
      <x:c r="E287" s="27" t="str">
        <x:v>Equity TRS</x:v>
      </x:c>
      <x:c r="F287" s="27" t="str">
        <x:v>Equity</x:v>
      </x:c>
      <x:c r="G287" s="27" t="str">
        <x:v>Single Stock</x:v>
      </x:c>
      <x:c r="H287" s="27" t="str">
        <x:v>USD</x:v>
      </x:c>
      <x:c r="I287" s="27"/>
      <x:c r="J287" s="27" t="str">
        <x:v>USD</x:v>
      </x:c>
      <x:c r="K287" s="27"/>
      <x:c r="L287" s="27"/>
      <x:c r="M287" s="27" t="str">
        <x:v>EQUITY_NAME_27</x:v>
      </x:c>
      <x:c r="N287" s="27" t="str">
        <x:v>Singleton</x:v>
      </x:c>
      <x:c r="O287" s="27"/>
      <x:c r="P287" s="27" t="n">
        <x:v>47726</x:v>
      </x:c>
      <x:c r="Q287" s="27" t="n">
        <x:v>45369</x:v>
      </x:c>
      <x:c r="R287" s="27" t="n">
        <x:v>47726</x:v>
      </x:c>
      <x:c r="S287" s="27" t="n">
        <x:v>38700000</x:v>
      </x:c>
      <x:c r="T287" s="27" t="n">
        <x:v>0</x:v>
      </x:c>
      <x:c r="U287" s="27" t="n">
        <x:v>38700000</x:v>
      </x:c>
      <x:c r="V287" s="27" t="str">
        <x:v>M</x:v>
      </x:c>
      <x:c r="W287" s="27" t="str">
        <x:v>N</x:v>
      </x:c>
      <x:c r="X287" s="27" t="n">
        <x:v>10</x:v>
      </x:c>
      <x:c r="Y287" s="27" t="str">
        <x:v>B</x:v>
      </x:c>
      <x:c r="Z287" s="27"/>
      <x:c r="AA287" s="27"/>
      <x:c r="AB287" s="27" t="n">
        <x:v>0</x:v>
      </x:c>
      <x:c r="AC287" s="27" t="n">
        <x:v>0</x:v>
      </x:c>
      <x:c r="AD287" s="27" t="n">
        <x:v>626940</x:v>
      </x:c>
      <x:c r="AE287" s="27" t="str">
        <x:v>Public-safe anonymized industry-style SA-CCR sample</x:v>
      </x:c>
      <x:c r="AF287" s="27" t="str">
        <x:v>ANON-000284</x:v>
      </x:c>
      <x:c r="AG287" s="27" t="str">
        <x:v>Equity TRS</x:v>
      </x:c>
      <x:c r="AH287" s="27"/>
      <x:c r="AI287" s="27" t="str">
        <x:v>Single Stock</x:v>
      </x:c>
    </x:row>
    <x:row r="288">
      <x:c r="A288" s="27" t="n">
        <x:v>45702</x:v>
      </x:c>
      <x:c r="B288" s="27" t="str">
        <x:v>IND_REGIONAL_BANK_001</x:v>
      </x:c>
      <x:c r="C288" s="27" t="n">
        <x:v>3194</x:v>
      </x:c>
      <x:c r="D288" s="27" t="str">
        <x:v>IND-000285</x:v>
      </x:c>
      <x:c r="E288" s="27" t="str">
        <x:v>Equity TRS</x:v>
      </x:c>
      <x:c r="F288" s="27" t="str">
        <x:v>Equity</x:v>
      </x:c>
      <x:c r="G288" s="27" t="str">
        <x:v>Single Stock</x:v>
      </x:c>
      <x:c r="H288" s="27" t="str">
        <x:v>USD</x:v>
      </x:c>
      <x:c r="I288" s="27"/>
      <x:c r="J288" s="27" t="str">
        <x:v>USD</x:v>
      </x:c>
      <x:c r="K288" s="27"/>
      <x:c r="L288" s="27"/>
      <x:c r="M288" s="27" t="str">
        <x:v>EQUITY_NAME_11</x:v>
      </x:c>
      <x:c r="N288" s="27" t="str">
        <x:v>Singleton</x:v>
      </x:c>
      <x:c r="O288" s="27"/>
      <x:c r="P288" s="27" t="n">
        <x:v>46692</x:v>
      </x:c>
      <x:c r="Q288" s="27" t="n">
        <x:v>45469</x:v>
      </x:c>
      <x:c r="R288" s="27" t="n">
        <x:v>46692</x:v>
      </x:c>
      <x:c r="S288" s="27" t="n">
        <x:v>38600000</x:v>
      </x:c>
      <x:c r="T288" s="27" t="n">
        <x:v>0</x:v>
      </x:c>
      <x:c r="U288" s="27" t="n">
        <x:v>38600000</x:v>
      </x:c>
      <x:c r="V288" s="27" t="str">
        <x:v>M</x:v>
      </x:c>
      <x:c r="W288" s="27" t="str">
        <x:v>N</x:v>
      </x:c>
      <x:c r="X288" s="27" t="n">
        <x:v>10</x:v>
      </x:c>
      <x:c r="Y288" s="27" t="str">
        <x:v>S</x:v>
      </x:c>
      <x:c r="Z288" s="27"/>
      <x:c r="AA288" s="27"/>
      <x:c r="AB288" s="27" t="n">
        <x:v>0</x:v>
      </x:c>
      <x:c r="AC288" s="27" t="n">
        <x:v>0</x:v>
      </x:c>
      <x:c r="AD288" s="27" t="n">
        <x:v>777018</x:v>
      </x:c>
      <x:c r="AE288" s="27" t="str">
        <x:v>Public-safe anonymized industry-style SA-CCR sample</x:v>
      </x:c>
      <x:c r="AF288" s="27" t="str">
        <x:v>ANON-000285</x:v>
      </x:c>
      <x:c r="AG288" s="27" t="str">
        <x:v>Equity TRS</x:v>
      </x:c>
      <x:c r="AH288" s="27"/>
      <x:c r="AI288" s="27" t="str">
        <x:v>Single Stock</x:v>
      </x:c>
    </x:row>
    <x:row r="289">
      <x:c r="A289" s="27" t="n">
        <x:v>45702</x:v>
      </x:c>
      <x:c r="B289" s="27" t="str">
        <x:v>IND_BROKER_001</x:v>
      </x:c>
      <x:c r="C289" s="27" t="n">
        <x:v>3195</x:v>
      </x:c>
      <x:c r="D289" s="27" t="str">
        <x:v>IND-000286</x:v>
      </x:c>
      <x:c r="E289" s="27" t="str">
        <x:v>Equity TRS</x:v>
      </x:c>
      <x:c r="F289" s="27" t="str">
        <x:v>Equity</x:v>
      </x:c>
      <x:c r="G289" s="27" t="str">
        <x:v>Single Stock</x:v>
      </x:c>
      <x:c r="H289" s="27" t="str">
        <x:v>USD</x:v>
      </x:c>
      <x:c r="I289" s="27"/>
      <x:c r="J289" s="27" t="str">
        <x:v>USD</x:v>
      </x:c>
      <x:c r="K289" s="27"/>
      <x:c r="L289" s="27"/>
      <x:c r="M289" s="27" t="str">
        <x:v>EQUITY_NAME_02</x:v>
      </x:c>
      <x:c r="N289" s="27" t="str">
        <x:v>Singleton</x:v>
      </x:c>
      <x:c r="O289" s="27"/>
      <x:c r="P289" s="27" t="n">
        <x:v>47518</x:v>
      </x:c>
      <x:c r="Q289" s="27" t="n">
        <x:v>44944</x:v>
      </x:c>
      <x:c r="R289" s="27" t="n">
        <x:v>47518</x:v>
      </x:c>
      <x:c r="S289" s="27" t="n">
        <x:v>43300000</x:v>
      </x:c>
      <x:c r="T289" s="27" t="n">
        <x:v>0</x:v>
      </x:c>
      <x:c r="U289" s="27" t="n">
        <x:v>43300000</x:v>
      </x:c>
      <x:c r="V289" s="27" t="str">
        <x:v>M</x:v>
      </x:c>
      <x:c r="W289" s="27" t="str">
        <x:v>N</x:v>
      </x:c>
      <x:c r="X289" s="27" t="n">
        <x:v>10</x:v>
      </x:c>
      <x:c r="Y289" s="27" t="str">
        <x:v>B</x:v>
      </x:c>
      <x:c r="Z289" s="27"/>
      <x:c r="AA289" s="27"/>
      <x:c r="AB289" s="27" t="n">
        <x:v>0</x:v>
      </x:c>
      <x:c r="AC289" s="27" t="n">
        <x:v>0</x:v>
      </x:c>
      <x:c r="AD289" s="27" t="n">
        <x:v>969054</x:v>
      </x:c>
      <x:c r="AE289" s="27" t="str">
        <x:v>Public-safe anonymized industry-style SA-CCR sample</x:v>
      </x:c>
      <x:c r="AF289" s="27" t="str">
        <x:v>ANON-000286</x:v>
      </x:c>
      <x:c r="AG289" s="27" t="str">
        <x:v>Equity TRS</x:v>
      </x:c>
      <x:c r="AH289" s="27"/>
      <x:c r="AI289" s="27" t="str">
        <x:v>Single Stock</x:v>
      </x:c>
    </x:row>
    <x:row r="290">
      <x:c r="A290" s="27" t="n">
        <x:v>45702</x:v>
      </x:c>
      <x:c r="B290" s="27" t="str">
        <x:v>IND_BANK_002</x:v>
      </x:c>
      <x:c r="C290" s="27" t="n">
        <x:v>3090</x:v>
      </x:c>
      <x:c r="D290" s="27" t="str">
        <x:v>IND-000287</x:v>
      </x:c>
      <x:c r="E290" s="27" t="str">
        <x:v>Equity TRS</x:v>
      </x:c>
      <x:c r="F290" s="27" t="str">
        <x:v>Equity</x:v>
      </x:c>
      <x:c r="G290" s="27" t="str">
        <x:v>Single Stock</x:v>
      </x:c>
      <x:c r="H290" s="27" t="str">
        <x:v>USD</x:v>
      </x:c>
      <x:c r="I290" s="27"/>
      <x:c r="J290" s="27" t="str">
        <x:v>USD</x:v>
      </x:c>
      <x:c r="K290" s="27"/>
      <x:c r="L290" s="27"/>
      <x:c r="M290" s="27" t="str">
        <x:v>EQUITY_NAME_13</x:v>
      </x:c>
      <x:c r="N290" s="27" t="str">
        <x:v>Singleton</x:v>
      </x:c>
      <x:c r="O290" s="27"/>
      <x:c r="P290" s="27" t="n">
        <x:v>45868</x:v>
      </x:c>
      <x:c r="Q290" s="27" t="n">
        <x:v>45092</x:v>
      </x:c>
      <x:c r="R290" s="27" t="n">
        <x:v>45868</x:v>
      </x:c>
      <x:c r="S290" s="27" t="n">
        <x:v>21800000</x:v>
      </x:c>
      <x:c r="T290" s="27" t="n">
        <x:v>0</x:v>
      </x:c>
      <x:c r="U290" s="27" t="n">
        <x:v>21800000</x:v>
      </x:c>
      <x:c r="V290" s="27" t="str">
        <x:v>U</x:v>
      </x:c>
      <x:c r="W290" s="27" t="str">
        <x:v>N</x:v>
      </x:c>
      <x:c r="X290" s="27"/>
      <x:c r="Y290" s="27" t="str">
        <x:v>B</x:v>
      </x:c>
      <x:c r="Z290" s="27"/>
      <x:c r="AA290" s="27"/>
      <x:c r="AB290" s="27" t="n">
        <x:v>0</x:v>
      </x:c>
      <x:c r="AC290" s="27" t="n">
        <x:v>0</x:v>
      </x:c>
      <x:c r="AD290" s="27" t="n">
        <x:v>-340080</x:v>
      </x:c>
      <x:c r="AE290" s="27" t="str">
        <x:v>Public-safe anonymized industry-style SA-CCR sample</x:v>
      </x:c>
      <x:c r="AF290" s="27" t="str">
        <x:v>ANON-000287</x:v>
      </x:c>
      <x:c r="AG290" s="27" t="str">
        <x:v>Equity TRS</x:v>
      </x:c>
      <x:c r="AH290" s="27"/>
      <x:c r="AI290" s="27" t="str">
        <x:v>Single Stock</x:v>
      </x:c>
    </x:row>
    <x:row r="291">
      <x:c r="A291" s="27" t="n">
        <x:v>45702</x:v>
      </x:c>
      <x:c r="B291" s="27" t="str">
        <x:v>IND_PENSION_001</x:v>
      </x:c>
      <x:c r="C291" s="27" t="n">
        <x:v>3121</x:v>
      </x:c>
      <x:c r="D291" s="27" t="str">
        <x:v>IND-000288</x:v>
      </x:c>
      <x:c r="E291" s="27" t="str">
        <x:v>Equity TRS</x:v>
      </x:c>
      <x:c r="F291" s="27" t="str">
        <x:v>Equity</x:v>
      </x:c>
      <x:c r="G291" s="27" t="str">
        <x:v>Single Stock</x:v>
      </x:c>
      <x:c r="H291" s="27" t="str">
        <x:v>USD</x:v>
      </x:c>
      <x:c r="I291" s="27"/>
      <x:c r="J291" s="27" t="str">
        <x:v>USD</x:v>
      </x:c>
      <x:c r="K291" s="27"/>
      <x:c r="L291" s="27"/>
      <x:c r="M291" s="27" t="str">
        <x:v>EQUITY_NAME_09</x:v>
      </x:c>
      <x:c r="N291" s="27" t="str">
        <x:v>Singleton</x:v>
      </x:c>
      <x:c r="O291" s="27"/>
      <x:c r="P291" s="27" t="n">
        <x:v>45757</x:v>
      </x:c>
      <x:c r="Q291" s="27" t="n">
        <x:v>44836</x:v>
      </x:c>
      <x:c r="R291" s="27" t="n">
        <x:v>45757</x:v>
      </x:c>
      <x:c r="S291" s="27" t="n">
        <x:v>1200000</x:v>
      </x:c>
      <x:c r="T291" s="27" t="n">
        <x:v>0</x:v>
      </x:c>
      <x:c r="U291" s="27" t="n">
        <x:v>1200000</x:v>
      </x:c>
      <x:c r="V291" s="27" t="str">
        <x:v>M</x:v>
      </x:c>
      <x:c r="W291" s="27" t="str">
        <x:v>N</x:v>
      </x:c>
      <x:c r="X291" s="27" t="n">
        <x:v>10</x:v>
      </x:c>
      <x:c r="Y291" s="27" t="str">
        <x:v>S</x:v>
      </x:c>
      <x:c r="Z291" s="27"/>
      <x:c r="AA291" s="27"/>
      <x:c r="AB291" s="27" t="n">
        <x:v>0</x:v>
      </x:c>
      <x:c r="AC291" s="27" t="n">
        <x:v>0</x:v>
      </x:c>
      <x:c r="AD291" s="27" t="n">
        <x:v>17136</x:v>
      </x:c>
      <x:c r="AE291" s="27" t="str">
        <x:v>Public-safe anonymized industry-style SA-CCR sample</x:v>
      </x:c>
      <x:c r="AF291" s="27" t="str">
        <x:v>ANON-000288</x:v>
      </x:c>
      <x:c r="AG291" s="27" t="str">
        <x:v>Equity TRS</x:v>
      </x:c>
      <x:c r="AH291" s="27"/>
      <x:c r="AI291" s="27" t="str">
        <x:v>Single Stock</x:v>
      </x:c>
    </x:row>
    <x:row r="292">
      <x:c r="A292" s="27" t="n">
        <x:v>45702</x:v>
      </x:c>
      <x:c r="B292" s="27" t="str">
        <x:v>IND_CORPORATE_002</x:v>
      </x:c>
      <x:c r="C292" s="27" t="n">
        <x:v>3331</x:v>
      </x:c>
      <x:c r="D292" s="27" t="str">
        <x:v>IND-000289</x:v>
      </x:c>
      <x:c r="E292" s="27" t="str">
        <x:v>Equity Index Option</x:v>
      </x:c>
      <x:c r="F292" s="27" t="str">
        <x:v>Equity</x:v>
      </x:c>
      <x:c r="G292" s="27" t="str">
        <x:v>Index</x:v>
      </x:c>
      <x:c r="H292" s="27" t="str">
        <x:v>USD</x:v>
      </x:c>
      <x:c r="I292" s="27"/>
      <x:c r="J292" s="27" t="str">
        <x:v>USD</x:v>
      </x:c>
      <x:c r="K292" s="27"/>
      <x:c r="L292" s="27"/>
      <x:c r="M292" s="27" t="str">
        <x:v>EQUITY_INDEX_00</x:v>
      </x:c>
      <x:c r="N292" s="27" t="str">
        <x:v>Index</x:v>
      </x:c>
      <x:c r="O292" s="27"/>
      <x:c r="P292" s="27" t="n">
        <x:v>46840</x:v>
      </x:c>
      <x:c r="Q292" s="27" t="n">
        <x:v>45477</x:v>
      </x:c>
      <x:c r="R292" s="27" t="n">
        <x:v>46840</x:v>
      </x:c>
      <x:c r="S292" s="27" t="n">
        <x:v>3100000</x:v>
      </x:c>
      <x:c r="T292" s="27" t="n">
        <x:v>0</x:v>
      </x:c>
      <x:c r="U292" s="27" t="n">
        <x:v>3100000</x:v>
      </x:c>
      <x:c r="V292" s="27" t="str">
        <x:v>M</x:v>
      </x:c>
      <x:c r="W292" s="27" t="str">
        <x:v>N</x:v>
      </x:c>
      <x:c r="X292" s="27" t="n">
        <x:v>10</x:v>
      </x:c>
      <x:c r="Y292" s="27" t="str">
        <x:v>S</x:v>
      </x:c>
      <x:c r="Z292" s="27" t="n">
        <x:v>46555</x:v>
      </x:c>
      <x:c r="AA292" s="27" t="str">
        <x:v>C</x:v>
      </x:c>
      <x:c r="AB292" s="27" t="n">
        <x:v>150.272</x:v>
      </x:c>
      <x:c r="AC292" s="27" t="n">
        <x:v>128</x:v>
      </x:c>
      <x:c r="AD292" s="27" t="n">
        <x:v>111321</x:v>
      </x:c>
      <x:c r="AE292" s="27" t="str">
        <x:v>Public-safe anonymized industry-style SA-CCR sample</x:v>
      </x:c>
      <x:c r="AF292" s="27" t="str">
        <x:v>ANON-000289</x:v>
      </x:c>
      <x:c r="AG292" s="27" t="str">
        <x:v>Equity Index Option</x:v>
      </x:c>
      <x:c r="AH292" s="27"/>
      <x:c r="AI292" s="27" t="str">
        <x:v>Equity Index</x:v>
      </x:c>
    </x:row>
    <x:row r="293">
      <x:c r="A293" s="27" t="n">
        <x:v>45702</x:v>
      </x:c>
      <x:c r="B293" s="27" t="str">
        <x:v>IND_BANK_002</x:v>
      </x:c>
      <x:c r="C293" s="27" t="n">
        <x:v>3386</x:v>
      </x:c>
      <x:c r="D293" s="27" t="str">
        <x:v>IND-000290</x:v>
      </x:c>
      <x:c r="E293" s="27" t="str">
        <x:v>Equity Index Option</x:v>
      </x:c>
      <x:c r="F293" s="27" t="str">
        <x:v>Equity</x:v>
      </x:c>
      <x:c r="G293" s="27" t="str">
        <x:v>Index</x:v>
      </x:c>
      <x:c r="H293" s="27" t="str">
        <x:v>USD</x:v>
      </x:c>
      <x:c r="I293" s="27"/>
      <x:c r="J293" s="27" t="str">
        <x:v>USD</x:v>
      </x:c>
      <x:c r="K293" s="27"/>
      <x:c r="L293" s="27"/>
      <x:c r="M293" s="27" t="str">
        <x:v>EQUITY_INDEX_13</x:v>
      </x:c>
      <x:c r="N293" s="27" t="str">
        <x:v>Index</x:v>
      </x:c>
      <x:c r="O293" s="27"/>
      <x:c r="P293" s="27" t="n">
        <x:v>46200</x:v>
      </x:c>
      <x:c r="Q293" s="27" t="n">
        <x:v>45423</x:v>
      </x:c>
      <x:c r="R293" s="27" t="n">
        <x:v>46200</x:v>
      </x:c>
      <x:c r="S293" s="27" t="n">
        <x:v>66000000</x:v>
      </x:c>
      <x:c r="T293" s="27" t="n">
        <x:v>0</x:v>
      </x:c>
      <x:c r="U293" s="27" t="n">
        <x:v>66000000</x:v>
      </x:c>
      <x:c r="V293" s="27" t="str">
        <x:v>M</x:v>
      </x:c>
      <x:c r="W293" s="27" t="str">
        <x:v>N</x:v>
      </x:c>
      <x:c r="X293" s="27" t="n">
        <x:v>10</x:v>
      </x:c>
      <x:c r="Y293" s="27" t="str">
        <x:v>B</x:v>
      </x:c>
      <x:c r="Z293" s="27" t="n">
        <x:v>46075</x:v>
      </x:c>
      <x:c r="AA293" s="27" t="str">
        <x:v>C</x:v>
      </x:c>
      <x:c r="AB293" s="27" t="n">
        <x:v>139.904</x:v>
      </x:c>
      <x:c r="AC293" s="27" t="n">
        <x:v>128</x:v>
      </x:c>
      <x:c r="AD293" s="27" t="n">
        <x:v>341550</x:v>
      </x:c>
      <x:c r="AE293" s="27" t="str">
        <x:v>Public-safe anonymized industry-style SA-CCR sample</x:v>
      </x:c>
      <x:c r="AF293" s="27" t="str">
        <x:v>ANON-000290</x:v>
      </x:c>
      <x:c r="AG293" s="27" t="str">
        <x:v>Equity Index Option</x:v>
      </x:c>
      <x:c r="AH293" s="27"/>
      <x:c r="AI293" s="27" t="str">
        <x:v>Equity Index</x:v>
      </x:c>
    </x:row>
    <x:row r="294">
      <x:c r="A294" s="27" t="n">
        <x:v>45702</x:v>
      </x:c>
      <x:c r="B294" s="27" t="str">
        <x:v>IND_CLEARING_MEMBER_001</x:v>
      </x:c>
      <x:c r="C294" s="27" t="n">
        <x:v>3108</x:v>
      </x:c>
      <x:c r="D294" s="27" t="str">
        <x:v>IND-000291</x:v>
      </x:c>
      <x:c r="E294" s="27" t="str">
        <x:v>Equity Index Option</x:v>
      </x:c>
      <x:c r="F294" s="27" t="str">
        <x:v>Equity</x:v>
      </x:c>
      <x:c r="G294" s="27" t="str">
        <x:v>Index</x:v>
      </x:c>
      <x:c r="H294" s="27" t="str">
        <x:v>USD</x:v>
      </x:c>
      <x:c r="I294" s="27"/>
      <x:c r="J294" s="27" t="str">
        <x:v>USD</x:v>
      </x:c>
      <x:c r="K294" s="27"/>
      <x:c r="L294" s="27"/>
      <x:c r="M294" s="27" t="str">
        <x:v>EQUITY_INDEX_28</x:v>
      </x:c>
      <x:c r="N294" s="27" t="str">
        <x:v>Index</x:v>
      </x:c>
      <x:c r="O294" s="27"/>
      <x:c r="P294" s="27" t="n">
        <x:v>47599</x:v>
      </x:c>
      <x:c r="Q294" s="27" t="n">
        <x:v>45219</x:v>
      </x:c>
      <x:c r="R294" s="27" t="n">
        <x:v>47599</x:v>
      </x:c>
      <x:c r="S294" s="27" t="n">
        <x:v>65900000</x:v>
      </x:c>
      <x:c r="T294" s="27" t="n">
        <x:v>0</x:v>
      </x:c>
      <x:c r="U294" s="27" t="n">
        <x:v>65900000</x:v>
      </x:c>
      <x:c r="V294" s="27" t="str">
        <x:v>M</x:v>
      </x:c>
      <x:c r="W294" s="27" t="str">
        <x:v>N</x:v>
      </x:c>
      <x:c r="X294" s="27" t="n">
        <x:v>10</x:v>
      </x:c>
      <x:c r="Y294" s="27" t="str">
        <x:v>S</x:v>
      </x:c>
      <x:c r="Z294" s="27" t="n">
        <x:v>47124</x:v>
      </x:c>
      <x:c r="AA294" s="27" t="str">
        <x:v>P</x:v>
      </x:c>
      <x:c r="AB294" s="27" t="n">
        <x:v>111.456</x:v>
      </x:c>
      <x:c r="AC294" s="27" t="n">
        <x:v>129</x:v>
      </x:c>
      <x:c r="AD294" s="27" t="n">
        <x:v>-133447.5</x:v>
      </x:c>
      <x:c r="AE294" s="27" t="str">
        <x:v>Public-safe anonymized industry-style SA-CCR sample</x:v>
      </x:c>
      <x:c r="AF294" s="27" t="str">
        <x:v>ANON-000291</x:v>
      </x:c>
      <x:c r="AG294" s="27" t="str">
        <x:v>Equity Index Option</x:v>
      </x:c>
      <x:c r="AH294" s="27"/>
      <x:c r="AI294" s="27" t="str">
        <x:v>Equity Index</x:v>
      </x:c>
    </x:row>
    <x:row r="295">
      <x:c r="A295" s="27" t="n">
        <x:v>45702</x:v>
      </x:c>
      <x:c r="B295" s="27" t="str">
        <x:v>IND_BROKER_001</x:v>
      </x:c>
      <x:c r="C295" s="27" t="n">
        <x:v>3276</x:v>
      </x:c>
      <x:c r="D295" s="27" t="str">
        <x:v>IND-000292</x:v>
      </x:c>
      <x:c r="E295" s="27" t="str">
        <x:v>Equity Index Option</x:v>
      </x:c>
      <x:c r="F295" s="27" t="str">
        <x:v>Equity</x:v>
      </x:c>
      <x:c r="G295" s="27" t="str">
        <x:v>Index</x:v>
      </x:c>
      <x:c r="H295" s="27" t="str">
        <x:v>USD</x:v>
      </x:c>
      <x:c r="I295" s="27"/>
      <x:c r="J295" s="27" t="str">
        <x:v>USD</x:v>
      </x:c>
      <x:c r="K295" s="27"/>
      <x:c r="L295" s="27"/>
      <x:c r="M295" s="27" t="str">
        <x:v>EQUITY_INDEX_26</x:v>
      </x:c>
      <x:c r="N295" s="27" t="str">
        <x:v>Index</x:v>
      </x:c>
      <x:c r="O295" s="27"/>
      <x:c r="P295" s="27" t="n">
        <x:v>47313</x:v>
      </x:c>
      <x:c r="Q295" s="27" t="n">
        <x:v>44805</x:v>
      </x:c>
      <x:c r="R295" s="27" t="n">
        <x:v>47313</x:v>
      </x:c>
      <x:c r="S295" s="27" t="n">
        <x:v>52200000</x:v>
      </x:c>
      <x:c r="T295" s="27" t="n">
        <x:v>0</x:v>
      </x:c>
      <x:c r="U295" s="27" t="n">
        <x:v>52200000</x:v>
      </x:c>
      <x:c r="V295" s="27" t="str">
        <x:v>U</x:v>
      </x:c>
      <x:c r="W295" s="27" t="str">
        <x:v>N</x:v>
      </x:c>
      <x:c r="X295" s="27"/>
      <x:c r="Y295" s="27" t="str">
        <x:v>S</x:v>
      </x:c>
      <x:c r="Z295" s="27" t="n">
        <x:v>46910</x:v>
      </x:c>
      <x:c r="AA295" s="27" t="str">
        <x:v>P</x:v>
      </x:c>
      <x:c r="AB295" s="27" t="n">
        <x:v>88.1</x:v>
      </x:c>
      <x:c r="AC295" s="27" t="n">
        <x:v>100</x:v>
      </x:c>
      <x:c r="AD295" s="27" t="n">
        <x:v>-763425</x:v>
      </x:c>
      <x:c r="AE295" s="27" t="str">
        <x:v>Public-safe anonymized industry-style SA-CCR sample</x:v>
      </x:c>
      <x:c r="AF295" s="27" t="str">
        <x:v>ANON-000292</x:v>
      </x:c>
      <x:c r="AG295" s="27" t="str">
        <x:v>Equity Index Option</x:v>
      </x:c>
      <x:c r="AH295" s="27"/>
      <x:c r="AI295" s="27" t="str">
        <x:v>Equity Index</x:v>
      </x:c>
    </x:row>
    <x:row r="296">
      <x:c r="A296" s="27" t="n">
        <x:v>45702</x:v>
      </x:c>
      <x:c r="B296" s="27" t="str">
        <x:v>IND_CLEARING_MEMBER_001</x:v>
      </x:c>
      <x:c r="C296" s="27" t="n">
        <x:v>3161</x:v>
      </x:c>
      <x:c r="D296" s="27" t="str">
        <x:v>IND-000293</x:v>
      </x:c>
      <x:c r="E296" s="27" t="str">
        <x:v>Equity Index Option</x:v>
      </x:c>
      <x:c r="F296" s="27" t="str">
        <x:v>Equity</x:v>
      </x:c>
      <x:c r="G296" s="27" t="str">
        <x:v>Index</x:v>
      </x:c>
      <x:c r="H296" s="27" t="str">
        <x:v>USD</x:v>
      </x:c>
      <x:c r="I296" s="27"/>
      <x:c r="J296" s="27" t="str">
        <x:v>USD</x:v>
      </x:c>
      <x:c r="K296" s="27"/>
      <x:c r="L296" s="27"/>
      <x:c r="M296" s="27" t="str">
        <x:v>EQUITY_INDEX_22</x:v>
      </x:c>
      <x:c r="N296" s="27" t="str">
        <x:v>Index</x:v>
      </x:c>
      <x:c r="O296" s="27"/>
      <x:c r="P296" s="27" t="n">
        <x:v>47611</x:v>
      </x:c>
      <x:c r="Q296" s="27" t="n">
        <x:v>44887</x:v>
      </x:c>
      <x:c r="R296" s="27" t="n">
        <x:v>47611</x:v>
      </x:c>
      <x:c r="S296" s="27" t="n">
        <x:v>17700000</x:v>
      </x:c>
      <x:c r="T296" s="27" t="n">
        <x:v>0</x:v>
      </x:c>
      <x:c r="U296" s="27" t="n">
        <x:v>17700000</x:v>
      </x:c>
      <x:c r="V296" s="27" t="str">
        <x:v>U</x:v>
      </x:c>
      <x:c r="W296" s="27" t="str">
        <x:v>N</x:v>
      </x:c>
      <x:c r="X296" s="27"/>
      <x:c r="Y296" s="27" t="str">
        <x:v>B</x:v>
      </x:c>
      <x:c r="Z296" s="27" t="n">
        <x:v>47133</x:v>
      </x:c>
      <x:c r="AA296" s="27" t="str">
        <x:v>C</x:v>
      </x:c>
      <x:c r="AB296" s="27" t="n">
        <x:v>137.875</x:v>
      </x:c>
      <x:c r="AC296" s="27" t="n">
        <x:v>125</x:v>
      </x:c>
      <x:c r="AD296" s="27" t="n">
        <x:v>-387099</x:v>
      </x:c>
      <x:c r="AE296" s="27" t="str">
        <x:v>Public-safe anonymized industry-style SA-CCR sample</x:v>
      </x:c>
      <x:c r="AF296" s="27" t="str">
        <x:v>ANON-000293</x:v>
      </x:c>
      <x:c r="AG296" s="27" t="str">
        <x:v>Equity Index Option</x:v>
      </x:c>
      <x:c r="AH296" s="27"/>
      <x:c r="AI296" s="27" t="str">
        <x:v>Equity Index</x:v>
      </x:c>
    </x:row>
    <x:row r="297">
      <x:c r="A297" s="27" t="n">
        <x:v>45702</x:v>
      </x:c>
      <x:c r="B297" s="27" t="str">
        <x:v>IND_BANK_002</x:v>
      </x:c>
      <x:c r="C297" s="27" t="n">
        <x:v>3090</x:v>
      </x:c>
      <x:c r="D297" s="27" t="str">
        <x:v>IND-000294</x:v>
      </x:c>
      <x:c r="E297" s="27" t="str">
        <x:v>Equity Index Option</x:v>
      </x:c>
      <x:c r="F297" s="27" t="str">
        <x:v>Equity</x:v>
      </x:c>
      <x:c r="G297" s="27" t="str">
        <x:v>Index</x:v>
      </x:c>
      <x:c r="H297" s="27" t="str">
        <x:v>USD</x:v>
      </x:c>
      <x:c r="I297" s="27"/>
      <x:c r="J297" s="27" t="str">
        <x:v>USD</x:v>
      </x:c>
      <x:c r="K297" s="27"/>
      <x:c r="L297" s="27"/>
      <x:c r="M297" s="27" t="str">
        <x:v>EQUITY_INDEX_01</x:v>
      </x:c>
      <x:c r="N297" s="27" t="str">
        <x:v>Index</x:v>
      </x:c>
      <x:c r="O297" s="27"/>
      <x:c r="P297" s="27" t="n">
        <x:v>47301</x:v>
      </x:c>
      <x:c r="Q297" s="27" t="n">
        <x:v>45015</x:v>
      </x:c>
      <x:c r="R297" s="27" t="n">
        <x:v>47301</x:v>
      </x:c>
      <x:c r="S297" s="27" t="n">
        <x:v>44800000</x:v>
      </x:c>
      <x:c r="T297" s="27" t="n">
        <x:v>0</x:v>
      </x:c>
      <x:c r="U297" s="27" t="n">
        <x:v>44800000</x:v>
      </x:c>
      <x:c r="V297" s="27" t="str">
        <x:v>U</x:v>
      </x:c>
      <x:c r="W297" s="27" t="str">
        <x:v>N</x:v>
      </x:c>
      <x:c r="X297" s="27"/>
      <x:c r="Y297" s="27" t="str">
        <x:v>S</x:v>
      </x:c>
      <x:c r="Z297" s="27" t="n">
        <x:v>46901</x:v>
      </x:c>
      <x:c r="AA297" s="27" t="str">
        <x:v>P</x:v>
      </x:c>
      <x:c r="AB297" s="27" t="n">
        <x:v>93.9</x:v>
      </x:c>
      <x:c r="AC297" s="27" t="n">
        <x:v>100</x:v>
      </x:c>
      <x:c r="AD297" s="27" t="n">
        <x:v>1048320</x:v>
      </x:c>
      <x:c r="AE297" s="27" t="str">
        <x:v>Public-safe anonymized industry-style SA-CCR sample</x:v>
      </x:c>
      <x:c r="AF297" s="27" t="str">
        <x:v>ANON-000294</x:v>
      </x:c>
      <x:c r="AG297" s="27" t="str">
        <x:v>Equity Index Option</x:v>
      </x:c>
      <x:c r="AH297" s="27"/>
      <x:c r="AI297" s="27" t="str">
        <x:v>Equity Index</x:v>
      </x:c>
    </x:row>
    <x:row r="298">
      <x:c r="A298" s="27" t="n">
        <x:v>45702</x:v>
      </x:c>
      <x:c r="B298" s="27" t="str">
        <x:v>IND_ASSET_MANAGER_001</x:v>
      </x:c>
      <x:c r="C298" s="27" t="n">
        <x:v>3167</x:v>
      </x:c>
      <x:c r="D298" s="27" t="str">
        <x:v>IND-000295</x:v>
      </x:c>
      <x:c r="E298" s="27" t="str">
        <x:v>Equity Index Option</x:v>
      </x:c>
      <x:c r="F298" s="27" t="str">
        <x:v>Equity</x:v>
      </x:c>
      <x:c r="G298" s="27" t="str">
        <x:v>Index</x:v>
      </x:c>
      <x:c r="H298" s="27" t="str">
        <x:v>USD</x:v>
      </x:c>
      <x:c r="I298" s="27"/>
      <x:c r="J298" s="27" t="str">
        <x:v>USD</x:v>
      </x:c>
      <x:c r="K298" s="27"/>
      <x:c r="L298" s="27"/>
      <x:c r="M298" s="27" t="str">
        <x:v>EQUITY_INDEX_15</x:v>
      </x:c>
      <x:c r="N298" s="27" t="str">
        <x:v>Index</x:v>
      </x:c>
      <x:c r="O298" s="27"/>
      <x:c r="P298" s="27" t="n">
        <x:v>46601</x:v>
      </x:c>
      <x:c r="Q298" s="27" t="n">
        <x:v>45632</x:v>
      </x:c>
      <x:c r="R298" s="27" t="n">
        <x:v>46601</x:v>
      </x:c>
      <x:c r="S298" s="27" t="n">
        <x:v>39000000</x:v>
      </x:c>
      <x:c r="T298" s="27" t="n">
        <x:v>0</x:v>
      </x:c>
      <x:c r="U298" s="27" t="n">
        <x:v>39000000</x:v>
      </x:c>
      <x:c r="V298" s="27" t="str">
        <x:v>M</x:v>
      </x:c>
      <x:c r="W298" s="27" t="str">
        <x:v>N</x:v>
      </x:c>
      <x:c r="X298" s="27" t="n">
        <x:v>10</x:v>
      </x:c>
      <x:c r="Y298" s="27" t="str">
        <x:v>B</x:v>
      </x:c>
      <x:c r="Z298" s="27" t="n">
        <x:v>46376</x:v>
      </x:c>
      <x:c r="AA298" s="27" t="str">
        <x:v>P</x:v>
      </x:c>
      <x:c r="AB298" s="27" t="n">
        <x:v>132.16</x:v>
      </x:c>
      <x:c r="AC298" s="27" t="n">
        <x:v>112</x:v>
      </x:c>
      <x:c r="AD298" s="27" t="n">
        <x:v>-214110</x:v>
      </x:c>
      <x:c r="AE298" s="27" t="str">
        <x:v>Public-safe anonymized industry-style SA-CCR sample</x:v>
      </x:c>
      <x:c r="AF298" s="27" t="str">
        <x:v>ANON-000295</x:v>
      </x:c>
      <x:c r="AG298" s="27" t="str">
        <x:v>Equity Index Option</x:v>
      </x:c>
      <x:c r="AH298" s="27"/>
      <x:c r="AI298" s="27" t="str">
        <x:v>Equity Index</x:v>
      </x:c>
    </x:row>
    <x:row r="299">
      <x:c r="A299" s="27" t="n">
        <x:v>45702</x:v>
      </x:c>
      <x:c r="B299" s="27" t="str">
        <x:v>IND_REGIONAL_BANK_001</x:v>
      </x:c>
      <x:c r="C299" s="27" t="n">
        <x:v>3194</x:v>
      </x:c>
      <x:c r="D299" s="27" t="str">
        <x:v>IND-000296</x:v>
      </x:c>
      <x:c r="E299" s="27" t="str">
        <x:v>Equity Index Option</x:v>
      </x:c>
      <x:c r="F299" s="27" t="str">
        <x:v>Equity</x:v>
      </x:c>
      <x:c r="G299" s="27" t="str">
        <x:v>Index</x:v>
      </x:c>
      <x:c r="H299" s="27" t="str">
        <x:v>USD</x:v>
      </x:c>
      <x:c r="I299" s="27"/>
      <x:c r="J299" s="27" t="str">
        <x:v>USD</x:v>
      </x:c>
      <x:c r="K299" s="27"/>
      <x:c r="L299" s="27"/>
      <x:c r="M299" s="27" t="str">
        <x:v>EQUITY_INDEX_05</x:v>
      </x:c>
      <x:c r="N299" s="27" t="str">
        <x:v>Index</x:v>
      </x:c>
      <x:c r="O299" s="27"/>
      <x:c r="P299" s="27" t="n">
        <x:v>46181</x:v>
      </x:c>
      <x:c r="Q299" s="27" t="n">
        <x:v>45257</x:v>
      </x:c>
      <x:c r="R299" s="27" t="n">
        <x:v>46181</x:v>
      </x:c>
      <x:c r="S299" s="27" t="n">
        <x:v>48300000</x:v>
      </x:c>
      <x:c r="T299" s="27" t="n">
        <x:v>0</x:v>
      </x:c>
      <x:c r="U299" s="27" t="n">
        <x:v>48300000</x:v>
      </x:c>
      <x:c r="V299" s="27" t="str">
        <x:v>M</x:v>
      </x:c>
      <x:c r="W299" s="27" t="str">
        <x:v>N</x:v>
      </x:c>
      <x:c r="X299" s="27" t="n">
        <x:v>10</x:v>
      </x:c>
      <x:c r="Y299" s="27" t="str">
        <x:v>B</x:v>
      </x:c>
      <x:c r="Z299" s="27" t="n">
        <x:v>46061</x:v>
      </x:c>
      <x:c r="AA299" s="27" t="str">
        <x:v>C</x:v>
      </x:c>
      <x:c r="AB299" s="27" t="n">
        <x:v>111.625</x:v>
      </x:c>
      <x:c r="AC299" s="27" t="n">
        <x:v>125</x:v>
      </x:c>
      <x:c r="AD299" s="27" t="n">
        <x:v>-136930.5</x:v>
      </x:c>
      <x:c r="AE299" s="27" t="str">
        <x:v>Public-safe anonymized industry-style SA-CCR sample</x:v>
      </x:c>
      <x:c r="AF299" s="27" t="str">
        <x:v>ANON-000296</x:v>
      </x:c>
      <x:c r="AG299" s="27" t="str">
        <x:v>Equity Index Option</x:v>
      </x:c>
      <x:c r="AH299" s="27"/>
      <x:c r="AI299" s="27" t="str">
        <x:v>Equity Index</x:v>
      </x:c>
    </x:row>
    <x:row r="300">
      <x:c r="A300" s="27" t="n">
        <x:v>45702</x:v>
      </x:c>
      <x:c r="B300" s="27" t="str">
        <x:v>IND_INSURER_001</x:v>
      </x:c>
      <x:c r="C300" s="27" t="n">
        <x:v>3390</x:v>
      </x:c>
      <x:c r="D300" s="27" t="str">
        <x:v>IND-000297</x:v>
      </x:c>
      <x:c r="E300" s="27" t="str">
        <x:v>Equity Index Option</x:v>
      </x:c>
      <x:c r="F300" s="27" t="str">
        <x:v>Equity</x:v>
      </x:c>
      <x:c r="G300" s="27" t="str">
        <x:v>Index</x:v>
      </x:c>
      <x:c r="H300" s="27" t="str">
        <x:v>USD</x:v>
      </x:c>
      <x:c r="I300" s="27"/>
      <x:c r="J300" s="27" t="str">
        <x:v>USD</x:v>
      </x:c>
      <x:c r="K300" s="27"/>
      <x:c r="L300" s="27"/>
      <x:c r="M300" s="27" t="str">
        <x:v>EQUITY_INDEX_25</x:v>
      </x:c>
      <x:c r="N300" s="27" t="str">
        <x:v>Index</x:v>
      </x:c>
      <x:c r="O300" s="27"/>
      <x:c r="P300" s="27" t="n">
        <x:v>46373</x:v>
      </x:c>
      <x:c r="Q300" s="27" t="n">
        <x:v>45170</x:v>
      </x:c>
      <x:c r="R300" s="27" t="n">
        <x:v>46373</x:v>
      </x:c>
      <x:c r="S300" s="27" t="n">
        <x:v>79400000</x:v>
      </x:c>
      <x:c r="T300" s="27" t="n">
        <x:v>0</x:v>
      </x:c>
      <x:c r="U300" s="27" t="n">
        <x:v>79400000</x:v>
      </x:c>
      <x:c r="V300" s="27" t="str">
        <x:v>U</x:v>
      </x:c>
      <x:c r="W300" s="27" t="str">
        <x:v>N</x:v>
      </x:c>
      <x:c r="X300" s="27"/>
      <x:c r="Y300" s="27" t="str">
        <x:v>S</x:v>
      </x:c>
      <x:c r="Z300" s="27" t="n">
        <x:v>46205</x:v>
      </x:c>
      <x:c r="AA300" s="27" t="str">
        <x:v>C</x:v>
      </x:c>
      <x:c r="AB300" s="27" t="n">
        <x:v>118.784</x:v>
      </x:c>
      <x:c r="AC300" s="27" t="n">
        <x:v>116</x:v>
      </x:c>
      <x:c r="AD300" s="27" t="n">
        <x:v>3237138</x:v>
      </x:c>
      <x:c r="AE300" s="27" t="str">
        <x:v>Public-safe anonymized industry-style SA-CCR sample</x:v>
      </x:c>
      <x:c r="AF300" s="27" t="str">
        <x:v>ANON-000297</x:v>
      </x:c>
      <x:c r="AG300" s="27" t="str">
        <x:v>Equity Index Option</x:v>
      </x:c>
      <x:c r="AH300" s="27"/>
      <x:c r="AI300" s="27" t="str">
        <x:v>Equity Index</x:v>
      </x:c>
    </x:row>
    <x:row r="301">
      <x:c r="A301" s="27" t="n">
        <x:v>45702</x:v>
      </x:c>
      <x:c r="B301" s="27" t="str">
        <x:v>IND_BANK_002</x:v>
      </x:c>
      <x:c r="C301" s="27" t="n">
        <x:v>3386</x:v>
      </x:c>
      <x:c r="D301" s="27" t="str">
        <x:v>IND-000298</x:v>
      </x:c>
      <x:c r="E301" s="27" t="str">
        <x:v>Equity Index Option</x:v>
      </x:c>
      <x:c r="F301" s="27" t="str">
        <x:v>Equity</x:v>
      </x:c>
      <x:c r="G301" s="27" t="str">
        <x:v>Index</x:v>
      </x:c>
      <x:c r="H301" s="27" t="str">
        <x:v>USD</x:v>
      </x:c>
      <x:c r="I301" s="27"/>
      <x:c r="J301" s="27" t="str">
        <x:v>USD</x:v>
      </x:c>
      <x:c r="K301" s="27"/>
      <x:c r="L301" s="27"/>
      <x:c r="M301" s="27" t="str">
        <x:v>EQUITY_INDEX_01</x:v>
      </x:c>
      <x:c r="N301" s="27" t="str">
        <x:v>Index</x:v>
      </x:c>
      <x:c r="O301" s="27"/>
      <x:c r="P301" s="27" t="n">
        <x:v>47370</x:v>
      </x:c>
      <x:c r="Q301" s="27" t="n">
        <x:v>45520</x:v>
      </x:c>
      <x:c r="R301" s="27" t="n">
        <x:v>47370</x:v>
      </x:c>
      <x:c r="S301" s="27" t="n">
        <x:v>12800000</x:v>
      </x:c>
      <x:c r="T301" s="27" t="n">
        <x:v>0</x:v>
      </x:c>
      <x:c r="U301" s="27" t="n">
        <x:v>12800000</x:v>
      </x:c>
      <x:c r="V301" s="27" t="str">
        <x:v>M</x:v>
      </x:c>
      <x:c r="W301" s="27" t="str">
        <x:v>N</x:v>
      </x:c>
      <x:c r="X301" s="27" t="n">
        <x:v>10</x:v>
      </x:c>
      <x:c r="Y301" s="27" t="str">
        <x:v>B</x:v>
      </x:c>
      <x:c r="Z301" s="27" t="n">
        <x:v>46953</x:v>
      </x:c>
      <x:c r="AA301" s="27" t="str">
        <x:v>C</x:v>
      </x:c>
      <x:c r="AB301" s="27" t="n">
        <x:v>97.328</x:v>
      </x:c>
      <x:c r="AC301" s="27" t="n">
        <x:v>112</x:v>
      </x:c>
      <x:c r="AD301" s="27" t="n">
        <x:v>-511488</x:v>
      </x:c>
      <x:c r="AE301" s="27" t="str">
        <x:v>Public-safe anonymized industry-style SA-CCR sample</x:v>
      </x:c>
      <x:c r="AF301" s="27" t="str">
        <x:v>ANON-000298</x:v>
      </x:c>
      <x:c r="AG301" s="27" t="str">
        <x:v>Equity Index Option</x:v>
      </x:c>
      <x:c r="AH301" s="27"/>
      <x:c r="AI301" s="27" t="str">
        <x:v>Equity Index</x:v>
      </x:c>
    </x:row>
  </x:sheetData>
  <x:mergeCells>
    <x:mergeCell ref="A1:AI1"/>
  </x:mergeCells>
  <x:pageMargins left="0.7" right="0.7" top="0.75" bottom="0.75" header="0.3" footer="0.3"/>
  <x:tableParts count="1">
    <x:tablePart xmlns:r="http://schemas.openxmlformats.org/officeDocument/2006/relationships" r:id="Rc9f3c0760d1c4f5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2.5" customHeight="1">
      <x:c r="A1" s="26" t="str">
        <x:v>Inputs_Collateral</x:v>
      </x:c>
      <x:c r="B1" s="26" t="str">
        <x:v>Inputs_Collateral</x:v>
      </x:c>
      <x:c r="C1" s="26" t="str">
        <x:v>Inputs_Collateral</x:v>
      </x:c>
      <x:c r="D1" s="26" t="str">
        <x:v>Inputs_Collateral</x:v>
      </x:c>
      <x:c r="E1" s="26" t="str">
        <x:v>Inputs_Collateral</x:v>
      </x:c>
      <x:c r="F1" s="26" t="str">
        <x:v>Inputs_Collateral</x:v>
      </x:c>
      <x:c r="G1" s="26" t="str">
        <x:v>Inputs_Collateral</x:v>
      </x:c>
    </x:row>
    <x:row r="2">
      <x:c r="A2" s="27"/>
      <x:c r="B2" s="27"/>
      <x:c r="C2" s="27"/>
      <x:c r="D2" s="27"/>
      <x:c r="E2" s="27"/>
      <x:c r="F2" s="27"/>
      <x:c r="G2" s="27"/>
    </x:row>
    <x:row r="3">
      <x:c r="A3" s="28" t="str">
        <x:v>Counterparty ID</x:v>
      </x:c>
      <x:c r="B3" s="28" t="str">
        <x:v>Netting Set ID</x:v>
      </x:c>
      <x:c r="C3" s="28" t="str">
        <x:v>Margin Agreement ID</x:v>
      </x:c>
      <x:c r="D3" s="28" t="str">
        <x:v>Collateral Amount</x:v>
      </x:c>
      <x:c r="E3" s="28" t="str">
        <x:v>Threshold Amount</x:v>
      </x:c>
      <x:c r="F3" s="28" t="str">
        <x:v>Minimum Transfer Amount</x:v>
      </x:c>
      <x:c r="G3" s="28" t="str">
        <x:v>Net Independent Collateral Amount</x:v>
      </x:c>
    </x:row>
    <x:row r="4">
      <x:c r="A4" s="27" t="str">
        <x:v>IND_ASSET_MANAGER_001</x:v>
      </x:c>
      <x:c r="B4" s="27" t="n">
        <x:v>3050</x:v>
      </x:c>
      <x:c r="C4" s="27" t="str">
        <x:v>CSA-IND-3050</x:v>
      </x:c>
      <x:c r="D4" s="27" t="n">
        <x:v>134975000</x:v>
      </x:c>
      <x:c r="E4" s="27" t="n">
        <x:v>6748750</x:v>
      </x:c>
      <x:c r="F4" s="27" t="n">
        <x:v>2699500</x:v>
      </x:c>
      <x:c r="G4" s="27" t="n">
        <x:v>26995000</x:v>
      </x:c>
    </x:row>
    <x:row r="5">
      <x:c r="A5" s="27" t="str">
        <x:v>IND_ASSET_MANAGER_001</x:v>
      </x:c>
      <x:c r="B5" s="27" t="n">
        <x:v>3127</x:v>
      </x:c>
      <x:c r="C5" s="27" t="str">
        <x:v>CSA-IND-3127</x:v>
      </x:c>
      <x:c r="D5" s="27" t="n">
        <x:v>41620000</x:v>
      </x:c>
      <x:c r="E5" s="27" t="n">
        <x:v>1040500</x:v>
      </x:c>
      <x:c r="F5" s="27" t="n">
        <x:v>416200</x:v>
      </x:c>
      <x:c r="G5" s="27" t="n">
        <x:v>4162000</x:v>
      </x:c>
    </x:row>
    <x:row r="6">
      <x:c r="A6" s="27" t="str">
        <x:v>IND_ASSET_MANAGER_001</x:v>
      </x:c>
      <x:c r="B6" s="27" t="n">
        <x:v>3167</x:v>
      </x:c>
      <x:c r="C6" s="27" t="str">
        <x:v>CSA-IND-3167</x:v>
      </x:c>
      <x:c r="D6" s="27" t="n">
        <x:v>1950000</x:v>
      </x:c>
      <x:c r="E6" s="27" t="n">
        <x:v>390000</x:v>
      </x:c>
      <x:c r="F6" s="27" t="n">
        <x:v>39000</x:v>
      </x:c>
      <x:c r="G6" s="27" t="n">
        <x:v>0</x:v>
      </x:c>
    </x:row>
    <x:row r="7">
      <x:c r="A7" s="27" t="str">
        <x:v>IND_ASSET_MANAGER_001</x:v>
      </x:c>
      <x:c r="B7" s="27" t="n">
        <x:v>3205</x:v>
      </x:c>
      <x:c r="C7" s="27"/>
      <x:c r="D7" s="27" t="n">
        <x:v>0</x:v>
      </x:c>
      <x:c r="E7" s="27" t="n">
        <x:v>0</x:v>
      </x:c>
      <x:c r="F7" s="27" t="n">
        <x:v>0</x:v>
      </x:c>
      <x:c r="G7" s="27" t="n">
        <x:v>0</x:v>
      </x:c>
    </x:row>
    <x:row r="8">
      <x:c r="A8" s="27" t="str">
        <x:v>IND_ASSET_MANAGER_001</x:v>
      </x:c>
      <x:c r="B8" s="27" t="n">
        <x:v>3222</x:v>
      </x:c>
      <x:c r="C8" s="27"/>
      <x:c r="D8" s="27" t="n">
        <x:v>0</x:v>
      </x:c>
      <x:c r="E8" s="27" t="n">
        <x:v>0</x:v>
      </x:c>
      <x:c r="F8" s="27" t="n">
        <x:v>0</x:v>
      </x:c>
      <x:c r="G8" s="27" t="n">
        <x:v>0</x:v>
      </x:c>
    </x:row>
    <x:row r="9">
      <x:c r="A9" s="27" t="str">
        <x:v>IND_ASSET_MANAGER_001</x:v>
      </x:c>
      <x:c r="B9" s="27" t="n">
        <x:v>3257</x:v>
      </x:c>
      <x:c r="C9" s="27"/>
      <x:c r="D9" s="27" t="n">
        <x:v>0</x:v>
      </x:c>
      <x:c r="E9" s="27" t="n">
        <x:v>0</x:v>
      </x:c>
      <x:c r="F9" s="27" t="n">
        <x:v>0</x:v>
      </x:c>
      <x:c r="G9" s="27" t="n">
        <x:v>0</x:v>
      </x:c>
    </x:row>
    <x:row r="10">
      <x:c r="A10" s="27" t="str">
        <x:v>IND_ASSET_MANAGER_001</x:v>
      </x:c>
      <x:c r="B10" s="27" t="n">
        <x:v>3277</x:v>
      </x:c>
      <x:c r="C10" s="27"/>
      <x:c r="D10" s="27" t="n">
        <x:v>0</x:v>
      </x:c>
      <x:c r="E10" s="27" t="n">
        <x:v>0</x:v>
      </x:c>
      <x:c r="F10" s="27" t="n">
        <x:v>0</x:v>
      </x:c>
      <x:c r="G10" s="27" t="n">
        <x:v>0</x:v>
      </x:c>
    </x:row>
    <x:row r="11">
      <x:c r="A11" s="27" t="str">
        <x:v>IND_ASSET_MANAGER_001</x:v>
      </x:c>
      <x:c r="B11" s="27" t="n">
        <x:v>3331</x:v>
      </x:c>
      <x:c r="C11" s="27" t="str">
        <x:v>CSA-IND-3331</x:v>
      </x:c>
      <x:c r="D11" s="27" t="n">
        <x:v>2044000</x:v>
      </x:c>
      <x:c r="E11" s="27" t="n">
        <x:v>511000</x:v>
      </x:c>
      <x:c r="F11" s="27" t="n">
        <x:v>102200</x:v>
      </x:c>
      <x:c r="G11" s="27" t="n">
        <x:v>0</x:v>
      </x:c>
    </x:row>
    <x:row r="12">
      <x:c r="A12" s="27" t="str">
        <x:v>IND_BANK_001</x:v>
      </x:c>
      <x:c r="B12" s="27" t="n">
        <x:v>3142</x:v>
      </x:c>
      <x:c r="C12" s="27" t="str">
        <x:v>CSA-IND-3142</x:v>
      </x:c>
      <x:c r="D12" s="27" t="n">
        <x:v>6375000</x:v>
      </x:c>
      <x:c r="E12" s="27" t="n">
        <x:v>318750</x:v>
      </x:c>
      <x:c r="F12" s="27" t="n">
        <x:v>127500</x:v>
      </x:c>
      <x:c r="G12" s="27" t="n">
        <x:v>0</x:v>
      </x:c>
    </x:row>
    <x:row r="13">
      <x:c r="A13" s="27" t="str">
        <x:v>IND_BANK_001</x:v>
      </x:c>
      <x:c r="B13" s="27" t="n">
        <x:v>3172</x:v>
      </x:c>
      <x:c r="C13" s="27" t="str">
        <x:v>CSA-IND-3172</x:v>
      </x:c>
      <x:c r="D13" s="27" t="n">
        <x:v>11685000</x:v>
      </x:c>
      <x:c r="E13" s="27" t="n">
        <x:v>779000</x:v>
      </x:c>
      <x:c r="F13" s="27" t="n">
        <x:v>77900</x:v>
      </x:c>
      <x:c r="G13" s="27" t="n">
        <x:v>1558000</x:v>
      </x:c>
    </x:row>
    <x:row r="14">
      <x:c r="A14" s="27" t="str">
        <x:v>IND_BANK_001</x:v>
      </x:c>
      <x:c r="B14" s="27" t="n">
        <x:v>3214</x:v>
      </x:c>
      <x:c r="C14" s="27"/>
      <x:c r="D14" s="27" t="n">
        <x:v>0</x:v>
      </x:c>
      <x:c r="E14" s="27" t="n">
        <x:v>0</x:v>
      </x:c>
      <x:c r="F14" s="27" t="n">
        <x:v>0</x:v>
      </x:c>
      <x:c r="G14" s="27" t="n">
        <x:v>0</x:v>
      </x:c>
    </x:row>
    <x:row r="15">
      <x:c r="A15" s="27" t="str">
        <x:v>IND_BANK_001</x:v>
      </x:c>
      <x:c r="B15" s="27" t="n">
        <x:v>3219</x:v>
      </x:c>
      <x:c r="C15" s="27" t="str">
        <x:v>CSA-IND-3219</x:v>
      </x:c>
      <x:c r="D15" s="27" t="n">
        <x:v>95020000</x:v>
      </x:c>
      <x:c r="E15" s="27" t="n">
        <x:v>47510000</x:v>
      </x:c>
      <x:c r="F15" s="27" t="n">
        <x:v>4751000</x:v>
      </x:c>
      <x:c r="G15" s="27" t="n">
        <x:v>95020000</x:v>
      </x:c>
    </x:row>
    <x:row r="16">
      <x:c r="A16" s="27" t="str">
        <x:v>IND_BANK_001</x:v>
      </x:c>
      <x:c r="B16" s="27" t="n">
        <x:v>3324</x:v>
      </x:c>
      <x:c r="C16" s="27"/>
      <x:c r="D16" s="27" t="n">
        <x:v>0</x:v>
      </x:c>
      <x:c r="E16" s="27" t="n">
        <x:v>0</x:v>
      </x:c>
      <x:c r="F16" s="27" t="n">
        <x:v>0</x:v>
      </x:c>
      <x:c r="G16" s="27" t="n">
        <x:v>0</x:v>
      </x:c>
    </x:row>
    <x:row r="17">
      <x:c r="A17" s="27" t="str">
        <x:v>IND_BANK_001</x:v>
      </x:c>
      <x:c r="B17" s="27" t="n">
        <x:v>3348</x:v>
      </x:c>
      <x:c r="C17" s="27"/>
      <x:c r="D17" s="27" t="n">
        <x:v>0</x:v>
      </x:c>
      <x:c r="E17" s="27" t="n">
        <x:v>0</x:v>
      </x:c>
      <x:c r="F17" s="27" t="n">
        <x:v>0</x:v>
      </x:c>
      <x:c r="G17" s="27" t="n">
        <x:v>0</x:v>
      </x:c>
    </x:row>
    <x:row r="18">
      <x:c r="A18" s="27" t="str">
        <x:v>IND_BANK_001</x:v>
      </x:c>
      <x:c r="B18" s="27" t="n">
        <x:v>3372</x:v>
      </x:c>
      <x:c r="C18" s="27" t="str">
        <x:v>CSA-IND-3372</x:v>
      </x:c>
      <x:c r="D18" s="27" t="n">
        <x:v>14400000</x:v>
      </x:c>
      <x:c r="E18" s="27" t="n">
        <x:v>360000</x:v>
      </x:c>
      <x:c r="F18" s="27" t="n">
        <x:v>144000</x:v>
      </x:c>
      <x:c r="G18" s="27" t="n">
        <x:v>0</x:v>
      </x:c>
    </x:row>
    <x:row r="19">
      <x:c r="A19" s="27" t="str">
        <x:v>IND_BANK_002</x:v>
      </x:c>
      <x:c r="B19" s="27" t="n">
        <x:v>3049</x:v>
      </x:c>
      <x:c r="C19" s="27" t="str">
        <x:v>CSA-IND-3049</x:v>
      </x:c>
      <x:c r="D19" s="27" t="n">
        <x:v>51438000</x:v>
      </x:c>
      <x:c r="E19" s="27" t="n">
        <x:v>25719000</x:v>
      </x:c>
      <x:c r="F19" s="27" t="n">
        <x:v>2571900</x:v>
      </x:c>
      <x:c r="G19" s="27" t="n">
        <x:v>0</x:v>
      </x:c>
    </x:row>
    <x:row r="20">
      <x:c r="A20" s="27" t="str">
        <x:v>IND_BANK_002</x:v>
      </x:c>
      <x:c r="B20" s="27" t="n">
        <x:v>3090</x:v>
      </x:c>
      <x:c r="C20" s="27"/>
      <x:c r="D20" s="27" t="n">
        <x:v>0</x:v>
      </x:c>
      <x:c r="E20" s="27" t="n">
        <x:v>0</x:v>
      </x:c>
      <x:c r="F20" s="27" t="n">
        <x:v>0</x:v>
      </x:c>
      <x:c r="G20" s="27" t="n">
        <x:v>0</x:v>
      </x:c>
    </x:row>
    <x:row r="21">
      <x:c r="A21" s="27" t="str">
        <x:v>IND_BANK_002</x:v>
      </x:c>
      <x:c r="B21" s="27" t="n">
        <x:v>3132</x:v>
      </x:c>
      <x:c r="C21" s="27"/>
      <x:c r="D21" s="27" t="n">
        <x:v>0</x:v>
      </x:c>
      <x:c r="E21" s="27" t="n">
        <x:v>0</x:v>
      </x:c>
      <x:c r="F21" s="27" t="n">
        <x:v>0</x:v>
      </x:c>
      <x:c r="G21" s="27" t="n">
        <x:v>0</x:v>
      </x:c>
    </x:row>
    <x:row r="22">
      <x:c r="A22" s="27" t="str">
        <x:v>IND_BANK_002</x:v>
      </x:c>
      <x:c r="B22" s="27" t="n">
        <x:v>3259</x:v>
      </x:c>
      <x:c r="C22" s="27" t="str">
        <x:v>CSA-IND-3259</x:v>
      </x:c>
      <x:c r="D22" s="27" t="n">
        <x:v>5305000</x:v>
      </x:c>
      <x:c r="E22" s="27" t="n">
        <x:v>265250</x:v>
      </x:c>
      <x:c r="F22" s="27" t="n">
        <x:v>106100</x:v>
      </x:c>
      <x:c r="G22" s="27" t="n">
        <x:v>2122000</x:v>
      </x:c>
    </x:row>
    <x:row r="23">
      <x:c r="A23" s="27" t="str">
        <x:v>IND_BANK_002</x:v>
      </x:c>
      <x:c r="B23" s="27" t="n">
        <x:v>3318</x:v>
      </x:c>
      <x:c r="C23" s="27"/>
      <x:c r="D23" s="27" t="n">
        <x:v>0</x:v>
      </x:c>
      <x:c r="E23" s="27" t="n">
        <x:v>0</x:v>
      </x:c>
      <x:c r="F23" s="27" t="n">
        <x:v>0</x:v>
      </x:c>
      <x:c r="G23" s="27" t="n">
        <x:v>0</x:v>
      </x:c>
    </x:row>
    <x:row r="24">
      <x:c r="A24" s="27" t="str">
        <x:v>IND_BANK_002</x:v>
      </x:c>
      <x:c r="B24" s="27" t="n">
        <x:v>3323</x:v>
      </x:c>
      <x:c r="C24" s="27"/>
      <x:c r="D24" s="27" t="n">
        <x:v>0</x:v>
      </x:c>
      <x:c r="E24" s="27" t="n">
        <x:v>0</x:v>
      </x:c>
      <x:c r="F24" s="27" t="n">
        <x:v>0</x:v>
      </x:c>
      <x:c r="G24" s="27" t="n">
        <x:v>0</x:v>
      </x:c>
    </x:row>
    <x:row r="25">
      <x:c r="A25" s="27" t="str">
        <x:v>IND_BANK_002</x:v>
      </x:c>
      <x:c r="B25" s="27" t="n">
        <x:v>3331</x:v>
      </x:c>
      <x:c r="C25" s="27" t="str">
        <x:v>CSA-IND-3331</x:v>
      </x:c>
      <x:c r="D25" s="27" t="n">
        <x:v>86070000</x:v>
      </x:c>
      <x:c r="E25" s="27" t="n">
        <x:v>1434500</x:v>
      </x:c>
      <x:c r="F25" s="27" t="n">
        <x:v>573800</x:v>
      </x:c>
      <x:c r="G25" s="27" t="n">
        <x:v>5738000</x:v>
      </x:c>
    </x:row>
    <x:row r="26">
      <x:c r="A26" s="27" t="str">
        <x:v>IND_BANK_002</x:v>
      </x:c>
      <x:c r="B26" s="27" t="n">
        <x:v>3341</x:v>
      </x:c>
      <x:c r="C26" s="27" t="str">
        <x:v>CSA-IND-3341</x:v>
      </x:c>
      <x:c r="D26" s="27" t="n">
        <x:v>43020000</x:v>
      </x:c>
      <x:c r="E26" s="27" t="n">
        <x:v>717000</x:v>
      </x:c>
      <x:c r="F26" s="27" t="n">
        <x:v>286800</x:v>
      </x:c>
      <x:c r="G26" s="27" t="n">
        <x:v>5736000</x:v>
      </x:c>
    </x:row>
    <x:row r="27">
      <x:c r="A27" s="27" t="str">
        <x:v>IND_BANK_002</x:v>
      </x:c>
      <x:c r="B27" s="27" t="n">
        <x:v>3386</x:v>
      </x:c>
      <x:c r="C27" s="27" t="str">
        <x:v>CSA-IND-3386</x:v>
      </x:c>
      <x:c r="D27" s="27" t="n">
        <x:v>8630000</x:v>
      </x:c>
      <x:c r="E27" s="27" t="n">
        <x:v>215750</x:v>
      </x:c>
      <x:c r="F27" s="27" t="n">
        <x:v>86300</x:v>
      </x:c>
      <x:c r="G27" s="27" t="n">
        <x:v>0</x:v>
      </x:c>
    </x:row>
    <x:row r="28">
      <x:c r="A28" s="27" t="str">
        <x:v>IND_BROKER_001</x:v>
      </x:c>
      <x:c r="B28" s="27" t="n">
        <x:v>3195</x:v>
      </x:c>
      <x:c r="C28" s="27" t="str">
        <x:v>CSA-IND-3195</x:v>
      </x:c>
      <x:c r="D28" s="27" t="n">
        <x:v>2165000</x:v>
      </x:c>
      <x:c r="E28" s="27" t="n">
        <x:v>216500</x:v>
      </x:c>
      <x:c r="F28" s="27" t="n">
        <x:v>43300</x:v>
      </x:c>
      <x:c r="G28" s="27" t="n">
        <x:v>0</x:v>
      </x:c>
    </x:row>
    <x:row r="29">
      <x:c r="A29" s="27" t="str">
        <x:v>IND_BROKER_001</x:v>
      </x:c>
      <x:c r="B29" s="27" t="n">
        <x:v>3220</x:v>
      </x:c>
      <x:c r="C29" s="27"/>
      <x:c r="D29" s="27" t="n">
        <x:v>0</x:v>
      </x:c>
      <x:c r="E29" s="27" t="n">
        <x:v>0</x:v>
      </x:c>
      <x:c r="F29" s="27" t="n">
        <x:v>0</x:v>
      </x:c>
      <x:c r="G29" s="27" t="n">
        <x:v>0</x:v>
      </x:c>
    </x:row>
    <x:row r="30">
      <x:c r="A30" s="27" t="str">
        <x:v>IND_BROKER_001</x:v>
      </x:c>
      <x:c r="B30" s="27" t="n">
        <x:v>3276</x:v>
      </x:c>
      <x:c r="C30" s="27" t="str">
        <x:v>CSA-IND-3276</x:v>
      </x:c>
      <x:c r="D30" s="27" t="n">
        <x:v>15395000</x:v>
      </x:c>
      <x:c r="E30" s="27" t="n">
        <x:v>3079000</x:v>
      </x:c>
      <x:c r="F30" s="27" t="n">
        <x:v>307900</x:v>
      </x:c>
      <x:c r="G30" s="27" t="n">
        <x:v>6158000</x:v>
      </x:c>
    </x:row>
    <x:row r="31">
      <x:c r="A31" s="27" t="str">
        <x:v>IND_BROKER_001</x:v>
      </x:c>
      <x:c r="B31" s="27" t="n">
        <x:v>3332</x:v>
      </x:c>
      <x:c r="C31" s="27" t="str">
        <x:v>CSA-IND-3332</x:v>
      </x:c>
      <x:c r="D31" s="27" t="n">
        <x:v>7224000</x:v>
      </x:c>
      <x:c r="E31" s="27" t="n">
        <x:v>1806000</x:v>
      </x:c>
      <x:c r="F31" s="27" t="n">
        <x:v>361200</x:v>
      </x:c>
      <x:c r="G31" s="27" t="n">
        <x:v>3612000</x:v>
      </x:c>
    </x:row>
    <x:row r="32">
      <x:c r="A32" s="27" t="str">
        <x:v>IND_BROKER_001</x:v>
      </x:c>
      <x:c r="B32" s="27" t="n">
        <x:v>3384</x:v>
      </x:c>
      <x:c r="C32" s="27"/>
      <x:c r="D32" s="27" t="n">
        <x:v>0</x:v>
      </x:c>
      <x:c r="E32" s="27" t="n">
        <x:v>0</x:v>
      </x:c>
      <x:c r="F32" s="27" t="n">
        <x:v>0</x:v>
      </x:c>
      <x:c r="G32" s="27" t="n">
        <x:v>0</x:v>
      </x:c>
    </x:row>
    <x:row r="33">
      <x:c r="A33" s="27" t="str">
        <x:v>IND_CLEARING_MEMBER_001</x:v>
      </x:c>
      <x:c r="B33" s="27" t="n">
        <x:v>3020</x:v>
      </x:c>
      <x:c r="C33" s="27" t="str">
        <x:v>CSA-IND-3020</x:v>
      </x:c>
      <x:c r="D33" s="27" t="n">
        <x:v>38912000</x:v>
      </x:c>
      <x:c r="E33" s="27" t="n">
        <x:v>4864000</x:v>
      </x:c>
      <x:c r="F33" s="27" t="n">
        <x:v>1945600</x:v>
      </x:c>
      <x:c r="G33" s="27" t="n">
        <x:v>19456000</x:v>
      </x:c>
    </x:row>
    <x:row r="34">
      <x:c r="A34" s="27" t="str">
        <x:v>IND_CLEARING_MEMBER_001</x:v>
      </x:c>
      <x:c r="B34" s="27" t="n">
        <x:v>3108</x:v>
      </x:c>
      <x:c r="C34" s="27" t="str">
        <x:v>CSA-IND-3108</x:v>
      </x:c>
      <x:c r="D34" s="27" t="n">
        <x:v>15640000</x:v>
      </x:c>
      <x:c r="E34" s="27" t="n">
        <x:v>391000</x:v>
      </x:c>
      <x:c r="F34" s="27" t="n">
        <x:v>156400</x:v>
      </x:c>
      <x:c r="G34" s="27" t="n">
        <x:v>1564000</x:v>
      </x:c>
    </x:row>
    <x:row r="35">
      <x:c r="A35" s="27" t="str">
        <x:v>IND_CLEARING_MEMBER_001</x:v>
      </x:c>
      <x:c r="B35" s="27" t="n">
        <x:v>3116</x:v>
      </x:c>
      <x:c r="C35" s="27" t="str">
        <x:v>CSA-IND-3116</x:v>
      </x:c>
      <x:c r="D35" s="27" t="n">
        <x:v>5100000</x:v>
      </x:c>
      <x:c r="E35" s="27" t="n">
        <x:v>255000</x:v>
      </x:c>
      <x:c r="F35" s="27" t="n">
        <x:v>102000</x:v>
      </x:c>
      <x:c r="G35" s="27" t="n">
        <x:v>1020000</x:v>
      </x:c>
    </x:row>
    <x:row r="36">
      <x:c r="A36" s="27" t="str">
        <x:v>IND_CLEARING_MEMBER_001</x:v>
      </x:c>
      <x:c r="B36" s="27" t="n">
        <x:v>3161</x:v>
      </x:c>
      <x:c r="C36" s="27"/>
      <x:c r="D36" s="27" t="n">
        <x:v>0</x:v>
      </x:c>
      <x:c r="E36" s="27" t="n">
        <x:v>0</x:v>
      </x:c>
      <x:c r="F36" s="27" t="n">
        <x:v>0</x:v>
      </x:c>
      <x:c r="G36" s="27" t="n">
        <x:v>0</x:v>
      </x:c>
    </x:row>
    <x:row r="37">
      <x:c r="A37" s="27" t="str">
        <x:v>IND_CLEARING_MEMBER_001</x:v>
      </x:c>
      <x:c r="B37" s="27" t="n">
        <x:v>3186</x:v>
      </x:c>
      <x:c r="C37" s="27"/>
      <x:c r="D37" s="27" t="n">
        <x:v>0</x:v>
      </x:c>
      <x:c r="E37" s="27" t="n">
        <x:v>0</x:v>
      </x:c>
      <x:c r="F37" s="27" t="n">
        <x:v>0</x:v>
      </x:c>
      <x:c r="G37" s="27" t="n">
        <x:v>0</x:v>
      </x:c>
    </x:row>
    <x:row r="38">
      <x:c r="A38" s="27" t="str">
        <x:v>IND_CLEARING_MEMBER_001</x:v>
      </x:c>
      <x:c r="B38" s="27" t="n">
        <x:v>3206</x:v>
      </x:c>
      <x:c r="C38" s="27" t="str">
        <x:v>CSA-IND-3206</x:v>
      </x:c>
      <x:c r="D38" s="27" t="n">
        <x:v>7830000</x:v>
      </x:c>
      <x:c r="E38" s="27" t="n">
        <x:v>3915000</x:v>
      </x:c>
      <x:c r="F38" s="27" t="n">
        <x:v>391500</x:v>
      </x:c>
      <x:c r="G38" s="27" t="n">
        <x:v>7830000</x:v>
      </x:c>
    </x:row>
    <x:row r="39">
      <x:c r="A39" s="27" t="str">
        <x:v>IND_CLEARING_MEMBER_001</x:v>
      </x:c>
      <x:c r="B39" s="27" t="n">
        <x:v>3288</x:v>
      </x:c>
      <x:c r="C39" s="27"/>
      <x:c r="D39" s="27" t="n">
        <x:v>0</x:v>
      </x:c>
      <x:c r="E39" s="27" t="n">
        <x:v>0</x:v>
      </x:c>
      <x:c r="F39" s="27" t="n">
        <x:v>0</x:v>
      </x:c>
      <x:c r="G39" s="27" t="n">
        <x:v>0</x:v>
      </x:c>
    </x:row>
    <x:row r="40">
      <x:c r="A40" s="27" t="str">
        <x:v>IND_CLEARING_MEMBER_001</x:v>
      </x:c>
      <x:c r="B40" s="27" t="n">
        <x:v>3340</x:v>
      </x:c>
      <x:c r="C40" s="27" t="str">
        <x:v>CSA-IND-3340</x:v>
      </x:c>
      <x:c r="D40" s="27" t="n">
        <x:v>2040000</x:v>
      </x:c>
      <x:c r="E40" s="27" t="n">
        <x:v>68000</x:v>
      </x:c>
      <x:c r="F40" s="27" t="n">
        <x:v>13600</x:v>
      </x:c>
      <x:c r="G40" s="27" t="n">
        <x:v>272000</x:v>
      </x:c>
    </x:row>
    <x:row r="41">
      <x:c r="A41" s="27" t="str">
        <x:v>IND_CLEARING_MEMBER_001</x:v>
      </x:c>
      <x:c r="B41" s="27" t="n">
        <x:v>3399</x:v>
      </x:c>
      <x:c r="C41" s="27"/>
      <x:c r="D41" s="27" t="n">
        <x:v>0</x:v>
      </x:c>
      <x:c r="E41" s="27" t="n">
        <x:v>0</x:v>
      </x:c>
      <x:c r="F41" s="27" t="n">
        <x:v>0</x:v>
      </x:c>
      <x:c r="G41" s="27" t="n">
        <x:v>0</x:v>
      </x:c>
    </x:row>
    <x:row r="42">
      <x:c r="A42" s="27" t="str">
        <x:v>IND_CORPORATE_001</x:v>
      </x:c>
      <x:c r="B42" s="27" t="n">
        <x:v>3004</x:v>
      </x:c>
      <x:c r="C42" s="27" t="str">
        <x:v>CSA-IND-3004</x:v>
      </x:c>
      <x:c r="D42" s="27" t="n">
        <x:v>22510000</x:v>
      </x:c>
      <x:c r="E42" s="27" t="n">
        <x:v>1125500</x:v>
      </x:c>
      <x:c r="F42" s="27" t="n">
        <x:v>450200</x:v>
      </x:c>
      <x:c r="G42" s="27" t="n">
        <x:v>4502000</x:v>
      </x:c>
    </x:row>
    <x:row r="43">
      <x:c r="A43" s="27" t="str">
        <x:v>IND_CORPORATE_001</x:v>
      </x:c>
      <x:c r="B43" s="27" t="n">
        <x:v>3015</x:v>
      </x:c>
      <x:c r="C43" s="27"/>
      <x:c r="D43" s="27" t="n">
        <x:v>0</x:v>
      </x:c>
      <x:c r="E43" s="27" t="n">
        <x:v>0</x:v>
      </x:c>
      <x:c r="F43" s="27" t="n">
        <x:v>0</x:v>
      </x:c>
      <x:c r="G43" s="27" t="n">
        <x:v>0</x:v>
      </x:c>
    </x:row>
    <x:row r="44">
      <x:c r="A44" s="27" t="str">
        <x:v>IND_CORPORATE_001</x:v>
      </x:c>
      <x:c r="B44" s="27" t="n">
        <x:v>3040</x:v>
      </x:c>
      <x:c r="C44" s="27" t="str">
        <x:v>CSA-IND-3040</x:v>
      </x:c>
      <x:c r="D44" s="27" t="n">
        <x:v>6085000</x:v>
      </x:c>
      <x:c r="E44" s="27" t="n">
        <x:v>1217000</x:v>
      </x:c>
      <x:c r="F44" s="27" t="n">
        <x:v>121700</x:v>
      </x:c>
      <x:c r="G44" s="27" t="n">
        <x:v>2434000</x:v>
      </x:c>
    </x:row>
    <x:row r="45">
      <x:c r="A45" s="27" t="str">
        <x:v>IND_CORPORATE_001</x:v>
      </x:c>
      <x:c r="B45" s="27" t="n">
        <x:v>3041</x:v>
      </x:c>
      <x:c r="C45" s="27" t="str">
        <x:v>CSA-IND-3041</x:v>
      </x:c>
      <x:c r="D45" s="27" t="n">
        <x:v>46065000</x:v>
      </x:c>
      <x:c r="E45" s="27" t="n">
        <x:v>767750</x:v>
      </x:c>
      <x:c r="F45" s="27" t="n">
        <x:v>307100</x:v>
      </x:c>
      <x:c r="G45" s="27" t="n">
        <x:v>3071000</x:v>
      </x:c>
    </x:row>
    <x:row r="46">
      <x:c r="A46" s="27" t="str">
        <x:v>IND_CORPORATE_001</x:v>
      </x:c>
      <x:c r="B46" s="27" t="n">
        <x:v>3092</x:v>
      </x:c>
      <x:c r="C46" s="27"/>
      <x:c r="D46" s="27" t="n">
        <x:v>0</x:v>
      </x:c>
      <x:c r="E46" s="27" t="n">
        <x:v>0</x:v>
      </x:c>
      <x:c r="F46" s="27" t="n">
        <x:v>0</x:v>
      </x:c>
      <x:c r="G46" s="27" t="n">
        <x:v>0</x:v>
      </x:c>
    </x:row>
    <x:row r="47">
      <x:c r="A47" s="27" t="str">
        <x:v>IND_CORPORATE_001</x:v>
      </x:c>
      <x:c r="B47" s="27" t="n">
        <x:v>3100</x:v>
      </x:c>
      <x:c r="C47" s="27" t="str">
        <x:v>CSA-IND-3100</x:v>
      </x:c>
      <x:c r="D47" s="27" t="n">
        <x:v>4256000</x:v>
      </x:c>
      <x:c r="E47" s="27" t="n">
        <x:v>1064000</x:v>
      </x:c>
      <x:c r="F47" s="27" t="n">
        <x:v>212800</x:v>
      </x:c>
      <x:c r="G47" s="27" t="n">
        <x:v>4256000</x:v>
      </x:c>
    </x:row>
    <x:row r="48">
      <x:c r="A48" s="27" t="str">
        <x:v>IND_CORPORATE_001</x:v>
      </x:c>
      <x:c r="B48" s="27" t="n">
        <x:v>3161</x:v>
      </x:c>
      <x:c r="C48" s="27"/>
      <x:c r="D48" s="27" t="n">
        <x:v>0</x:v>
      </x:c>
      <x:c r="E48" s="27" t="n">
        <x:v>0</x:v>
      </x:c>
      <x:c r="F48" s="27" t="n">
        <x:v>0</x:v>
      </x:c>
      <x:c r="G48" s="27" t="n">
        <x:v>0</x:v>
      </x:c>
    </x:row>
    <x:row r="49">
      <x:c r="A49" s="27" t="str">
        <x:v>IND_CORPORATE_001</x:v>
      </x:c>
      <x:c r="B49" s="27" t="n">
        <x:v>3358</x:v>
      </x:c>
      <x:c r="C49" s="27"/>
      <x:c r="D49" s="27" t="n">
        <x:v>0</x:v>
      </x:c>
      <x:c r="E49" s="27" t="n">
        <x:v>0</x:v>
      </x:c>
      <x:c r="F49" s="27" t="n">
        <x:v>0</x:v>
      </x:c>
      <x:c r="G49" s="27" t="n">
        <x:v>0</x:v>
      </x:c>
    </x:row>
    <x:row r="50">
      <x:c r="A50" s="27" t="str">
        <x:v>IND_CORPORATE_001</x:v>
      </x:c>
      <x:c r="B50" s="27" t="n">
        <x:v>3380</x:v>
      </x:c>
      <x:c r="C50" s="27"/>
      <x:c r="D50" s="27" t="n">
        <x:v>0</x:v>
      </x:c>
      <x:c r="E50" s="27" t="n">
        <x:v>0</x:v>
      </x:c>
      <x:c r="F50" s="27" t="n">
        <x:v>0</x:v>
      </x:c>
      <x:c r="G50" s="27" t="n">
        <x:v>0</x:v>
      </x:c>
    </x:row>
    <x:row r="51">
      <x:c r="A51" s="27" t="str">
        <x:v>IND_CORPORATE_002</x:v>
      </x:c>
      <x:c r="B51" s="27" t="n">
        <x:v>3074</x:v>
      </x:c>
      <x:c r="C51" s="27" t="str">
        <x:v>CSA-IND-3074</x:v>
      </x:c>
      <x:c r="D51" s="27" t="n">
        <x:v>415400000</x:v>
      </x:c>
      <x:c r="E51" s="27" t="n">
        <x:v>20770000</x:v>
      </x:c>
      <x:c r="F51" s="27" t="n">
        <x:v>4154000</x:v>
      </x:c>
      <x:c r="G51" s="27" t="n">
        <x:v>0</x:v>
      </x:c>
    </x:row>
    <x:row r="52">
      <x:c r="A52" s="27" t="str">
        <x:v>IND_CORPORATE_002</x:v>
      </x:c>
      <x:c r="B52" s="27" t="n">
        <x:v>3126</x:v>
      </x:c>
      <x:c r="C52" s="27" t="str">
        <x:v>CSA-IND-3126</x:v>
      </x:c>
      <x:c r="D52" s="27" t="n">
        <x:v>2680000</x:v>
      </x:c>
      <x:c r="E52" s="27" t="n">
        <x:v>134000</x:v>
      </x:c>
      <x:c r="F52" s="27" t="n">
        <x:v>53600</x:v>
      </x:c>
      <x:c r="G52" s="27" t="n">
        <x:v>0</x:v>
      </x:c>
    </x:row>
    <x:row r="53">
      <x:c r="A53" s="27" t="str">
        <x:v>IND_CORPORATE_002</x:v>
      </x:c>
      <x:c r="B53" s="27" t="n">
        <x:v>3130</x:v>
      </x:c>
      <x:c r="C53" s="27"/>
      <x:c r="D53" s="27" t="n">
        <x:v>0</x:v>
      </x:c>
      <x:c r="E53" s="27" t="n">
        <x:v>0</x:v>
      </x:c>
      <x:c r="F53" s="27" t="n">
        <x:v>0</x:v>
      </x:c>
      <x:c r="G53" s="27" t="n">
        <x:v>0</x:v>
      </x:c>
    </x:row>
    <x:row r="54">
      <x:c r="A54" s="27" t="str">
        <x:v>IND_CORPORATE_002</x:v>
      </x:c>
      <x:c r="B54" s="27" t="n">
        <x:v>3187</x:v>
      </x:c>
      <x:c r="C54" s="27"/>
      <x:c r="D54" s="27" t="n">
        <x:v>0</x:v>
      </x:c>
      <x:c r="E54" s="27" t="n">
        <x:v>0</x:v>
      </x:c>
      <x:c r="F54" s="27" t="n">
        <x:v>0</x:v>
      </x:c>
      <x:c r="G54" s="27" t="n">
        <x:v>0</x:v>
      </x:c>
    </x:row>
    <x:row r="55">
      <x:c r="A55" s="27" t="str">
        <x:v>IND_CORPORATE_002</x:v>
      </x:c>
      <x:c r="B55" s="27" t="n">
        <x:v>3273</x:v>
      </x:c>
      <x:c r="C55" s="27"/>
      <x:c r="D55" s="27" t="n">
        <x:v>0</x:v>
      </x:c>
      <x:c r="E55" s="27" t="n">
        <x:v>0</x:v>
      </x:c>
      <x:c r="F55" s="27" t="n">
        <x:v>0</x:v>
      </x:c>
      <x:c r="G55" s="27" t="n">
        <x:v>0</x:v>
      </x:c>
    </x:row>
    <x:row r="56">
      <x:c r="A56" s="27" t="str">
        <x:v>IND_CORPORATE_002</x:v>
      </x:c>
      <x:c r="B56" s="27" t="n">
        <x:v>3331</x:v>
      </x:c>
      <x:c r="C56" s="27" t="str">
        <x:v>CSA-IND-3331</x:v>
      </x:c>
      <x:c r="D56" s="27" t="n">
        <x:v>155000</x:v>
      </x:c>
      <x:c r="E56" s="27" t="n">
        <x:v>7750</x:v>
      </x:c>
      <x:c r="F56" s="27" t="n">
        <x:v>3100</x:v>
      </x:c>
      <x:c r="G56" s="27" t="n">
        <x:v>0</x:v>
      </x:c>
    </x:row>
    <x:row r="57">
      <x:c r="A57" s="27" t="str">
        <x:v>IND_CORPORATE_002</x:v>
      </x:c>
      <x:c r="B57" s="27" t="n">
        <x:v>3346</x:v>
      </x:c>
      <x:c r="C57" s="27" t="str">
        <x:v>CSA-IND-3346</x:v>
      </x:c>
      <x:c r="D57" s="27" t="n">
        <x:v>67755000</x:v>
      </x:c>
      <x:c r="E57" s="27" t="n">
        <x:v>4517000</x:v>
      </x:c>
      <x:c r="F57" s="27" t="n">
        <x:v>451700</x:v>
      </x:c>
      <x:c r="G57" s="27" t="n">
        <x:v>0</x:v>
      </x:c>
    </x:row>
    <x:row r="58">
      <x:c r="A58" s="27" t="str">
        <x:v>IND_CORPORATE_002</x:v>
      </x:c>
      <x:c r="B58" s="27" t="n">
        <x:v>3389</x:v>
      </x:c>
      <x:c r="C58" s="27" t="str">
        <x:v>CSA-IND-3389</x:v>
      </x:c>
      <x:c r="D58" s="27" t="n">
        <x:v>18750000</x:v>
      </x:c>
      <x:c r="E58" s="27" t="n">
        <x:v>937500</x:v>
      </x:c>
      <x:c r="F58" s="27" t="n">
        <x:v>375000</x:v>
      </x:c>
      <x:c r="G58" s="27" t="n">
        <x:v>7500000</x:v>
      </x:c>
    </x:row>
    <x:row r="59">
      <x:c r="A59" s="27" t="str">
        <x:v>IND_HEDGE_FUND_001</x:v>
      </x:c>
      <x:c r="B59" s="27" t="n">
        <x:v>3012</x:v>
      </x:c>
      <x:c r="C59" s="27"/>
      <x:c r="D59" s="27" t="n">
        <x:v>0</x:v>
      </x:c>
      <x:c r="E59" s="27" t="n">
        <x:v>0</x:v>
      </x:c>
      <x:c r="F59" s="27" t="n">
        <x:v>0</x:v>
      </x:c>
      <x:c r="G59" s="27" t="n">
        <x:v>0</x:v>
      </x:c>
    </x:row>
    <x:row r="60">
      <x:c r="A60" s="27" t="str">
        <x:v>IND_HEDGE_FUND_001</x:v>
      </x:c>
      <x:c r="B60" s="27" t="n">
        <x:v>3040</x:v>
      </x:c>
      <x:c r="C60" s="27" t="str">
        <x:v>CSA-IND-3040</x:v>
      </x:c>
      <x:c r="D60" s="27" t="n">
        <x:v>4708000</x:v>
      </x:c>
      <x:c r="E60" s="27" t="n">
        <x:v>588500</x:v>
      </x:c>
      <x:c r="F60" s="27" t="n">
        <x:v>235400</x:v>
      </x:c>
      <x:c r="G60" s="27" t="n">
        <x:v>4708000</x:v>
      </x:c>
    </x:row>
    <x:row r="61">
      <x:c r="A61" s="27" t="str">
        <x:v>IND_HEDGE_FUND_001</x:v>
      </x:c>
      <x:c r="B61" s="27" t="n">
        <x:v>3109</x:v>
      </x:c>
      <x:c r="C61" s="27" t="str">
        <x:v>CSA-IND-3109</x:v>
      </x:c>
      <x:c r="D61" s="27" t="n">
        <x:v>23910000</x:v>
      </x:c>
      <x:c r="E61" s="27" t="n">
        <x:v>398500</x:v>
      </x:c>
      <x:c r="F61" s="27" t="n">
        <x:v>159400</x:v>
      </x:c>
      <x:c r="G61" s="27" t="n">
        <x:v>3188000</x:v>
      </x:c>
    </x:row>
    <x:row r="62">
      <x:c r="A62" s="27" t="str">
        <x:v>IND_HEDGE_FUND_001</x:v>
      </x:c>
      <x:c r="B62" s="27" t="n">
        <x:v>3205</x:v>
      </x:c>
      <x:c r="C62" s="27" t="str">
        <x:v>CSA-IND-3205</x:v>
      </x:c>
      <x:c r="D62" s="27" t="n">
        <x:v>6690000</x:v>
      </x:c>
      <x:c r="E62" s="27" t="n">
        <x:v>334500</x:v>
      </x:c>
      <x:c r="F62" s="27" t="n">
        <x:v>133800</x:v>
      </x:c>
      <x:c r="G62" s="27" t="n">
        <x:v>2676000</x:v>
      </x:c>
    </x:row>
    <x:row r="63">
      <x:c r="A63" s="27" t="str">
        <x:v>IND_HEDGE_FUND_001</x:v>
      </x:c>
      <x:c r="B63" s="27" t="n">
        <x:v>3289</x:v>
      </x:c>
      <x:c r="C63" s="27" t="str">
        <x:v>CSA-IND-3289</x:v>
      </x:c>
      <x:c r="D63" s="27" t="n">
        <x:v>12855000</x:v>
      </x:c>
      <x:c r="E63" s="27" t="n">
        <x:v>1285500</x:v>
      </x:c>
      <x:c r="F63" s="27" t="n">
        <x:v>257100</x:v>
      </x:c>
      <x:c r="G63" s="27" t="n">
        <x:v>0</x:v>
      </x:c>
    </x:row>
    <x:row r="64">
      <x:c r="A64" s="27" t="str">
        <x:v>IND_HEDGE_FUND_001</x:v>
      </x:c>
      <x:c r="B64" s="27" t="n">
        <x:v>3338</x:v>
      </x:c>
      <x:c r="C64" s="27"/>
      <x:c r="D64" s="27" t="n">
        <x:v>0</x:v>
      </x:c>
      <x:c r="E64" s="27" t="n">
        <x:v>0</x:v>
      </x:c>
      <x:c r="F64" s="27" t="n">
        <x:v>0</x:v>
      </x:c>
      <x:c r="G64" s="27" t="n">
        <x:v>0</x:v>
      </x:c>
    </x:row>
    <x:row r="65">
      <x:c r="A65" s="27" t="str">
        <x:v>IND_HEDGE_FUND_001</x:v>
      </x:c>
      <x:c r="B65" s="27" t="n">
        <x:v>3345</x:v>
      </x:c>
      <x:c r="C65" s="27" t="str">
        <x:v>CSA-IND-3345</x:v>
      </x:c>
      <x:c r="D65" s="27" t="n">
        <x:v>962985000</x:v>
      </x:c>
      <x:c r="E65" s="27" t="n">
        <x:v>32099500</x:v>
      </x:c>
      <x:c r="F65" s="27" t="n">
        <x:v>6419900</x:v>
      </x:c>
      <x:c r="G65" s="27" t="n">
        <x:v>128398000</x:v>
      </x:c>
    </x:row>
    <x:row r="66">
      <x:c r="A66" s="27" t="str">
        <x:v>IND_INSURER_001</x:v>
      </x:c>
      <x:c r="B66" s="27" t="n">
        <x:v>3048</x:v>
      </x:c>
      <x:c r="C66" s="27"/>
      <x:c r="D66" s="27" t="n">
        <x:v>0</x:v>
      </x:c>
      <x:c r="E66" s="27" t="n">
        <x:v>0</x:v>
      </x:c>
      <x:c r="F66" s="27" t="n">
        <x:v>0</x:v>
      </x:c>
      <x:c r="G66" s="27" t="n">
        <x:v>0</x:v>
      </x:c>
    </x:row>
    <x:row r="67">
      <x:c r="A67" s="27" t="str">
        <x:v>IND_INSURER_001</x:v>
      </x:c>
      <x:c r="B67" s="27" t="n">
        <x:v>3094</x:v>
      </x:c>
      <x:c r="C67" s="27"/>
      <x:c r="D67" s="27" t="n">
        <x:v>0</x:v>
      </x:c>
      <x:c r="E67" s="27" t="n">
        <x:v>0</x:v>
      </x:c>
      <x:c r="F67" s="27" t="n">
        <x:v>0</x:v>
      </x:c>
      <x:c r="G67" s="27" t="n">
        <x:v>0</x:v>
      </x:c>
    </x:row>
    <x:row r="68">
      <x:c r="A68" s="27" t="str">
        <x:v>IND_INSURER_001</x:v>
      </x:c>
      <x:c r="B68" s="27" t="n">
        <x:v>3122</x:v>
      </x:c>
      <x:c r="C68" s="27" t="str">
        <x:v>CSA-IND-3122</x:v>
      </x:c>
      <x:c r="D68" s="27" t="n">
        <x:v>5500000</x:v>
      </x:c>
      <x:c r="E68" s="27" t="n">
        <x:v>687500</x:v>
      </x:c>
      <x:c r="F68" s="27" t="n">
        <x:v>275000</x:v>
      </x:c>
      <x:c r="G68" s="27" t="n">
        <x:v>2750000</x:v>
      </x:c>
    </x:row>
    <x:row r="69">
      <x:c r="A69" s="27" t="str">
        <x:v>IND_INSURER_001</x:v>
      </x:c>
      <x:c r="B69" s="27" t="n">
        <x:v>3257</x:v>
      </x:c>
      <x:c r="C69" s="27" t="str">
        <x:v>CSA-IND-3257</x:v>
      </x:c>
      <x:c r="D69" s="27" t="n">
        <x:v>7480000</x:v>
      </x:c>
      <x:c r="E69" s="27" t="n">
        <x:v>748000</x:v>
      </x:c>
      <x:c r="F69" s="27" t="n">
        <x:v>74800</x:v>
      </x:c>
      <x:c r="G69" s="27" t="n">
        <x:v>0</x:v>
      </x:c>
    </x:row>
    <x:row r="70">
      <x:c r="A70" s="27" t="str">
        <x:v>IND_INSURER_001</x:v>
      </x:c>
      <x:c r="B70" s="27" t="n">
        <x:v>3297</x:v>
      </x:c>
      <x:c r="C70" s="27" t="str">
        <x:v>CSA-IND-3297</x:v>
      </x:c>
      <x:c r="D70" s="27" t="n">
        <x:v>58460000</x:v>
      </x:c>
      <x:c r="E70" s="27" t="n">
        <x:v>7307500</x:v>
      </x:c>
      <x:c r="F70" s="27" t="n">
        <x:v>2923000</x:v>
      </x:c>
      <x:c r="G70" s="27" t="n">
        <x:v>58460000</x:v>
      </x:c>
    </x:row>
    <x:row r="71">
      <x:c r="A71" s="27" t="str">
        <x:v>IND_INSURER_001</x:v>
      </x:c>
      <x:c r="B71" s="27" t="n">
        <x:v>3338</x:v>
      </x:c>
      <x:c r="C71" s="27"/>
      <x:c r="D71" s="27" t="n">
        <x:v>0</x:v>
      </x:c>
      <x:c r="E71" s="27" t="n">
        <x:v>0</x:v>
      </x:c>
      <x:c r="F71" s="27" t="n">
        <x:v>0</x:v>
      </x:c>
      <x:c r="G71" s="27" t="n">
        <x:v>0</x:v>
      </x:c>
    </x:row>
    <x:row r="72">
      <x:c r="A72" s="27" t="str">
        <x:v>IND_INSURER_001</x:v>
      </x:c>
      <x:c r="B72" s="27" t="n">
        <x:v>3390</x:v>
      </x:c>
      <x:c r="C72" s="27"/>
      <x:c r="D72" s="27" t="n">
        <x:v>0</x:v>
      </x:c>
      <x:c r="E72" s="27" t="n">
        <x:v>0</x:v>
      </x:c>
      <x:c r="F72" s="27" t="n">
        <x:v>0</x:v>
      </x:c>
      <x:c r="G72" s="27" t="n">
        <x:v>0</x:v>
      </x:c>
    </x:row>
    <x:row r="73">
      <x:c r="A73" s="27" t="str">
        <x:v>IND_PENSION_001</x:v>
      </x:c>
      <x:c r="B73" s="27" t="n">
        <x:v>3036</x:v>
      </x:c>
      <x:c r="C73" s="27"/>
      <x:c r="D73" s="27" t="n">
        <x:v>0</x:v>
      </x:c>
      <x:c r="E73" s="27" t="n">
        <x:v>0</x:v>
      </x:c>
      <x:c r="F73" s="27" t="n">
        <x:v>0</x:v>
      </x:c>
      <x:c r="G73" s="27" t="n">
        <x:v>0</x:v>
      </x:c>
    </x:row>
    <x:row r="74">
      <x:c r="A74" s="27" t="str">
        <x:v>IND_PENSION_001</x:v>
      </x:c>
      <x:c r="B74" s="27" t="n">
        <x:v>3060</x:v>
      </x:c>
      <x:c r="C74" s="27"/>
      <x:c r="D74" s="27" t="n">
        <x:v>0</x:v>
      </x:c>
      <x:c r="E74" s="27" t="n">
        <x:v>0</x:v>
      </x:c>
      <x:c r="F74" s="27" t="n">
        <x:v>0</x:v>
      </x:c>
      <x:c r="G74" s="27" t="n">
        <x:v>0</x:v>
      </x:c>
    </x:row>
    <x:row r="75">
      <x:c r="A75" s="27" t="str">
        <x:v>IND_PENSION_001</x:v>
      </x:c>
      <x:c r="B75" s="27" t="n">
        <x:v>3103</x:v>
      </x:c>
      <x:c r="C75" s="27" t="str">
        <x:v>CSA-IND-3103</x:v>
      </x:c>
      <x:c r="D75" s="27" t="n">
        <x:v>88568000</x:v>
      </x:c>
      <x:c r="E75" s="27" t="n">
        <x:v>44284000</x:v>
      </x:c>
      <x:c r="F75" s="27" t="n">
        <x:v>4428400</x:v>
      </x:c>
      <x:c r="G75" s="27" t="n">
        <x:v>44284000</x:v>
      </x:c>
    </x:row>
    <x:row r="76">
      <x:c r="A76" s="27" t="str">
        <x:v>IND_PENSION_001</x:v>
      </x:c>
      <x:c r="B76" s="27" t="n">
        <x:v>3113</x:v>
      </x:c>
      <x:c r="C76" s="27" t="str">
        <x:v>CSA-IND-3113</x:v>
      </x:c>
      <x:c r="D76" s="27" t="n">
        <x:v>3670000</x:v>
      </x:c>
      <x:c r="E76" s="27" t="n">
        <x:v>917500</x:v>
      </x:c>
      <x:c r="F76" s="27" t="n">
        <x:v>183500</x:v>
      </x:c>
      <x:c r="G76" s="27" t="n">
        <x:v>0</x:v>
      </x:c>
    </x:row>
    <x:row r="77">
      <x:c r="A77" s="27" t="str">
        <x:v>IND_PENSION_001</x:v>
      </x:c>
      <x:c r="B77" s="27" t="n">
        <x:v>3121</x:v>
      </x:c>
      <x:c r="C77" s="27" t="str">
        <x:v>CSA-IND-3121</x:v>
      </x:c>
      <x:c r="D77" s="27" t="n">
        <x:v>3990000</x:v>
      </x:c>
      <x:c r="E77" s="27" t="n">
        <x:v>399000</x:v>
      </x:c>
      <x:c r="F77" s="27" t="n">
        <x:v>39900</x:v>
      </x:c>
      <x:c r="G77" s="27" t="n">
        <x:v>0</x:v>
      </x:c>
    </x:row>
    <x:row r="78">
      <x:c r="A78" s="27" t="str">
        <x:v>IND_PENSION_001</x:v>
      </x:c>
      <x:c r="B78" s="27" t="n">
        <x:v>3174</x:v>
      </x:c>
      <x:c r="C78" s="27"/>
      <x:c r="D78" s="27" t="n">
        <x:v>0</x:v>
      </x:c>
      <x:c r="E78" s="27" t="n">
        <x:v>0</x:v>
      </x:c>
      <x:c r="F78" s="27" t="n">
        <x:v>0</x:v>
      </x:c>
      <x:c r="G78" s="27" t="n">
        <x:v>0</x:v>
      </x:c>
    </x:row>
    <x:row r="79">
      <x:c r="A79" s="27" t="str">
        <x:v>IND_PENSION_001</x:v>
      </x:c>
      <x:c r="B79" s="27" t="n">
        <x:v>3242</x:v>
      </x:c>
      <x:c r="C79" s="27" t="str">
        <x:v>CSA-IND-3242</x:v>
      </x:c>
      <x:c r="D79" s="27" t="n">
        <x:v>2080000</x:v>
      </x:c>
      <x:c r="E79" s="27" t="n">
        <x:v>416000</x:v>
      </x:c>
      <x:c r="F79" s="27" t="n">
        <x:v>41600</x:v>
      </x:c>
      <x:c r="G79" s="27" t="n">
        <x:v>0</x:v>
      </x:c>
    </x:row>
    <x:row r="80">
      <x:c r="A80" s="27" t="str">
        <x:v>IND_PENSION_001</x:v>
      </x:c>
      <x:c r="B80" s="27" t="n">
        <x:v>3254</x:v>
      </x:c>
      <x:c r="C80" s="27"/>
      <x:c r="D80" s="27" t="n">
        <x:v>0</x:v>
      </x:c>
      <x:c r="E80" s="27" t="n">
        <x:v>0</x:v>
      </x:c>
      <x:c r="F80" s="27" t="n">
        <x:v>0</x:v>
      </x:c>
      <x:c r="G80" s="27" t="n">
        <x:v>0</x:v>
      </x:c>
    </x:row>
    <x:row r="81">
      <x:c r="A81" s="27" t="str">
        <x:v>IND_PENSION_001</x:v>
      </x:c>
      <x:c r="B81" s="27" t="n">
        <x:v>3294</x:v>
      </x:c>
      <x:c r="C81" s="27" t="str">
        <x:v>CSA-IND-3294</x:v>
      </x:c>
      <x:c r="D81" s="27" t="n">
        <x:v>32390000</x:v>
      </x:c>
      <x:c r="E81" s="27" t="n">
        <x:v>3239000</x:v>
      </x:c>
      <x:c r="F81" s="27" t="n">
        <x:v>323900</x:v>
      </x:c>
      <x:c r="G81" s="27" t="n">
        <x:v>6478000</x:v>
      </x:c>
    </x:row>
    <x:row r="82">
      <x:c r="A82" s="27" t="str">
        <x:v>IND_REGIONAL_BANK_001</x:v>
      </x:c>
      <x:c r="B82" s="27" t="n">
        <x:v>3054</x:v>
      </x:c>
      <x:c r="C82" s="27"/>
      <x:c r="D82" s="27" t="n">
        <x:v>0</x:v>
      </x:c>
      <x:c r="E82" s="27" t="n">
        <x:v>0</x:v>
      </x:c>
      <x:c r="F82" s="27" t="n">
        <x:v>0</x:v>
      </x:c>
      <x:c r="G82" s="27" t="n">
        <x:v>0</x:v>
      </x:c>
    </x:row>
    <x:row r="83">
      <x:c r="A83" s="27" t="str">
        <x:v>IND_REGIONAL_BANK_001</x:v>
      </x:c>
      <x:c r="B83" s="27" t="n">
        <x:v>3082</x:v>
      </x:c>
      <x:c r="C83" s="27" t="str">
        <x:v>CSA-IND-3082</x:v>
      </x:c>
      <x:c r="D83" s="27" t="n">
        <x:v>10620000</x:v>
      </x:c>
      <x:c r="E83" s="27" t="n">
        <x:v>1062000</x:v>
      </x:c>
      <x:c r="F83" s="27" t="n">
        <x:v>106200</x:v>
      </x:c>
      <x:c r="G83" s="27" t="n">
        <x:v>0</x:v>
      </x:c>
    </x:row>
    <x:row r="84">
      <x:c r="A84" s="27" t="str">
        <x:v>IND_REGIONAL_BANK_001</x:v>
      </x:c>
      <x:c r="B84" s="27" t="n">
        <x:v>3161</x:v>
      </x:c>
      <x:c r="C84" s="27"/>
      <x:c r="D84" s="27" t="n">
        <x:v>0</x:v>
      </x:c>
      <x:c r="E84" s="27" t="n">
        <x:v>0</x:v>
      </x:c>
      <x:c r="F84" s="27" t="n">
        <x:v>0</x:v>
      </x:c>
      <x:c r="G84" s="27" t="n">
        <x:v>0</x:v>
      </x:c>
    </x:row>
    <x:row r="85">
      <x:c r="A85" s="27" t="str">
        <x:v>IND_REGIONAL_BANK_001</x:v>
      </x:c>
      <x:c r="B85" s="27" t="n">
        <x:v>3194</x:v>
      </x:c>
      <x:c r="C85" s="27" t="str">
        <x:v>CSA-IND-3194</x:v>
      </x:c>
      <x:c r="D85" s="27" t="n">
        <x:v>1930000</x:v>
      </x:c>
      <x:c r="E85" s="27" t="n">
        <x:v>241250</x:v>
      </x:c>
      <x:c r="F85" s="27" t="n">
        <x:v>96500</x:v>
      </x:c>
      <x:c r="G85" s="27" t="n">
        <x:v>0</x:v>
      </x:c>
    </x:row>
    <x:row r="86">
      <x:c r="A86" s="27" t="str">
        <x:v>IND_REGIONAL_BANK_001</x:v>
      </x:c>
      <x:c r="B86" s="27" t="n">
        <x:v>3210</x:v>
      </x:c>
      <x:c r="C86" s="27" t="str">
        <x:v>CSA-IND-3210</x:v>
      </x:c>
      <x:c r="D86" s="27" t="n">
        <x:v>21305000</x:v>
      </x:c>
      <x:c r="E86" s="27" t="n">
        <x:v>2130500</x:v>
      </x:c>
      <x:c r="F86" s="27" t="n">
        <x:v>426100</x:v>
      </x:c>
      <x:c r="G86" s="27" t="n">
        <x:v>8522000</x:v>
      </x:c>
    </x:row>
    <x:row r="87">
      <x:c r="A87" s="27" t="str">
        <x:v>IND_REGIONAL_BANK_001</x:v>
      </x:c>
      <x:c r="B87" s="27" t="n">
        <x:v>3237</x:v>
      </x:c>
      <x:c r="C87" s="27" t="str">
        <x:v>CSA-IND-3237</x:v>
      </x:c>
      <x:c r="D87" s="27" t="n">
        <x:v>27870000</x:v>
      </x:c>
      <x:c r="E87" s="27" t="n">
        <x:v>1858000</x:v>
      </x:c>
      <x:c r="F87" s="27" t="n">
        <x:v>185800</x:v>
      </x:c>
      <x:c r="G87" s="27" t="n">
        <x:v>1858000</x:v>
      </x:c>
    </x:row>
    <x:row r="88">
      <x:c r="A88" s="27" t="str">
        <x:v>IND_REGIONAL_BANK_001</x:v>
      </x:c>
      <x:c r="B88" s="27" t="n">
        <x:v>3245</x:v>
      </x:c>
      <x:c r="C88" s="27"/>
      <x:c r="D88" s="27" t="n">
        <x:v>0</x:v>
      </x:c>
      <x:c r="E88" s="27" t="n">
        <x:v>0</x:v>
      </x:c>
      <x:c r="F88" s="27" t="n">
        <x:v>0</x:v>
      </x:c>
      <x:c r="G88" s="27" t="n">
        <x:v>0</x:v>
      </x:c>
    </x:row>
    <x:row r="89">
      <x:c r="A89" s="27" t="str">
        <x:v>IND_REGIONAL_BANK_001</x:v>
      </x:c>
      <x:c r="B89" s="27" t="n">
        <x:v>3315</x:v>
      </x:c>
      <x:c r="C89" s="27" t="str">
        <x:v>CSA-IND-3315</x:v>
      </x:c>
      <x:c r="D89" s="27" t="n">
        <x:v>71830000</x:v>
      </x:c>
      <x:c r="E89" s="27" t="n">
        <x:v>7183000</x:v>
      </x:c>
      <x:c r="F89" s="27" t="n">
        <x:v>1436600</x:v>
      </x:c>
      <x:c r="G89" s="27" t="n">
        <x:v>28732000</x:v>
      </x:c>
    </x:row>
    <x:row r="90">
      <x:c r="A90" s="27" t="str">
        <x:v>IND_SOVEREIGN_001</x:v>
      </x:c>
      <x:c r="B90" s="27" t="n">
        <x:v>3042</x:v>
      </x:c>
      <x:c r="C90" s="27" t="str">
        <x:v>CSA-IND-3042</x:v>
      </x:c>
      <x:c r="D90" s="27" t="n">
        <x:v>2060000</x:v>
      </x:c>
      <x:c r="E90" s="27" t="n">
        <x:v>1030000</x:v>
      </x:c>
      <x:c r="F90" s="27" t="n">
        <x:v>103000</x:v>
      </x:c>
      <x:c r="G90" s="27" t="n">
        <x:v>0</x:v>
      </x:c>
    </x:row>
    <x:row r="91">
      <x:c r="A91" s="27" t="str">
        <x:v>IND_SOVEREIGN_001</x:v>
      </x:c>
      <x:c r="B91" s="27" t="n">
        <x:v>3065</x:v>
      </x:c>
      <x:c r="C91" s="27"/>
      <x:c r="D91" s="27" t="n">
        <x:v>0</x:v>
      </x:c>
      <x:c r="E91" s="27" t="n">
        <x:v>0</x:v>
      </x:c>
      <x:c r="F91" s="27" t="n">
        <x:v>0</x:v>
      </x:c>
      <x:c r="G91" s="27" t="n">
        <x:v>0</x:v>
      </x:c>
    </x:row>
    <x:row r="92">
      <x:c r="A92" s="27" t="str">
        <x:v>IND_SOVEREIGN_001</x:v>
      </x:c>
      <x:c r="B92" s="27" t="n">
        <x:v>3084</x:v>
      </x:c>
      <x:c r="C92" s="27"/>
      <x:c r="D92" s="27" t="n">
        <x:v>0</x:v>
      </x:c>
      <x:c r="E92" s="27" t="n">
        <x:v>0</x:v>
      </x:c>
      <x:c r="F92" s="27" t="n">
        <x:v>0</x:v>
      </x:c>
      <x:c r="G92" s="27" t="n">
        <x:v>0</x:v>
      </x:c>
    </x:row>
    <x:row r="93">
      <x:c r="A93" s="27" t="str">
        <x:v>IND_SOVEREIGN_001</x:v>
      </x:c>
      <x:c r="B93" s="27" t="n">
        <x:v>3126</x:v>
      </x:c>
      <x:c r="C93" s="27"/>
      <x:c r="D93" s="27" t="n">
        <x:v>0</x:v>
      </x:c>
      <x:c r="E93" s="27" t="n">
        <x:v>0</x:v>
      </x:c>
      <x:c r="F93" s="27" t="n">
        <x:v>0</x:v>
      </x:c>
      <x:c r="G93" s="27" t="n">
        <x:v>0</x:v>
      </x:c>
    </x:row>
    <x:row r="94">
      <x:c r="A94" s="27" t="str">
        <x:v>IND_SOVEREIGN_001</x:v>
      </x:c>
      <x:c r="B94" s="27" t="n">
        <x:v>3246</x:v>
      </x:c>
      <x:c r="C94" s="27" t="str">
        <x:v>CSA-IND-3246</x:v>
      </x:c>
      <x:c r="D94" s="27" t="n">
        <x:v>496200000</x:v>
      </x:c>
      <x:c r="E94" s="27" t="n">
        <x:v>8270000</x:v>
      </x:c>
      <x:c r="F94" s="27" t="n">
        <x:v>3308000</x:v>
      </x:c>
      <x:c r="G94" s="27" t="n">
        <x:v>0</x:v>
      </x:c>
    </x:row>
    <x:row r="95">
      <x:c r="A95" s="27" t="str">
        <x:v>IND_SOVEREIGN_001</x:v>
      </x:c>
      <x:c r="B95" s="27" t="n">
        <x:v>3281</x:v>
      </x:c>
      <x:c r="C95" s="27"/>
      <x:c r="D95" s="27" t="n">
        <x:v>0</x:v>
      </x:c>
      <x:c r="E95" s="27" t="n">
        <x:v>0</x:v>
      </x:c>
      <x:c r="F95" s="27" t="n">
        <x:v>0</x:v>
      </x:c>
      <x:c r="G95" s="27" t="n">
        <x:v>0</x:v>
      </x:c>
    </x:row>
    <x:row r="96">
      <x:c r="A96" s="27" t="str">
        <x:v>IND_SOVEREIGN_001</x:v>
      </x:c>
      <x:c r="B96" s="27" t="n">
        <x:v>3296</x:v>
      </x:c>
      <x:c r="C96" s="27" t="str">
        <x:v>CSA-IND-3296</x:v>
      </x:c>
      <x:c r="D96" s="27" t="n">
        <x:v>2070000</x:v>
      </x:c>
      <x:c r="E96" s="27" t="n">
        <x:v>103500</x:v>
      </x:c>
      <x:c r="F96" s="27" t="n">
        <x:v>41400</x:v>
      </x:c>
      <x:c r="G96" s="27" t="n">
        <x:v>828000</x:v>
      </x:c>
    </x:row>
    <x:row r="97">
      <x:c r="A97" s="27" t="str">
        <x:v>IND_SOVEREIGN_001</x:v>
      </x:c>
      <x:c r="B97" s="27" t="n">
        <x:v>3357</x:v>
      </x:c>
      <x:c r="C97" s="27" t="str">
        <x:v>CSA-IND-3357</x:v>
      </x:c>
      <x:c r="D97" s="27" t="n">
        <x:v>1194000</x:v>
      </x:c>
      <x:c r="E97" s="27" t="n">
        <x:v>298500</x:v>
      </x:c>
      <x:c r="F97" s="27" t="n">
        <x:v>59700</x:v>
      </x:c>
      <x:c r="G97" s="27" t="n">
        <x:v>1194000</x:v>
      </x:c>
    </x:row>
    <x:row r="98">
      <x:c r="A98" s="27" t="str">
        <x:v>IND_SOVEREIGN_001</x:v>
      </x:c>
      <x:c r="B98" s="27" t="n">
        <x:v>3390</x:v>
      </x:c>
      <x:c r="C98" s="27" t="str">
        <x:v>CSA-IND-3390</x:v>
      </x:c>
      <x:c r="D98" s="27" t="n">
        <x:v>51420000</x:v>
      </x:c>
      <x:c r="E98" s="27" t="n">
        <x:v>3428000</x:v>
      </x:c>
      <x:c r="F98" s="27" t="n">
        <x:v>342800</x:v>
      </x:c>
      <x:c r="G98" s="27" t="n">
        <x:v>0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6d04b6cedf34a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2.5" customHeight="1">
      <x:c r="A1" s="26" t="str">
        <x:v>Inputs_Counterparties</x:v>
      </x:c>
      <x:c r="B1" s="26" t="str">
        <x:v>Inputs_Counterparties</x:v>
      </x:c>
      <x:c r="C1" s="26" t="str">
        <x:v>Inputs_Counterparties</x:v>
      </x:c>
      <x:c r="D1" s="26" t="str">
        <x:v>Inputs_Counterparties</x:v>
      </x:c>
    </x:row>
    <x:row r="2">
      <x:c r="A2" s="27"/>
      <x:c r="B2" s="27"/>
      <x:c r="C2" s="27"/>
      <x:c r="D2" s="27"/>
    </x:row>
    <x:row r="3">
      <x:c r="A3" s="28" t="str">
        <x:v>Counterparty ID</x:v>
      </x:c>
      <x:c r="B3" s="28" t="str">
        <x:v>Counterparty Type</x:v>
      </x:c>
      <x:c r="C3" s="28" t="str">
        <x:v>Credit Rating</x:v>
      </x:c>
      <x:c r="D3" s="28" t="str">
        <x:v>Risk Weight</x:v>
      </x:c>
    </x:row>
    <x:row r="4">
      <x:c r="A4" s="27" t="str">
        <x:v>IND_BANK_001</x:v>
      </x:c>
      <x:c r="B4" s="27" t="str">
        <x:v>Bank</x:v>
      </x:c>
      <x:c r="C4" s="27" t="str">
        <x:v>A</x:v>
      </x:c>
      <x:c r="D4" s="27" t="n">
        <x:v>0.5</x:v>
      </x:c>
    </x:row>
    <x:row r="5">
      <x:c r="A5" s="27" t="str">
        <x:v>IND_BANK_002</x:v>
      </x:c>
      <x:c r="B5" s="27" t="str">
        <x:v>Bank</x:v>
      </x:c>
      <x:c r="C5" s="27" t="str">
        <x:v>BBB</x:v>
      </x:c>
      <x:c r="D5" s="27" t="n">
        <x:v>0.5</x:v>
      </x:c>
    </x:row>
    <x:row r="6">
      <x:c r="A6" s="27" t="str">
        <x:v>IND_BROKER_001</x:v>
      </x:c>
      <x:c r="B6" s="27" t="str">
        <x:v>Broker Dealer</x:v>
      </x:c>
      <x:c r="C6" s="27" t="str">
        <x:v>BBB</x:v>
      </x:c>
      <x:c r="D6" s="27" t="n">
        <x:v>0.5</x:v>
      </x:c>
    </x:row>
    <x:row r="7">
      <x:c r="A7" s="27" t="str">
        <x:v>IND_ASSET_MANAGER_001</x:v>
      </x:c>
      <x:c r="B7" s="27" t="str">
        <x:v>Asset Manager</x:v>
      </x:c>
      <x:c r="C7" s="27" t="str">
        <x:v>A</x:v>
      </x:c>
      <x:c r="D7" s="27" t="n">
        <x:v>0.5</x:v>
      </x:c>
    </x:row>
    <x:row r="8">
      <x:c r="A8" s="27" t="str">
        <x:v>IND_HEDGE_FUND_001</x:v>
      </x:c>
      <x:c r="B8" s="27" t="str">
        <x:v>Fund</x:v>
      </x:c>
      <x:c r="C8" s="27" t="str">
        <x:v>BB</x:v>
      </x:c>
      <x:c r="D8" s="27" t="n">
        <x:v>1</x:v>
      </x:c>
    </x:row>
    <x:row r="9">
      <x:c r="A9" s="27" t="str">
        <x:v>IND_CORPORATE_001</x:v>
      </x:c>
      <x:c r="B9" s="27" t="str">
        <x:v>Corporate</x:v>
      </x:c>
      <x:c r="C9" s="27" t="str">
        <x:v>BBB</x:v>
      </x:c>
      <x:c r="D9" s="27" t="n">
        <x:v>1</x:v>
      </x:c>
    </x:row>
    <x:row r="10">
      <x:c r="A10" s="27" t="str">
        <x:v>IND_CORPORATE_002</x:v>
      </x:c>
      <x:c r="B10" s="27" t="str">
        <x:v>Corporate</x:v>
      </x:c>
      <x:c r="C10" s="27" t="str">
        <x:v>BB</x:v>
      </x:c>
      <x:c r="D10" s="27" t="n">
        <x:v>1</x:v>
      </x:c>
    </x:row>
    <x:row r="11">
      <x:c r="A11" s="27" t="str">
        <x:v>IND_INSURER_001</x:v>
      </x:c>
      <x:c r="B11" s="27" t="str">
        <x:v>Insurance</x:v>
      </x:c>
      <x:c r="C11" s="27" t="str">
        <x:v>A</x:v>
      </x:c>
      <x:c r="D11" s="27" t="n">
        <x:v>0.5</x:v>
      </x:c>
    </x:row>
    <x:row r="12">
      <x:c r="A12" s="27" t="str">
        <x:v>IND_SOVEREIGN_001</x:v>
      </x:c>
      <x:c r="B12" s="27" t="str">
        <x:v>Sovereign</x:v>
      </x:c>
      <x:c r="C12" s="27" t="str">
        <x:v>AA</x:v>
      </x:c>
      <x:c r="D12" s="27" t="n">
        <x:v>0.2</x:v>
      </x:c>
    </x:row>
    <x:row r="13">
      <x:c r="A13" s="27" t="str">
        <x:v>IND_PENSION_001</x:v>
      </x:c>
      <x:c r="B13" s="27" t="str">
        <x:v>Pension</x:v>
      </x:c>
      <x:c r="C13" s="27" t="str">
        <x:v>A</x:v>
      </x:c>
      <x:c r="D13" s="27" t="n">
        <x:v>0.5</x:v>
      </x:c>
    </x:row>
    <x:row r="14">
      <x:c r="A14" s="27" t="str">
        <x:v>IND_CLEARING_MEMBER_001</x:v>
      </x:c>
      <x:c r="B14" s="27" t="str">
        <x:v>Clearing Member</x:v>
      </x:c>
      <x:c r="C14" s="27" t="str">
        <x:v>A</x:v>
      </x:c>
      <x:c r="D14" s="27" t="n">
        <x:v>0.5</x:v>
      </x:c>
    </x:row>
    <x:row r="15">
      <x:c r="A15" s="27" t="str">
        <x:v>IND_REGIONAL_BANK_001</x:v>
      </x:c>
      <x:c r="B15" s="27" t="str">
        <x:v>Bank</x:v>
      </x:c>
      <x:c r="C15" s="27" t="str">
        <x:v>BBB</x:v>
      </x:c>
      <x:c r="D15" s="27" t="n">
        <x:v>0.5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10ca9286ba09449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380000114440918" hidden="0" customWidth="1"/>
    <x:col min="2" max="2" width="14.380000114440918" hidden="0" customWidth="1"/>
    <x:col min="3" max="3" width="14.380000114440918" hidden="0" customWidth="1"/>
    <x:col min="4" max="4" width="14.380000114440918" hidden="0" customWidth="1"/>
    <x:col min="5" max="5" width="14.380000114440918" hidden="0" customWidth="1"/>
    <x:col min="6" max="6" width="14.380000114440918" hidden="0" customWidth="1"/>
    <x:col min="7" max="7" width="14.380000114440918" hidden="0" customWidth="1"/>
    <x:col min="8" max="8" width="14.380000114440918" hidden="0" customWidth="1"/>
    <x:col min="9" max="9" width="14.380000114440918" hidden="0" customWidth="1"/>
    <x:col min="10" max="10" width="14.380000114440918" hidden="0" customWidth="1"/>
    <x:col min="11" max="11" width="14.380000114440918" hidden="0" customWidth="1"/>
    <x:col min="12" max="12" width="14.380000114440918" hidden="0" customWidth="1"/>
    <x:col min="13" max="13" width="14.380000114440918" hidden="0" customWidth="1"/>
    <x:col min="14" max="14" width="14.380000114440918" hidden="0" customWidth="1"/>
    <x:col min="15" max="15" width="14.380000114440918" hidden="0" customWidth="1"/>
    <x:col min="16" max="16" width="14.380000114440918" hidden="0" customWidth="1"/>
    <x:col min="17" max="17" width="14.380000114440918" hidden="0" customWidth="1"/>
    <x:col min="18" max="18" width="14.380000114440918" hidden="0" customWidth="1"/>
    <x:col min="19" max="19" width="14.380000114440918" hidden="0" customWidth="1"/>
    <x:col min="20" max="20" width="14.380000114440918" hidden="0" customWidth="1"/>
    <x:col min="21" max="21" width="14.380000114440918" hidden="0" customWidth="1"/>
    <x:col min="22" max="22" width="14.380000114440918" hidden="0" customWidth="1"/>
    <x:col min="23" max="23" width="14.380000114440918" hidden="0" customWidth="1"/>
    <x:col min="24" max="24" width="14.380000114440918" hidden="0" customWidth="1"/>
    <x:col min="25" max="25" width="14.380000114440918" hidden="0" customWidth="1"/>
    <x:col min="26" max="26" width="14.380000114440918" hidden="0" customWidth="1"/>
    <x:col min="27" max="27" width="14.380000114440918" hidden="0" customWidth="1"/>
    <x:col min="28" max="28" width="14.380000114440918" hidden="0" customWidth="1"/>
    <x:col min="29" max="29" width="14.380000114440918" hidden="0" customWidth="1"/>
    <x:col min="30" max="30" width="14.380000114440918" hidden="0" customWidth="1"/>
    <x:col min="31" max="31" width="14.380000114440918" hidden="0" customWidth="1"/>
    <x:col min="32" max="32" width="14.380000114440918" hidden="0" customWidth="1"/>
    <x:col min="33" max="33" width="14.380000114440918" hidden="0" customWidth="1"/>
    <x:col min="34" max="34" width="14.380000114440918" hidden="0" customWidth="1"/>
    <x:col min="35" max="35" width="14.380000114440918" hidden="0" customWidth="1"/>
    <x:col min="36" max="36" width="14.380000114440918" hidden="0" customWidth="1"/>
    <x:col min="37" max="37" width="14.380000114440918" hidden="0" customWidth="1"/>
    <x:col min="38" max="38" width="14.380000114440918" hidden="0" customWidth="1"/>
    <x:col min="39" max="39" width="14.380000114440918" hidden="0" customWidth="1"/>
    <x:col min="40" max="40" width="14.380000114440918" hidden="0" customWidth="1"/>
    <x:col min="41" max="41" width="14.380000114440918" hidden="0" customWidth="1"/>
    <x:col min="42" max="42" width="14.380000114440918" hidden="0" customWidth="1"/>
    <x:col min="43" max="43" width="14.380000114440918" hidden="0" customWidth="1"/>
    <x:col min="44" max="44" width="14.380000114440918" hidden="0" customWidth="1"/>
    <x:col min="45" max="45" width="14.380000114440918" hidden="0" customWidth="1"/>
    <x:col min="46" max="46" width="14.380000114440918" hidden="0" customWidth="1"/>
    <x:col min="47" max="47" width="14.380000114440918" hidden="0" customWidth="1"/>
    <x:col min="48" max="48" width="14.380000114440918" hidden="0" customWidth="1"/>
    <x:col min="49" max="49" width="14.380000114440918" hidden="0" customWidth="1"/>
    <x:col min="50" max="50" width="14.380000114440918" hidden="0" customWidth="1"/>
    <x:col min="51" max="51" width="14.380000114440918" hidden="0" customWidth="1"/>
    <x:col min="52" max="52" width="14.380000114440918" hidden="0" customWidth="1"/>
    <x:col min="53" max="53" width="14.380000114440918" hidden="0" customWidth="1"/>
    <x:col min="54" max="54" width="14.380000114440918" hidden="0" customWidth="1"/>
  </x:cols>
  <x:sheetData>
    <x:row r="1" ht="22.5" customHeight="1">
      <x:c r="A1" s="26" t="str">
        <x:v>Trade-Level Excel Formula Replication</x:v>
      </x:c>
      <x:c r="B1" s="26" t="str">
        <x:v>Trade-Level Excel Formula Replication</x:v>
      </x:c>
      <x:c r="C1" s="26" t="str">
        <x:v>Trade-Level Excel Formula Replication</x:v>
      </x:c>
      <x:c r="D1" s="26" t="str">
        <x:v>Trade-Level Excel Formula Replication</x:v>
      </x:c>
      <x:c r="E1" s="26" t="str">
        <x:v>Trade-Level Excel Formula Replication</x:v>
      </x:c>
      <x:c r="F1" s="26" t="str">
        <x:v>Trade-Level Excel Formula Replication</x:v>
      </x:c>
      <x:c r="G1" s="26" t="str">
        <x:v>Trade-Level Excel Formula Replication</x:v>
      </x:c>
      <x:c r="H1" s="26" t="str">
        <x:v>Trade-Level Excel Formula Replication</x:v>
      </x:c>
      <x:c r="I1" s="26" t="str">
        <x:v>Trade-Level Excel Formula Replication</x:v>
      </x:c>
      <x:c r="J1" s="26" t="str">
        <x:v>Trade-Level Excel Formula Replication</x:v>
      </x:c>
      <x:c r="K1" s="26" t="str">
        <x:v>Trade-Level Excel Formula Replication</x:v>
      </x:c>
      <x:c r="L1" s="26" t="str">
        <x:v>Trade-Level Excel Formula Replication</x:v>
      </x:c>
      <x:c r="M1" s="26" t="str">
        <x:v>Trade-Level Excel Formula Replication</x:v>
      </x:c>
      <x:c r="N1" s="26" t="str">
        <x:v>Trade-Level Excel Formula Replication</x:v>
      </x:c>
      <x:c r="O1" s="26" t="str">
        <x:v>Trade-Level Excel Formula Replication</x:v>
      </x:c>
      <x:c r="P1" s="26" t="str">
        <x:v>Trade-Level Excel Formula Replication</x:v>
      </x:c>
      <x:c r="Q1" s="26" t="str">
        <x:v>Trade-Level Excel Formula Replication</x:v>
      </x:c>
      <x:c r="R1" s="26" t="str">
        <x:v>Trade-Level Excel Formula Replication</x:v>
      </x:c>
      <x:c r="S1" s="26" t="str">
        <x:v>Trade-Level Excel Formula Replication</x:v>
      </x:c>
      <x:c r="T1" s="26" t="str">
        <x:v>Trade-Level Excel Formula Replication</x:v>
      </x:c>
      <x:c r="U1" s="26" t="str">
        <x:v>Trade-Level Excel Formula Replication</x:v>
      </x:c>
      <x:c r="V1" s="26" t="str">
        <x:v>Trade-Level Excel Formula Replication</x:v>
      </x:c>
      <x:c r="W1" s="26" t="str">
        <x:v>Trade-Level Excel Formula Replication</x:v>
      </x:c>
      <x:c r="X1" s="26" t="str">
        <x:v>Trade-Level Excel Formula Replication</x:v>
      </x:c>
      <x:c r="Y1" s="26" t="str">
        <x:v>Trade-Level Excel Formula Replication</x:v>
      </x:c>
      <x:c r="Z1" s="26" t="str">
        <x:v>Trade-Level Excel Formula Replication</x:v>
      </x:c>
      <x:c r="AA1" s="26" t="str">
        <x:v>Trade-Level Excel Formula Replication</x:v>
      </x:c>
      <x:c r="AB1" s="26" t="str">
        <x:v>Trade-Level Excel Formula Replication</x:v>
      </x:c>
      <x:c r="AC1" s="26" t="str">
        <x:v>Trade-Level Excel Formula Replication</x:v>
      </x:c>
      <x:c r="AD1" s="26" t="str">
        <x:v>Trade-Level Excel Formula Replication</x:v>
      </x:c>
      <x:c r="AE1" s="26" t="str">
        <x:v>Trade-Level Excel Formula Replication</x:v>
      </x:c>
      <x:c r="AF1" s="26" t="str">
        <x:v>Trade-Level Excel Formula Replication</x:v>
      </x:c>
      <x:c r="AG1" s="26" t="str">
        <x:v>Trade-Level Excel Formula Replication</x:v>
      </x:c>
      <x:c r="AH1" s="26" t="str">
        <x:v>Trade-Level Excel Formula Replication</x:v>
      </x:c>
      <x:c r="AI1" s="26" t="str">
        <x:v>Trade-Level Excel Formula Replication</x:v>
      </x:c>
      <x:c r="AJ1" s="26" t="str">
        <x:v>Trade-Level Excel Formula Replication</x:v>
      </x:c>
      <x:c r="AK1" s="26" t="str">
        <x:v>Trade-Level Excel Formula Replication</x:v>
      </x:c>
      <x:c r="AL1" s="26" t="str">
        <x:v>Trade-Level Excel Formula Replication</x:v>
      </x:c>
      <x:c r="AM1" s="26" t="str">
        <x:v>Trade-Level Excel Formula Replication</x:v>
      </x:c>
      <x:c r="AN1" s="26" t="str">
        <x:v>Trade-Level Excel Formula Replication</x:v>
      </x:c>
      <x:c r="AO1" s="26" t="str">
        <x:v>Trade-Level Excel Formula Replication</x:v>
      </x:c>
      <x:c r="AP1" s="26" t="str">
        <x:v>Trade-Level Excel Formula Replication</x:v>
      </x:c>
      <x:c r="AQ1" s="26" t="str">
        <x:v>Trade-Level Excel Formula Replication</x:v>
      </x:c>
      <x:c r="AR1" s="26" t="str">
        <x:v>Trade-Level Excel Formula Replication</x:v>
      </x:c>
      <x:c r="AS1" s="26" t="str">
        <x:v>Trade-Level Excel Formula Replication</x:v>
      </x:c>
      <x:c r="AT1" s="26" t="str">
        <x:v>Trade-Level Excel Formula Replication</x:v>
      </x:c>
      <x:c r="AU1" s="26" t="str">
        <x:v>Trade-Level Excel Formula Replication</x:v>
      </x:c>
      <x:c r="AV1" s="26" t="str">
        <x:v>Trade-Level Excel Formula Replication</x:v>
      </x:c>
      <x:c r="AW1" s="26" t="str">
        <x:v>Trade-Level Excel Formula Replication</x:v>
      </x:c>
      <x:c r="AX1" s="26" t="str">
        <x:v>Trade-Level Excel Formula Replication</x:v>
      </x:c>
      <x:c r="AY1" s="26" t="str">
        <x:v>Trade-Level Excel Formula Replication</x:v>
      </x:c>
      <x:c r="AZ1" s="26" t="str">
        <x:v>Trade-Level Excel Formula Replication</x:v>
      </x:c>
      <x:c r="BA1" s="26" t="str">
        <x:v>Trade-Level Excel Formula Replication</x:v>
      </x:c>
      <x:c r="BB1" s="26" t="str">
        <x:v>Trade-Level Excel Formula Replication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  <x:c r="BA2" s="27"/>
      <x:c r="BB2" s="27"/>
    </x:row>
    <x:row r="3">
      <x:c r="A3" s="28" t="str">
        <x:v>Ticket Number</x:v>
      </x:c>
      <x:c r="B3" s="28" t="str">
        <x:v>Counterparty ID</x:v>
      </x:c>
      <x:c r="C3" s="28" t="str">
        <x:v>Netting Set ID</x:v>
      </x:c>
      <x:c r="D3" s="28" t="str">
        <x:v>Trade Type</x:v>
      </x:c>
      <x:c r="E3" s="28" t="str">
        <x:v>Asset Class</x:v>
      </x:c>
      <x:c r="F3" s="28" t="str">
        <x:v>Sub Class</x:v>
      </x:c>
      <x:c r="G3" s="28" t="str">
        <x:v>Base Currency</x:v>
      </x:c>
      <x:c r="H3" s="28" t="str">
        <x:v>Leg 1 Ccy</x:v>
      </x:c>
      <x:c r="I3" s="28" t="str">
        <x:v>Leg 2 Ccy</x:v>
      </x:c>
      <x:c r="J3" s="28" t="str">
        <x:v>Underlying Entity</x:v>
      </x:c>
      <x:c r="K3" s="28" t="str">
        <x:v>Underlying Type</x:v>
      </x:c>
      <x:c r="L3" s="28" t="str">
        <x:v>Rating</x:v>
      </x:c>
      <x:c r="M3" s="28" t="str">
        <x:v>COB Date</x:v>
      </x:c>
      <x:c r="N3" s="28" t="str">
        <x:v>Maturity Date</x:v>
      </x:c>
      <x:c r="O3" s="28" t="str">
        <x:v>Start Date</x:v>
      </x:c>
      <x:c r="P3" s="28" t="str">
        <x:v>End Date</x:v>
      </x:c>
      <x:c r="Q3" s="28" t="str">
        <x:v>Base Notional</x:v>
      </x:c>
      <x:c r="R3" s="28" t="str">
        <x:v>Leg 1 Notional</x:v>
      </x:c>
      <x:c r="S3" s="28" t="str">
        <x:v>Leg 2 Notional</x:v>
      </x:c>
      <x:c r="T3" s="28" t="str">
        <x:v>Margin Flag</x:v>
      </x:c>
      <x:c r="U3" s="28" t="str">
        <x:v>CCP</x:v>
      </x:c>
      <x:c r="V3" s="28" t="str">
        <x:v>MPOR Days</x:v>
      </x:c>
      <x:c r="W3" s="28" t="str">
        <x:v>Buy/Sell</x:v>
      </x:c>
      <x:c r="X3" s="28" t="str">
        <x:v>Put/Call</x:v>
      </x:c>
      <x:c r="Y3" s="28" t="str">
        <x:v>Strike</x:v>
      </x:c>
      <x:c r="Z3" s="28" t="str">
        <x:v>Underlying Price</x:v>
      </x:c>
      <x:c r="AA3" s="28" t="str">
        <x:v>Exercise Date</x:v>
      </x:c>
      <x:c r="AB3" s="28" t="str">
        <x:v>MtM</x:v>
      </x:c>
      <x:c r="AC3" s="28" t="str">
        <x:v>Basis/Vol Indicator</x:v>
      </x:c>
      <x:c r="AD3" s="28" t="str">
        <x:v>Maturity Days</x:v>
      </x:c>
      <x:c r="AE3" s="28" t="str">
        <x:v>Remaining Years</x:v>
      </x:c>
      <x:c r="AF3" s="28" t="str">
        <x:v>Maturity Bucket</x:v>
      </x:c>
      <x:c r="AG3" s="28" t="str">
        <x:v>Commodity Group</x:v>
      </x:c>
      <x:c r="AH3" s="28" t="str">
        <x:v>Commodity Type</x:v>
      </x:c>
      <x:c r="AI3" s="28" t="str">
        <x:v>Hedging Set</x:v>
      </x:c>
      <x:c r="AJ3" s="28" t="str">
        <x:v>SA-CCR Margin Treatment</x:v>
      </x:c>
      <x:c r="AK3" s="28" t="str">
        <x:v>SF Base</x:v>
      </x:c>
      <x:c r="AL3" s="28" t="str">
        <x:v>SF Adjustment</x:v>
      </x:c>
      <x:c r="AM3" s="28" t="str">
        <x:v>Supervisory Factor</x:v>
      </x:c>
      <x:c r="AN3" s="28" t="str">
        <x:v>Correlation</x:v>
      </x:c>
      <x:c r="AO3" s="28" t="str">
        <x:v>Start Years</x:v>
      </x:c>
      <x:c r="AP3" s="28" t="str">
        <x:v>End Years Raw</x:v>
      </x:c>
      <x:c r="AQ3" s="28" t="str">
        <x:v>End Years</x:v>
      </x:c>
      <x:c r="AR3" s="28" t="str">
        <x:v>Supervisory Duration</x:v>
      </x:c>
      <x:c r="AS3" s="28" t="str">
        <x:v>Adjusted Notional</x:v>
      </x:c>
      <x:c r="AT3" s="28" t="str">
        <x:v>Option Vol</x:v>
      </x:c>
      <x:c r="AU3" s="28" t="str">
        <x:v>Direction</x:v>
      </x:c>
      <x:c r="AV3" s="28" t="str">
        <x:v>Time To Exercise</x:v>
      </x:c>
      <x:c r="AW3" s="28" t="str">
        <x:v>D1</x:v>
      </x:c>
      <x:c r="AX3" s="28" t="str">
        <x:v>Delta</x:v>
      </x:c>
      <x:c r="AY3" s="28" t="str">
        <x:v>Maturity Factor</x:v>
      </x:c>
      <x:c r="AZ3" s="28" t="str">
        <x:v>Effective Notional</x:v>
      </x:c>
      <x:c r="BA3" s="28" t="str">
        <x:v>Python Effective Notional</x:v>
      </x:c>
      <x:c r="BB3" s="28" t="str">
        <x:v>Diff Effective Notional</x:v>
      </x:c>
    </x:row>
    <x:row r="4">
      <x:c r="A4" s="27" t="str">
        <x:f>'Inputs_Trades'!D4</x:f>
        <x:v>IND-000001</x:v>
      </x:c>
      <x:c r="B4" s="27" t="str">
        <x:f>'Inputs_Trades'!B4</x:f>
        <x:v>IND_CORPORATE_002</x:v>
      </x:c>
      <x:c r="C4" s="27" t="n">
        <x:f>'Inputs_Trades'!C4</x:f>
        <x:v>3346</x:v>
      </x:c>
      <x:c r="D4" s="27" t="str">
        <x:f>'Inputs_Trades'!E4</x:f>
        <x:v>FX Forward</x:v>
      </x:c>
      <x:c r="E4" s="27" t="str">
        <x:f>'Inputs_Trades'!F4</x:f>
        <x:v>FX</x:v>
      </x:c>
      <x:c r="F4" s="27" t="n">
        <x:f>'Inputs_Trades'!G4</x:f>
        <x:v>0</x:v>
      </x:c>
      <x:c r="G4" s="27" t="str">
        <x:f>'Inputs_Trades'!J4</x:f>
        <x:v>USD</x:v>
      </x:c>
      <x:c r="H4" s="27" t="str">
        <x:f>'Inputs_Trades'!H4</x:f>
        <x:v>AUD</x:v>
      </x:c>
      <x:c r="I4" s="27" t="str">
        <x:f>'Inputs_Trades'!I4</x:f>
        <x:v>USD</x:v>
      </x:c>
      <x:c r="J4" s="27" t="str">
        <x:f>'Inputs_Trades'!M4</x:f>
        <x:v>AUD/USD</x:v>
      </x:c>
      <x:c r="K4" s="27" t="n">
        <x:f>'Inputs_Trades'!N4</x:f>
        <x:v>0</x:v>
      </x:c>
      <x:c r="L4" s="27" t="n">
        <x:f>'Inputs_Trades'!O4</x:f>
        <x:v>0</x:v>
      </x:c>
      <x:c r="M4" s="39" t="n">
        <x:f>'Inputs_Trades'!A4</x:f>
        <x:v>45702</x:v>
      </x:c>
      <x:c r="N4" s="39" t="n">
        <x:f>'Inputs_Trades'!P4</x:f>
        <x:v>46814</x:v>
      </x:c>
      <x:c r="O4" s="39" t="n">
        <x:f>'Inputs_Trades'!Q4</x:f>
        <x:v>45068</x:v>
      </x:c>
      <x:c r="P4" s="39" t="n">
        <x:f>'Inputs_Trades'!R4</x:f>
        <x:v>46814</x:v>
      </x:c>
      <x:c r="Q4" s="40" t="n">
        <x:f>'Inputs_Trades'!U4</x:f>
        <x:v>86000000</x:v>
      </x:c>
      <x:c r="R4" s="40" t="n">
        <x:f>'Inputs_Trades'!S4</x:f>
        <x:v>130303030.3</x:v>
      </x:c>
      <x:c r="S4" s="40" t="n">
        <x:f>'Inputs_Trades'!T4</x:f>
        <x:v>86000000</x:v>
      </x:c>
      <x:c r="T4" s="27" t="str">
        <x:f>'Inputs_Trades'!V4</x:f>
        <x:v>M</x:v>
      </x:c>
      <x:c r="U4" s="27" t="str">
        <x:f>'Inputs_Trades'!W4</x:f>
        <x:v>N</x:v>
      </x:c>
      <x:c r="V4" s="27" t="n">
        <x:f>'Inputs_Trades'!X4</x:f>
        <x:v>10</x:v>
      </x:c>
      <x:c r="W4" s="27" t="str">
        <x:f>'Inputs_Trades'!Y4</x:f>
        <x:v>B</x:v>
      </x:c>
      <x:c r="X4" s="27" t="n">
        <x:f>'Inputs_Trades'!AA4</x:f>
        <x:v>0</x:v>
      </x:c>
      <x:c r="Y4" s="27" t="n">
        <x:f>'Inputs_Trades'!AB4</x:f>
        <x:v>0</x:v>
      </x:c>
      <x:c r="Z4" s="27" t="n">
        <x:f>'Inputs_Trades'!AC4</x:f>
        <x:v>0</x:v>
      </x:c>
      <x:c r="AA4" s="39" t="n">
        <x:f>'Inputs_Trades'!Z4</x:f>
        <x:v>0</x:v>
      </x:c>
      <x:c r="AB4" s="40" t="n">
        <x:f>'Inputs_Trades'!AD4</x:f>
        <x:v>551260</x:v>
      </x:c>
      <x:c r="AC4" s="27" t="n">
        <x:f>'Inputs_Trades'!K4</x:f>
        <x:v>0</x:v>
      </x:c>
      <x:c r="AD4" s="27" t="n">
        <x:f>N4-M4</x:f>
        <x:v>1112</x:v>
      </x:c>
      <x:c r="AE4" s="41" t="n">
        <x:f>AD4/365</x:f>
        <x:v>3.0465753424657533</x:v>
      </x:c>
      <x:c r="AF4" s="27" t="str">
        <x:f>IF(AE4&lt;1,"&lt;1Y",IF(AE4&lt;=5,"1Y-5Y","&gt;5Y"))</x:f>
        <x:v>1Y-5Y</x:v>
      </x:c>
      <x:c r="AG4" s="27" t="str">
        <x:f>IF(E4="Commodity",IFERROR(VLOOKUP(F4,Parameters!$P$4:$Q$12,2,FALSE),"Other"),"")</x:f>
      </x:c>
      <x:c r="AH4" s="27" t="str">
        <x:f>IF(F4="","Unknown",F4)</x:f>
        <x:v>Unknown</x:v>
      </x:c>
      <x:c r="AI4" s="27" t="str">
        <x:f>IF(E4="Interest Rate",G4&amp;IF(OR(LOWER(AC4)="basis",LOWER(AC4)="volatility"),"_"&amp;AC4,""),IF(E4="FX",IF(H4&lt;I4,H4&amp;"/"&amp;I4,I4&amp;"/"&amp;H4)&amp;IF(OR(LOWER(AC4)="basis",LOWER(AC4)="volatility"),"_"&amp;AC4,""),IF(OR(E4="Credit",E4="Equity"),J4&amp;IF(OR(LOWER(AC4)="basis",LOWER(AC4)="volatility"),"_"&amp;AC4,""),IF(E4="Commodity",AG4&amp;IF(OR(LOWER(AC4)="basis",LOWER(AC4)="volatility"),"_"&amp;AC4,""),"UNKNOWN"))))</x:f>
        <x:v>AUD/USD</x:v>
      </x:c>
      <x:c r="AJ4" s="27" t="str">
        <x:f>T4</x:f>
        <x:v>M</x:v>
      </x:c>
      <x:c r="AK4" s="41" t="n">
        <x:f>IF(E4="Interest Rate",VLOOKUP("Interest Rate",Parameters!$D$4:$E$12,2,FALSE),IF(E4="FX",VLOOKUP("FX",Parameters!$D$4:$E$12,2,FALSE),IF(E4="Credit",IFERROR(VLOOKUP(L4,Parameters!$G$4:$H$12,2,FALSE),VLOOKUP("BBB",Parameters!$G$4:$H$12,2,FALSE)),IF(E4="Equity",VLOOKUP(IF(LOWER(K4)="index","Equity Index","Equity Single Name"),Parameters!$D$4:$E$12,2,FALSE),IF(E4="Commodity",VLOOKUP(IFERROR(VLOOKUP(F4,Parameters!$S$4:$T$12,2,FALSE),"Commodity Other"),Parameters!$D$4:$E$12,2,FALSE),0)))))</x:f>
        <x:v>0.04</x:v>
      </x:c>
      <x:c r="AL4" s="42" t="n">
        <x:f>IF(LOWER(AC4)="basis",Parameters!$B$8,IF(LOWER(AC4)="volatility",Parameters!$B$9,1))</x:f>
        <x:v>1</x:v>
      </x:c>
      <x:c r="AM4" s="41" t="n">
        <x:f>AK4*AL4</x:f>
        <x:v>0.04</x:v>
      </x:c>
      <x:c r="AN4" s="42" t="str">
        <x:f>IF(E4="Credit",VLOOKUP(IF(LOWER(K4)="index","Credit Index","Credit Single Name"),Parameters!$J$4:$K$8,2,FALSE),IF(E4="Equity",VLOOKUP(IF(LOWER(K4)="index","Equity Index","Equity Single Name"),Parameters!$J$4:$K$8,2,FALSE),IF(E4="Commodity",VLOOKUP("Commodity",Parameters!$J$4:$K$8,2,FALSE),"")))</x:f>
      </x:c>
      <x:c r="AO4" s="27" t="n">
        <x:f>MAX((O4-M4)/365,0)</x:f>
        <x:v>0</x:v>
      </x:c>
      <x:c r="AP4" s="27" t="n">
        <x:f>MAX((P4-M4)/365,10/Parameters!$B$6)</x:f>
        <x:v>3.0465753424657533</x:v>
      </x:c>
      <x:c r="AQ4" s="27" t="n">
        <x:f>IF(AP4&lt;=AO4,AO4+10/Parameters!$B$6,AP4)</x:f>
        <x:v>3.0465753424657533</x:v>
      </x:c>
      <x:c r="AR4" s="41" t="n">
        <x:f>IF(OR(E4="Interest Rate",E4="Credit"),(EXP(-Parameters!$B$7*AO4)-EXP(-Parameters!$B$7*AQ4))/Parameters!$B$7,1)</x:f>
        <x:v>1</x:v>
      </x:c>
      <x:c r="AS4" s="40" t="n">
        <x:f>IF(OR(E4="Interest Rate",E4="Credit"),ABS(Q4)*AR4,IF(E4="FX",IF(Q4&gt;0,Q4,MAX(ABS(R4),ABS(S4),ABS(Q4))),ABS(Q4)))</x:f>
        <x:v>86000000</x:v>
      </x:c>
      <x:c r="AT4" s="42" t="n">
        <x:f>IF(OR(E4="Interest Rate",E4="FX"),VLOOKUP(E4,Parameters!$M$4:$N$11,2,FALSE),IF(E4="Credit",VLOOKUP(IF(LOWER(K4)="index","Credit Index","Credit Single Name"),Parameters!$M$4:$N$11,2,FALSE),IF(E4="Equity",VLOOKUP(IF(LOWER(K4)="index","Equity Index","Equity Single Name"),Parameters!$M$4:$N$11,2,FALSE),IF(E4="Commodity",VLOOKUP(IF(F4="Electricity","Commodity Electricity","Commodity Other"),Parameters!$M$4:$N$11,2,FALSE),1))))</x:f>
        <x:v>0.15</x:v>
      </x:c>
      <x:c r="AU4" s="27" t="n">
        <x:f>IF(W4="B",1,-1)</x:f>
        <x:v>1</x:v>
      </x:c>
      <x:c r="AV4" s="27" t="n">
        <x:f>IF(OR(AA4="",M4=""),MAX(AE4,1/365),MAX((AA4-M4)/365,1/365))</x:f>
        <x:v>3.0465753424657533</x:v>
      </x:c>
      <x:c r="AW4" s="41" t="str">
        <x:f>IF(OR(Z4&lt;=0,Y4&lt;=0,AT4&lt;=0,AV4&lt;=0),"",(LN(Z4/Y4)+0.5*AT4^2*AV4)/(AT4*SQRT(AV4)))</x:f>
      </x:c>
      <x:c r="AX4" s="41" t="n">
        <x:f>IF(AND(X4&lt;&gt;"C",X4&lt;&gt;"P"),AU4,IF(AW4="",AU4,IF(X4="C",AU4*0.5*(1+ERF(AW4/SQRT(2))),-AU4*0.5*(1+ERF(-AW4/SQRT(2))))))</x:f>
        <x:v>1</x:v>
      </x:c>
      <x:c r="AY4" s="41" t="n">
        <x:f>IF(AJ4="M",1.5*SQRT(MAX(IF(U4="Y",5,10),IF(V4="",10,V4))/Parameters!$B$6),SQRT(MIN(MAX(AE4,10/Parameters!$B$6),1)))</x:f>
        <x:v>0.30000000000000004</x:v>
      </x:c>
      <x:c r="AZ4" s="40" t="n">
        <x:f>AS4*AX4*AY4</x:f>
        <x:v>25800000.000000004</x:v>
      </x:c>
      <x:c r="BA4" s="40" t="n">
        <x:f>'Python_Trade_Output'!AZ4</x:f>
        <x:v>25800000.000000004</x:v>
      </x:c>
      <x:c r="BB4" s="43" t="n">
        <x:f>AZ4-BA4</x:f>
        <x:v>0</x:v>
      </x:c>
    </x:row>
    <x:row r="5">
      <x:c r="A5" s="27" t="str">
        <x:f>'Inputs_Trades'!D5</x:f>
        <x:v>IND-000002</x:v>
      </x:c>
      <x:c r="B5" s="27" t="str">
        <x:f>'Inputs_Trades'!B5</x:f>
        <x:v>IND_INSURER_001</x:v>
      </x:c>
      <x:c r="C5" s="27" t="n">
        <x:f>'Inputs_Trades'!C5</x:f>
        <x:v>3094</x:v>
      </x:c>
      <x:c r="D5" s="27" t="str">
        <x:f>'Inputs_Trades'!E5</x:f>
        <x:v>FX Forward</x:v>
      </x:c>
      <x:c r="E5" s="27" t="str">
        <x:f>'Inputs_Trades'!F5</x:f>
        <x:v>FX</x:v>
      </x:c>
      <x:c r="F5" s="27" t="n">
        <x:f>'Inputs_Trades'!G5</x:f>
        <x:v>0</x:v>
      </x:c>
      <x:c r="G5" s="27" t="str">
        <x:f>'Inputs_Trades'!J5</x:f>
        <x:v>USD</x:v>
      </x:c>
      <x:c r="H5" s="27" t="str">
        <x:f>'Inputs_Trades'!H5</x:f>
        <x:v>GBP</x:v>
      </x:c>
      <x:c r="I5" s="27" t="str">
        <x:f>'Inputs_Trades'!I5</x:f>
        <x:v>USD</x:v>
      </x:c>
      <x:c r="J5" s="27" t="str">
        <x:f>'Inputs_Trades'!M5</x:f>
        <x:v>GBP/USD</x:v>
      </x:c>
      <x:c r="K5" s="27" t="n">
        <x:f>'Inputs_Trades'!N5</x:f>
        <x:v>0</x:v>
      </x:c>
      <x:c r="L5" s="27" t="n">
        <x:f>'Inputs_Trades'!O5</x:f>
        <x:v>0</x:v>
      </x:c>
      <x:c r="M5" s="39" t="n">
        <x:f>'Inputs_Trades'!A5</x:f>
        <x:v>45702</x:v>
      </x:c>
      <x:c r="N5" s="39" t="n">
        <x:f>'Inputs_Trades'!P5</x:f>
        <x:v>46497</x:v>
      </x:c>
      <x:c r="O5" s="39" t="n">
        <x:f>'Inputs_Trades'!Q5</x:f>
        <x:v>44872</x:v>
      </x:c>
      <x:c r="P5" s="39" t="n">
        <x:f>'Inputs_Trades'!R5</x:f>
        <x:v>46497</x:v>
      </x:c>
      <x:c r="Q5" s="40" t="n">
        <x:f>'Inputs_Trades'!U5</x:f>
        <x:v>59600000</x:v>
      </x:c>
      <x:c r="R5" s="40" t="n">
        <x:f>'Inputs_Trades'!S5</x:f>
        <x:v>47680000</x:v>
      </x:c>
      <x:c r="S5" s="40" t="n">
        <x:f>'Inputs_Trades'!T5</x:f>
        <x:v>59600000</x:v>
      </x:c>
      <x:c r="T5" s="27" t="str">
        <x:f>'Inputs_Trades'!V5</x:f>
        <x:v>U</x:v>
      </x:c>
      <x:c r="U5" s="27" t="str">
        <x:f>'Inputs_Trades'!W5</x:f>
        <x:v>N</x:v>
      </x:c>
      <x:c r="V5" s="27" t="n">
        <x:f>'Inputs_Trades'!X5</x:f>
        <x:v>0</x:v>
      </x:c>
      <x:c r="W5" s="27" t="str">
        <x:f>'Inputs_Trades'!Y5</x:f>
        <x:v>B</x:v>
      </x:c>
      <x:c r="X5" s="27" t="n">
        <x:f>'Inputs_Trades'!AA5</x:f>
        <x:v>0</x:v>
      </x:c>
      <x:c r="Y5" s="27" t="n">
        <x:f>'Inputs_Trades'!AB5</x:f>
        <x:v>0</x:v>
      </x:c>
      <x:c r="Z5" s="27" t="n">
        <x:f>'Inputs_Trades'!AC5</x:f>
        <x:v>0</x:v>
      </x:c>
      <x:c r="AA5" s="39" t="n">
        <x:f>'Inputs_Trades'!Z5</x:f>
        <x:v>0</x:v>
      </x:c>
      <x:c r="AB5" s="40" t="n">
        <x:f>'Inputs_Trades'!AD5</x:f>
        <x:v>396936</x:v>
      </x:c>
      <x:c r="AC5" s="27" t="n">
        <x:f>'Inputs_Trades'!K5</x:f>
        <x:v>0</x:v>
      </x:c>
      <x:c r="AD5" s="27" t="n">
        <x:f>N5-M5</x:f>
        <x:v>795</x:v>
      </x:c>
      <x:c r="AE5" s="41" t="n">
        <x:f>AD5/365</x:f>
        <x:v>2.1780821917808217</x:v>
      </x:c>
      <x:c r="AF5" s="27" t="str">
        <x:f>IF(AE5&lt;1,"&lt;1Y",IF(AE5&lt;=5,"1Y-5Y","&gt;5Y"))</x:f>
        <x:v>1Y-5Y</x:v>
      </x:c>
      <x:c r="AG5" s="27" t="str">
        <x:f>IF(E5="Commodity",IFERROR(VLOOKUP(F5,Parameters!$P$4:$Q$12,2,FALSE),"Other"),"")</x:f>
      </x:c>
      <x:c r="AH5" s="27" t="str">
        <x:f>IF(F5="","Unknown",F5)</x:f>
        <x:v>Unknown</x:v>
      </x:c>
      <x:c r="AI5" s="27" t="str">
        <x:f>IF(E5="Interest Rate",G5&amp;IF(OR(LOWER(AC5)="basis",LOWER(AC5)="volatility"),"_"&amp;AC5,""),IF(E5="FX",IF(H5&lt;I5,H5&amp;"/"&amp;I5,I5&amp;"/"&amp;H5)&amp;IF(OR(LOWER(AC5)="basis",LOWER(AC5)="volatility"),"_"&amp;AC5,""),IF(OR(E5="Credit",E5="Equity"),J5&amp;IF(OR(LOWER(AC5)="basis",LOWER(AC5)="volatility"),"_"&amp;AC5,""),IF(E5="Commodity",AG5&amp;IF(OR(LOWER(AC5)="basis",LOWER(AC5)="volatility"),"_"&amp;AC5,""),"UNKNOWN"))))</x:f>
        <x:v>GBP/USD</x:v>
      </x:c>
      <x:c r="AJ5" s="27" t="str">
        <x:f>T5</x:f>
        <x:v>U</x:v>
      </x:c>
      <x:c r="AK5" s="41" t="n">
        <x:f>IF(E5="Interest Rate",VLOOKUP("Interest Rate",Parameters!$D$4:$E$12,2,FALSE),IF(E5="FX",VLOOKUP("FX",Parameters!$D$4:$E$12,2,FALSE),IF(E5="Credit",IFERROR(VLOOKUP(L5,Parameters!$G$4:$H$12,2,FALSE),VLOOKUP("BBB",Parameters!$G$4:$H$12,2,FALSE)),IF(E5="Equity",VLOOKUP(IF(LOWER(K5)="index","Equity Index","Equity Single Name"),Parameters!$D$4:$E$12,2,FALSE),IF(E5="Commodity",VLOOKUP(IFERROR(VLOOKUP(F5,Parameters!$S$4:$T$12,2,FALSE),"Commodity Other"),Parameters!$D$4:$E$12,2,FALSE),0)))))</x:f>
        <x:v>0.04</x:v>
      </x:c>
      <x:c r="AL5" s="42" t="n">
        <x:f>IF(LOWER(AC5)="basis",Parameters!$B$8,IF(LOWER(AC5)="volatility",Parameters!$B$9,1))</x:f>
        <x:v>1</x:v>
      </x:c>
      <x:c r="AM5" s="41" t="n">
        <x:f>AK5*AL5</x:f>
        <x:v>0.04</x:v>
      </x:c>
      <x:c r="AN5" s="42" t="str">
        <x:f>IF(E5="Credit",VLOOKUP(IF(LOWER(K5)="index","Credit Index","Credit Single Name"),Parameters!$J$4:$K$8,2,FALSE),IF(E5="Equity",VLOOKUP(IF(LOWER(K5)="index","Equity Index","Equity Single Name"),Parameters!$J$4:$K$8,2,FALSE),IF(E5="Commodity",VLOOKUP("Commodity",Parameters!$J$4:$K$8,2,FALSE),"")))</x:f>
      </x:c>
      <x:c r="AO5" s="27" t="n">
        <x:f>MAX((O5-M5)/365,0)</x:f>
        <x:v>0</x:v>
      </x:c>
      <x:c r="AP5" s="27" t="n">
        <x:f>MAX((P5-M5)/365,10/Parameters!$B$6)</x:f>
        <x:v>2.1780821917808217</x:v>
      </x:c>
      <x:c r="AQ5" s="27" t="n">
        <x:f>IF(AP5&lt;=AO5,AO5+10/Parameters!$B$6,AP5)</x:f>
        <x:v>2.1780821917808217</x:v>
      </x:c>
      <x:c r="AR5" s="41" t="n">
        <x:f>IF(OR(E5="Interest Rate",E5="Credit"),(EXP(-Parameters!$B$7*AO5)-EXP(-Parameters!$B$7*AQ5))/Parameters!$B$7,1)</x:f>
        <x:v>1</x:v>
      </x:c>
      <x:c r="AS5" s="40" t="n">
        <x:f>IF(OR(E5="Interest Rate",E5="Credit"),ABS(Q5)*AR5,IF(E5="FX",IF(Q5&gt;0,Q5,MAX(ABS(R5),ABS(S5),ABS(Q5))),ABS(Q5)))</x:f>
        <x:v>59600000</x:v>
      </x:c>
      <x:c r="AT5" s="42" t="n">
        <x:f>IF(OR(E5="Interest Rate",E5="FX"),VLOOKUP(E5,Parameters!$M$4:$N$11,2,FALSE),IF(E5="Credit",VLOOKUP(IF(LOWER(K5)="index","Credit Index","Credit Single Name"),Parameters!$M$4:$N$11,2,FALSE),IF(E5="Equity",VLOOKUP(IF(LOWER(K5)="index","Equity Index","Equity Single Name"),Parameters!$M$4:$N$11,2,FALSE),IF(E5="Commodity",VLOOKUP(IF(F5="Electricity","Commodity Electricity","Commodity Other"),Parameters!$M$4:$N$11,2,FALSE),1))))</x:f>
        <x:v>0.15</x:v>
      </x:c>
      <x:c r="AU5" s="27" t="n">
        <x:f>IF(W5="B",1,-1)</x:f>
        <x:v>1</x:v>
      </x:c>
      <x:c r="AV5" s="27" t="n">
        <x:f>IF(OR(AA5="",M5=""),MAX(AE5,1/365),MAX((AA5-M5)/365,1/365))</x:f>
        <x:v>2.1780821917808217</x:v>
      </x:c>
      <x:c r="AW5" s="41" t="str">
        <x:f>IF(OR(Z5&lt;=0,Y5&lt;=0,AT5&lt;=0,AV5&lt;=0),"",(LN(Z5/Y5)+0.5*AT5^2*AV5)/(AT5*SQRT(AV5)))</x:f>
      </x:c>
      <x:c r="AX5" s="41" t="n">
        <x:f>IF(AND(X5&lt;&gt;"C",X5&lt;&gt;"P"),AU5,IF(AW5="",AU5,IF(X5="C",AU5*0.5*(1+ERF(AW5/SQRT(2))),-AU5*0.5*(1+ERF(-AW5/SQRT(2))))))</x:f>
        <x:v>1</x:v>
      </x:c>
      <x:c r="AY5" s="41" t="n">
        <x:f>IF(AJ5="M",1.5*SQRT(MAX(IF(U5="Y",5,10),IF(V5="",10,V5))/Parameters!$B$6),SQRT(MIN(MAX(AE5,10/Parameters!$B$6),1)))</x:f>
        <x:v>1</x:v>
      </x:c>
      <x:c r="AZ5" s="40" t="n">
        <x:f>AS5*AX5*AY5</x:f>
        <x:v>59600000</x:v>
      </x:c>
      <x:c r="BA5" s="40" t="n">
        <x:f>'Python_Trade_Output'!AZ5</x:f>
        <x:v>59600000</x:v>
      </x:c>
      <x:c r="BB5" s="43" t="n">
        <x:f>AZ5-BA5</x:f>
        <x:v>0</x:v>
      </x:c>
    </x:row>
    <x:row r="6">
      <x:c r="A6" s="27" t="str">
        <x:f>'Inputs_Trades'!D6</x:f>
        <x:v>IND-000003</x:v>
      </x:c>
      <x:c r="B6" s="27" t="str">
        <x:f>'Inputs_Trades'!B6</x:f>
        <x:v>IND_CLEARING_MEMBER_001</x:v>
      </x:c>
      <x:c r="C6" s="27" t="n">
        <x:f>'Inputs_Trades'!C6</x:f>
        <x:v>3206</x:v>
      </x:c>
      <x:c r="D6" s="27" t="str">
        <x:f>'Inputs_Trades'!E6</x:f>
        <x:v>FX Forward</x:v>
      </x:c>
      <x:c r="E6" s="27" t="str">
        <x:f>'Inputs_Trades'!F6</x:f>
        <x:v>FX</x:v>
      </x:c>
      <x:c r="F6" s="27" t="n">
        <x:f>'Inputs_Trades'!G6</x:f>
        <x:v>0</x:v>
      </x:c>
      <x:c r="G6" s="27" t="str">
        <x:f>'Inputs_Trades'!J6</x:f>
        <x:v>USD</x:v>
      </x:c>
      <x:c r="H6" s="27" t="str">
        <x:f>'Inputs_Trades'!H6</x:f>
        <x:v>USD</x:v>
      </x:c>
      <x:c r="I6" s="27" t="str">
        <x:f>'Inputs_Trades'!I6</x:f>
        <x:v>CNY</x:v>
      </x:c>
      <x:c r="J6" s="27" t="str">
        <x:f>'Inputs_Trades'!M6</x:f>
        <x:v>USD/CNY</x:v>
      </x:c>
      <x:c r="K6" s="27" t="n">
        <x:f>'Inputs_Trades'!N6</x:f>
        <x:v>0</x:v>
      </x:c>
      <x:c r="L6" s="27" t="n">
        <x:f>'Inputs_Trades'!O6</x:f>
        <x:v>0</x:v>
      </x:c>
      <x:c r="M6" s="39" t="n">
        <x:f>'Inputs_Trades'!A6</x:f>
        <x:v>45702</x:v>
      </x:c>
      <x:c r="N6" s="39" t="n">
        <x:f>'Inputs_Trades'!P6</x:f>
        <x:v>47674</x:v>
      </x:c>
      <x:c r="O6" s="39" t="n">
        <x:f>'Inputs_Trades'!Q6</x:f>
        <x:v>45320</x:v>
      </x:c>
      <x:c r="P6" s="39" t="n">
        <x:f>'Inputs_Trades'!R6</x:f>
        <x:v>47674</x:v>
      </x:c>
      <x:c r="Q6" s="40" t="n">
        <x:f>'Inputs_Trades'!U6</x:f>
        <x:v>13100000</x:v>
      </x:c>
      <x:c r="R6" s="40" t="n">
        <x:f>'Inputs_Trades'!S6</x:f>
        <x:v>13100000</x:v>
      </x:c>
      <x:c r="S6" s="40" t="n">
        <x:f>'Inputs_Trades'!T6</x:f>
        <x:v>93571428.57</x:v>
      </x:c>
      <x:c r="T6" s="27" t="str">
        <x:f>'Inputs_Trades'!V6</x:f>
        <x:v>M</x:v>
      </x:c>
      <x:c r="U6" s="27" t="str">
        <x:f>'Inputs_Trades'!W6</x:f>
        <x:v>N</x:v>
      </x:c>
      <x:c r="V6" s="27" t="n">
        <x:f>'Inputs_Trades'!X6</x:f>
        <x:v>10</x:v>
      </x:c>
      <x:c r="W6" s="27" t="str">
        <x:f>'Inputs_Trades'!Y6</x:f>
        <x:v>S</x:v>
      </x:c>
      <x:c r="X6" s="27" t="n">
        <x:f>'Inputs_Trades'!AA6</x:f>
        <x:v>0</x:v>
      </x:c>
      <x:c r="Y6" s="27" t="n">
        <x:f>'Inputs_Trades'!AB6</x:f>
        <x:v>0</x:v>
      </x:c>
      <x:c r="Z6" s="27" t="n">
        <x:f>'Inputs_Trades'!AC6</x:f>
        <x:v>0</x:v>
      </x:c>
      <x:c r="AA6" s="39" t="n">
        <x:f>'Inputs_Trades'!Z6</x:f>
        <x:v>0</x:v>
      </x:c>
      <x:c r="AB6" s="40" t="n">
        <x:f>'Inputs_Trades'!AD6</x:f>
        <x:v>75980</x:v>
      </x:c>
      <x:c r="AC6" s="27" t="n">
        <x:f>'Inputs_Trades'!K6</x:f>
        <x:v>0</x:v>
      </x:c>
      <x:c r="AD6" s="27" t="n">
        <x:f>N6-M6</x:f>
        <x:v>1972</x:v>
      </x:c>
      <x:c r="AE6" s="41" t="n">
        <x:f>AD6/365</x:f>
        <x:v>5.402739726027397</x:v>
      </x:c>
      <x:c r="AF6" s="27" t="str">
        <x:f>IF(AE6&lt;1,"&lt;1Y",IF(AE6&lt;=5,"1Y-5Y","&gt;5Y"))</x:f>
        <x:v>&gt;5Y</x:v>
      </x:c>
      <x:c r="AG6" s="27" t="str">
        <x:f>IF(E6="Commodity",IFERROR(VLOOKUP(F6,Parameters!$P$4:$Q$12,2,FALSE),"Other"),"")</x:f>
      </x:c>
      <x:c r="AH6" s="27" t="str">
        <x:f>IF(F6="","Unknown",F6)</x:f>
        <x:v>Unknown</x:v>
      </x:c>
      <x:c r="AI6" s="27" t="str">
        <x:f>IF(E6="Interest Rate",G6&amp;IF(OR(LOWER(AC6)="basis",LOWER(AC6)="volatility"),"_"&amp;AC6,""),IF(E6="FX",IF(H6&lt;I6,H6&amp;"/"&amp;I6,I6&amp;"/"&amp;H6)&amp;IF(OR(LOWER(AC6)="basis",LOWER(AC6)="volatility"),"_"&amp;AC6,""),IF(OR(E6="Credit",E6="Equity"),J6&amp;IF(OR(LOWER(AC6)="basis",LOWER(AC6)="volatility"),"_"&amp;AC6,""),IF(E6="Commodity",AG6&amp;IF(OR(LOWER(AC6)="basis",LOWER(AC6)="volatility"),"_"&amp;AC6,""),"UNKNOWN"))))</x:f>
        <x:v>CNY/USD</x:v>
      </x:c>
      <x:c r="AJ6" s="27" t="str">
        <x:f>T6</x:f>
        <x:v>M</x:v>
      </x:c>
      <x:c r="AK6" s="41" t="n">
        <x:f>IF(E6="Interest Rate",VLOOKUP("Interest Rate",Parameters!$D$4:$E$12,2,FALSE),IF(E6="FX",VLOOKUP("FX",Parameters!$D$4:$E$12,2,FALSE),IF(E6="Credit",IFERROR(VLOOKUP(L6,Parameters!$G$4:$H$12,2,FALSE),VLOOKUP("BBB",Parameters!$G$4:$H$12,2,FALSE)),IF(E6="Equity",VLOOKUP(IF(LOWER(K6)="index","Equity Index","Equity Single Name"),Parameters!$D$4:$E$12,2,FALSE),IF(E6="Commodity",VLOOKUP(IFERROR(VLOOKUP(F6,Parameters!$S$4:$T$12,2,FALSE),"Commodity Other"),Parameters!$D$4:$E$12,2,FALSE),0)))))</x:f>
        <x:v>0.04</x:v>
      </x:c>
      <x:c r="AL6" s="42" t="n">
        <x:f>IF(LOWER(AC6)="basis",Parameters!$B$8,IF(LOWER(AC6)="volatility",Parameters!$B$9,1))</x:f>
        <x:v>1</x:v>
      </x:c>
      <x:c r="AM6" s="41" t="n">
        <x:f>AK6*AL6</x:f>
        <x:v>0.04</x:v>
      </x:c>
      <x:c r="AN6" s="42" t="str">
        <x:f>IF(E6="Credit",VLOOKUP(IF(LOWER(K6)="index","Credit Index","Credit Single Name"),Parameters!$J$4:$K$8,2,FALSE),IF(E6="Equity",VLOOKUP(IF(LOWER(K6)="index","Equity Index","Equity Single Name"),Parameters!$J$4:$K$8,2,FALSE),IF(E6="Commodity",VLOOKUP("Commodity",Parameters!$J$4:$K$8,2,FALSE),"")))</x:f>
      </x:c>
      <x:c r="AO6" s="27" t="n">
        <x:f>MAX((O6-M6)/365,0)</x:f>
        <x:v>0</x:v>
      </x:c>
      <x:c r="AP6" s="27" t="n">
        <x:f>MAX((P6-M6)/365,10/Parameters!$B$6)</x:f>
        <x:v>5.402739726027397</x:v>
      </x:c>
      <x:c r="AQ6" s="27" t="n">
        <x:f>IF(AP6&lt;=AO6,AO6+10/Parameters!$B$6,AP6)</x:f>
        <x:v>5.402739726027397</x:v>
      </x:c>
      <x:c r="AR6" s="41" t="n">
        <x:f>IF(OR(E6="Interest Rate",E6="Credit"),(EXP(-Parameters!$B$7*AO6)-EXP(-Parameters!$B$7*AQ6))/Parameters!$B$7,1)</x:f>
        <x:v>1</x:v>
      </x:c>
      <x:c r="AS6" s="40" t="n">
        <x:f>IF(OR(E6="Interest Rate",E6="Credit"),ABS(Q6)*AR6,IF(E6="FX",IF(Q6&gt;0,Q6,MAX(ABS(R6),ABS(S6),ABS(Q6))),ABS(Q6)))</x:f>
        <x:v>13100000</x:v>
      </x:c>
      <x:c r="AT6" s="42" t="n">
        <x:f>IF(OR(E6="Interest Rate",E6="FX"),VLOOKUP(E6,Parameters!$M$4:$N$11,2,FALSE),IF(E6="Credit",VLOOKUP(IF(LOWER(K6)="index","Credit Index","Credit Single Name"),Parameters!$M$4:$N$11,2,FALSE),IF(E6="Equity",VLOOKUP(IF(LOWER(K6)="index","Equity Index","Equity Single Name"),Parameters!$M$4:$N$11,2,FALSE),IF(E6="Commodity",VLOOKUP(IF(F6="Electricity","Commodity Electricity","Commodity Other"),Parameters!$M$4:$N$11,2,FALSE),1))))</x:f>
        <x:v>0.15</x:v>
      </x:c>
      <x:c r="AU6" s="27" t="n">
        <x:f>IF(W6="B",1,-1)</x:f>
        <x:v>-1</x:v>
      </x:c>
      <x:c r="AV6" s="27" t="n">
        <x:f>IF(OR(AA6="",M6=""),MAX(AE6,1/365),MAX((AA6-M6)/365,1/365))</x:f>
        <x:v>5.402739726027397</x:v>
      </x:c>
      <x:c r="AW6" s="41" t="str">
        <x:f>IF(OR(Z6&lt;=0,Y6&lt;=0,AT6&lt;=0,AV6&lt;=0),"",(LN(Z6/Y6)+0.5*AT6^2*AV6)/(AT6*SQRT(AV6)))</x:f>
      </x:c>
      <x:c r="AX6" s="41" t="n">
        <x:f>IF(AND(X6&lt;&gt;"C",X6&lt;&gt;"P"),AU6,IF(AW6="",AU6,IF(X6="C",AU6*0.5*(1+ERF(AW6/SQRT(2))),-AU6*0.5*(1+ERF(-AW6/SQRT(2))))))</x:f>
        <x:v>-1</x:v>
      </x:c>
      <x:c r="AY6" s="41" t="n">
        <x:f>IF(AJ6="M",1.5*SQRT(MAX(IF(U6="Y",5,10),IF(V6="",10,V6))/Parameters!$B$6),SQRT(MIN(MAX(AE6,10/Parameters!$B$6),1)))</x:f>
        <x:v>0.30000000000000004</x:v>
      </x:c>
      <x:c r="AZ6" s="40" t="n">
        <x:f>AS6*AX6*AY6</x:f>
        <x:v>-3930000.0000000005</x:v>
      </x:c>
      <x:c r="BA6" s="40" t="n">
        <x:f>'Python_Trade_Output'!AZ6</x:f>
        <x:v>-3930000.0000000005</x:v>
      </x:c>
      <x:c r="BB6" s="43" t="n">
        <x:f>AZ6-BA6</x:f>
        <x:v>0</x:v>
      </x:c>
    </x:row>
    <x:row r="7">
      <x:c r="A7" s="27" t="str">
        <x:f>'Inputs_Trades'!D7</x:f>
        <x:v>IND-000004</x:v>
      </x:c>
      <x:c r="B7" s="27" t="str">
        <x:f>'Inputs_Trades'!B7</x:f>
        <x:v>IND_CORPORATE_002</x:v>
      </x:c>
      <x:c r="C7" s="27" t="n">
        <x:f>'Inputs_Trades'!C7</x:f>
        <x:v>3187</x:v>
      </x:c>
      <x:c r="D7" s="27" t="str">
        <x:f>'Inputs_Trades'!E7</x:f>
        <x:v>FX Forward</x:v>
      </x:c>
      <x:c r="E7" s="27" t="str">
        <x:f>'Inputs_Trades'!F7</x:f>
        <x:v>FX</x:v>
      </x:c>
      <x:c r="F7" s="27" t="n">
        <x:f>'Inputs_Trades'!G7</x:f>
        <x:v>0</x:v>
      </x:c>
      <x:c r="G7" s="27" t="str">
        <x:f>'Inputs_Trades'!J7</x:f>
        <x:v>USD</x:v>
      </x:c>
      <x:c r="H7" s="27" t="str">
        <x:f>'Inputs_Trades'!H7</x:f>
        <x:v>EUR</x:v>
      </x:c>
      <x:c r="I7" s="27" t="str">
        <x:f>'Inputs_Trades'!I7</x:f>
        <x:v>USD</x:v>
      </x:c>
      <x:c r="J7" s="27" t="str">
        <x:f>'Inputs_Trades'!M7</x:f>
        <x:v>EUR/USD</x:v>
      </x:c>
      <x:c r="K7" s="27" t="n">
        <x:f>'Inputs_Trades'!N7</x:f>
        <x:v>0</x:v>
      </x:c>
      <x:c r="L7" s="27" t="n">
        <x:f>'Inputs_Trades'!O7</x:f>
        <x:v>0</x:v>
      </x:c>
      <x:c r="M7" s="39" t="n">
        <x:f>'Inputs_Trades'!A7</x:f>
        <x:v>45702</x:v>
      </x:c>
      <x:c r="N7" s="39" t="n">
        <x:f>'Inputs_Trades'!P7</x:f>
        <x:v>46168</x:v>
      </x:c>
      <x:c r="O7" s="39" t="n">
        <x:f>'Inputs_Trades'!Q7</x:f>
        <x:v>44940</x:v>
      </x:c>
      <x:c r="P7" s="39" t="n">
        <x:f>'Inputs_Trades'!R7</x:f>
        <x:v>46168</x:v>
      </x:c>
      <x:c r="Q7" s="40" t="n">
        <x:f>'Inputs_Trades'!U7</x:f>
        <x:v>30200000</x:v>
      </x:c>
      <x:c r="R7" s="40" t="n">
        <x:f>'Inputs_Trades'!S7</x:f>
        <x:v>28761904.76</x:v>
      </x:c>
      <x:c r="S7" s="40" t="n">
        <x:f>'Inputs_Trades'!T7</x:f>
        <x:v>30200000</x:v>
      </x:c>
      <x:c r="T7" s="27" t="str">
        <x:f>'Inputs_Trades'!V7</x:f>
        <x:v>U</x:v>
      </x:c>
      <x:c r="U7" s="27" t="str">
        <x:f>'Inputs_Trades'!W7</x:f>
        <x:v>N</x:v>
      </x:c>
      <x:c r="V7" s="27" t="n">
        <x:f>'Inputs_Trades'!X7</x:f>
        <x:v>0</x:v>
      </x:c>
      <x:c r="W7" s="27" t="str">
        <x:f>'Inputs_Trades'!Y7</x:f>
        <x:v>B</x:v>
      </x:c>
      <x:c r="X7" s="27" t="n">
        <x:f>'Inputs_Trades'!AA7</x:f>
        <x:v>0</x:v>
      </x:c>
      <x:c r="Y7" s="27" t="n">
        <x:f>'Inputs_Trades'!AB7</x:f>
        <x:v>0</x:v>
      </x:c>
      <x:c r="Z7" s="27" t="n">
        <x:f>'Inputs_Trades'!AC7</x:f>
        <x:v>0</x:v>
      </x:c>
      <x:c r="AA7" s="39" t="n">
        <x:f>'Inputs_Trades'!Z7</x:f>
        <x:v>0</x:v>
      </x:c>
      <x:c r="AB7" s="40" t="n">
        <x:f>'Inputs_Trades'!AD7</x:f>
        <x:v>-173348</x:v>
      </x:c>
      <x:c r="AC7" s="27" t="n">
        <x:f>'Inputs_Trades'!K7</x:f>
        <x:v>0</x:v>
      </x:c>
      <x:c r="AD7" s="27" t="n">
        <x:f>N7-M7</x:f>
        <x:v>466</x:v>
      </x:c>
      <x:c r="AE7" s="41" t="n">
        <x:f>AD7/365</x:f>
        <x:v>1.2767123287671234</x:v>
      </x:c>
      <x:c r="AF7" s="27" t="str">
        <x:f>IF(AE7&lt;1,"&lt;1Y",IF(AE7&lt;=5,"1Y-5Y","&gt;5Y"))</x:f>
        <x:v>1Y-5Y</x:v>
      </x:c>
      <x:c r="AG7" s="27" t="str">
        <x:f>IF(E7="Commodity",IFERROR(VLOOKUP(F7,Parameters!$P$4:$Q$12,2,FALSE),"Other"),"")</x:f>
      </x:c>
      <x:c r="AH7" s="27" t="str">
        <x:f>IF(F7="","Unknown",F7)</x:f>
        <x:v>Unknown</x:v>
      </x:c>
      <x:c r="AI7" s="27" t="str">
        <x:f>IF(E7="Interest Rate",G7&amp;IF(OR(LOWER(AC7)="basis",LOWER(AC7)="volatility"),"_"&amp;AC7,""),IF(E7="FX",IF(H7&lt;I7,H7&amp;"/"&amp;I7,I7&amp;"/"&amp;H7)&amp;IF(OR(LOWER(AC7)="basis",LOWER(AC7)="volatility"),"_"&amp;AC7,""),IF(OR(E7="Credit",E7="Equity"),J7&amp;IF(OR(LOWER(AC7)="basis",LOWER(AC7)="volatility"),"_"&amp;AC7,""),IF(E7="Commodity",AG7&amp;IF(OR(LOWER(AC7)="basis",LOWER(AC7)="volatility"),"_"&amp;AC7,""),"UNKNOWN"))))</x:f>
        <x:v>EUR/USD</x:v>
      </x:c>
      <x:c r="AJ7" s="27" t="str">
        <x:f>T7</x:f>
        <x:v>U</x:v>
      </x:c>
      <x:c r="AK7" s="41" t="n">
        <x:f>IF(E7="Interest Rate",VLOOKUP("Interest Rate",Parameters!$D$4:$E$12,2,FALSE),IF(E7="FX",VLOOKUP("FX",Parameters!$D$4:$E$12,2,FALSE),IF(E7="Credit",IFERROR(VLOOKUP(L7,Parameters!$G$4:$H$12,2,FALSE),VLOOKUP("BBB",Parameters!$G$4:$H$12,2,FALSE)),IF(E7="Equity",VLOOKUP(IF(LOWER(K7)="index","Equity Index","Equity Single Name"),Parameters!$D$4:$E$12,2,FALSE),IF(E7="Commodity",VLOOKUP(IFERROR(VLOOKUP(F7,Parameters!$S$4:$T$12,2,FALSE),"Commodity Other"),Parameters!$D$4:$E$12,2,FALSE),0)))))</x:f>
        <x:v>0.04</x:v>
      </x:c>
      <x:c r="AL7" s="42" t="n">
        <x:f>IF(LOWER(AC7)="basis",Parameters!$B$8,IF(LOWER(AC7)="volatility",Parameters!$B$9,1))</x:f>
        <x:v>1</x:v>
      </x:c>
      <x:c r="AM7" s="41" t="n">
        <x:f>AK7*AL7</x:f>
        <x:v>0.04</x:v>
      </x:c>
      <x:c r="AN7" s="42" t="str">
        <x:f>IF(E7="Credit",VLOOKUP(IF(LOWER(K7)="index","Credit Index","Credit Single Name"),Parameters!$J$4:$K$8,2,FALSE),IF(E7="Equity",VLOOKUP(IF(LOWER(K7)="index","Equity Index","Equity Single Name"),Parameters!$J$4:$K$8,2,FALSE),IF(E7="Commodity",VLOOKUP("Commodity",Parameters!$J$4:$K$8,2,FALSE),"")))</x:f>
      </x:c>
      <x:c r="AO7" s="27" t="n">
        <x:f>MAX((O7-M7)/365,0)</x:f>
        <x:v>0</x:v>
      </x:c>
      <x:c r="AP7" s="27" t="n">
        <x:f>MAX((P7-M7)/365,10/Parameters!$B$6)</x:f>
        <x:v>1.2767123287671234</x:v>
      </x:c>
      <x:c r="AQ7" s="27" t="n">
        <x:f>IF(AP7&lt;=AO7,AO7+10/Parameters!$B$6,AP7)</x:f>
        <x:v>1.2767123287671234</x:v>
      </x:c>
      <x:c r="AR7" s="41" t="n">
        <x:f>IF(OR(E7="Interest Rate",E7="Credit"),(EXP(-Parameters!$B$7*AO7)-EXP(-Parameters!$B$7*AQ7))/Parameters!$B$7,1)</x:f>
        <x:v>1</x:v>
      </x:c>
      <x:c r="AS7" s="40" t="n">
        <x:f>IF(OR(E7="Interest Rate",E7="Credit"),ABS(Q7)*AR7,IF(E7="FX",IF(Q7&gt;0,Q7,MAX(ABS(R7),ABS(S7),ABS(Q7))),ABS(Q7)))</x:f>
        <x:v>30200000</x:v>
      </x:c>
      <x:c r="AT7" s="42" t="n">
        <x:f>IF(OR(E7="Interest Rate",E7="FX"),VLOOKUP(E7,Parameters!$M$4:$N$11,2,FALSE),IF(E7="Credit",VLOOKUP(IF(LOWER(K7)="index","Credit Index","Credit Single Name"),Parameters!$M$4:$N$11,2,FALSE),IF(E7="Equity",VLOOKUP(IF(LOWER(K7)="index","Equity Index","Equity Single Name"),Parameters!$M$4:$N$11,2,FALSE),IF(E7="Commodity",VLOOKUP(IF(F7="Electricity","Commodity Electricity","Commodity Other"),Parameters!$M$4:$N$11,2,FALSE),1))))</x:f>
        <x:v>0.15</x:v>
      </x:c>
      <x:c r="AU7" s="27" t="n">
        <x:f>IF(W7="B",1,-1)</x:f>
        <x:v>1</x:v>
      </x:c>
      <x:c r="AV7" s="27" t="n">
        <x:f>IF(OR(AA7="",M7=""),MAX(AE7,1/365),MAX((AA7-M7)/365,1/365))</x:f>
        <x:v>1.2767123287671234</x:v>
      </x:c>
      <x:c r="AW7" s="41" t="str">
        <x:f>IF(OR(Z7&lt;=0,Y7&lt;=0,AT7&lt;=0,AV7&lt;=0),"",(LN(Z7/Y7)+0.5*AT7^2*AV7)/(AT7*SQRT(AV7)))</x:f>
      </x:c>
      <x:c r="AX7" s="41" t="n">
        <x:f>IF(AND(X7&lt;&gt;"C",X7&lt;&gt;"P"),AU7,IF(AW7="",AU7,IF(X7="C",AU7*0.5*(1+ERF(AW7/SQRT(2))),-AU7*0.5*(1+ERF(-AW7/SQRT(2))))))</x:f>
        <x:v>1</x:v>
      </x:c>
      <x:c r="AY7" s="41" t="n">
        <x:f>IF(AJ7="M",1.5*SQRT(MAX(IF(U7="Y",5,10),IF(V7="",10,V7))/Parameters!$B$6),SQRT(MIN(MAX(AE7,10/Parameters!$B$6),1)))</x:f>
        <x:v>1</x:v>
      </x:c>
      <x:c r="AZ7" s="40" t="n">
        <x:f>AS7*AX7*AY7</x:f>
        <x:v>30200000</x:v>
      </x:c>
      <x:c r="BA7" s="40" t="n">
        <x:f>'Python_Trade_Output'!AZ7</x:f>
        <x:v>30200000</x:v>
      </x:c>
      <x:c r="BB7" s="43" t="n">
        <x:f>AZ7-BA7</x:f>
        <x:v>0</x:v>
      </x:c>
    </x:row>
    <x:row r="8">
      <x:c r="A8" s="27" t="str">
        <x:f>'Inputs_Trades'!D8</x:f>
        <x:v>IND-000005</x:v>
      </x:c>
      <x:c r="B8" s="27" t="str">
        <x:f>'Inputs_Trades'!B8</x:f>
        <x:v>IND_BANK_001</x:v>
      </x:c>
      <x:c r="C8" s="27" t="n">
        <x:f>'Inputs_Trades'!C8</x:f>
        <x:v>3214</x:v>
      </x:c>
      <x:c r="D8" s="27" t="str">
        <x:f>'Inputs_Trades'!E8</x:f>
        <x:v>FX Forward</x:v>
      </x:c>
      <x:c r="E8" s="27" t="str">
        <x:f>'Inputs_Trades'!F8</x:f>
        <x:v>FX</x:v>
      </x:c>
      <x:c r="F8" s="27" t="n">
        <x:f>'Inputs_Trades'!G8</x:f>
        <x:v>0</x:v>
      </x:c>
      <x:c r="G8" s="27" t="str">
        <x:f>'Inputs_Trades'!J8</x:f>
        <x:v>USD</x:v>
      </x:c>
      <x:c r="H8" s="27" t="str">
        <x:f>'Inputs_Trades'!H8</x:f>
        <x:v>AUD</x:v>
      </x:c>
      <x:c r="I8" s="27" t="str">
        <x:f>'Inputs_Trades'!I8</x:f>
        <x:v>USD</x:v>
      </x:c>
      <x:c r="J8" s="27" t="str">
        <x:f>'Inputs_Trades'!M8</x:f>
        <x:v>AUD/USD</x:v>
      </x:c>
      <x:c r="K8" s="27" t="n">
        <x:f>'Inputs_Trades'!N8</x:f>
        <x:v>0</x:v>
      </x:c>
      <x:c r="L8" s="27" t="n">
        <x:f>'Inputs_Trades'!O8</x:f>
        <x:v>0</x:v>
      </x:c>
      <x:c r="M8" s="39" t="n">
        <x:f>'Inputs_Trades'!A8</x:f>
        <x:v>45702</x:v>
      </x:c>
      <x:c r="N8" s="39" t="n">
        <x:f>'Inputs_Trades'!P8</x:f>
        <x:v>46948</x:v>
      </x:c>
      <x:c r="O8" s="39" t="n">
        <x:f>'Inputs_Trades'!Q8</x:f>
        <x:v>45683</x:v>
      </x:c>
      <x:c r="P8" s="39" t="n">
        <x:f>'Inputs_Trades'!R8</x:f>
        <x:v>46948</x:v>
      </x:c>
      <x:c r="Q8" s="40" t="n">
        <x:f>'Inputs_Trades'!U8</x:f>
        <x:v>34600000</x:v>
      </x:c>
      <x:c r="R8" s="40" t="n">
        <x:f>'Inputs_Trades'!S8</x:f>
        <x:v>52424242.42</x:v>
      </x:c>
      <x:c r="S8" s="40" t="n">
        <x:f>'Inputs_Trades'!T8</x:f>
        <x:v>34600000</x:v>
      </x:c>
      <x:c r="T8" s="27" t="str">
        <x:f>'Inputs_Trades'!V8</x:f>
        <x:v>U</x:v>
      </x:c>
      <x:c r="U8" s="27" t="str">
        <x:f>'Inputs_Trades'!W8</x:f>
        <x:v>N</x:v>
      </x:c>
      <x:c r="V8" s="27" t="n">
        <x:f>'Inputs_Trades'!X8</x:f>
        <x:v>0</x:v>
      </x:c>
      <x:c r="W8" s="27" t="str">
        <x:f>'Inputs_Trades'!Y8</x:f>
        <x:v>B</x:v>
      </x:c>
      <x:c r="X8" s="27" t="n">
        <x:f>'Inputs_Trades'!AA8</x:f>
        <x:v>0</x:v>
      </x:c>
      <x:c r="Y8" s="27" t="n">
        <x:f>'Inputs_Trades'!AB8</x:f>
        <x:v>0</x:v>
      </x:c>
      <x:c r="Z8" s="27" t="n">
        <x:f>'Inputs_Trades'!AC8</x:f>
        <x:v>0</x:v>
      </x:c>
      <x:c r="AA8" s="39" t="n">
        <x:f>'Inputs_Trades'!Z8</x:f>
        <x:v>0</x:v>
      </x:c>
      <x:c r="AB8" s="40" t="n">
        <x:f>'Inputs_Trades'!AD8</x:f>
        <x:v>60204</x:v>
      </x:c>
      <x:c r="AC8" s="27" t="n">
        <x:f>'Inputs_Trades'!K8</x:f>
        <x:v>0</x:v>
      </x:c>
      <x:c r="AD8" s="27" t="n">
        <x:f>N8-M8</x:f>
        <x:v>1246</x:v>
      </x:c>
      <x:c r="AE8" s="41" t="n">
        <x:f>AD8/365</x:f>
        <x:v>3.4136986301369863</x:v>
      </x:c>
      <x:c r="AF8" s="27" t="str">
        <x:f>IF(AE8&lt;1,"&lt;1Y",IF(AE8&lt;=5,"1Y-5Y","&gt;5Y"))</x:f>
        <x:v>1Y-5Y</x:v>
      </x:c>
      <x:c r="AG8" s="27" t="str">
        <x:f>IF(E8="Commodity",IFERROR(VLOOKUP(F8,Parameters!$P$4:$Q$12,2,FALSE),"Other"),"")</x:f>
      </x:c>
      <x:c r="AH8" s="27" t="str">
        <x:f>IF(F8="","Unknown",F8)</x:f>
        <x:v>Unknown</x:v>
      </x:c>
      <x:c r="AI8" s="27" t="str">
        <x:f>IF(E8="Interest Rate",G8&amp;IF(OR(LOWER(AC8)="basis",LOWER(AC8)="volatility"),"_"&amp;AC8,""),IF(E8="FX",IF(H8&lt;I8,H8&amp;"/"&amp;I8,I8&amp;"/"&amp;H8)&amp;IF(OR(LOWER(AC8)="basis",LOWER(AC8)="volatility"),"_"&amp;AC8,""),IF(OR(E8="Credit",E8="Equity"),J8&amp;IF(OR(LOWER(AC8)="basis",LOWER(AC8)="volatility"),"_"&amp;AC8,""),IF(E8="Commodity",AG8&amp;IF(OR(LOWER(AC8)="basis",LOWER(AC8)="volatility"),"_"&amp;AC8,""),"UNKNOWN"))))</x:f>
        <x:v>AUD/USD</x:v>
      </x:c>
      <x:c r="AJ8" s="27" t="str">
        <x:f>T8</x:f>
        <x:v>U</x:v>
      </x:c>
      <x:c r="AK8" s="41" t="n">
        <x:f>IF(E8="Interest Rate",VLOOKUP("Interest Rate",Parameters!$D$4:$E$12,2,FALSE),IF(E8="FX",VLOOKUP("FX",Parameters!$D$4:$E$12,2,FALSE),IF(E8="Credit",IFERROR(VLOOKUP(L8,Parameters!$G$4:$H$12,2,FALSE),VLOOKUP("BBB",Parameters!$G$4:$H$12,2,FALSE)),IF(E8="Equity",VLOOKUP(IF(LOWER(K8)="index","Equity Index","Equity Single Name"),Parameters!$D$4:$E$12,2,FALSE),IF(E8="Commodity",VLOOKUP(IFERROR(VLOOKUP(F8,Parameters!$S$4:$T$12,2,FALSE),"Commodity Other"),Parameters!$D$4:$E$12,2,FALSE),0)))))</x:f>
        <x:v>0.04</x:v>
      </x:c>
      <x:c r="AL8" s="42" t="n">
        <x:f>IF(LOWER(AC8)="basis",Parameters!$B$8,IF(LOWER(AC8)="volatility",Parameters!$B$9,1))</x:f>
        <x:v>1</x:v>
      </x:c>
      <x:c r="AM8" s="41" t="n">
        <x:f>AK8*AL8</x:f>
        <x:v>0.04</x:v>
      </x:c>
      <x:c r="AN8" s="42" t="str">
        <x:f>IF(E8="Credit",VLOOKUP(IF(LOWER(K8)="index","Credit Index","Credit Single Name"),Parameters!$J$4:$K$8,2,FALSE),IF(E8="Equity",VLOOKUP(IF(LOWER(K8)="index","Equity Index","Equity Single Name"),Parameters!$J$4:$K$8,2,FALSE),IF(E8="Commodity",VLOOKUP("Commodity",Parameters!$J$4:$K$8,2,FALSE),"")))</x:f>
      </x:c>
      <x:c r="AO8" s="27" t="n">
        <x:f>MAX((O8-M8)/365,0)</x:f>
        <x:v>0</x:v>
      </x:c>
      <x:c r="AP8" s="27" t="n">
        <x:f>MAX((P8-M8)/365,10/Parameters!$B$6)</x:f>
        <x:v>3.4136986301369863</x:v>
      </x:c>
      <x:c r="AQ8" s="27" t="n">
        <x:f>IF(AP8&lt;=AO8,AO8+10/Parameters!$B$6,AP8)</x:f>
        <x:v>3.4136986301369863</x:v>
      </x:c>
      <x:c r="AR8" s="41" t="n">
        <x:f>IF(OR(E8="Interest Rate",E8="Credit"),(EXP(-Parameters!$B$7*AO8)-EXP(-Parameters!$B$7*AQ8))/Parameters!$B$7,1)</x:f>
        <x:v>1</x:v>
      </x:c>
      <x:c r="AS8" s="40" t="n">
        <x:f>IF(OR(E8="Interest Rate",E8="Credit"),ABS(Q8)*AR8,IF(E8="FX",IF(Q8&gt;0,Q8,MAX(ABS(R8),ABS(S8),ABS(Q8))),ABS(Q8)))</x:f>
        <x:v>34600000</x:v>
      </x:c>
      <x:c r="AT8" s="42" t="n">
        <x:f>IF(OR(E8="Interest Rate",E8="FX"),VLOOKUP(E8,Parameters!$M$4:$N$11,2,FALSE),IF(E8="Credit",VLOOKUP(IF(LOWER(K8)="index","Credit Index","Credit Single Name"),Parameters!$M$4:$N$11,2,FALSE),IF(E8="Equity",VLOOKUP(IF(LOWER(K8)="index","Equity Index","Equity Single Name"),Parameters!$M$4:$N$11,2,FALSE),IF(E8="Commodity",VLOOKUP(IF(F8="Electricity","Commodity Electricity","Commodity Other"),Parameters!$M$4:$N$11,2,FALSE),1))))</x:f>
        <x:v>0.15</x:v>
      </x:c>
      <x:c r="AU8" s="27" t="n">
        <x:f>IF(W8="B",1,-1)</x:f>
        <x:v>1</x:v>
      </x:c>
      <x:c r="AV8" s="27" t="n">
        <x:f>IF(OR(AA8="",M8=""),MAX(AE8,1/365),MAX((AA8-M8)/365,1/365))</x:f>
        <x:v>3.4136986301369863</x:v>
      </x:c>
      <x:c r="AW8" s="41" t="str">
        <x:f>IF(OR(Z8&lt;=0,Y8&lt;=0,AT8&lt;=0,AV8&lt;=0),"",(LN(Z8/Y8)+0.5*AT8^2*AV8)/(AT8*SQRT(AV8)))</x:f>
      </x:c>
      <x:c r="AX8" s="41" t="n">
        <x:f>IF(AND(X8&lt;&gt;"C",X8&lt;&gt;"P"),AU8,IF(AW8="",AU8,IF(X8="C",AU8*0.5*(1+ERF(AW8/SQRT(2))),-AU8*0.5*(1+ERF(-AW8/SQRT(2))))))</x:f>
        <x:v>1</x:v>
      </x:c>
      <x:c r="AY8" s="41" t="n">
        <x:f>IF(AJ8="M",1.5*SQRT(MAX(IF(U8="Y",5,10),IF(V8="",10,V8))/Parameters!$B$6),SQRT(MIN(MAX(AE8,10/Parameters!$B$6),1)))</x:f>
        <x:v>1</x:v>
      </x:c>
      <x:c r="AZ8" s="40" t="n">
        <x:f>AS8*AX8*AY8</x:f>
        <x:v>34600000</x:v>
      </x:c>
      <x:c r="BA8" s="40" t="n">
        <x:f>'Python_Trade_Output'!AZ8</x:f>
        <x:v>34600000</x:v>
      </x:c>
      <x:c r="BB8" s="43" t="n">
        <x:f>AZ8-BA8</x:f>
        <x:v>0</x:v>
      </x:c>
    </x:row>
    <x:row r="9">
      <x:c r="A9" s="27" t="str">
        <x:f>'Inputs_Trades'!D9</x:f>
        <x:v>IND-000006</x:v>
      </x:c>
      <x:c r="B9" s="27" t="str">
        <x:f>'Inputs_Trades'!B9</x:f>
        <x:v>IND_BANK_002</x:v>
      </x:c>
      <x:c r="C9" s="27" t="n">
        <x:f>'Inputs_Trades'!C9</x:f>
        <x:v>3331</x:v>
      </x:c>
      <x:c r="D9" s="27" t="str">
        <x:f>'Inputs_Trades'!E9</x:f>
        <x:v>FX Forward</x:v>
      </x:c>
      <x:c r="E9" s="27" t="str">
        <x:f>'Inputs_Trades'!F9</x:f>
        <x:v>FX</x:v>
      </x:c>
      <x:c r="F9" s="27" t="n">
        <x:f>'Inputs_Trades'!G9</x:f>
        <x:v>0</x:v>
      </x:c>
      <x:c r="G9" s="27" t="str">
        <x:f>'Inputs_Trades'!J9</x:f>
        <x:v>USD</x:v>
      </x:c>
      <x:c r="H9" s="27" t="str">
        <x:f>'Inputs_Trades'!H9</x:f>
        <x:v>AUD</x:v>
      </x:c>
      <x:c r="I9" s="27" t="str">
        <x:f>'Inputs_Trades'!I9</x:f>
        <x:v>USD</x:v>
      </x:c>
      <x:c r="J9" s="27" t="str">
        <x:f>'Inputs_Trades'!M9</x:f>
        <x:v>AUD/USD</x:v>
      </x:c>
      <x:c r="K9" s="27" t="n">
        <x:f>'Inputs_Trades'!N9</x:f>
        <x:v>0</x:v>
      </x:c>
      <x:c r="L9" s="27" t="n">
        <x:f>'Inputs_Trades'!O9</x:f>
        <x:v>0</x:v>
      </x:c>
      <x:c r="M9" s="39" t="n">
        <x:f>'Inputs_Trades'!A9</x:f>
        <x:v>45702</x:v>
      </x:c>
      <x:c r="N9" s="39" t="n">
        <x:f>'Inputs_Trades'!P9</x:f>
        <x:v>46314</x:v>
      </x:c>
      <x:c r="O9" s="39" t="n">
        <x:f>'Inputs_Trades'!Q9</x:f>
        <x:v>45485</x:v>
      </x:c>
      <x:c r="P9" s="39" t="n">
        <x:f>'Inputs_Trades'!R9</x:f>
        <x:v>46314</x:v>
      </x:c>
      <x:c r="Q9" s="40" t="n">
        <x:f>'Inputs_Trades'!U9</x:f>
        <x:v>18000000</x:v>
      </x:c>
      <x:c r="R9" s="40" t="n">
        <x:f>'Inputs_Trades'!S9</x:f>
        <x:v>27272727.27</x:v>
      </x:c>
      <x:c r="S9" s="40" t="n">
        <x:f>'Inputs_Trades'!T9</x:f>
        <x:v>18000000</x:v>
      </x:c>
      <x:c r="T9" s="27" t="str">
        <x:f>'Inputs_Trades'!V9</x:f>
        <x:v>M</x:v>
      </x:c>
      <x:c r="U9" s="27" t="str">
        <x:f>'Inputs_Trades'!W9</x:f>
        <x:v>N</x:v>
      </x:c>
      <x:c r="V9" s="27" t="n">
        <x:f>'Inputs_Trades'!X9</x:f>
        <x:v>10</x:v>
      </x:c>
      <x:c r="W9" s="27" t="str">
        <x:f>'Inputs_Trades'!Y9</x:f>
        <x:v>S</x:v>
      </x:c>
      <x:c r="X9" s="27" t="n">
        <x:f>'Inputs_Trades'!AA9</x:f>
        <x:v>0</x:v>
      </x:c>
      <x:c r="Y9" s="27" t="n">
        <x:f>'Inputs_Trades'!AB9</x:f>
        <x:v>0</x:v>
      </x:c>
      <x:c r="Z9" s="27" t="n">
        <x:f>'Inputs_Trades'!AC9</x:f>
        <x:v>0</x:v>
      </x:c>
      <x:c r="AA9" s="39" t="n">
        <x:f>'Inputs_Trades'!Z9</x:f>
        <x:v>0</x:v>
      </x:c>
      <x:c r="AB9" s="40" t="n">
        <x:f>'Inputs_Trades'!AD9</x:f>
        <x:v>41580</x:v>
      </x:c>
      <x:c r="AC9" s="27" t="n">
        <x:f>'Inputs_Trades'!K9</x:f>
        <x:v>0</x:v>
      </x:c>
      <x:c r="AD9" s="27" t="n">
        <x:f>N9-M9</x:f>
        <x:v>612</x:v>
      </x:c>
      <x:c r="AE9" s="41" t="n">
        <x:f>AD9/365</x:f>
        <x:v>1.6767123287671233</x:v>
      </x:c>
      <x:c r="AF9" s="27" t="str">
        <x:f>IF(AE9&lt;1,"&lt;1Y",IF(AE9&lt;=5,"1Y-5Y","&gt;5Y"))</x:f>
        <x:v>1Y-5Y</x:v>
      </x:c>
      <x:c r="AG9" s="27" t="str">
        <x:f>IF(E9="Commodity",IFERROR(VLOOKUP(F9,Parameters!$P$4:$Q$12,2,FALSE),"Other"),"")</x:f>
      </x:c>
      <x:c r="AH9" s="27" t="str">
        <x:f>IF(F9="","Unknown",F9)</x:f>
        <x:v>Unknown</x:v>
      </x:c>
      <x:c r="AI9" s="27" t="str">
        <x:f>IF(E9="Interest Rate",G9&amp;IF(OR(LOWER(AC9)="basis",LOWER(AC9)="volatility"),"_"&amp;AC9,""),IF(E9="FX",IF(H9&lt;I9,H9&amp;"/"&amp;I9,I9&amp;"/"&amp;H9)&amp;IF(OR(LOWER(AC9)="basis",LOWER(AC9)="volatility"),"_"&amp;AC9,""),IF(OR(E9="Credit",E9="Equity"),J9&amp;IF(OR(LOWER(AC9)="basis",LOWER(AC9)="volatility"),"_"&amp;AC9,""),IF(E9="Commodity",AG9&amp;IF(OR(LOWER(AC9)="basis",LOWER(AC9)="volatility"),"_"&amp;AC9,""),"UNKNOWN"))))</x:f>
        <x:v>AUD/USD</x:v>
      </x:c>
      <x:c r="AJ9" s="27" t="str">
        <x:f>T9</x:f>
        <x:v>M</x:v>
      </x:c>
      <x:c r="AK9" s="41" t="n">
        <x:f>IF(E9="Interest Rate",VLOOKUP("Interest Rate",Parameters!$D$4:$E$12,2,FALSE),IF(E9="FX",VLOOKUP("FX",Parameters!$D$4:$E$12,2,FALSE),IF(E9="Credit",IFERROR(VLOOKUP(L9,Parameters!$G$4:$H$12,2,FALSE),VLOOKUP("BBB",Parameters!$G$4:$H$12,2,FALSE)),IF(E9="Equity",VLOOKUP(IF(LOWER(K9)="index","Equity Index","Equity Single Name"),Parameters!$D$4:$E$12,2,FALSE),IF(E9="Commodity",VLOOKUP(IFERROR(VLOOKUP(F9,Parameters!$S$4:$T$12,2,FALSE),"Commodity Other"),Parameters!$D$4:$E$12,2,FALSE),0)))))</x:f>
        <x:v>0.04</x:v>
      </x:c>
      <x:c r="AL9" s="42" t="n">
        <x:f>IF(LOWER(AC9)="basis",Parameters!$B$8,IF(LOWER(AC9)="volatility",Parameters!$B$9,1))</x:f>
        <x:v>1</x:v>
      </x:c>
      <x:c r="AM9" s="41" t="n">
        <x:f>AK9*AL9</x:f>
        <x:v>0.04</x:v>
      </x:c>
      <x:c r="AN9" s="42" t="str">
        <x:f>IF(E9="Credit",VLOOKUP(IF(LOWER(K9)="index","Credit Index","Credit Single Name"),Parameters!$J$4:$K$8,2,FALSE),IF(E9="Equity",VLOOKUP(IF(LOWER(K9)="index","Equity Index","Equity Single Name"),Parameters!$J$4:$K$8,2,FALSE),IF(E9="Commodity",VLOOKUP("Commodity",Parameters!$J$4:$K$8,2,FALSE),"")))</x:f>
      </x:c>
      <x:c r="AO9" s="27" t="n">
        <x:f>MAX((O9-M9)/365,0)</x:f>
        <x:v>0</x:v>
      </x:c>
      <x:c r="AP9" s="27" t="n">
        <x:f>MAX((P9-M9)/365,10/Parameters!$B$6)</x:f>
        <x:v>1.6767123287671233</x:v>
      </x:c>
      <x:c r="AQ9" s="27" t="n">
        <x:f>IF(AP9&lt;=AO9,AO9+10/Parameters!$B$6,AP9)</x:f>
        <x:v>1.6767123287671233</x:v>
      </x:c>
      <x:c r="AR9" s="41" t="n">
        <x:f>IF(OR(E9="Interest Rate",E9="Credit"),(EXP(-Parameters!$B$7*AO9)-EXP(-Parameters!$B$7*AQ9))/Parameters!$B$7,1)</x:f>
        <x:v>1</x:v>
      </x:c>
      <x:c r="AS9" s="40" t="n">
        <x:f>IF(OR(E9="Interest Rate",E9="Credit"),ABS(Q9)*AR9,IF(E9="FX",IF(Q9&gt;0,Q9,MAX(ABS(R9),ABS(S9),ABS(Q9))),ABS(Q9)))</x:f>
        <x:v>18000000</x:v>
      </x:c>
      <x:c r="AT9" s="42" t="n">
        <x:f>IF(OR(E9="Interest Rate",E9="FX"),VLOOKUP(E9,Parameters!$M$4:$N$11,2,FALSE),IF(E9="Credit",VLOOKUP(IF(LOWER(K9)="index","Credit Index","Credit Single Name"),Parameters!$M$4:$N$11,2,FALSE),IF(E9="Equity",VLOOKUP(IF(LOWER(K9)="index","Equity Index","Equity Single Name"),Parameters!$M$4:$N$11,2,FALSE),IF(E9="Commodity",VLOOKUP(IF(F9="Electricity","Commodity Electricity","Commodity Other"),Parameters!$M$4:$N$11,2,FALSE),1))))</x:f>
        <x:v>0.15</x:v>
      </x:c>
      <x:c r="AU9" s="27" t="n">
        <x:f>IF(W9="B",1,-1)</x:f>
        <x:v>-1</x:v>
      </x:c>
      <x:c r="AV9" s="27" t="n">
        <x:f>IF(OR(AA9="",M9=""),MAX(AE9,1/365),MAX((AA9-M9)/365,1/365))</x:f>
        <x:v>1.6767123287671233</x:v>
      </x:c>
      <x:c r="AW9" s="41" t="str">
        <x:f>IF(OR(Z9&lt;=0,Y9&lt;=0,AT9&lt;=0,AV9&lt;=0),"",(LN(Z9/Y9)+0.5*AT9^2*AV9)/(AT9*SQRT(AV9)))</x:f>
      </x:c>
      <x:c r="AX9" s="41" t="n">
        <x:f>IF(AND(X9&lt;&gt;"C",X9&lt;&gt;"P"),AU9,IF(AW9="",AU9,IF(X9="C",AU9*0.5*(1+ERF(AW9/SQRT(2))),-AU9*0.5*(1+ERF(-AW9/SQRT(2))))))</x:f>
        <x:v>-1</x:v>
      </x:c>
      <x:c r="AY9" s="41" t="n">
        <x:f>IF(AJ9="M",1.5*SQRT(MAX(IF(U9="Y",5,10),IF(V9="",10,V9))/Parameters!$B$6),SQRT(MIN(MAX(AE9,10/Parameters!$B$6),1)))</x:f>
        <x:v>0.30000000000000004</x:v>
      </x:c>
      <x:c r="AZ9" s="40" t="n">
        <x:f>AS9*AX9*AY9</x:f>
        <x:v>-5400000.000000001</x:v>
      </x:c>
      <x:c r="BA9" s="40" t="n">
        <x:f>'Python_Trade_Output'!AZ9</x:f>
        <x:v>-5400000.000000001</x:v>
      </x:c>
      <x:c r="BB9" s="43" t="n">
        <x:f>AZ9-BA9</x:f>
        <x:v>0</x:v>
      </x:c>
    </x:row>
    <x:row r="10">
      <x:c r="A10" s="27" t="str">
        <x:f>'Inputs_Trades'!D10</x:f>
        <x:v>IND-000007</x:v>
      </x:c>
      <x:c r="B10" s="27" t="str">
        <x:f>'Inputs_Trades'!B10</x:f>
        <x:v>IND_BANK_002</x:v>
      </x:c>
      <x:c r="C10" s="27" t="n">
        <x:f>'Inputs_Trades'!C10</x:f>
        <x:v>3331</x:v>
      </x:c>
      <x:c r="D10" s="27" t="str">
        <x:f>'Inputs_Trades'!E10</x:f>
        <x:v>FX Forward</x:v>
      </x:c>
      <x:c r="E10" s="27" t="str">
        <x:f>'Inputs_Trades'!F10</x:f>
        <x:v>FX</x:v>
      </x:c>
      <x:c r="F10" s="27" t="n">
        <x:f>'Inputs_Trades'!G10</x:f>
        <x:v>0</x:v>
      </x:c>
      <x:c r="G10" s="27" t="str">
        <x:f>'Inputs_Trades'!J10</x:f>
        <x:v>USD</x:v>
      </x:c>
      <x:c r="H10" s="27" t="str">
        <x:f>'Inputs_Trades'!H10</x:f>
        <x:v>USD</x:v>
      </x:c>
      <x:c r="I10" s="27" t="str">
        <x:f>'Inputs_Trades'!I10</x:f>
        <x:v>JPY</x:v>
      </x:c>
      <x:c r="J10" s="27" t="str">
        <x:f>'Inputs_Trades'!M10</x:f>
        <x:v>USD/JPY</x:v>
      </x:c>
      <x:c r="K10" s="27" t="n">
        <x:f>'Inputs_Trades'!N10</x:f>
        <x:v>0</x:v>
      </x:c>
      <x:c r="L10" s="27" t="n">
        <x:f>'Inputs_Trades'!O10</x:f>
        <x:v>0</x:v>
      </x:c>
      <x:c r="M10" s="39" t="n">
        <x:f>'Inputs_Trades'!A10</x:f>
        <x:v>45702</x:v>
      </x:c>
      <x:c r="N10" s="39" t="n">
        <x:f>'Inputs_Trades'!P10</x:f>
        <x:v>46634</x:v>
      </x:c>
      <x:c r="O10" s="39" t="n">
        <x:f>'Inputs_Trades'!Q10</x:f>
        <x:v>44888</x:v>
      </x:c>
      <x:c r="P10" s="39" t="n">
        <x:f>'Inputs_Trades'!R10</x:f>
        <x:v>46634</x:v>
      </x:c>
      <x:c r="Q10" s="40" t="n">
        <x:f>'Inputs_Trades'!U10</x:f>
        <x:v>123000000</x:v>
      </x:c>
      <x:c r="R10" s="40" t="n">
        <x:f>'Inputs_Trades'!S10</x:f>
        <x:v>123000000</x:v>
      </x:c>
      <x:c r="S10" s="40" t="n">
        <x:f>'Inputs_Trades'!T10</x:f>
        <x:v>18358208955.22</x:v>
      </x:c>
      <x:c r="T10" s="27" t="str">
        <x:f>'Inputs_Trades'!V10</x:f>
        <x:v>M</x:v>
      </x:c>
      <x:c r="U10" s="27" t="str">
        <x:f>'Inputs_Trades'!W10</x:f>
        <x:v>N</x:v>
      </x:c>
      <x:c r="V10" s="27" t="n">
        <x:f>'Inputs_Trades'!X10</x:f>
        <x:v>10</x:v>
      </x:c>
      <x:c r="W10" s="27" t="str">
        <x:f>'Inputs_Trades'!Y10</x:f>
        <x:v>S</x:v>
      </x:c>
      <x:c r="X10" s="27" t="n">
        <x:f>'Inputs_Trades'!AA10</x:f>
        <x:v>0</x:v>
      </x:c>
      <x:c r="Y10" s="27" t="n">
        <x:f>'Inputs_Trades'!AB10</x:f>
        <x:v>0</x:v>
      </x:c>
      <x:c r="Z10" s="27" t="n">
        <x:f>'Inputs_Trades'!AC10</x:f>
        <x:v>0</x:v>
      </x:c>
      <x:c r="AA10" s="39" t="n">
        <x:f>'Inputs_Trades'!Z10</x:f>
        <x:v>0</x:v>
      </x:c>
      <x:c r="AB10" s="40" t="n">
        <x:f>'Inputs_Trades'!AD10</x:f>
        <x:v>-1173420</x:v>
      </x:c>
      <x:c r="AC10" s="27" t="n">
        <x:f>'Inputs_Trades'!K10</x:f>
        <x:v>0</x:v>
      </x:c>
      <x:c r="AD10" s="27" t="n">
        <x:f>N10-M10</x:f>
        <x:v>932</x:v>
      </x:c>
      <x:c r="AE10" s="41" t="n">
        <x:f>AD10/365</x:f>
        <x:v>2.5534246575342467</x:v>
      </x:c>
      <x:c r="AF10" s="27" t="str">
        <x:f>IF(AE10&lt;1,"&lt;1Y",IF(AE10&lt;=5,"1Y-5Y","&gt;5Y"))</x:f>
        <x:v>1Y-5Y</x:v>
      </x:c>
      <x:c r="AG10" s="27" t="str">
        <x:f>IF(E10="Commodity",IFERROR(VLOOKUP(F10,Parameters!$P$4:$Q$12,2,FALSE),"Other"),"")</x:f>
      </x:c>
      <x:c r="AH10" s="27" t="str">
        <x:f>IF(F10="","Unknown",F10)</x:f>
        <x:v>Unknown</x:v>
      </x:c>
      <x:c r="AI10" s="27" t="str">
        <x:f>IF(E10="Interest Rate",G10&amp;IF(OR(LOWER(AC10)="basis",LOWER(AC10)="volatility"),"_"&amp;AC10,""),IF(E10="FX",IF(H10&lt;I10,H10&amp;"/"&amp;I10,I10&amp;"/"&amp;H10)&amp;IF(OR(LOWER(AC10)="basis",LOWER(AC10)="volatility"),"_"&amp;AC10,""),IF(OR(E10="Credit",E10="Equity"),J10&amp;IF(OR(LOWER(AC10)="basis",LOWER(AC10)="volatility"),"_"&amp;AC10,""),IF(E10="Commodity",AG10&amp;IF(OR(LOWER(AC10)="basis",LOWER(AC10)="volatility"),"_"&amp;AC10,""),"UNKNOWN"))))</x:f>
        <x:v>JPY/USD</x:v>
      </x:c>
      <x:c r="AJ10" s="27" t="str">
        <x:f>T10</x:f>
        <x:v>M</x:v>
      </x:c>
      <x:c r="AK10" s="41" t="n">
        <x:f>IF(E10="Interest Rate",VLOOKUP("Interest Rate",Parameters!$D$4:$E$12,2,FALSE),IF(E10="FX",VLOOKUP("FX",Parameters!$D$4:$E$12,2,FALSE),IF(E10="Credit",IFERROR(VLOOKUP(L10,Parameters!$G$4:$H$12,2,FALSE),VLOOKUP("BBB",Parameters!$G$4:$H$12,2,FALSE)),IF(E10="Equity",VLOOKUP(IF(LOWER(K10)="index","Equity Index","Equity Single Name"),Parameters!$D$4:$E$12,2,FALSE),IF(E10="Commodity",VLOOKUP(IFERROR(VLOOKUP(F10,Parameters!$S$4:$T$12,2,FALSE),"Commodity Other"),Parameters!$D$4:$E$12,2,FALSE),0)))))</x:f>
        <x:v>0.04</x:v>
      </x:c>
      <x:c r="AL10" s="42" t="n">
        <x:f>IF(LOWER(AC10)="basis",Parameters!$B$8,IF(LOWER(AC10)="volatility",Parameters!$B$9,1))</x:f>
        <x:v>1</x:v>
      </x:c>
      <x:c r="AM10" s="41" t="n">
        <x:f>AK10*AL10</x:f>
        <x:v>0.04</x:v>
      </x:c>
      <x:c r="AN10" s="42" t="str">
        <x:f>IF(E10="Credit",VLOOKUP(IF(LOWER(K10)="index","Credit Index","Credit Single Name"),Parameters!$J$4:$K$8,2,FALSE),IF(E10="Equity",VLOOKUP(IF(LOWER(K10)="index","Equity Index","Equity Single Name"),Parameters!$J$4:$K$8,2,FALSE),IF(E10="Commodity",VLOOKUP("Commodity",Parameters!$J$4:$K$8,2,FALSE),"")))</x:f>
      </x:c>
      <x:c r="AO10" s="27" t="n">
        <x:f>MAX((O10-M10)/365,0)</x:f>
        <x:v>0</x:v>
      </x:c>
      <x:c r="AP10" s="27" t="n">
        <x:f>MAX((P10-M10)/365,10/Parameters!$B$6)</x:f>
        <x:v>2.5534246575342467</x:v>
      </x:c>
      <x:c r="AQ10" s="27" t="n">
        <x:f>IF(AP10&lt;=AO10,AO10+10/Parameters!$B$6,AP10)</x:f>
        <x:v>2.5534246575342467</x:v>
      </x:c>
      <x:c r="AR10" s="41" t="n">
        <x:f>IF(OR(E10="Interest Rate",E10="Credit"),(EXP(-Parameters!$B$7*AO10)-EXP(-Parameters!$B$7*AQ10))/Parameters!$B$7,1)</x:f>
        <x:v>1</x:v>
      </x:c>
      <x:c r="AS10" s="40" t="n">
        <x:f>IF(OR(E10="Interest Rate",E10="Credit"),ABS(Q10)*AR10,IF(E10="FX",IF(Q10&gt;0,Q10,MAX(ABS(R10),ABS(S10),ABS(Q10))),ABS(Q10)))</x:f>
        <x:v>123000000</x:v>
      </x:c>
      <x:c r="AT10" s="42" t="n">
        <x:f>IF(OR(E10="Interest Rate",E10="FX"),VLOOKUP(E10,Parameters!$M$4:$N$11,2,FALSE),IF(E10="Credit",VLOOKUP(IF(LOWER(K10)="index","Credit Index","Credit Single Name"),Parameters!$M$4:$N$11,2,FALSE),IF(E10="Equity",VLOOKUP(IF(LOWER(K10)="index","Equity Index","Equity Single Name"),Parameters!$M$4:$N$11,2,FALSE),IF(E10="Commodity",VLOOKUP(IF(F10="Electricity","Commodity Electricity","Commodity Other"),Parameters!$M$4:$N$11,2,FALSE),1))))</x:f>
        <x:v>0.15</x:v>
      </x:c>
      <x:c r="AU10" s="27" t="n">
        <x:f>IF(W10="B",1,-1)</x:f>
        <x:v>-1</x:v>
      </x:c>
      <x:c r="AV10" s="27" t="n">
        <x:f>IF(OR(AA10="",M10=""),MAX(AE10,1/365),MAX((AA10-M10)/365,1/365))</x:f>
        <x:v>2.5534246575342467</x:v>
      </x:c>
      <x:c r="AW10" s="41" t="str">
        <x:f>IF(OR(Z10&lt;=0,Y10&lt;=0,AT10&lt;=0,AV10&lt;=0),"",(LN(Z10/Y10)+0.5*AT10^2*AV10)/(AT10*SQRT(AV10)))</x:f>
      </x:c>
      <x:c r="AX10" s="41" t="n">
        <x:f>IF(AND(X10&lt;&gt;"C",X10&lt;&gt;"P"),AU10,IF(AW10="",AU10,IF(X10="C",AU10*0.5*(1+ERF(AW10/SQRT(2))),-AU10*0.5*(1+ERF(-AW10/SQRT(2))))))</x:f>
        <x:v>-1</x:v>
      </x:c>
      <x:c r="AY10" s="41" t="n">
        <x:f>IF(AJ10="M",1.5*SQRT(MAX(IF(U10="Y",5,10),IF(V10="",10,V10))/Parameters!$B$6),SQRT(MIN(MAX(AE10,10/Parameters!$B$6),1)))</x:f>
        <x:v>0.30000000000000004</x:v>
      </x:c>
      <x:c r="AZ10" s="40" t="n">
        <x:f>AS10*AX10*AY10</x:f>
        <x:v>-36900000.00000001</x:v>
      </x:c>
      <x:c r="BA10" s="40" t="n">
        <x:f>'Python_Trade_Output'!AZ10</x:f>
        <x:v>-36900000.00000001</x:v>
      </x:c>
      <x:c r="BB10" s="43" t="n">
        <x:f>AZ10-BA10</x:f>
        <x:v>0</x:v>
      </x:c>
    </x:row>
    <x:row r="11">
      <x:c r="A11" s="27" t="str">
        <x:f>'Inputs_Trades'!D11</x:f>
        <x:v>IND-000008</x:v>
      </x:c>
      <x:c r="B11" s="27" t="str">
        <x:f>'Inputs_Trades'!B11</x:f>
        <x:v>IND_CORPORATE_001</x:v>
      </x:c>
      <x:c r="C11" s="27" t="n">
        <x:f>'Inputs_Trades'!C11</x:f>
        <x:v>3040</x:v>
      </x:c>
      <x:c r="D11" s="27" t="str">
        <x:f>'Inputs_Trades'!E11</x:f>
        <x:v>FX Forward</x:v>
      </x:c>
      <x:c r="E11" s="27" t="str">
        <x:f>'Inputs_Trades'!F11</x:f>
        <x:v>FX</x:v>
      </x:c>
      <x:c r="F11" s="27" t="n">
        <x:f>'Inputs_Trades'!G11</x:f>
        <x:v>0</x:v>
      </x:c>
      <x:c r="G11" s="27" t="str">
        <x:f>'Inputs_Trades'!J11</x:f>
        <x:v>USD</x:v>
      </x:c>
      <x:c r="H11" s="27" t="str">
        <x:f>'Inputs_Trades'!H11</x:f>
        <x:v>USD</x:v>
      </x:c>
      <x:c r="I11" s="27" t="str">
        <x:f>'Inputs_Trades'!I11</x:f>
        <x:v>JPY</x:v>
      </x:c>
      <x:c r="J11" s="27" t="str">
        <x:f>'Inputs_Trades'!M11</x:f>
        <x:v>USD/JPY</x:v>
      </x:c>
      <x:c r="K11" s="27" t="n">
        <x:f>'Inputs_Trades'!N11</x:f>
        <x:v>0</x:v>
      </x:c>
      <x:c r="L11" s="27" t="n">
        <x:f>'Inputs_Trades'!O11</x:f>
        <x:v>0</x:v>
      </x:c>
      <x:c r="M11" s="39" t="n">
        <x:f>'Inputs_Trades'!A11</x:f>
        <x:v>45702</x:v>
      </x:c>
      <x:c r="N11" s="39" t="n">
        <x:f>'Inputs_Trades'!P11</x:f>
        <x:v>47088</x:v>
      </x:c>
      <x:c r="O11" s="39" t="n">
        <x:f>'Inputs_Trades'!Q11</x:f>
        <x:v>44805</x:v>
      </x:c>
      <x:c r="P11" s="39" t="n">
        <x:f>'Inputs_Trades'!R11</x:f>
        <x:v>47088</x:v>
      </x:c>
      <x:c r="Q11" s="40" t="n">
        <x:f>'Inputs_Trades'!U11</x:f>
        <x:v>1000000</x:v>
      </x:c>
      <x:c r="R11" s="40" t="n">
        <x:f>'Inputs_Trades'!S11</x:f>
        <x:v>1000000</x:v>
      </x:c>
      <x:c r="S11" s="40" t="n">
        <x:f>'Inputs_Trades'!T11</x:f>
        <x:v>149253731.34</x:v>
      </x:c>
      <x:c r="T11" s="27" t="str">
        <x:f>'Inputs_Trades'!V11</x:f>
        <x:v>M</x:v>
      </x:c>
      <x:c r="U11" s="27" t="str">
        <x:f>'Inputs_Trades'!W11</x:f>
        <x:v>N</x:v>
      </x:c>
      <x:c r="V11" s="27" t="n">
        <x:f>'Inputs_Trades'!X11</x:f>
        <x:v>10</x:v>
      </x:c>
      <x:c r="W11" s="27" t="str">
        <x:f>'Inputs_Trades'!Y11</x:f>
        <x:v>B</x:v>
      </x:c>
      <x:c r="X11" s="27" t="n">
        <x:f>'Inputs_Trades'!AA11</x:f>
        <x:v>0</x:v>
      </x:c>
      <x:c r="Y11" s="27" t="n">
        <x:f>'Inputs_Trades'!AB11</x:f>
        <x:v>0</x:v>
      </x:c>
      <x:c r="Z11" s="27" t="n">
        <x:f>'Inputs_Trades'!AC11</x:f>
        <x:v>0</x:v>
      </x:c>
      <x:c r="AA11" s="39" t="n">
        <x:f>'Inputs_Trades'!Z11</x:f>
        <x:v>0</x:v>
      </x:c>
      <x:c r="AB11" s="40" t="n">
        <x:f>'Inputs_Trades'!AD11</x:f>
        <x:v>3060</x:v>
      </x:c>
      <x:c r="AC11" s="27" t="n">
        <x:f>'Inputs_Trades'!K11</x:f>
        <x:v>0</x:v>
      </x:c>
      <x:c r="AD11" s="27" t="n">
        <x:f>N11-M11</x:f>
        <x:v>1386</x:v>
      </x:c>
      <x:c r="AE11" s="41" t="n">
        <x:f>AD11/365</x:f>
        <x:v>3.797260273972603</x:v>
      </x:c>
      <x:c r="AF11" s="27" t="str">
        <x:f>IF(AE11&lt;1,"&lt;1Y",IF(AE11&lt;=5,"1Y-5Y","&gt;5Y"))</x:f>
        <x:v>1Y-5Y</x:v>
      </x:c>
      <x:c r="AG11" s="27" t="str">
        <x:f>IF(E11="Commodity",IFERROR(VLOOKUP(F11,Parameters!$P$4:$Q$12,2,FALSE),"Other"),"")</x:f>
      </x:c>
      <x:c r="AH11" s="27" t="str">
        <x:f>IF(F11="","Unknown",F11)</x:f>
        <x:v>Unknown</x:v>
      </x:c>
      <x:c r="AI11" s="27" t="str">
        <x:f>IF(E11="Interest Rate",G11&amp;IF(OR(LOWER(AC11)="basis",LOWER(AC11)="volatility"),"_"&amp;AC11,""),IF(E11="FX",IF(H11&lt;I11,H11&amp;"/"&amp;I11,I11&amp;"/"&amp;H11)&amp;IF(OR(LOWER(AC11)="basis",LOWER(AC11)="volatility"),"_"&amp;AC11,""),IF(OR(E11="Credit",E11="Equity"),J11&amp;IF(OR(LOWER(AC11)="basis",LOWER(AC11)="volatility"),"_"&amp;AC11,""),IF(E11="Commodity",AG11&amp;IF(OR(LOWER(AC11)="basis",LOWER(AC11)="volatility"),"_"&amp;AC11,""),"UNKNOWN"))))</x:f>
        <x:v>JPY/USD</x:v>
      </x:c>
      <x:c r="AJ11" s="27" t="str">
        <x:f>T11</x:f>
        <x:v>M</x:v>
      </x:c>
      <x:c r="AK11" s="41" t="n">
        <x:f>IF(E11="Interest Rate",VLOOKUP("Interest Rate",Parameters!$D$4:$E$12,2,FALSE),IF(E11="FX",VLOOKUP("FX",Parameters!$D$4:$E$12,2,FALSE),IF(E11="Credit",IFERROR(VLOOKUP(L11,Parameters!$G$4:$H$12,2,FALSE),VLOOKUP("BBB",Parameters!$G$4:$H$12,2,FALSE)),IF(E11="Equity",VLOOKUP(IF(LOWER(K11)="index","Equity Index","Equity Single Name"),Parameters!$D$4:$E$12,2,FALSE),IF(E11="Commodity",VLOOKUP(IFERROR(VLOOKUP(F11,Parameters!$S$4:$T$12,2,FALSE),"Commodity Other"),Parameters!$D$4:$E$12,2,FALSE),0)))))</x:f>
        <x:v>0.04</x:v>
      </x:c>
      <x:c r="AL11" s="42" t="n">
        <x:f>IF(LOWER(AC11)="basis",Parameters!$B$8,IF(LOWER(AC11)="volatility",Parameters!$B$9,1))</x:f>
        <x:v>1</x:v>
      </x:c>
      <x:c r="AM11" s="41" t="n">
        <x:f>AK11*AL11</x:f>
        <x:v>0.04</x:v>
      </x:c>
      <x:c r="AN11" s="42" t="str">
        <x:f>IF(E11="Credit",VLOOKUP(IF(LOWER(K11)="index","Credit Index","Credit Single Name"),Parameters!$J$4:$K$8,2,FALSE),IF(E11="Equity",VLOOKUP(IF(LOWER(K11)="index","Equity Index","Equity Single Name"),Parameters!$J$4:$K$8,2,FALSE),IF(E11="Commodity",VLOOKUP("Commodity",Parameters!$J$4:$K$8,2,FALSE),"")))</x:f>
      </x:c>
      <x:c r="AO11" s="27" t="n">
        <x:f>MAX((O11-M11)/365,0)</x:f>
        <x:v>0</x:v>
      </x:c>
      <x:c r="AP11" s="27" t="n">
        <x:f>MAX((P11-M11)/365,10/Parameters!$B$6)</x:f>
        <x:v>3.797260273972603</x:v>
      </x:c>
      <x:c r="AQ11" s="27" t="n">
        <x:f>IF(AP11&lt;=AO11,AO11+10/Parameters!$B$6,AP11)</x:f>
        <x:v>3.797260273972603</x:v>
      </x:c>
      <x:c r="AR11" s="41" t="n">
        <x:f>IF(OR(E11="Interest Rate",E11="Credit"),(EXP(-Parameters!$B$7*AO11)-EXP(-Parameters!$B$7*AQ11))/Parameters!$B$7,1)</x:f>
        <x:v>1</x:v>
      </x:c>
      <x:c r="AS11" s="40" t="n">
        <x:f>IF(OR(E11="Interest Rate",E11="Credit"),ABS(Q11)*AR11,IF(E11="FX",IF(Q11&gt;0,Q11,MAX(ABS(R11),ABS(S11),ABS(Q11))),ABS(Q11)))</x:f>
        <x:v>1000000</x:v>
      </x:c>
      <x:c r="AT11" s="42" t="n">
        <x:f>IF(OR(E11="Interest Rate",E11="FX"),VLOOKUP(E11,Parameters!$M$4:$N$11,2,FALSE),IF(E11="Credit",VLOOKUP(IF(LOWER(K11)="index","Credit Index","Credit Single Name"),Parameters!$M$4:$N$11,2,FALSE),IF(E11="Equity",VLOOKUP(IF(LOWER(K11)="index","Equity Index","Equity Single Name"),Parameters!$M$4:$N$11,2,FALSE),IF(E11="Commodity",VLOOKUP(IF(F11="Electricity","Commodity Electricity","Commodity Other"),Parameters!$M$4:$N$11,2,FALSE),1))))</x:f>
        <x:v>0.15</x:v>
      </x:c>
      <x:c r="AU11" s="27" t="n">
        <x:f>IF(W11="B",1,-1)</x:f>
        <x:v>1</x:v>
      </x:c>
      <x:c r="AV11" s="27" t="n">
        <x:f>IF(OR(AA11="",M11=""),MAX(AE11,1/365),MAX((AA11-M11)/365,1/365))</x:f>
        <x:v>3.797260273972603</x:v>
      </x:c>
      <x:c r="AW11" s="41" t="str">
        <x:f>IF(OR(Z11&lt;=0,Y11&lt;=0,AT11&lt;=0,AV11&lt;=0),"",(LN(Z11/Y11)+0.5*AT11^2*AV11)/(AT11*SQRT(AV11)))</x:f>
      </x:c>
      <x:c r="AX11" s="41" t="n">
        <x:f>IF(AND(X11&lt;&gt;"C",X11&lt;&gt;"P"),AU11,IF(AW11="",AU11,IF(X11="C",AU11*0.5*(1+ERF(AW11/SQRT(2))),-AU11*0.5*(1+ERF(-AW11/SQRT(2))))))</x:f>
        <x:v>1</x:v>
      </x:c>
      <x:c r="AY11" s="41" t="n">
        <x:f>IF(AJ11="M",1.5*SQRT(MAX(IF(U11="Y",5,10),IF(V11="",10,V11))/Parameters!$B$6),SQRT(MIN(MAX(AE11,10/Parameters!$B$6),1)))</x:f>
        <x:v>0.30000000000000004</x:v>
      </x:c>
      <x:c r="AZ11" s="40" t="n">
        <x:f>AS11*AX11*AY11</x:f>
        <x:v>300000.00000000006</x:v>
      </x:c>
      <x:c r="BA11" s="40" t="n">
        <x:f>'Python_Trade_Output'!AZ11</x:f>
        <x:v>300000.00000000006</x:v>
      </x:c>
      <x:c r="BB11" s="43" t="n">
        <x:f>AZ11-BA11</x:f>
        <x:v>0</x:v>
      </x:c>
    </x:row>
    <x:row r="12">
      <x:c r="A12" s="27" t="str">
        <x:f>'Inputs_Trades'!D12</x:f>
        <x:v>IND-000009</x:v>
      </x:c>
      <x:c r="B12" s="27" t="str">
        <x:f>'Inputs_Trades'!B12</x:f>
        <x:v>IND_CORPORATE_002</x:v>
      </x:c>
      <x:c r="C12" s="27" t="n">
        <x:f>'Inputs_Trades'!C12</x:f>
        <x:v>3346</x:v>
      </x:c>
      <x:c r="D12" s="27" t="str">
        <x:f>'Inputs_Trades'!E12</x:f>
        <x:v>FX Forward</x:v>
      </x:c>
      <x:c r="E12" s="27" t="str">
        <x:f>'Inputs_Trades'!F12</x:f>
        <x:v>FX</x:v>
      </x:c>
      <x:c r="F12" s="27" t="n">
        <x:f>'Inputs_Trades'!G12</x:f>
        <x:v>0</x:v>
      </x:c>
      <x:c r="G12" s="27" t="str">
        <x:f>'Inputs_Trades'!J12</x:f>
        <x:v>USD</x:v>
      </x:c>
      <x:c r="H12" s="27" t="str">
        <x:f>'Inputs_Trades'!H12</x:f>
        <x:v>USD</x:v>
      </x:c>
      <x:c r="I12" s="27" t="str">
        <x:f>'Inputs_Trades'!I12</x:f>
        <x:v>CNY</x:v>
      </x:c>
      <x:c r="J12" s="27" t="str">
        <x:f>'Inputs_Trades'!M12</x:f>
        <x:v>USD/CNY</x:v>
      </x:c>
      <x:c r="K12" s="27" t="n">
        <x:f>'Inputs_Trades'!N12</x:f>
        <x:v>0</x:v>
      </x:c>
      <x:c r="L12" s="27" t="n">
        <x:f>'Inputs_Trades'!O12</x:f>
        <x:v>0</x:v>
      </x:c>
      <x:c r="M12" s="39" t="n">
        <x:f>'Inputs_Trades'!A12</x:f>
        <x:v>45702</x:v>
      </x:c>
      <x:c r="N12" s="39" t="n">
        <x:f>'Inputs_Trades'!P12</x:f>
        <x:v>45936</x:v>
      </x:c>
      <x:c r="O12" s="39" t="n">
        <x:f>'Inputs_Trades'!Q12</x:f>
        <x:v>44956</x:v>
      </x:c>
      <x:c r="P12" s="39" t="n">
        <x:f>'Inputs_Trades'!R12</x:f>
        <x:v>45936</x:v>
      </x:c>
      <x:c r="Q12" s="40" t="n">
        <x:f>'Inputs_Trades'!U12</x:f>
        <x:v>69800000</x:v>
      </x:c>
      <x:c r="R12" s="40" t="n">
        <x:f>'Inputs_Trades'!S12</x:f>
        <x:v>69800000</x:v>
      </x:c>
      <x:c r="S12" s="40" t="n">
        <x:f>'Inputs_Trades'!T12</x:f>
        <x:v>498571428.57</x:v>
      </x:c>
      <x:c r="T12" s="27" t="str">
        <x:f>'Inputs_Trades'!V12</x:f>
        <x:v>M</x:v>
      </x:c>
      <x:c r="U12" s="27" t="str">
        <x:f>'Inputs_Trades'!W12</x:f>
        <x:v>N</x:v>
      </x:c>
      <x:c r="V12" s="27" t="n">
        <x:f>'Inputs_Trades'!X12</x:f>
        <x:v>10</x:v>
      </x:c>
      <x:c r="W12" s="27" t="str">
        <x:f>'Inputs_Trades'!Y12</x:f>
        <x:v>B</x:v>
      </x:c>
      <x:c r="X12" s="27" t="n">
        <x:f>'Inputs_Trades'!AA12</x:f>
        <x:v>0</x:v>
      </x:c>
      <x:c r="Y12" s="27" t="n">
        <x:f>'Inputs_Trades'!AB12</x:f>
        <x:v>0</x:v>
      </x:c>
      <x:c r="Z12" s="27" t="n">
        <x:f>'Inputs_Trades'!AC12</x:f>
        <x:v>0</x:v>
      </x:c>
      <x:c r="AA12" s="39" t="n">
        <x:f>'Inputs_Trades'!Z12</x:f>
        <x:v>0</x:v>
      </x:c>
      <x:c r="AB12" s="40" t="n">
        <x:f>'Inputs_Trades'!AD12</x:f>
        <x:v>-690322</x:v>
      </x:c>
      <x:c r="AC12" s="27" t="n">
        <x:f>'Inputs_Trades'!K12</x:f>
        <x:v>0</x:v>
      </x:c>
      <x:c r="AD12" s="27" t="n">
        <x:f>N12-M12</x:f>
        <x:v>234</x:v>
      </x:c>
      <x:c r="AE12" s="41" t="n">
        <x:f>AD12/365</x:f>
        <x:v>0.6410958904109589</x:v>
      </x:c>
      <x:c r="AF12" s="27" t="str">
        <x:f>IF(AE12&lt;1,"&lt;1Y",IF(AE12&lt;=5,"1Y-5Y","&gt;5Y"))</x:f>
        <x:v>&lt;1Y</x:v>
      </x:c>
      <x:c r="AG12" s="27" t="str">
        <x:f>IF(E12="Commodity",IFERROR(VLOOKUP(F12,Parameters!$P$4:$Q$12,2,FALSE),"Other"),"")</x:f>
      </x:c>
      <x:c r="AH12" s="27" t="str">
        <x:f>IF(F12="","Unknown",F12)</x:f>
        <x:v>Unknown</x:v>
      </x:c>
      <x:c r="AI12" s="27" t="str">
        <x:f>IF(E12="Interest Rate",G12&amp;IF(OR(LOWER(AC12)="basis",LOWER(AC12)="volatility"),"_"&amp;AC12,""),IF(E12="FX",IF(H12&lt;I12,H12&amp;"/"&amp;I12,I12&amp;"/"&amp;H12)&amp;IF(OR(LOWER(AC12)="basis",LOWER(AC12)="volatility"),"_"&amp;AC12,""),IF(OR(E12="Credit",E12="Equity"),J12&amp;IF(OR(LOWER(AC12)="basis",LOWER(AC12)="volatility"),"_"&amp;AC12,""),IF(E12="Commodity",AG12&amp;IF(OR(LOWER(AC12)="basis",LOWER(AC12)="volatility"),"_"&amp;AC12,""),"UNKNOWN"))))</x:f>
        <x:v>CNY/USD</x:v>
      </x:c>
      <x:c r="AJ12" s="27" t="str">
        <x:f>T12</x:f>
        <x:v>M</x:v>
      </x:c>
      <x:c r="AK12" s="41" t="n">
        <x:f>IF(E12="Interest Rate",VLOOKUP("Interest Rate",Parameters!$D$4:$E$12,2,FALSE),IF(E12="FX",VLOOKUP("FX",Parameters!$D$4:$E$12,2,FALSE),IF(E12="Credit",IFERROR(VLOOKUP(L12,Parameters!$G$4:$H$12,2,FALSE),VLOOKUP("BBB",Parameters!$G$4:$H$12,2,FALSE)),IF(E12="Equity",VLOOKUP(IF(LOWER(K12)="index","Equity Index","Equity Single Name"),Parameters!$D$4:$E$12,2,FALSE),IF(E12="Commodity",VLOOKUP(IFERROR(VLOOKUP(F12,Parameters!$S$4:$T$12,2,FALSE),"Commodity Other"),Parameters!$D$4:$E$12,2,FALSE),0)))))</x:f>
        <x:v>0.04</x:v>
      </x:c>
      <x:c r="AL12" s="42" t="n">
        <x:f>IF(LOWER(AC12)="basis",Parameters!$B$8,IF(LOWER(AC12)="volatility",Parameters!$B$9,1))</x:f>
        <x:v>1</x:v>
      </x:c>
      <x:c r="AM12" s="41" t="n">
        <x:f>AK12*AL12</x:f>
        <x:v>0.04</x:v>
      </x:c>
      <x:c r="AN12" s="42" t="str">
        <x:f>IF(E12="Credit",VLOOKUP(IF(LOWER(K12)="index","Credit Index","Credit Single Name"),Parameters!$J$4:$K$8,2,FALSE),IF(E12="Equity",VLOOKUP(IF(LOWER(K12)="index","Equity Index","Equity Single Name"),Parameters!$J$4:$K$8,2,FALSE),IF(E12="Commodity",VLOOKUP("Commodity",Parameters!$J$4:$K$8,2,FALSE),"")))</x:f>
      </x:c>
      <x:c r="AO12" s="27" t="n">
        <x:f>MAX((O12-M12)/365,0)</x:f>
        <x:v>0</x:v>
      </x:c>
      <x:c r="AP12" s="27" t="n">
        <x:f>MAX((P12-M12)/365,10/Parameters!$B$6)</x:f>
        <x:v>0.6410958904109589</x:v>
      </x:c>
      <x:c r="AQ12" s="27" t="n">
        <x:f>IF(AP12&lt;=AO12,AO12+10/Parameters!$B$6,AP12)</x:f>
        <x:v>0.6410958904109589</x:v>
      </x:c>
      <x:c r="AR12" s="41" t="n">
        <x:f>IF(OR(E12="Interest Rate",E12="Credit"),(EXP(-Parameters!$B$7*AO12)-EXP(-Parameters!$B$7*AQ12))/Parameters!$B$7,1)</x:f>
        <x:v>1</x:v>
      </x:c>
      <x:c r="AS12" s="40" t="n">
        <x:f>IF(OR(E12="Interest Rate",E12="Credit"),ABS(Q12)*AR12,IF(E12="FX",IF(Q12&gt;0,Q12,MAX(ABS(R12),ABS(S12),ABS(Q12))),ABS(Q12)))</x:f>
        <x:v>69800000</x:v>
      </x:c>
      <x:c r="AT12" s="42" t="n">
        <x:f>IF(OR(E12="Interest Rate",E12="FX"),VLOOKUP(E12,Parameters!$M$4:$N$11,2,FALSE),IF(E12="Credit",VLOOKUP(IF(LOWER(K12)="index","Credit Index","Credit Single Name"),Parameters!$M$4:$N$11,2,FALSE),IF(E12="Equity",VLOOKUP(IF(LOWER(K12)="index","Equity Index","Equity Single Name"),Parameters!$M$4:$N$11,2,FALSE),IF(E12="Commodity",VLOOKUP(IF(F12="Electricity","Commodity Electricity","Commodity Other"),Parameters!$M$4:$N$11,2,FALSE),1))))</x:f>
        <x:v>0.15</x:v>
      </x:c>
      <x:c r="AU12" s="27" t="n">
        <x:f>IF(W12="B",1,-1)</x:f>
        <x:v>1</x:v>
      </x:c>
      <x:c r="AV12" s="27" t="n">
        <x:f>IF(OR(AA12="",M12=""),MAX(AE12,1/365),MAX((AA12-M12)/365,1/365))</x:f>
        <x:v>0.6410958904109589</x:v>
      </x:c>
      <x:c r="AW12" s="41" t="str">
        <x:f>IF(OR(Z12&lt;=0,Y12&lt;=0,AT12&lt;=0,AV12&lt;=0),"",(LN(Z12/Y12)+0.5*AT12^2*AV12)/(AT12*SQRT(AV12)))</x:f>
      </x:c>
      <x:c r="AX12" s="41" t="n">
        <x:f>IF(AND(X12&lt;&gt;"C",X12&lt;&gt;"P"),AU12,IF(AW12="",AU12,IF(X12="C",AU12*0.5*(1+ERF(AW12/SQRT(2))),-AU12*0.5*(1+ERF(-AW12/SQRT(2))))))</x:f>
        <x:v>1</x:v>
      </x:c>
      <x:c r="AY12" s="41" t="n">
        <x:f>IF(AJ12="M",1.5*SQRT(MAX(IF(U12="Y",5,10),IF(V12="",10,V12))/Parameters!$B$6),SQRT(MIN(MAX(AE12,10/Parameters!$B$6),1)))</x:f>
        <x:v>0.30000000000000004</x:v>
      </x:c>
      <x:c r="AZ12" s="40" t="n">
        <x:f>AS12*AX12*AY12</x:f>
        <x:v>20940000.000000004</x:v>
      </x:c>
      <x:c r="BA12" s="40" t="n">
        <x:f>'Python_Trade_Output'!AZ12</x:f>
        <x:v>20940000.000000004</x:v>
      </x:c>
      <x:c r="BB12" s="43" t="n">
        <x:f>AZ12-BA12</x:f>
        <x:v>0</x:v>
      </x:c>
    </x:row>
    <x:row r="13">
      <x:c r="A13" s="27" t="str">
        <x:f>'Inputs_Trades'!D13</x:f>
        <x:v>IND-000010</x:v>
      </x:c>
      <x:c r="B13" s="27" t="str">
        <x:f>'Inputs_Trades'!B13</x:f>
        <x:v>IND_ASSET_MANAGER_001</x:v>
      </x:c>
      <x:c r="C13" s="27" t="n">
        <x:f>'Inputs_Trades'!C13</x:f>
        <x:v>3127</x:v>
      </x:c>
      <x:c r="D13" s="27" t="str">
        <x:f>'Inputs_Trades'!E13</x:f>
        <x:v>FX Forward</x:v>
      </x:c>
      <x:c r="E13" s="27" t="str">
        <x:f>'Inputs_Trades'!F13</x:f>
        <x:v>FX</x:v>
      </x:c>
      <x:c r="F13" s="27" t="n">
        <x:f>'Inputs_Trades'!G13</x:f>
        <x:v>0</x:v>
      </x:c>
      <x:c r="G13" s="27" t="str">
        <x:f>'Inputs_Trades'!J13</x:f>
        <x:v>USD</x:v>
      </x:c>
      <x:c r="H13" s="27" t="str">
        <x:f>'Inputs_Trades'!H13</x:f>
        <x:v>GBP</x:v>
      </x:c>
      <x:c r="I13" s="27" t="str">
        <x:f>'Inputs_Trades'!I13</x:f>
        <x:v>USD</x:v>
      </x:c>
      <x:c r="J13" s="27" t="str">
        <x:f>'Inputs_Trades'!M13</x:f>
        <x:v>GBP/USD</x:v>
      </x:c>
      <x:c r="K13" s="27" t="n">
        <x:f>'Inputs_Trades'!N13</x:f>
        <x:v>0</x:v>
      </x:c>
      <x:c r="L13" s="27" t="n">
        <x:f>'Inputs_Trades'!O13</x:f>
        <x:v>0</x:v>
      </x:c>
      <x:c r="M13" s="39" t="n">
        <x:f>'Inputs_Trades'!A13</x:f>
        <x:v>45702</x:v>
      </x:c>
      <x:c r="N13" s="39" t="n">
        <x:f>'Inputs_Trades'!P13</x:f>
        <x:v>45762</x:v>
      </x:c>
      <x:c r="O13" s="39" t="n">
        <x:f>'Inputs_Trades'!Q13</x:f>
        <x:v>45466</x:v>
      </x:c>
      <x:c r="P13" s="39" t="n">
        <x:f>'Inputs_Trades'!R13</x:f>
        <x:v>45762</x:v>
      </x:c>
      <x:c r="Q13" s="40" t="n">
        <x:f>'Inputs_Trades'!U13</x:f>
        <x:v>156000000</x:v>
      </x:c>
      <x:c r="R13" s="40" t="n">
        <x:f>'Inputs_Trades'!S13</x:f>
        <x:v>124800000</x:v>
      </x:c>
      <x:c r="S13" s="40" t="n">
        <x:f>'Inputs_Trades'!T13</x:f>
        <x:v>156000000</x:v>
      </x:c>
      <x:c r="T13" s="27" t="str">
        <x:f>'Inputs_Trades'!V13</x:f>
        <x:v>M</x:v>
      </x:c>
      <x:c r="U13" s="27" t="str">
        <x:f>'Inputs_Trades'!W13</x:f>
        <x:v>N</x:v>
      </x:c>
      <x:c r="V13" s="27" t="n">
        <x:f>'Inputs_Trades'!X13</x:f>
        <x:v>10</x:v>
      </x:c>
      <x:c r="W13" s="27" t="str">
        <x:f>'Inputs_Trades'!Y13</x:f>
        <x:v>B</x:v>
      </x:c>
      <x:c r="X13" s="27" t="n">
        <x:f>'Inputs_Trades'!AA13</x:f>
        <x:v>0</x:v>
      </x:c>
      <x:c r="Y13" s="27" t="n">
        <x:f>'Inputs_Trades'!AB13</x:f>
        <x:v>0</x:v>
      </x:c>
      <x:c r="Z13" s="27" t="n">
        <x:f>'Inputs_Trades'!AC13</x:f>
        <x:v>0</x:v>
      </x:c>
      <x:c r="AA13" s="39" t="n">
        <x:f>'Inputs_Trades'!Z13</x:f>
        <x:v>0</x:v>
      </x:c>
      <x:c r="AB13" s="40" t="n">
        <x:f>'Inputs_Trades'!AD13</x:f>
        <x:v>255840</x:v>
      </x:c>
      <x:c r="AC13" s="27" t="n">
        <x:f>'Inputs_Trades'!K13</x:f>
        <x:v>0</x:v>
      </x:c>
      <x:c r="AD13" s="27" t="n">
        <x:f>N13-M13</x:f>
        <x:v>60</x:v>
      </x:c>
      <x:c r="AE13" s="41" t="n">
        <x:f>AD13/365</x:f>
        <x:v>0.1643835616438356</x:v>
      </x:c>
      <x:c r="AF13" s="27" t="str">
        <x:f>IF(AE13&lt;1,"&lt;1Y",IF(AE13&lt;=5,"1Y-5Y","&gt;5Y"))</x:f>
        <x:v>&lt;1Y</x:v>
      </x:c>
      <x:c r="AG13" s="27" t="str">
        <x:f>IF(E13="Commodity",IFERROR(VLOOKUP(F13,Parameters!$P$4:$Q$12,2,FALSE),"Other"),"")</x:f>
      </x:c>
      <x:c r="AH13" s="27" t="str">
        <x:f>IF(F13="","Unknown",F13)</x:f>
        <x:v>Unknown</x:v>
      </x:c>
      <x:c r="AI13" s="27" t="str">
        <x:f>IF(E13="Interest Rate",G13&amp;IF(OR(LOWER(AC13)="basis",LOWER(AC13)="volatility"),"_"&amp;AC13,""),IF(E13="FX",IF(H13&lt;I13,H13&amp;"/"&amp;I13,I13&amp;"/"&amp;H13)&amp;IF(OR(LOWER(AC13)="basis",LOWER(AC13)="volatility"),"_"&amp;AC13,""),IF(OR(E13="Credit",E13="Equity"),J13&amp;IF(OR(LOWER(AC13)="basis",LOWER(AC13)="volatility"),"_"&amp;AC13,""),IF(E13="Commodity",AG13&amp;IF(OR(LOWER(AC13)="basis",LOWER(AC13)="volatility"),"_"&amp;AC13,""),"UNKNOWN"))))</x:f>
        <x:v>GBP/USD</x:v>
      </x:c>
      <x:c r="AJ13" s="27" t="str">
        <x:f>T13</x:f>
        <x:v>M</x:v>
      </x:c>
      <x:c r="AK13" s="41" t="n">
        <x:f>IF(E13="Interest Rate",VLOOKUP("Interest Rate",Parameters!$D$4:$E$12,2,FALSE),IF(E13="FX",VLOOKUP("FX",Parameters!$D$4:$E$12,2,FALSE),IF(E13="Credit",IFERROR(VLOOKUP(L13,Parameters!$G$4:$H$12,2,FALSE),VLOOKUP("BBB",Parameters!$G$4:$H$12,2,FALSE)),IF(E13="Equity",VLOOKUP(IF(LOWER(K13)="index","Equity Index","Equity Single Name"),Parameters!$D$4:$E$12,2,FALSE),IF(E13="Commodity",VLOOKUP(IFERROR(VLOOKUP(F13,Parameters!$S$4:$T$12,2,FALSE),"Commodity Other"),Parameters!$D$4:$E$12,2,FALSE),0)))))</x:f>
        <x:v>0.04</x:v>
      </x:c>
      <x:c r="AL13" s="42" t="n">
        <x:f>IF(LOWER(AC13)="basis",Parameters!$B$8,IF(LOWER(AC13)="volatility",Parameters!$B$9,1))</x:f>
        <x:v>1</x:v>
      </x:c>
      <x:c r="AM13" s="41" t="n">
        <x:f>AK13*AL13</x:f>
        <x:v>0.04</x:v>
      </x:c>
      <x:c r="AN13" s="42" t="str">
        <x:f>IF(E13="Credit",VLOOKUP(IF(LOWER(K13)="index","Credit Index","Credit Single Name"),Parameters!$J$4:$K$8,2,FALSE),IF(E13="Equity",VLOOKUP(IF(LOWER(K13)="index","Equity Index","Equity Single Name"),Parameters!$J$4:$K$8,2,FALSE),IF(E13="Commodity",VLOOKUP("Commodity",Parameters!$J$4:$K$8,2,FALSE),"")))</x:f>
      </x:c>
      <x:c r="AO13" s="27" t="n">
        <x:f>MAX((O13-M13)/365,0)</x:f>
        <x:v>0</x:v>
      </x:c>
      <x:c r="AP13" s="27" t="n">
        <x:f>MAX((P13-M13)/365,10/Parameters!$B$6)</x:f>
        <x:v>0.1643835616438356</x:v>
      </x:c>
      <x:c r="AQ13" s="27" t="n">
        <x:f>IF(AP13&lt;=AO13,AO13+10/Parameters!$B$6,AP13)</x:f>
        <x:v>0.1643835616438356</x:v>
      </x:c>
      <x:c r="AR13" s="41" t="n">
        <x:f>IF(OR(E13="Interest Rate",E13="Credit"),(EXP(-Parameters!$B$7*AO13)-EXP(-Parameters!$B$7*AQ13))/Parameters!$B$7,1)</x:f>
        <x:v>1</x:v>
      </x:c>
      <x:c r="AS13" s="40" t="n">
        <x:f>IF(OR(E13="Interest Rate",E13="Credit"),ABS(Q13)*AR13,IF(E13="FX",IF(Q13&gt;0,Q13,MAX(ABS(R13),ABS(S13),ABS(Q13))),ABS(Q13)))</x:f>
        <x:v>156000000</x:v>
      </x:c>
      <x:c r="AT13" s="42" t="n">
        <x:f>IF(OR(E13="Interest Rate",E13="FX"),VLOOKUP(E13,Parameters!$M$4:$N$11,2,FALSE),IF(E13="Credit",VLOOKUP(IF(LOWER(K13)="index","Credit Index","Credit Single Name"),Parameters!$M$4:$N$11,2,FALSE),IF(E13="Equity",VLOOKUP(IF(LOWER(K13)="index","Equity Index","Equity Single Name"),Parameters!$M$4:$N$11,2,FALSE),IF(E13="Commodity",VLOOKUP(IF(F13="Electricity","Commodity Electricity","Commodity Other"),Parameters!$M$4:$N$11,2,FALSE),1))))</x:f>
        <x:v>0.15</x:v>
      </x:c>
      <x:c r="AU13" s="27" t="n">
        <x:f>IF(W13="B",1,-1)</x:f>
        <x:v>1</x:v>
      </x:c>
      <x:c r="AV13" s="27" t="n">
        <x:f>IF(OR(AA13="",M13=""),MAX(AE13,1/365),MAX((AA13-M13)/365,1/365))</x:f>
        <x:v>0.1643835616438356</x:v>
      </x:c>
      <x:c r="AW13" s="41" t="str">
        <x:f>IF(OR(Z13&lt;=0,Y13&lt;=0,AT13&lt;=0,AV13&lt;=0),"",(LN(Z13/Y13)+0.5*AT13^2*AV13)/(AT13*SQRT(AV13)))</x:f>
      </x:c>
      <x:c r="AX13" s="41" t="n">
        <x:f>IF(AND(X13&lt;&gt;"C",X13&lt;&gt;"P"),AU13,IF(AW13="",AU13,IF(X13="C",AU13*0.5*(1+ERF(AW13/SQRT(2))),-AU13*0.5*(1+ERF(-AW13/SQRT(2))))))</x:f>
        <x:v>1</x:v>
      </x:c>
      <x:c r="AY13" s="41" t="n">
        <x:f>IF(AJ13="M",1.5*SQRT(MAX(IF(U13="Y",5,10),IF(V13="",10,V13))/Parameters!$B$6),SQRT(MIN(MAX(AE13,10/Parameters!$B$6),1)))</x:f>
        <x:v>0.30000000000000004</x:v>
      </x:c>
      <x:c r="AZ13" s="40" t="n">
        <x:f>AS13*AX13*AY13</x:f>
        <x:v>46800000.00000001</x:v>
      </x:c>
      <x:c r="BA13" s="40" t="n">
        <x:f>'Python_Trade_Output'!AZ13</x:f>
        <x:v>46800000.00000001</x:v>
      </x:c>
      <x:c r="BB13" s="43" t="n">
        <x:f>AZ13-BA13</x:f>
        <x:v>0</x:v>
      </x:c>
    </x:row>
    <x:row r="14">
      <x:c r="A14" s="27" t="str">
        <x:f>'Inputs_Trades'!D14</x:f>
        <x:v>IND-000011</x:v>
      </x:c>
      <x:c r="B14" s="27" t="str">
        <x:f>'Inputs_Trades'!B14</x:f>
        <x:v>IND_HEDGE_FUND_001</x:v>
      </x:c>
      <x:c r="C14" s="27" t="n">
        <x:f>'Inputs_Trades'!C14</x:f>
        <x:v>3205</x:v>
      </x:c>
      <x:c r="D14" s="27" t="str">
        <x:f>'Inputs_Trades'!E14</x:f>
        <x:v>FX Forward</x:v>
      </x:c>
      <x:c r="E14" s="27" t="str">
        <x:f>'Inputs_Trades'!F14</x:f>
        <x:v>FX</x:v>
      </x:c>
      <x:c r="F14" s="27" t="n">
        <x:f>'Inputs_Trades'!G14</x:f>
        <x:v>0</x:v>
      </x:c>
      <x:c r="G14" s="27" t="str">
        <x:f>'Inputs_Trades'!J14</x:f>
        <x:v>USD</x:v>
      </x:c>
      <x:c r="H14" s="27" t="str">
        <x:f>'Inputs_Trades'!H14</x:f>
        <x:v>AUD</x:v>
      </x:c>
      <x:c r="I14" s="27" t="str">
        <x:f>'Inputs_Trades'!I14</x:f>
        <x:v>USD</x:v>
      </x:c>
      <x:c r="J14" s="27" t="str">
        <x:f>'Inputs_Trades'!M14</x:f>
        <x:v>AUD/USD</x:v>
      </x:c>
      <x:c r="K14" s="27" t="n">
        <x:f>'Inputs_Trades'!N14</x:f>
        <x:v>0</x:v>
      </x:c>
      <x:c r="L14" s="27" t="n">
        <x:f>'Inputs_Trades'!O14</x:f>
        <x:v>0</x:v>
      </x:c>
      <x:c r="M14" s="39" t="n">
        <x:f>'Inputs_Trades'!A14</x:f>
        <x:v>45702</x:v>
      </x:c>
      <x:c r="N14" s="39" t="n">
        <x:f>'Inputs_Trades'!P14</x:f>
        <x:v>46120</x:v>
      </x:c>
      <x:c r="O14" s="39" t="n">
        <x:f>'Inputs_Trades'!Q14</x:f>
        <x:v>45161</x:v>
      </x:c>
      <x:c r="P14" s="39" t="n">
        <x:f>'Inputs_Trades'!R14</x:f>
        <x:v>46120</x:v>
      </x:c>
      <x:c r="Q14" s="40" t="n">
        <x:f>'Inputs_Trades'!U14</x:f>
        <x:v>25100000</x:v>
      </x:c>
      <x:c r="R14" s="40" t="n">
        <x:f>'Inputs_Trades'!S14</x:f>
        <x:v>38030303.03</x:v>
      </x:c>
      <x:c r="S14" s="40" t="n">
        <x:f>'Inputs_Trades'!T14</x:f>
        <x:v>25100000</x:v>
      </x:c>
      <x:c r="T14" s="27" t="str">
        <x:f>'Inputs_Trades'!V14</x:f>
        <x:v>M</x:v>
      </x:c>
      <x:c r="U14" s="27" t="str">
        <x:f>'Inputs_Trades'!W14</x:f>
        <x:v>N</x:v>
      </x:c>
      <x:c r="V14" s="27" t="n">
        <x:f>'Inputs_Trades'!X14</x:f>
        <x:v>10</x:v>
      </x:c>
      <x:c r="W14" s="27" t="str">
        <x:f>'Inputs_Trades'!Y14</x:f>
        <x:v>B</x:v>
      </x:c>
      <x:c r="X14" s="27" t="n">
        <x:f>'Inputs_Trades'!AA14</x:f>
        <x:v>0</x:v>
      </x:c>
      <x:c r="Y14" s="27" t="n">
        <x:f>'Inputs_Trades'!AB14</x:f>
        <x:v>0</x:v>
      </x:c>
      <x:c r="Z14" s="27" t="n">
        <x:f>'Inputs_Trades'!AC14</x:f>
        <x:v>0</x:v>
      </x:c>
      <x:c r="AA14" s="39" t="n">
        <x:f>'Inputs_Trades'!Z14</x:f>
        <x:v>0</x:v>
      </x:c>
      <x:c r="AB14" s="40" t="n">
        <x:f>'Inputs_Trades'!AD14</x:f>
        <x:v>-188501</x:v>
      </x:c>
      <x:c r="AC14" s="27" t="n">
        <x:f>'Inputs_Trades'!K14</x:f>
        <x:v>0</x:v>
      </x:c>
      <x:c r="AD14" s="27" t="n">
        <x:f>N14-M14</x:f>
        <x:v>418</x:v>
      </x:c>
      <x:c r="AE14" s="41" t="n">
        <x:f>AD14/365</x:f>
        <x:v>1.1452054794520548</x:v>
      </x:c>
      <x:c r="AF14" s="27" t="str">
        <x:f>IF(AE14&lt;1,"&lt;1Y",IF(AE14&lt;=5,"1Y-5Y","&gt;5Y"))</x:f>
        <x:v>1Y-5Y</x:v>
      </x:c>
      <x:c r="AG14" s="27" t="str">
        <x:f>IF(E14="Commodity",IFERROR(VLOOKUP(F14,Parameters!$P$4:$Q$12,2,FALSE),"Other"),"")</x:f>
      </x:c>
      <x:c r="AH14" s="27" t="str">
        <x:f>IF(F14="","Unknown",F14)</x:f>
        <x:v>Unknown</x:v>
      </x:c>
      <x:c r="AI14" s="27" t="str">
        <x:f>IF(E14="Interest Rate",G14&amp;IF(OR(LOWER(AC14)="basis",LOWER(AC14)="volatility"),"_"&amp;AC14,""),IF(E14="FX",IF(H14&lt;I14,H14&amp;"/"&amp;I14,I14&amp;"/"&amp;H14)&amp;IF(OR(LOWER(AC14)="basis",LOWER(AC14)="volatility"),"_"&amp;AC14,""),IF(OR(E14="Credit",E14="Equity"),J14&amp;IF(OR(LOWER(AC14)="basis",LOWER(AC14)="volatility"),"_"&amp;AC14,""),IF(E14="Commodity",AG14&amp;IF(OR(LOWER(AC14)="basis",LOWER(AC14)="volatility"),"_"&amp;AC14,""),"UNKNOWN"))))</x:f>
        <x:v>AUD/USD</x:v>
      </x:c>
      <x:c r="AJ14" s="27" t="str">
        <x:f>T14</x:f>
        <x:v>M</x:v>
      </x:c>
      <x:c r="AK14" s="41" t="n">
        <x:f>IF(E14="Interest Rate",VLOOKUP("Interest Rate",Parameters!$D$4:$E$12,2,FALSE),IF(E14="FX",VLOOKUP("FX",Parameters!$D$4:$E$12,2,FALSE),IF(E14="Credit",IFERROR(VLOOKUP(L14,Parameters!$G$4:$H$12,2,FALSE),VLOOKUP("BBB",Parameters!$G$4:$H$12,2,FALSE)),IF(E14="Equity",VLOOKUP(IF(LOWER(K14)="index","Equity Index","Equity Single Name"),Parameters!$D$4:$E$12,2,FALSE),IF(E14="Commodity",VLOOKUP(IFERROR(VLOOKUP(F14,Parameters!$S$4:$T$12,2,FALSE),"Commodity Other"),Parameters!$D$4:$E$12,2,FALSE),0)))))</x:f>
        <x:v>0.04</x:v>
      </x:c>
      <x:c r="AL14" s="42" t="n">
        <x:f>IF(LOWER(AC14)="basis",Parameters!$B$8,IF(LOWER(AC14)="volatility",Parameters!$B$9,1))</x:f>
        <x:v>1</x:v>
      </x:c>
      <x:c r="AM14" s="41" t="n">
        <x:f>AK14*AL14</x:f>
        <x:v>0.04</x:v>
      </x:c>
      <x:c r="AN14" s="42" t="str">
        <x:f>IF(E14="Credit",VLOOKUP(IF(LOWER(K14)="index","Credit Index","Credit Single Name"),Parameters!$J$4:$K$8,2,FALSE),IF(E14="Equity",VLOOKUP(IF(LOWER(K14)="index","Equity Index","Equity Single Name"),Parameters!$J$4:$K$8,2,FALSE),IF(E14="Commodity",VLOOKUP("Commodity",Parameters!$J$4:$K$8,2,FALSE),"")))</x:f>
      </x:c>
      <x:c r="AO14" s="27" t="n">
        <x:f>MAX((O14-M14)/365,0)</x:f>
        <x:v>0</x:v>
      </x:c>
      <x:c r="AP14" s="27" t="n">
        <x:f>MAX((P14-M14)/365,10/Parameters!$B$6)</x:f>
        <x:v>1.1452054794520548</x:v>
      </x:c>
      <x:c r="AQ14" s="27" t="n">
        <x:f>IF(AP14&lt;=AO14,AO14+10/Parameters!$B$6,AP14)</x:f>
        <x:v>1.1452054794520548</x:v>
      </x:c>
      <x:c r="AR14" s="41" t="n">
        <x:f>IF(OR(E14="Interest Rate",E14="Credit"),(EXP(-Parameters!$B$7*AO14)-EXP(-Parameters!$B$7*AQ14))/Parameters!$B$7,1)</x:f>
        <x:v>1</x:v>
      </x:c>
      <x:c r="AS14" s="40" t="n">
        <x:f>IF(OR(E14="Interest Rate",E14="Credit"),ABS(Q14)*AR14,IF(E14="FX",IF(Q14&gt;0,Q14,MAX(ABS(R14),ABS(S14),ABS(Q14))),ABS(Q14)))</x:f>
        <x:v>25100000</x:v>
      </x:c>
      <x:c r="AT14" s="42" t="n">
        <x:f>IF(OR(E14="Interest Rate",E14="FX"),VLOOKUP(E14,Parameters!$M$4:$N$11,2,FALSE),IF(E14="Credit",VLOOKUP(IF(LOWER(K14)="index","Credit Index","Credit Single Name"),Parameters!$M$4:$N$11,2,FALSE),IF(E14="Equity",VLOOKUP(IF(LOWER(K14)="index","Equity Index","Equity Single Name"),Parameters!$M$4:$N$11,2,FALSE),IF(E14="Commodity",VLOOKUP(IF(F14="Electricity","Commodity Electricity","Commodity Other"),Parameters!$M$4:$N$11,2,FALSE),1))))</x:f>
        <x:v>0.15</x:v>
      </x:c>
      <x:c r="AU14" s="27" t="n">
        <x:f>IF(W14="B",1,-1)</x:f>
        <x:v>1</x:v>
      </x:c>
      <x:c r="AV14" s="27" t="n">
        <x:f>IF(OR(AA14="",M14=""),MAX(AE14,1/365),MAX((AA14-M14)/365,1/365))</x:f>
        <x:v>1.1452054794520548</x:v>
      </x:c>
      <x:c r="AW14" s="41" t="str">
        <x:f>IF(OR(Z14&lt;=0,Y14&lt;=0,AT14&lt;=0,AV14&lt;=0),"",(LN(Z14/Y14)+0.5*AT14^2*AV14)/(AT14*SQRT(AV14)))</x:f>
      </x:c>
      <x:c r="AX14" s="41" t="n">
        <x:f>IF(AND(X14&lt;&gt;"C",X14&lt;&gt;"P"),AU14,IF(AW14="",AU14,IF(X14="C",AU14*0.5*(1+ERF(AW14/SQRT(2))),-AU14*0.5*(1+ERF(-AW14/SQRT(2))))))</x:f>
        <x:v>1</x:v>
      </x:c>
      <x:c r="AY14" s="41" t="n">
        <x:f>IF(AJ14="M",1.5*SQRT(MAX(IF(U14="Y",5,10),IF(V14="",10,V14))/Parameters!$B$6),SQRT(MIN(MAX(AE14,10/Parameters!$B$6),1)))</x:f>
        <x:v>0.30000000000000004</x:v>
      </x:c>
      <x:c r="AZ14" s="40" t="n">
        <x:f>AS14*AX14*AY14</x:f>
        <x:v>7530000.000000001</x:v>
      </x:c>
      <x:c r="BA14" s="40" t="n">
        <x:f>'Python_Trade_Output'!AZ14</x:f>
        <x:v>7530000.000000001</x:v>
      </x:c>
      <x:c r="BB14" s="43" t="n">
        <x:f>AZ14-BA14</x:f>
        <x:v>0</x:v>
      </x:c>
    </x:row>
    <x:row r="15">
      <x:c r="A15" s="27" t="str">
        <x:f>'Inputs_Trades'!D15</x:f>
        <x:v>IND-000012</x:v>
      </x:c>
      <x:c r="B15" s="27" t="str">
        <x:f>'Inputs_Trades'!B15</x:f>
        <x:v>IND_BROKER_001</x:v>
      </x:c>
      <x:c r="C15" s="27" t="n">
        <x:f>'Inputs_Trades'!C15</x:f>
        <x:v>3384</x:v>
      </x:c>
      <x:c r="D15" s="27" t="str">
        <x:f>'Inputs_Trades'!E15</x:f>
        <x:v>FX Forward</x:v>
      </x:c>
      <x:c r="E15" s="27" t="str">
        <x:f>'Inputs_Trades'!F15</x:f>
        <x:v>FX</x:v>
      </x:c>
      <x:c r="F15" s="27" t="n">
        <x:f>'Inputs_Trades'!G15</x:f>
        <x:v>0</x:v>
      </x:c>
      <x:c r="G15" s="27" t="str">
        <x:f>'Inputs_Trades'!J15</x:f>
        <x:v>USD</x:v>
      </x:c>
      <x:c r="H15" s="27" t="str">
        <x:f>'Inputs_Trades'!H15</x:f>
        <x:v>USD</x:v>
      </x:c>
      <x:c r="I15" s="27" t="str">
        <x:f>'Inputs_Trades'!I15</x:f>
        <x:v>CNY</x:v>
      </x:c>
      <x:c r="J15" s="27" t="str">
        <x:f>'Inputs_Trades'!M15</x:f>
        <x:v>USD/CNY</x:v>
      </x:c>
      <x:c r="K15" s="27" t="n">
        <x:f>'Inputs_Trades'!N15</x:f>
        <x:v>0</x:v>
      </x:c>
      <x:c r="L15" s="27" t="n">
        <x:f>'Inputs_Trades'!O15</x:f>
        <x:v>0</x:v>
      </x:c>
      <x:c r="M15" s="39" t="n">
        <x:f>'Inputs_Trades'!A15</x:f>
        <x:v>45702</x:v>
      </x:c>
      <x:c r="N15" s="39" t="n">
        <x:f>'Inputs_Trades'!P15</x:f>
        <x:v>47536</x:v>
      </x:c>
      <x:c r="O15" s="39" t="n">
        <x:f>'Inputs_Trades'!Q15</x:f>
        <x:v>45367</x:v>
      </x:c>
      <x:c r="P15" s="39" t="n">
        <x:f>'Inputs_Trades'!R15</x:f>
        <x:v>47536</x:v>
      </x:c>
      <x:c r="Q15" s="40" t="n">
        <x:f>'Inputs_Trades'!U15</x:f>
        <x:v>9400000</x:v>
      </x:c>
      <x:c r="R15" s="40" t="n">
        <x:f>'Inputs_Trades'!S15</x:f>
        <x:v>9400000</x:v>
      </x:c>
      <x:c r="S15" s="40" t="n">
        <x:f>'Inputs_Trades'!T15</x:f>
        <x:v>67142857.14</x:v>
      </x:c>
      <x:c r="T15" s="27" t="str">
        <x:f>'Inputs_Trades'!V15</x:f>
        <x:v>U</x:v>
      </x:c>
      <x:c r="U15" s="27" t="str">
        <x:f>'Inputs_Trades'!W15</x:f>
        <x:v>N</x:v>
      </x:c>
      <x:c r="V15" s="27" t="n">
        <x:f>'Inputs_Trades'!X15</x:f>
        <x:v>0</x:v>
      </x:c>
      <x:c r="W15" s="27" t="str">
        <x:f>'Inputs_Trades'!Y15</x:f>
        <x:v>S</x:v>
      </x:c>
      <x:c r="X15" s="27" t="n">
        <x:f>'Inputs_Trades'!AA15</x:f>
        <x:v>0</x:v>
      </x:c>
      <x:c r="Y15" s="27" t="n">
        <x:f>'Inputs_Trades'!AB15</x:f>
        <x:v>0</x:v>
      </x:c>
      <x:c r="Z15" s="27" t="n">
        <x:f>'Inputs_Trades'!AC15</x:f>
        <x:v>0</x:v>
      </x:c>
      <x:c r="AA15" s="39" t="n">
        <x:f>'Inputs_Trades'!Z15</x:f>
        <x:v>0</x:v>
      </x:c>
      <x:c r="AB15" s="40" t="n">
        <x:f>'Inputs_Trades'!AD15</x:f>
        <x:v>-71440</x:v>
      </x:c>
      <x:c r="AC15" s="27" t="n">
        <x:f>'Inputs_Trades'!K15</x:f>
        <x:v>0</x:v>
      </x:c>
      <x:c r="AD15" s="27" t="n">
        <x:f>N15-M15</x:f>
        <x:v>1834</x:v>
      </x:c>
      <x:c r="AE15" s="41" t="n">
        <x:f>AD15/365</x:f>
        <x:v>5.024657534246575</x:v>
      </x:c>
      <x:c r="AF15" s="27" t="str">
        <x:f>IF(AE15&lt;1,"&lt;1Y",IF(AE15&lt;=5,"1Y-5Y","&gt;5Y"))</x:f>
        <x:v>&gt;5Y</x:v>
      </x:c>
      <x:c r="AG15" s="27" t="str">
        <x:f>IF(E15="Commodity",IFERROR(VLOOKUP(F15,Parameters!$P$4:$Q$12,2,FALSE),"Other"),"")</x:f>
      </x:c>
      <x:c r="AH15" s="27" t="str">
        <x:f>IF(F15="","Unknown",F15)</x:f>
        <x:v>Unknown</x:v>
      </x:c>
      <x:c r="AI15" s="27" t="str">
        <x:f>IF(E15="Interest Rate",G15&amp;IF(OR(LOWER(AC15)="basis",LOWER(AC15)="volatility"),"_"&amp;AC15,""),IF(E15="FX",IF(H15&lt;I15,H15&amp;"/"&amp;I15,I15&amp;"/"&amp;H15)&amp;IF(OR(LOWER(AC15)="basis",LOWER(AC15)="volatility"),"_"&amp;AC15,""),IF(OR(E15="Credit",E15="Equity"),J15&amp;IF(OR(LOWER(AC15)="basis",LOWER(AC15)="volatility"),"_"&amp;AC15,""),IF(E15="Commodity",AG15&amp;IF(OR(LOWER(AC15)="basis",LOWER(AC15)="volatility"),"_"&amp;AC15,""),"UNKNOWN"))))</x:f>
        <x:v>CNY/USD</x:v>
      </x:c>
      <x:c r="AJ15" s="27" t="str">
        <x:f>T15</x:f>
        <x:v>U</x:v>
      </x:c>
      <x:c r="AK15" s="41" t="n">
        <x:f>IF(E15="Interest Rate",VLOOKUP("Interest Rate",Parameters!$D$4:$E$12,2,FALSE),IF(E15="FX",VLOOKUP("FX",Parameters!$D$4:$E$12,2,FALSE),IF(E15="Credit",IFERROR(VLOOKUP(L15,Parameters!$G$4:$H$12,2,FALSE),VLOOKUP("BBB",Parameters!$G$4:$H$12,2,FALSE)),IF(E15="Equity",VLOOKUP(IF(LOWER(K15)="index","Equity Index","Equity Single Name"),Parameters!$D$4:$E$12,2,FALSE),IF(E15="Commodity",VLOOKUP(IFERROR(VLOOKUP(F15,Parameters!$S$4:$T$12,2,FALSE),"Commodity Other"),Parameters!$D$4:$E$12,2,FALSE),0)))))</x:f>
        <x:v>0.04</x:v>
      </x:c>
      <x:c r="AL15" s="42" t="n">
        <x:f>IF(LOWER(AC15)="basis",Parameters!$B$8,IF(LOWER(AC15)="volatility",Parameters!$B$9,1))</x:f>
        <x:v>1</x:v>
      </x:c>
      <x:c r="AM15" s="41" t="n">
        <x:f>AK15*AL15</x:f>
        <x:v>0.04</x:v>
      </x:c>
      <x:c r="AN15" s="42" t="str">
        <x:f>IF(E15="Credit",VLOOKUP(IF(LOWER(K15)="index","Credit Index","Credit Single Name"),Parameters!$J$4:$K$8,2,FALSE),IF(E15="Equity",VLOOKUP(IF(LOWER(K15)="index","Equity Index","Equity Single Name"),Parameters!$J$4:$K$8,2,FALSE),IF(E15="Commodity",VLOOKUP("Commodity",Parameters!$J$4:$K$8,2,FALSE),"")))</x:f>
      </x:c>
      <x:c r="AO15" s="27" t="n">
        <x:f>MAX((O15-M15)/365,0)</x:f>
        <x:v>0</x:v>
      </x:c>
      <x:c r="AP15" s="27" t="n">
        <x:f>MAX((P15-M15)/365,10/Parameters!$B$6)</x:f>
        <x:v>5.024657534246575</x:v>
      </x:c>
      <x:c r="AQ15" s="27" t="n">
        <x:f>IF(AP15&lt;=AO15,AO15+10/Parameters!$B$6,AP15)</x:f>
        <x:v>5.024657534246575</x:v>
      </x:c>
      <x:c r="AR15" s="41" t="n">
        <x:f>IF(OR(E15="Interest Rate",E15="Credit"),(EXP(-Parameters!$B$7*AO15)-EXP(-Parameters!$B$7*AQ15))/Parameters!$B$7,1)</x:f>
        <x:v>1</x:v>
      </x:c>
      <x:c r="AS15" s="40" t="n">
        <x:f>IF(OR(E15="Interest Rate",E15="Credit"),ABS(Q15)*AR15,IF(E15="FX",IF(Q15&gt;0,Q15,MAX(ABS(R15),ABS(S15),ABS(Q15))),ABS(Q15)))</x:f>
        <x:v>9400000</x:v>
      </x:c>
      <x:c r="AT15" s="42" t="n">
        <x:f>IF(OR(E15="Interest Rate",E15="FX"),VLOOKUP(E15,Parameters!$M$4:$N$11,2,FALSE),IF(E15="Credit",VLOOKUP(IF(LOWER(K15)="index","Credit Index","Credit Single Name"),Parameters!$M$4:$N$11,2,FALSE),IF(E15="Equity",VLOOKUP(IF(LOWER(K15)="index","Equity Index","Equity Single Name"),Parameters!$M$4:$N$11,2,FALSE),IF(E15="Commodity",VLOOKUP(IF(F15="Electricity","Commodity Electricity","Commodity Other"),Parameters!$M$4:$N$11,2,FALSE),1))))</x:f>
        <x:v>0.15</x:v>
      </x:c>
      <x:c r="AU15" s="27" t="n">
        <x:f>IF(W15="B",1,-1)</x:f>
        <x:v>-1</x:v>
      </x:c>
      <x:c r="AV15" s="27" t="n">
        <x:f>IF(OR(AA15="",M15=""),MAX(AE15,1/365),MAX((AA15-M15)/365,1/365))</x:f>
        <x:v>5.024657534246575</x:v>
      </x:c>
      <x:c r="AW15" s="41" t="str">
        <x:f>IF(OR(Z15&lt;=0,Y15&lt;=0,AT15&lt;=0,AV15&lt;=0),"",(LN(Z15/Y15)+0.5*AT15^2*AV15)/(AT15*SQRT(AV15)))</x:f>
      </x:c>
      <x:c r="AX15" s="41" t="n">
        <x:f>IF(AND(X15&lt;&gt;"C",X15&lt;&gt;"P"),AU15,IF(AW15="",AU15,IF(X15="C",AU15*0.5*(1+ERF(AW15/SQRT(2))),-AU15*0.5*(1+ERF(-AW15/SQRT(2))))))</x:f>
        <x:v>-1</x:v>
      </x:c>
      <x:c r="AY15" s="41" t="n">
        <x:f>IF(AJ15="M",1.5*SQRT(MAX(IF(U15="Y",5,10),IF(V15="",10,V15))/Parameters!$B$6),SQRT(MIN(MAX(AE15,10/Parameters!$B$6),1)))</x:f>
        <x:v>1</x:v>
      </x:c>
      <x:c r="AZ15" s="40" t="n">
        <x:f>AS15*AX15*AY15</x:f>
        <x:v>-9400000</x:v>
      </x:c>
      <x:c r="BA15" s="40" t="n">
        <x:f>'Python_Trade_Output'!AZ15</x:f>
        <x:v>-9400000</x:v>
      </x:c>
      <x:c r="BB15" s="43" t="n">
        <x:f>AZ15-BA15</x:f>
        <x:v>0</x:v>
      </x:c>
    </x:row>
    <x:row r="16">
      <x:c r="A16" s="27" t="str">
        <x:f>'Inputs_Trades'!D16</x:f>
        <x:v>IND-000013</x:v>
      </x:c>
      <x:c r="B16" s="27" t="str">
        <x:f>'Inputs_Trades'!B16</x:f>
        <x:v>IND_REGIONAL_BANK_001</x:v>
      </x:c>
      <x:c r="C16" s="27" t="n">
        <x:f>'Inputs_Trades'!C16</x:f>
        <x:v>3210</x:v>
      </x:c>
      <x:c r="D16" s="27" t="str">
        <x:f>'Inputs_Trades'!E16</x:f>
        <x:v>FX Forward</x:v>
      </x:c>
      <x:c r="E16" s="27" t="str">
        <x:f>'Inputs_Trades'!F16</x:f>
        <x:v>FX</x:v>
      </x:c>
      <x:c r="F16" s="27" t="n">
        <x:f>'Inputs_Trades'!G16</x:f>
        <x:v>0</x:v>
      </x:c>
      <x:c r="G16" s="27" t="str">
        <x:f>'Inputs_Trades'!J16</x:f>
        <x:v>USD</x:v>
      </x:c>
      <x:c r="H16" s="27" t="str">
        <x:f>'Inputs_Trades'!H16</x:f>
        <x:v>EUR</x:v>
      </x:c>
      <x:c r="I16" s="27" t="str">
        <x:f>'Inputs_Trades'!I16</x:f>
        <x:v>USD</x:v>
      </x:c>
      <x:c r="J16" s="27" t="str">
        <x:f>'Inputs_Trades'!M16</x:f>
        <x:v>EUR/USD</x:v>
      </x:c>
      <x:c r="K16" s="27" t="n">
        <x:f>'Inputs_Trades'!N16</x:f>
        <x:v>0</x:v>
      </x:c>
      <x:c r="L16" s="27" t="n">
        <x:f>'Inputs_Trades'!O16</x:f>
        <x:v>0</x:v>
      </x:c>
      <x:c r="M16" s="39" t="n">
        <x:f>'Inputs_Trades'!A16</x:f>
        <x:v>45702</x:v>
      </x:c>
      <x:c r="N16" s="39" t="n">
        <x:f>'Inputs_Trades'!P16</x:f>
        <x:v>46708</x:v>
      </x:c>
      <x:c r="O16" s="39" t="n">
        <x:f>'Inputs_Trades'!Q16</x:f>
        <x:v>44878</x:v>
      </x:c>
      <x:c r="P16" s="39" t="n">
        <x:f>'Inputs_Trades'!R16</x:f>
        <x:v>46708</x:v>
      </x:c>
      <x:c r="Q16" s="40" t="n">
        <x:f>'Inputs_Trades'!U16</x:f>
        <x:v>11300000</x:v>
      </x:c>
      <x:c r="R16" s="40" t="n">
        <x:f>'Inputs_Trades'!S16</x:f>
        <x:v>10761904.76</x:v>
      </x:c>
      <x:c r="S16" s="40" t="n">
        <x:f>'Inputs_Trades'!T16</x:f>
        <x:v>11300000</x:v>
      </x:c>
      <x:c r="T16" s="27" t="str">
        <x:f>'Inputs_Trades'!V16</x:f>
        <x:v>M</x:v>
      </x:c>
      <x:c r="U16" s="27" t="str">
        <x:f>'Inputs_Trades'!W16</x:f>
        <x:v>N</x:v>
      </x:c>
      <x:c r="V16" s="27" t="n">
        <x:f>'Inputs_Trades'!X16</x:f>
        <x:v>10</x:v>
      </x:c>
      <x:c r="W16" s="27" t="str">
        <x:f>'Inputs_Trades'!Y16</x:f>
        <x:v>S</x:v>
      </x:c>
      <x:c r="X16" s="27" t="n">
        <x:f>'Inputs_Trades'!AA16</x:f>
        <x:v>0</x:v>
      </x:c>
      <x:c r="Y16" s="27" t="n">
        <x:f>'Inputs_Trades'!AB16</x:f>
        <x:v>0</x:v>
      </x:c>
      <x:c r="Z16" s="27" t="n">
        <x:f>'Inputs_Trades'!AC16</x:f>
        <x:v>0</x:v>
      </x:c>
      <x:c r="AA16" s="39" t="n">
        <x:f>'Inputs_Trades'!Z16</x:f>
        <x:v>0</x:v>
      </x:c>
      <x:c r="AB16" s="40" t="n">
        <x:f>'Inputs_Trades'!AD16</x:f>
        <x:v>-16611</x:v>
      </x:c>
      <x:c r="AC16" s="27" t="n">
        <x:f>'Inputs_Trades'!K16</x:f>
        <x:v>0</x:v>
      </x:c>
      <x:c r="AD16" s="27" t="n">
        <x:f>N16-M16</x:f>
        <x:v>1006</x:v>
      </x:c>
      <x:c r="AE16" s="41" t="n">
        <x:f>AD16/365</x:f>
        <x:v>2.756164383561644</x:v>
      </x:c>
      <x:c r="AF16" s="27" t="str">
        <x:f>IF(AE16&lt;1,"&lt;1Y",IF(AE16&lt;=5,"1Y-5Y","&gt;5Y"))</x:f>
        <x:v>1Y-5Y</x:v>
      </x:c>
      <x:c r="AG16" s="27" t="str">
        <x:f>IF(E16="Commodity",IFERROR(VLOOKUP(F16,Parameters!$P$4:$Q$12,2,FALSE),"Other"),"")</x:f>
      </x:c>
      <x:c r="AH16" s="27" t="str">
        <x:f>IF(F16="","Unknown",F16)</x:f>
        <x:v>Unknown</x:v>
      </x:c>
      <x:c r="AI16" s="27" t="str">
        <x:f>IF(E16="Interest Rate",G16&amp;IF(OR(LOWER(AC16)="basis",LOWER(AC16)="volatility"),"_"&amp;AC16,""),IF(E16="FX",IF(H16&lt;I16,H16&amp;"/"&amp;I16,I16&amp;"/"&amp;H16)&amp;IF(OR(LOWER(AC16)="basis",LOWER(AC16)="volatility"),"_"&amp;AC16,""),IF(OR(E16="Credit",E16="Equity"),J16&amp;IF(OR(LOWER(AC16)="basis",LOWER(AC16)="volatility"),"_"&amp;AC16,""),IF(E16="Commodity",AG16&amp;IF(OR(LOWER(AC16)="basis",LOWER(AC16)="volatility"),"_"&amp;AC16,""),"UNKNOWN"))))</x:f>
        <x:v>EUR/USD</x:v>
      </x:c>
      <x:c r="AJ16" s="27" t="str">
        <x:f>T16</x:f>
        <x:v>M</x:v>
      </x:c>
      <x:c r="AK16" s="41" t="n">
        <x:f>IF(E16="Interest Rate",VLOOKUP("Interest Rate",Parameters!$D$4:$E$12,2,FALSE),IF(E16="FX",VLOOKUP("FX",Parameters!$D$4:$E$12,2,FALSE),IF(E16="Credit",IFERROR(VLOOKUP(L16,Parameters!$G$4:$H$12,2,FALSE),VLOOKUP("BBB",Parameters!$G$4:$H$12,2,FALSE)),IF(E16="Equity",VLOOKUP(IF(LOWER(K16)="index","Equity Index","Equity Single Name"),Parameters!$D$4:$E$12,2,FALSE),IF(E16="Commodity",VLOOKUP(IFERROR(VLOOKUP(F16,Parameters!$S$4:$T$12,2,FALSE),"Commodity Other"),Parameters!$D$4:$E$12,2,FALSE),0)))))</x:f>
        <x:v>0.04</x:v>
      </x:c>
      <x:c r="AL16" s="42" t="n">
        <x:f>IF(LOWER(AC16)="basis",Parameters!$B$8,IF(LOWER(AC16)="volatility",Parameters!$B$9,1))</x:f>
        <x:v>1</x:v>
      </x:c>
      <x:c r="AM16" s="41" t="n">
        <x:f>AK16*AL16</x:f>
        <x:v>0.04</x:v>
      </x:c>
      <x:c r="AN16" s="42" t="str">
        <x:f>IF(E16="Credit",VLOOKUP(IF(LOWER(K16)="index","Credit Index","Credit Single Name"),Parameters!$J$4:$K$8,2,FALSE),IF(E16="Equity",VLOOKUP(IF(LOWER(K16)="index","Equity Index","Equity Single Name"),Parameters!$J$4:$K$8,2,FALSE),IF(E16="Commodity",VLOOKUP("Commodity",Parameters!$J$4:$K$8,2,FALSE),"")))</x:f>
      </x:c>
      <x:c r="AO16" s="27" t="n">
        <x:f>MAX((O16-M16)/365,0)</x:f>
        <x:v>0</x:v>
      </x:c>
      <x:c r="AP16" s="27" t="n">
        <x:f>MAX((P16-M16)/365,10/Parameters!$B$6)</x:f>
        <x:v>2.756164383561644</x:v>
      </x:c>
      <x:c r="AQ16" s="27" t="n">
        <x:f>IF(AP16&lt;=AO16,AO16+10/Parameters!$B$6,AP16)</x:f>
        <x:v>2.756164383561644</x:v>
      </x:c>
      <x:c r="AR16" s="41" t="n">
        <x:f>IF(OR(E16="Interest Rate",E16="Credit"),(EXP(-Parameters!$B$7*AO16)-EXP(-Parameters!$B$7*AQ16))/Parameters!$B$7,1)</x:f>
        <x:v>1</x:v>
      </x:c>
      <x:c r="AS16" s="40" t="n">
        <x:f>IF(OR(E16="Interest Rate",E16="Credit"),ABS(Q16)*AR16,IF(E16="FX",IF(Q16&gt;0,Q16,MAX(ABS(R16),ABS(S16),ABS(Q16))),ABS(Q16)))</x:f>
        <x:v>11300000</x:v>
      </x:c>
      <x:c r="AT16" s="42" t="n">
        <x:f>IF(OR(E16="Interest Rate",E16="FX"),VLOOKUP(E16,Parameters!$M$4:$N$11,2,FALSE),IF(E16="Credit",VLOOKUP(IF(LOWER(K16)="index","Credit Index","Credit Single Name"),Parameters!$M$4:$N$11,2,FALSE),IF(E16="Equity",VLOOKUP(IF(LOWER(K16)="index","Equity Index","Equity Single Name"),Parameters!$M$4:$N$11,2,FALSE),IF(E16="Commodity",VLOOKUP(IF(F16="Electricity","Commodity Electricity","Commodity Other"),Parameters!$M$4:$N$11,2,FALSE),1))))</x:f>
        <x:v>0.15</x:v>
      </x:c>
      <x:c r="AU16" s="27" t="n">
        <x:f>IF(W16="B",1,-1)</x:f>
        <x:v>-1</x:v>
      </x:c>
      <x:c r="AV16" s="27" t="n">
        <x:f>IF(OR(AA16="",M16=""),MAX(AE16,1/365),MAX((AA16-M16)/365,1/365))</x:f>
        <x:v>2.756164383561644</x:v>
      </x:c>
      <x:c r="AW16" s="41" t="str">
        <x:f>IF(OR(Z16&lt;=0,Y16&lt;=0,AT16&lt;=0,AV16&lt;=0),"",(LN(Z16/Y16)+0.5*AT16^2*AV16)/(AT16*SQRT(AV16)))</x:f>
      </x:c>
      <x:c r="AX16" s="41" t="n">
        <x:f>IF(AND(X16&lt;&gt;"C",X16&lt;&gt;"P"),AU16,IF(AW16="",AU16,IF(X16="C",AU16*0.5*(1+ERF(AW16/SQRT(2))),-AU16*0.5*(1+ERF(-AW16/SQRT(2))))))</x:f>
        <x:v>-1</x:v>
      </x:c>
      <x:c r="AY16" s="41" t="n">
        <x:f>IF(AJ16="M",1.5*SQRT(MAX(IF(U16="Y",5,10),IF(V16="",10,V16))/Parameters!$B$6),SQRT(MIN(MAX(AE16,10/Parameters!$B$6),1)))</x:f>
        <x:v>0.30000000000000004</x:v>
      </x:c>
      <x:c r="AZ16" s="40" t="n">
        <x:f>AS16*AX16*AY16</x:f>
        <x:v>-3390000.0000000005</x:v>
      </x:c>
      <x:c r="BA16" s="40" t="n">
        <x:f>'Python_Trade_Output'!AZ16</x:f>
        <x:v>-3390000.0000000005</x:v>
      </x:c>
      <x:c r="BB16" s="43" t="n">
        <x:f>AZ16-BA16</x:f>
        <x:v>0</x:v>
      </x:c>
    </x:row>
    <x:row r="17">
      <x:c r="A17" s="27" t="str">
        <x:f>'Inputs_Trades'!D17</x:f>
        <x:v>IND-000014</x:v>
      </x:c>
      <x:c r="B17" s="27" t="str">
        <x:f>'Inputs_Trades'!B17</x:f>
        <x:v>IND_CORPORATE_001</x:v>
      </x:c>
      <x:c r="C17" s="27" t="n">
        <x:f>'Inputs_Trades'!C17</x:f>
        <x:v>3092</x:v>
      </x:c>
      <x:c r="D17" s="27" t="str">
        <x:f>'Inputs_Trades'!E17</x:f>
        <x:v>FX Forward</x:v>
      </x:c>
      <x:c r="E17" s="27" t="str">
        <x:f>'Inputs_Trades'!F17</x:f>
        <x:v>FX</x:v>
      </x:c>
      <x:c r="F17" s="27" t="n">
        <x:f>'Inputs_Trades'!G17</x:f>
        <x:v>0</x:v>
      </x:c>
      <x:c r="G17" s="27" t="str">
        <x:f>'Inputs_Trades'!J17</x:f>
        <x:v>USD</x:v>
      </x:c>
      <x:c r="H17" s="27" t="str">
        <x:f>'Inputs_Trades'!H17</x:f>
        <x:v>GBP</x:v>
      </x:c>
      <x:c r="I17" s="27" t="str">
        <x:f>'Inputs_Trades'!I17</x:f>
        <x:v>USD</x:v>
      </x:c>
      <x:c r="J17" s="27" t="str">
        <x:f>'Inputs_Trades'!M17</x:f>
        <x:v>GBP/USD</x:v>
      </x:c>
      <x:c r="K17" s="27" t="n">
        <x:f>'Inputs_Trades'!N17</x:f>
        <x:v>0</x:v>
      </x:c>
      <x:c r="L17" s="27" t="n">
        <x:f>'Inputs_Trades'!O17</x:f>
        <x:v>0</x:v>
      </x:c>
      <x:c r="M17" s="39" t="n">
        <x:f>'Inputs_Trades'!A17</x:f>
        <x:v>45702</x:v>
      </x:c>
      <x:c r="N17" s="39" t="n">
        <x:f>'Inputs_Trades'!P17</x:f>
        <x:v>47347</x:v>
      </x:c>
      <x:c r="O17" s="39" t="n">
        <x:f>'Inputs_Trades'!Q17</x:f>
        <x:v>45138</x:v>
      </x:c>
      <x:c r="P17" s="39" t="n">
        <x:f>'Inputs_Trades'!R17</x:f>
        <x:v>47347</x:v>
      </x:c>
      <x:c r="Q17" s="40" t="n">
        <x:f>'Inputs_Trades'!U17</x:f>
        <x:v>57800000</x:v>
      </x:c>
      <x:c r="R17" s="40" t="n">
        <x:f>'Inputs_Trades'!S17</x:f>
        <x:v>46240000</x:v>
      </x:c>
      <x:c r="S17" s="40" t="n">
        <x:f>'Inputs_Trades'!T17</x:f>
        <x:v>57800000</x:v>
      </x:c>
      <x:c r="T17" s="27" t="str">
        <x:f>'Inputs_Trades'!V17</x:f>
        <x:v>U</x:v>
      </x:c>
      <x:c r="U17" s="27" t="str">
        <x:f>'Inputs_Trades'!W17</x:f>
        <x:v>N</x:v>
      </x:c>
      <x:c r="V17" s="27" t="n">
        <x:f>'Inputs_Trades'!X17</x:f>
        <x:v>0</x:v>
      </x:c>
      <x:c r="W17" s="27" t="str">
        <x:f>'Inputs_Trades'!Y17</x:f>
        <x:v>B</x:v>
      </x:c>
      <x:c r="X17" s="27" t="n">
        <x:f>'Inputs_Trades'!AA17</x:f>
        <x:v>0</x:v>
      </x:c>
      <x:c r="Y17" s="27" t="n">
        <x:f>'Inputs_Trades'!AB17</x:f>
        <x:v>0</x:v>
      </x:c>
      <x:c r="Z17" s="27" t="n">
        <x:f>'Inputs_Trades'!AC17</x:f>
        <x:v>0</x:v>
      </x:c>
      <x:c r="AA17" s="39" t="n">
        <x:f>'Inputs_Trades'!Z17</x:f>
        <x:v>0</x:v>
      </x:c>
      <x:c r="AB17" s="40" t="n">
        <x:f>'Inputs_Trades'!AD17</x:f>
        <x:v>240448</x:v>
      </x:c>
      <x:c r="AC17" s="27" t="n">
        <x:f>'Inputs_Trades'!K17</x:f>
        <x:v>0</x:v>
      </x:c>
      <x:c r="AD17" s="27" t="n">
        <x:f>N17-M17</x:f>
        <x:v>1645</x:v>
      </x:c>
      <x:c r="AE17" s="41" t="n">
        <x:f>AD17/365</x:f>
        <x:v>4.506849315068493</x:v>
      </x:c>
      <x:c r="AF17" s="27" t="str">
        <x:f>IF(AE17&lt;1,"&lt;1Y",IF(AE17&lt;=5,"1Y-5Y","&gt;5Y"))</x:f>
        <x:v>1Y-5Y</x:v>
      </x:c>
      <x:c r="AG17" s="27" t="str">
        <x:f>IF(E17="Commodity",IFERROR(VLOOKUP(F17,Parameters!$P$4:$Q$12,2,FALSE),"Other"),"")</x:f>
      </x:c>
      <x:c r="AH17" s="27" t="str">
        <x:f>IF(F17="","Unknown",F17)</x:f>
        <x:v>Unknown</x:v>
      </x:c>
      <x:c r="AI17" s="27" t="str">
        <x:f>IF(E17="Interest Rate",G17&amp;IF(OR(LOWER(AC17)="basis",LOWER(AC17)="volatility"),"_"&amp;AC17,""),IF(E17="FX",IF(H17&lt;I17,H17&amp;"/"&amp;I17,I17&amp;"/"&amp;H17)&amp;IF(OR(LOWER(AC17)="basis",LOWER(AC17)="volatility"),"_"&amp;AC17,""),IF(OR(E17="Credit",E17="Equity"),J17&amp;IF(OR(LOWER(AC17)="basis",LOWER(AC17)="volatility"),"_"&amp;AC17,""),IF(E17="Commodity",AG17&amp;IF(OR(LOWER(AC17)="basis",LOWER(AC17)="volatility"),"_"&amp;AC17,""),"UNKNOWN"))))</x:f>
        <x:v>GBP/USD</x:v>
      </x:c>
      <x:c r="AJ17" s="27" t="str">
        <x:f>T17</x:f>
        <x:v>U</x:v>
      </x:c>
      <x:c r="AK17" s="41" t="n">
        <x:f>IF(E17="Interest Rate",VLOOKUP("Interest Rate",Parameters!$D$4:$E$12,2,FALSE),IF(E17="FX",VLOOKUP("FX",Parameters!$D$4:$E$12,2,FALSE),IF(E17="Credit",IFERROR(VLOOKUP(L17,Parameters!$G$4:$H$12,2,FALSE),VLOOKUP("BBB",Parameters!$G$4:$H$12,2,FALSE)),IF(E17="Equity",VLOOKUP(IF(LOWER(K17)="index","Equity Index","Equity Single Name"),Parameters!$D$4:$E$12,2,FALSE),IF(E17="Commodity",VLOOKUP(IFERROR(VLOOKUP(F17,Parameters!$S$4:$T$12,2,FALSE),"Commodity Other"),Parameters!$D$4:$E$12,2,FALSE),0)))))</x:f>
        <x:v>0.04</x:v>
      </x:c>
      <x:c r="AL17" s="42" t="n">
        <x:f>IF(LOWER(AC17)="basis",Parameters!$B$8,IF(LOWER(AC17)="volatility",Parameters!$B$9,1))</x:f>
        <x:v>1</x:v>
      </x:c>
      <x:c r="AM17" s="41" t="n">
        <x:f>AK17*AL17</x:f>
        <x:v>0.04</x:v>
      </x:c>
      <x:c r="AN17" s="42" t="str">
        <x:f>IF(E17="Credit",VLOOKUP(IF(LOWER(K17)="index","Credit Index","Credit Single Name"),Parameters!$J$4:$K$8,2,FALSE),IF(E17="Equity",VLOOKUP(IF(LOWER(K17)="index","Equity Index","Equity Single Name"),Parameters!$J$4:$K$8,2,FALSE),IF(E17="Commodity",VLOOKUP("Commodity",Parameters!$J$4:$K$8,2,FALSE),"")))</x:f>
      </x:c>
      <x:c r="AO17" s="27" t="n">
        <x:f>MAX((O17-M17)/365,0)</x:f>
        <x:v>0</x:v>
      </x:c>
      <x:c r="AP17" s="27" t="n">
        <x:f>MAX((P17-M17)/365,10/Parameters!$B$6)</x:f>
        <x:v>4.506849315068493</x:v>
      </x:c>
      <x:c r="AQ17" s="27" t="n">
        <x:f>IF(AP17&lt;=AO17,AO17+10/Parameters!$B$6,AP17)</x:f>
        <x:v>4.506849315068493</x:v>
      </x:c>
      <x:c r="AR17" s="41" t="n">
        <x:f>IF(OR(E17="Interest Rate",E17="Credit"),(EXP(-Parameters!$B$7*AO17)-EXP(-Parameters!$B$7*AQ17))/Parameters!$B$7,1)</x:f>
        <x:v>1</x:v>
      </x:c>
      <x:c r="AS17" s="40" t="n">
        <x:f>IF(OR(E17="Interest Rate",E17="Credit"),ABS(Q17)*AR17,IF(E17="FX",IF(Q17&gt;0,Q17,MAX(ABS(R17),ABS(S17),ABS(Q17))),ABS(Q17)))</x:f>
        <x:v>57800000</x:v>
      </x:c>
      <x:c r="AT17" s="42" t="n">
        <x:f>IF(OR(E17="Interest Rate",E17="FX"),VLOOKUP(E17,Parameters!$M$4:$N$11,2,FALSE),IF(E17="Credit",VLOOKUP(IF(LOWER(K17)="index","Credit Index","Credit Single Name"),Parameters!$M$4:$N$11,2,FALSE),IF(E17="Equity",VLOOKUP(IF(LOWER(K17)="index","Equity Index","Equity Single Name"),Parameters!$M$4:$N$11,2,FALSE),IF(E17="Commodity",VLOOKUP(IF(F17="Electricity","Commodity Electricity","Commodity Other"),Parameters!$M$4:$N$11,2,FALSE),1))))</x:f>
        <x:v>0.15</x:v>
      </x:c>
      <x:c r="AU17" s="27" t="n">
        <x:f>IF(W17="B",1,-1)</x:f>
        <x:v>1</x:v>
      </x:c>
      <x:c r="AV17" s="27" t="n">
        <x:f>IF(OR(AA17="",M17=""),MAX(AE17,1/365),MAX((AA17-M17)/365,1/365))</x:f>
        <x:v>4.506849315068493</x:v>
      </x:c>
      <x:c r="AW17" s="41" t="str">
        <x:f>IF(OR(Z17&lt;=0,Y17&lt;=0,AT17&lt;=0,AV17&lt;=0),"",(LN(Z17/Y17)+0.5*AT17^2*AV17)/(AT17*SQRT(AV17)))</x:f>
      </x:c>
      <x:c r="AX17" s="41" t="n">
        <x:f>IF(AND(X17&lt;&gt;"C",X17&lt;&gt;"P"),AU17,IF(AW17="",AU17,IF(X17="C",AU17*0.5*(1+ERF(AW17/SQRT(2))),-AU17*0.5*(1+ERF(-AW17/SQRT(2))))))</x:f>
        <x:v>1</x:v>
      </x:c>
      <x:c r="AY17" s="41" t="n">
        <x:f>IF(AJ17="M",1.5*SQRT(MAX(IF(U17="Y",5,10),IF(V17="",10,V17))/Parameters!$B$6),SQRT(MIN(MAX(AE17,10/Parameters!$B$6),1)))</x:f>
        <x:v>1</x:v>
      </x:c>
      <x:c r="AZ17" s="40" t="n">
        <x:f>AS17*AX17*AY17</x:f>
        <x:v>57800000</x:v>
      </x:c>
      <x:c r="BA17" s="40" t="n">
        <x:f>'Python_Trade_Output'!AZ17</x:f>
        <x:v>57800000</x:v>
      </x:c>
      <x:c r="BB17" s="43" t="n">
        <x:f>AZ17-BA17</x:f>
        <x:v>0</x:v>
      </x:c>
    </x:row>
    <x:row r="18">
      <x:c r="A18" s="27" t="str">
        <x:f>'Inputs_Trades'!D18</x:f>
        <x:v>IND-000015</x:v>
      </x:c>
      <x:c r="B18" s="27" t="str">
        <x:f>'Inputs_Trades'!B18</x:f>
        <x:v>IND_SOVEREIGN_001</x:v>
      </x:c>
      <x:c r="C18" s="27" t="n">
        <x:f>'Inputs_Trades'!C18</x:f>
        <x:v>3390</x:v>
      </x:c>
      <x:c r="D18" s="27" t="str">
        <x:f>'Inputs_Trades'!E18</x:f>
        <x:v>FX Forward</x:v>
      </x:c>
      <x:c r="E18" s="27" t="str">
        <x:f>'Inputs_Trades'!F18</x:f>
        <x:v>FX</x:v>
      </x:c>
      <x:c r="F18" s="27" t="n">
        <x:f>'Inputs_Trades'!G18</x:f>
        <x:v>0</x:v>
      </x:c>
      <x:c r="G18" s="27" t="str">
        <x:f>'Inputs_Trades'!J18</x:f>
        <x:v>USD</x:v>
      </x:c>
      <x:c r="H18" s="27" t="str">
        <x:f>'Inputs_Trades'!H18</x:f>
        <x:v>USD</x:v>
      </x:c>
      <x:c r="I18" s="27" t="str">
        <x:f>'Inputs_Trades'!I18</x:f>
        <x:v>JPY</x:v>
      </x:c>
      <x:c r="J18" s="27" t="str">
        <x:f>'Inputs_Trades'!M18</x:f>
        <x:v>USD/JPY</x:v>
      </x:c>
      <x:c r="K18" s="27" t="n">
        <x:f>'Inputs_Trades'!N18</x:f>
        <x:v>0</x:v>
      </x:c>
      <x:c r="L18" s="27" t="n">
        <x:f>'Inputs_Trades'!O18</x:f>
        <x:v>0</x:v>
      </x:c>
      <x:c r="M18" s="39" t="n">
        <x:f>'Inputs_Trades'!A18</x:f>
        <x:v>45702</x:v>
      </x:c>
      <x:c r="N18" s="39" t="n">
        <x:f>'Inputs_Trades'!P18</x:f>
        <x:v>45845</x:v>
      </x:c>
      <x:c r="O18" s="39" t="n">
        <x:f>'Inputs_Trades'!Q18</x:f>
        <x:v>45221</x:v>
      </x:c>
      <x:c r="P18" s="39" t="n">
        <x:f>'Inputs_Trades'!R18</x:f>
        <x:v>45845</x:v>
      </x:c>
      <x:c r="Q18" s="40" t="n">
        <x:f>'Inputs_Trades'!U18</x:f>
        <x:v>83400000</x:v>
      </x:c>
      <x:c r="R18" s="40" t="n">
        <x:f>'Inputs_Trades'!S18</x:f>
        <x:v>83400000</x:v>
      </x:c>
      <x:c r="S18" s="40" t="n">
        <x:f>'Inputs_Trades'!T18</x:f>
        <x:v>12447761194.03</x:v>
      </x:c>
      <x:c r="T18" s="27" t="str">
        <x:f>'Inputs_Trades'!V18</x:f>
        <x:v>M</x:v>
      </x:c>
      <x:c r="U18" s="27" t="str">
        <x:f>'Inputs_Trades'!W18</x:f>
        <x:v>N</x:v>
      </x:c>
      <x:c r="V18" s="27" t="n">
        <x:f>'Inputs_Trades'!X18</x:f>
        <x:v>10</x:v>
      </x:c>
      <x:c r="W18" s="27" t="str">
        <x:f>'Inputs_Trades'!Y18</x:f>
        <x:v>B</x:v>
      </x:c>
      <x:c r="X18" s="27" t="n">
        <x:f>'Inputs_Trades'!AA18</x:f>
        <x:v>0</x:v>
      </x:c>
      <x:c r="Y18" s="27" t="n">
        <x:f>'Inputs_Trades'!AB18</x:f>
        <x:v>0</x:v>
      </x:c>
      <x:c r="Z18" s="27" t="n">
        <x:f>'Inputs_Trades'!AC18</x:f>
        <x:v>0</x:v>
      </x:c>
      <x:c r="AA18" s="39" t="n">
        <x:f>'Inputs_Trades'!Z18</x:f>
        <x:v>0</x:v>
      </x:c>
      <x:c r="AB18" s="40" t="n">
        <x:f>'Inputs_Trades'!AD18</x:f>
        <x:v>-105084</x:v>
      </x:c>
      <x:c r="AC18" s="27" t="n">
        <x:f>'Inputs_Trades'!K18</x:f>
        <x:v>0</x:v>
      </x:c>
      <x:c r="AD18" s="27" t="n">
        <x:f>N18-M18</x:f>
        <x:v>143</x:v>
      </x:c>
      <x:c r="AE18" s="41" t="n">
        <x:f>AD18/365</x:f>
        <x:v>0.3917808219178082</x:v>
      </x:c>
      <x:c r="AF18" s="27" t="str">
        <x:f>IF(AE18&lt;1,"&lt;1Y",IF(AE18&lt;=5,"1Y-5Y","&gt;5Y"))</x:f>
        <x:v>&lt;1Y</x:v>
      </x:c>
      <x:c r="AG18" s="27" t="str">
        <x:f>IF(E18="Commodity",IFERROR(VLOOKUP(F18,Parameters!$P$4:$Q$12,2,FALSE),"Other"),"")</x:f>
      </x:c>
      <x:c r="AH18" s="27" t="str">
        <x:f>IF(F18="","Unknown",F18)</x:f>
        <x:v>Unknown</x:v>
      </x:c>
      <x:c r="AI18" s="27" t="str">
        <x:f>IF(E18="Interest Rate",G18&amp;IF(OR(LOWER(AC18)="basis",LOWER(AC18)="volatility"),"_"&amp;AC18,""),IF(E18="FX",IF(H18&lt;I18,H18&amp;"/"&amp;I18,I18&amp;"/"&amp;H18)&amp;IF(OR(LOWER(AC18)="basis",LOWER(AC18)="volatility"),"_"&amp;AC18,""),IF(OR(E18="Credit",E18="Equity"),J18&amp;IF(OR(LOWER(AC18)="basis",LOWER(AC18)="volatility"),"_"&amp;AC18,""),IF(E18="Commodity",AG18&amp;IF(OR(LOWER(AC18)="basis",LOWER(AC18)="volatility"),"_"&amp;AC18,""),"UNKNOWN"))))</x:f>
        <x:v>JPY/USD</x:v>
      </x:c>
      <x:c r="AJ18" s="27" t="str">
        <x:f>T18</x:f>
        <x:v>M</x:v>
      </x:c>
      <x:c r="AK18" s="41" t="n">
        <x:f>IF(E18="Interest Rate",VLOOKUP("Interest Rate",Parameters!$D$4:$E$12,2,FALSE),IF(E18="FX",VLOOKUP("FX",Parameters!$D$4:$E$12,2,FALSE),IF(E18="Credit",IFERROR(VLOOKUP(L18,Parameters!$G$4:$H$12,2,FALSE),VLOOKUP("BBB",Parameters!$G$4:$H$12,2,FALSE)),IF(E18="Equity",VLOOKUP(IF(LOWER(K18)="index","Equity Index","Equity Single Name"),Parameters!$D$4:$E$12,2,FALSE),IF(E18="Commodity",VLOOKUP(IFERROR(VLOOKUP(F18,Parameters!$S$4:$T$12,2,FALSE),"Commodity Other"),Parameters!$D$4:$E$12,2,FALSE),0)))))</x:f>
        <x:v>0.04</x:v>
      </x:c>
      <x:c r="AL18" s="42" t="n">
        <x:f>IF(LOWER(AC18)="basis",Parameters!$B$8,IF(LOWER(AC18)="volatility",Parameters!$B$9,1))</x:f>
        <x:v>1</x:v>
      </x:c>
      <x:c r="AM18" s="41" t="n">
        <x:f>AK18*AL18</x:f>
        <x:v>0.04</x:v>
      </x:c>
      <x:c r="AN18" s="42" t="str">
        <x:f>IF(E18="Credit",VLOOKUP(IF(LOWER(K18)="index","Credit Index","Credit Single Name"),Parameters!$J$4:$K$8,2,FALSE),IF(E18="Equity",VLOOKUP(IF(LOWER(K18)="index","Equity Index","Equity Single Name"),Parameters!$J$4:$K$8,2,FALSE),IF(E18="Commodity",VLOOKUP("Commodity",Parameters!$J$4:$K$8,2,FALSE),"")))</x:f>
      </x:c>
      <x:c r="AO18" s="27" t="n">
        <x:f>MAX((O18-M18)/365,0)</x:f>
        <x:v>0</x:v>
      </x:c>
      <x:c r="AP18" s="27" t="n">
        <x:f>MAX((P18-M18)/365,10/Parameters!$B$6)</x:f>
        <x:v>0.3917808219178082</x:v>
      </x:c>
      <x:c r="AQ18" s="27" t="n">
        <x:f>IF(AP18&lt;=AO18,AO18+10/Parameters!$B$6,AP18)</x:f>
        <x:v>0.3917808219178082</x:v>
      </x:c>
      <x:c r="AR18" s="41" t="n">
        <x:f>IF(OR(E18="Interest Rate",E18="Credit"),(EXP(-Parameters!$B$7*AO18)-EXP(-Parameters!$B$7*AQ18))/Parameters!$B$7,1)</x:f>
        <x:v>1</x:v>
      </x:c>
      <x:c r="AS18" s="40" t="n">
        <x:f>IF(OR(E18="Interest Rate",E18="Credit"),ABS(Q18)*AR18,IF(E18="FX",IF(Q18&gt;0,Q18,MAX(ABS(R18),ABS(S18),ABS(Q18))),ABS(Q18)))</x:f>
        <x:v>83400000</x:v>
      </x:c>
      <x:c r="AT18" s="42" t="n">
        <x:f>IF(OR(E18="Interest Rate",E18="FX"),VLOOKUP(E18,Parameters!$M$4:$N$11,2,FALSE),IF(E18="Credit",VLOOKUP(IF(LOWER(K18)="index","Credit Index","Credit Single Name"),Parameters!$M$4:$N$11,2,FALSE),IF(E18="Equity",VLOOKUP(IF(LOWER(K18)="index","Equity Index","Equity Single Name"),Parameters!$M$4:$N$11,2,FALSE),IF(E18="Commodity",VLOOKUP(IF(F18="Electricity","Commodity Electricity","Commodity Other"),Parameters!$M$4:$N$11,2,FALSE),1))))</x:f>
        <x:v>0.15</x:v>
      </x:c>
      <x:c r="AU18" s="27" t="n">
        <x:f>IF(W18="B",1,-1)</x:f>
        <x:v>1</x:v>
      </x:c>
      <x:c r="AV18" s="27" t="n">
        <x:f>IF(OR(AA18="",M18=""),MAX(AE18,1/365),MAX((AA18-M18)/365,1/365))</x:f>
        <x:v>0.3917808219178082</x:v>
      </x:c>
      <x:c r="AW18" s="41" t="str">
        <x:f>IF(OR(Z18&lt;=0,Y18&lt;=0,AT18&lt;=0,AV18&lt;=0),"",(LN(Z18/Y18)+0.5*AT18^2*AV18)/(AT18*SQRT(AV18)))</x:f>
      </x:c>
      <x:c r="AX18" s="41" t="n">
        <x:f>IF(AND(X18&lt;&gt;"C",X18&lt;&gt;"P"),AU18,IF(AW18="",AU18,IF(X18="C",AU18*0.5*(1+ERF(AW18/SQRT(2))),-AU18*0.5*(1+ERF(-AW18/SQRT(2))))))</x:f>
        <x:v>1</x:v>
      </x:c>
      <x:c r="AY18" s="41" t="n">
        <x:f>IF(AJ18="M",1.5*SQRT(MAX(IF(U18="Y",5,10),IF(V18="",10,V18))/Parameters!$B$6),SQRT(MIN(MAX(AE18,10/Parameters!$B$6),1)))</x:f>
        <x:v>0.30000000000000004</x:v>
      </x:c>
      <x:c r="AZ18" s="40" t="n">
        <x:f>AS18*AX18*AY18</x:f>
        <x:v>25020000.000000004</x:v>
      </x:c>
      <x:c r="BA18" s="40" t="n">
        <x:f>'Python_Trade_Output'!AZ18</x:f>
        <x:v>25020000.000000004</x:v>
      </x:c>
      <x:c r="BB18" s="43" t="n">
        <x:f>AZ18-BA18</x:f>
        <x:v>0</x:v>
      </x:c>
    </x:row>
    <x:row r="19">
      <x:c r="A19" s="27" t="str">
        <x:f>'Inputs_Trades'!D19</x:f>
        <x:v>IND-000016</x:v>
      </x:c>
      <x:c r="B19" s="27" t="str">
        <x:f>'Inputs_Trades'!B19</x:f>
        <x:v>IND_HEDGE_FUND_001</x:v>
      </x:c>
      <x:c r="C19" s="27" t="n">
        <x:f>'Inputs_Trades'!C19</x:f>
        <x:v>3205</x:v>
      </x:c>
      <x:c r="D19" s="27" t="str">
        <x:f>'Inputs_Trades'!E19</x:f>
        <x:v>FX Forward</x:v>
      </x:c>
      <x:c r="E19" s="27" t="str">
        <x:f>'Inputs_Trades'!F19</x:f>
        <x:v>FX</x:v>
      </x:c>
      <x:c r="F19" s="27" t="n">
        <x:f>'Inputs_Trades'!G19</x:f>
        <x:v>0</x:v>
      </x:c>
      <x:c r="G19" s="27" t="str">
        <x:f>'Inputs_Trades'!J19</x:f>
        <x:v>USD</x:v>
      </x:c>
      <x:c r="H19" s="27" t="str">
        <x:f>'Inputs_Trades'!H19</x:f>
        <x:v>USD</x:v>
      </x:c>
      <x:c r="I19" s="27" t="str">
        <x:f>'Inputs_Trades'!I19</x:f>
        <x:v>JPY</x:v>
      </x:c>
      <x:c r="J19" s="27" t="str">
        <x:f>'Inputs_Trades'!M19</x:f>
        <x:v>USD/JPY</x:v>
      </x:c>
      <x:c r="K19" s="27" t="n">
        <x:f>'Inputs_Trades'!N19</x:f>
        <x:v>0</x:v>
      </x:c>
      <x:c r="L19" s="27" t="n">
        <x:f>'Inputs_Trades'!O19</x:f>
        <x:v>0</x:v>
      </x:c>
      <x:c r="M19" s="39" t="n">
        <x:f>'Inputs_Trades'!A19</x:f>
        <x:v>45702</x:v>
      </x:c>
      <x:c r="N19" s="39" t="n">
        <x:f>'Inputs_Trades'!P19</x:f>
        <x:v>45785</x:v>
      </x:c>
      <x:c r="O19" s="39" t="n">
        <x:f>'Inputs_Trades'!Q19</x:f>
        <x:v>44872</x:v>
      </x:c>
      <x:c r="P19" s="39" t="n">
        <x:f>'Inputs_Trades'!R19</x:f>
        <x:v>45785</x:v>
      </x:c>
      <x:c r="Q19" s="40" t="n">
        <x:f>'Inputs_Trades'!U19</x:f>
        <x:v>1600000</x:v>
      </x:c>
      <x:c r="R19" s="40" t="n">
        <x:f>'Inputs_Trades'!S19</x:f>
        <x:v>1600000</x:v>
      </x:c>
      <x:c r="S19" s="40" t="n">
        <x:f>'Inputs_Trades'!T19</x:f>
        <x:v>238805970.15</x:v>
      </x:c>
      <x:c r="T19" s="27" t="str">
        <x:f>'Inputs_Trades'!V19</x:f>
        <x:v>M</x:v>
      </x:c>
      <x:c r="U19" s="27" t="str">
        <x:f>'Inputs_Trades'!W19</x:f>
        <x:v>N</x:v>
      </x:c>
      <x:c r="V19" s="27" t="n">
        <x:f>'Inputs_Trades'!X19</x:f>
        <x:v>10</x:v>
      </x:c>
      <x:c r="W19" s="27" t="str">
        <x:f>'Inputs_Trades'!Y19</x:f>
        <x:v>B</x:v>
      </x:c>
      <x:c r="X19" s="27" t="n">
        <x:f>'Inputs_Trades'!AA19</x:f>
        <x:v>0</x:v>
      </x:c>
      <x:c r="Y19" s="27" t="n">
        <x:f>'Inputs_Trades'!AB19</x:f>
        <x:v>0</x:v>
      </x:c>
      <x:c r="Z19" s="27" t="n">
        <x:f>'Inputs_Trades'!AC19</x:f>
        <x:v>0</x:v>
      </x:c>
      <x:c r="AA19" s="39" t="n">
        <x:f>'Inputs_Trades'!Z19</x:f>
        <x:v>0</x:v>
      </x:c>
      <x:c r="AB19" s="40" t="n">
        <x:f>'Inputs_Trades'!AD19</x:f>
        <x:v>-15056</x:v>
      </x:c>
      <x:c r="AC19" s="27" t="n">
        <x:f>'Inputs_Trades'!K19</x:f>
        <x:v>0</x:v>
      </x:c>
      <x:c r="AD19" s="27" t="n">
        <x:f>N19-M19</x:f>
        <x:v>83</x:v>
      </x:c>
      <x:c r="AE19" s="41" t="n">
        <x:f>AD19/365</x:f>
        <x:v>0.2273972602739726</x:v>
      </x:c>
      <x:c r="AF19" s="27" t="str">
        <x:f>IF(AE19&lt;1,"&lt;1Y",IF(AE19&lt;=5,"1Y-5Y","&gt;5Y"))</x:f>
        <x:v>&lt;1Y</x:v>
      </x:c>
      <x:c r="AG19" s="27" t="str">
        <x:f>IF(E19="Commodity",IFERROR(VLOOKUP(F19,Parameters!$P$4:$Q$12,2,FALSE),"Other"),"")</x:f>
      </x:c>
      <x:c r="AH19" s="27" t="str">
        <x:f>IF(F19="","Unknown",F19)</x:f>
        <x:v>Unknown</x:v>
      </x:c>
      <x:c r="AI19" s="27" t="str">
        <x:f>IF(E19="Interest Rate",G19&amp;IF(OR(LOWER(AC19)="basis",LOWER(AC19)="volatility"),"_"&amp;AC19,""),IF(E19="FX",IF(H19&lt;I19,H19&amp;"/"&amp;I19,I19&amp;"/"&amp;H19)&amp;IF(OR(LOWER(AC19)="basis",LOWER(AC19)="volatility"),"_"&amp;AC19,""),IF(OR(E19="Credit",E19="Equity"),J19&amp;IF(OR(LOWER(AC19)="basis",LOWER(AC19)="volatility"),"_"&amp;AC19,""),IF(E19="Commodity",AG19&amp;IF(OR(LOWER(AC19)="basis",LOWER(AC19)="volatility"),"_"&amp;AC19,""),"UNKNOWN"))))</x:f>
        <x:v>JPY/USD</x:v>
      </x:c>
      <x:c r="AJ19" s="27" t="str">
        <x:f>T19</x:f>
        <x:v>M</x:v>
      </x:c>
      <x:c r="AK19" s="41" t="n">
        <x:f>IF(E19="Interest Rate",VLOOKUP("Interest Rate",Parameters!$D$4:$E$12,2,FALSE),IF(E19="FX",VLOOKUP("FX",Parameters!$D$4:$E$12,2,FALSE),IF(E19="Credit",IFERROR(VLOOKUP(L19,Parameters!$G$4:$H$12,2,FALSE),VLOOKUP("BBB",Parameters!$G$4:$H$12,2,FALSE)),IF(E19="Equity",VLOOKUP(IF(LOWER(K19)="index","Equity Index","Equity Single Name"),Parameters!$D$4:$E$12,2,FALSE),IF(E19="Commodity",VLOOKUP(IFERROR(VLOOKUP(F19,Parameters!$S$4:$T$12,2,FALSE),"Commodity Other"),Parameters!$D$4:$E$12,2,FALSE),0)))))</x:f>
        <x:v>0.04</x:v>
      </x:c>
      <x:c r="AL19" s="42" t="n">
        <x:f>IF(LOWER(AC19)="basis",Parameters!$B$8,IF(LOWER(AC19)="volatility",Parameters!$B$9,1))</x:f>
        <x:v>1</x:v>
      </x:c>
      <x:c r="AM19" s="41" t="n">
        <x:f>AK19*AL19</x:f>
        <x:v>0.04</x:v>
      </x:c>
      <x:c r="AN19" s="42" t="str">
        <x:f>IF(E19="Credit",VLOOKUP(IF(LOWER(K19)="index","Credit Index","Credit Single Name"),Parameters!$J$4:$K$8,2,FALSE),IF(E19="Equity",VLOOKUP(IF(LOWER(K19)="index","Equity Index","Equity Single Name"),Parameters!$J$4:$K$8,2,FALSE),IF(E19="Commodity",VLOOKUP("Commodity",Parameters!$J$4:$K$8,2,FALSE),"")))</x:f>
      </x:c>
      <x:c r="AO19" s="27" t="n">
        <x:f>MAX((O19-M19)/365,0)</x:f>
        <x:v>0</x:v>
      </x:c>
      <x:c r="AP19" s="27" t="n">
        <x:f>MAX((P19-M19)/365,10/Parameters!$B$6)</x:f>
        <x:v>0.2273972602739726</x:v>
      </x:c>
      <x:c r="AQ19" s="27" t="n">
        <x:f>IF(AP19&lt;=AO19,AO19+10/Parameters!$B$6,AP19)</x:f>
        <x:v>0.2273972602739726</x:v>
      </x:c>
      <x:c r="AR19" s="41" t="n">
        <x:f>IF(OR(E19="Interest Rate",E19="Credit"),(EXP(-Parameters!$B$7*AO19)-EXP(-Parameters!$B$7*AQ19))/Parameters!$B$7,1)</x:f>
        <x:v>1</x:v>
      </x:c>
      <x:c r="AS19" s="40" t="n">
        <x:f>IF(OR(E19="Interest Rate",E19="Credit"),ABS(Q19)*AR19,IF(E19="FX",IF(Q19&gt;0,Q19,MAX(ABS(R19),ABS(S19),ABS(Q19))),ABS(Q19)))</x:f>
        <x:v>1600000</x:v>
      </x:c>
      <x:c r="AT19" s="42" t="n">
        <x:f>IF(OR(E19="Interest Rate",E19="FX"),VLOOKUP(E19,Parameters!$M$4:$N$11,2,FALSE),IF(E19="Credit",VLOOKUP(IF(LOWER(K19)="index","Credit Index","Credit Single Name"),Parameters!$M$4:$N$11,2,FALSE),IF(E19="Equity",VLOOKUP(IF(LOWER(K19)="index","Equity Index","Equity Single Name"),Parameters!$M$4:$N$11,2,FALSE),IF(E19="Commodity",VLOOKUP(IF(F19="Electricity","Commodity Electricity","Commodity Other"),Parameters!$M$4:$N$11,2,FALSE),1))))</x:f>
        <x:v>0.15</x:v>
      </x:c>
      <x:c r="AU19" s="27" t="n">
        <x:f>IF(W19="B",1,-1)</x:f>
        <x:v>1</x:v>
      </x:c>
      <x:c r="AV19" s="27" t="n">
        <x:f>IF(OR(AA19="",M19=""),MAX(AE19,1/365),MAX((AA19-M19)/365,1/365))</x:f>
        <x:v>0.2273972602739726</x:v>
      </x:c>
      <x:c r="AW19" s="41" t="str">
        <x:f>IF(OR(Z19&lt;=0,Y19&lt;=0,AT19&lt;=0,AV19&lt;=0),"",(LN(Z19/Y19)+0.5*AT19^2*AV19)/(AT19*SQRT(AV19)))</x:f>
      </x:c>
      <x:c r="AX19" s="41" t="n">
        <x:f>IF(AND(X19&lt;&gt;"C",X19&lt;&gt;"P"),AU19,IF(AW19="",AU19,IF(X19="C",AU19*0.5*(1+ERF(AW19/SQRT(2))),-AU19*0.5*(1+ERF(-AW19/SQRT(2))))))</x:f>
        <x:v>1</x:v>
      </x:c>
      <x:c r="AY19" s="41" t="n">
        <x:f>IF(AJ19="M",1.5*SQRT(MAX(IF(U19="Y",5,10),IF(V19="",10,V19))/Parameters!$B$6),SQRT(MIN(MAX(AE19,10/Parameters!$B$6),1)))</x:f>
        <x:v>0.30000000000000004</x:v>
      </x:c>
      <x:c r="AZ19" s="40" t="n">
        <x:f>AS19*AX19*AY19</x:f>
        <x:v>480000.00000000006</x:v>
      </x:c>
      <x:c r="BA19" s="40" t="n">
        <x:f>'Python_Trade_Output'!AZ19</x:f>
        <x:v>480000.00000000006</x:v>
      </x:c>
      <x:c r="BB19" s="43" t="n">
        <x:f>AZ19-BA19</x:f>
        <x:v>0</x:v>
      </x:c>
    </x:row>
    <x:row r="20">
      <x:c r="A20" s="27" t="str">
        <x:f>'Inputs_Trades'!D20</x:f>
        <x:v>IND-000017</x:v>
      </x:c>
      <x:c r="B20" s="27" t="str">
        <x:f>'Inputs_Trades'!B20</x:f>
        <x:v>IND_REGIONAL_BANK_001</x:v>
      </x:c>
      <x:c r="C20" s="27" t="n">
        <x:f>'Inputs_Trades'!C20</x:f>
        <x:v>3245</x:v>
      </x:c>
      <x:c r="D20" s="27" t="str">
        <x:f>'Inputs_Trades'!E20</x:f>
        <x:v>FX Forward</x:v>
      </x:c>
      <x:c r="E20" s="27" t="str">
        <x:f>'Inputs_Trades'!F20</x:f>
        <x:v>FX</x:v>
      </x:c>
      <x:c r="F20" s="27" t="n">
        <x:f>'Inputs_Trades'!G20</x:f>
        <x:v>0</x:v>
      </x:c>
      <x:c r="G20" s="27" t="str">
        <x:f>'Inputs_Trades'!J20</x:f>
        <x:v>USD</x:v>
      </x:c>
      <x:c r="H20" s="27" t="str">
        <x:f>'Inputs_Trades'!H20</x:f>
        <x:v>GBP</x:v>
      </x:c>
      <x:c r="I20" s="27" t="str">
        <x:f>'Inputs_Trades'!I20</x:f>
        <x:v>USD</x:v>
      </x:c>
      <x:c r="J20" s="27" t="str">
        <x:f>'Inputs_Trades'!M20</x:f>
        <x:v>GBP/USD</x:v>
      </x:c>
      <x:c r="K20" s="27" t="n">
        <x:f>'Inputs_Trades'!N20</x:f>
        <x:v>0</x:v>
      </x:c>
      <x:c r="L20" s="27" t="n">
        <x:f>'Inputs_Trades'!O20</x:f>
        <x:v>0</x:v>
      </x:c>
      <x:c r="M20" s="39" t="n">
        <x:f>'Inputs_Trades'!A20</x:f>
        <x:v>45702</x:v>
      </x:c>
      <x:c r="N20" s="39" t="n">
        <x:f>'Inputs_Trades'!P20</x:f>
        <x:v>46321</x:v>
      </x:c>
      <x:c r="O20" s="39" t="n">
        <x:f>'Inputs_Trades'!Q20</x:f>
        <x:v>44803</x:v>
      </x:c>
      <x:c r="P20" s="39" t="n">
        <x:f>'Inputs_Trades'!R20</x:f>
        <x:v>46321</x:v>
      </x:c>
      <x:c r="Q20" s="40" t="n">
        <x:f>'Inputs_Trades'!U20</x:f>
        <x:v>57000000</x:v>
      </x:c>
      <x:c r="R20" s="40" t="n">
        <x:f>'Inputs_Trades'!S20</x:f>
        <x:v>45600000</x:v>
      </x:c>
      <x:c r="S20" s="40" t="n">
        <x:f>'Inputs_Trades'!T20</x:f>
        <x:v>57000000</x:v>
      </x:c>
      <x:c r="T20" s="27" t="str">
        <x:f>'Inputs_Trades'!V20</x:f>
        <x:v>U</x:v>
      </x:c>
      <x:c r="U20" s="27" t="str">
        <x:f>'Inputs_Trades'!W20</x:f>
        <x:v>N</x:v>
      </x:c>
      <x:c r="V20" s="27" t="n">
        <x:f>'Inputs_Trades'!X20</x:f>
        <x:v>0</x:v>
      </x:c>
      <x:c r="W20" s="27" t="str">
        <x:f>'Inputs_Trades'!Y20</x:f>
        <x:v>S</x:v>
      </x:c>
      <x:c r="X20" s="27" t="n">
        <x:f>'Inputs_Trades'!AA20</x:f>
        <x:v>0</x:v>
      </x:c>
      <x:c r="Y20" s="27" t="n">
        <x:f>'Inputs_Trades'!AB20</x:f>
        <x:v>0</x:v>
      </x:c>
      <x:c r="Z20" s="27" t="n">
        <x:f>'Inputs_Trades'!AC20</x:f>
        <x:v>0</x:v>
      </x:c>
      <x:c r="AA20" s="39" t="n">
        <x:f>'Inputs_Trades'!Z20</x:f>
        <x:v>0</x:v>
      </x:c>
      <x:c r="AB20" s="40" t="n">
        <x:f>'Inputs_Trades'!AD20</x:f>
        <x:v>489060</x:v>
      </x:c>
      <x:c r="AC20" s="27" t="n">
        <x:f>'Inputs_Trades'!K20</x:f>
        <x:v>0</x:v>
      </x:c>
      <x:c r="AD20" s="27" t="n">
        <x:f>N20-M20</x:f>
        <x:v>619</x:v>
      </x:c>
      <x:c r="AE20" s="41" t="n">
        <x:f>AD20/365</x:f>
        <x:v>1.6958904109589041</x:v>
      </x:c>
      <x:c r="AF20" s="27" t="str">
        <x:f>IF(AE20&lt;1,"&lt;1Y",IF(AE20&lt;=5,"1Y-5Y","&gt;5Y"))</x:f>
        <x:v>1Y-5Y</x:v>
      </x:c>
      <x:c r="AG20" s="27" t="str">
        <x:f>IF(E20="Commodity",IFERROR(VLOOKUP(F20,Parameters!$P$4:$Q$12,2,FALSE),"Other"),"")</x:f>
      </x:c>
      <x:c r="AH20" s="27" t="str">
        <x:f>IF(F20="","Unknown",F20)</x:f>
        <x:v>Unknown</x:v>
      </x:c>
      <x:c r="AI20" s="27" t="str">
        <x:f>IF(E20="Interest Rate",G20&amp;IF(OR(LOWER(AC20)="basis",LOWER(AC20)="volatility"),"_"&amp;AC20,""),IF(E20="FX",IF(H20&lt;I20,H20&amp;"/"&amp;I20,I20&amp;"/"&amp;H20)&amp;IF(OR(LOWER(AC20)="basis",LOWER(AC20)="volatility"),"_"&amp;AC20,""),IF(OR(E20="Credit",E20="Equity"),J20&amp;IF(OR(LOWER(AC20)="basis",LOWER(AC20)="volatility"),"_"&amp;AC20,""),IF(E20="Commodity",AG20&amp;IF(OR(LOWER(AC20)="basis",LOWER(AC20)="volatility"),"_"&amp;AC20,""),"UNKNOWN"))))</x:f>
        <x:v>GBP/USD</x:v>
      </x:c>
      <x:c r="AJ20" s="27" t="str">
        <x:f>T20</x:f>
        <x:v>U</x:v>
      </x:c>
      <x:c r="AK20" s="41" t="n">
        <x:f>IF(E20="Interest Rate",VLOOKUP("Interest Rate",Parameters!$D$4:$E$12,2,FALSE),IF(E20="FX",VLOOKUP("FX",Parameters!$D$4:$E$12,2,FALSE),IF(E20="Credit",IFERROR(VLOOKUP(L20,Parameters!$G$4:$H$12,2,FALSE),VLOOKUP("BBB",Parameters!$G$4:$H$12,2,FALSE)),IF(E20="Equity",VLOOKUP(IF(LOWER(K20)="index","Equity Index","Equity Single Name"),Parameters!$D$4:$E$12,2,FALSE),IF(E20="Commodity",VLOOKUP(IFERROR(VLOOKUP(F20,Parameters!$S$4:$T$12,2,FALSE),"Commodity Other"),Parameters!$D$4:$E$12,2,FALSE),0)))))</x:f>
        <x:v>0.04</x:v>
      </x:c>
      <x:c r="AL20" s="42" t="n">
        <x:f>IF(LOWER(AC20)="basis",Parameters!$B$8,IF(LOWER(AC20)="volatility",Parameters!$B$9,1))</x:f>
        <x:v>1</x:v>
      </x:c>
      <x:c r="AM20" s="41" t="n">
        <x:f>AK20*AL20</x:f>
        <x:v>0.04</x:v>
      </x:c>
      <x:c r="AN20" s="42" t="str">
        <x:f>IF(E20="Credit",VLOOKUP(IF(LOWER(K20)="index","Credit Index","Credit Single Name"),Parameters!$J$4:$K$8,2,FALSE),IF(E20="Equity",VLOOKUP(IF(LOWER(K20)="index","Equity Index","Equity Single Name"),Parameters!$J$4:$K$8,2,FALSE),IF(E20="Commodity",VLOOKUP("Commodity",Parameters!$J$4:$K$8,2,FALSE),"")))</x:f>
      </x:c>
      <x:c r="AO20" s="27" t="n">
        <x:f>MAX((O20-M20)/365,0)</x:f>
        <x:v>0</x:v>
      </x:c>
      <x:c r="AP20" s="27" t="n">
        <x:f>MAX((P20-M20)/365,10/Parameters!$B$6)</x:f>
        <x:v>1.6958904109589041</x:v>
      </x:c>
      <x:c r="AQ20" s="27" t="n">
        <x:f>IF(AP20&lt;=AO20,AO20+10/Parameters!$B$6,AP20)</x:f>
        <x:v>1.6958904109589041</x:v>
      </x:c>
      <x:c r="AR20" s="41" t="n">
        <x:f>IF(OR(E20="Interest Rate",E20="Credit"),(EXP(-Parameters!$B$7*AO20)-EXP(-Parameters!$B$7*AQ20))/Parameters!$B$7,1)</x:f>
        <x:v>1</x:v>
      </x:c>
      <x:c r="AS20" s="40" t="n">
        <x:f>IF(OR(E20="Interest Rate",E20="Credit"),ABS(Q20)*AR20,IF(E20="FX",IF(Q20&gt;0,Q20,MAX(ABS(R20),ABS(S20),ABS(Q20))),ABS(Q20)))</x:f>
        <x:v>57000000</x:v>
      </x:c>
      <x:c r="AT20" s="42" t="n">
        <x:f>IF(OR(E20="Interest Rate",E20="FX"),VLOOKUP(E20,Parameters!$M$4:$N$11,2,FALSE),IF(E20="Credit",VLOOKUP(IF(LOWER(K20)="index","Credit Index","Credit Single Name"),Parameters!$M$4:$N$11,2,FALSE),IF(E20="Equity",VLOOKUP(IF(LOWER(K20)="index","Equity Index","Equity Single Name"),Parameters!$M$4:$N$11,2,FALSE),IF(E20="Commodity",VLOOKUP(IF(F20="Electricity","Commodity Electricity","Commodity Other"),Parameters!$M$4:$N$11,2,FALSE),1))))</x:f>
        <x:v>0.15</x:v>
      </x:c>
      <x:c r="AU20" s="27" t="n">
        <x:f>IF(W20="B",1,-1)</x:f>
        <x:v>-1</x:v>
      </x:c>
      <x:c r="AV20" s="27" t="n">
        <x:f>IF(OR(AA20="",M20=""),MAX(AE20,1/365),MAX((AA20-M20)/365,1/365))</x:f>
        <x:v>1.6958904109589041</x:v>
      </x:c>
      <x:c r="AW20" s="41" t="str">
        <x:f>IF(OR(Z20&lt;=0,Y20&lt;=0,AT20&lt;=0,AV20&lt;=0),"",(LN(Z20/Y20)+0.5*AT20^2*AV20)/(AT20*SQRT(AV20)))</x:f>
      </x:c>
      <x:c r="AX20" s="41" t="n">
        <x:f>IF(AND(X20&lt;&gt;"C",X20&lt;&gt;"P"),AU20,IF(AW20="",AU20,IF(X20="C",AU20*0.5*(1+ERF(AW20/SQRT(2))),-AU20*0.5*(1+ERF(-AW20/SQRT(2))))))</x:f>
        <x:v>-1</x:v>
      </x:c>
      <x:c r="AY20" s="41" t="n">
        <x:f>IF(AJ20="M",1.5*SQRT(MAX(IF(U20="Y",5,10),IF(V20="",10,V20))/Parameters!$B$6),SQRT(MIN(MAX(AE20,10/Parameters!$B$6),1)))</x:f>
        <x:v>1</x:v>
      </x:c>
      <x:c r="AZ20" s="40" t="n">
        <x:f>AS20*AX20*AY20</x:f>
        <x:v>-57000000</x:v>
      </x:c>
      <x:c r="BA20" s="40" t="n">
        <x:f>'Python_Trade_Output'!AZ20</x:f>
        <x:v>-57000000</x:v>
      </x:c>
      <x:c r="BB20" s="43" t="n">
        <x:f>AZ20-BA20</x:f>
        <x:v>0</x:v>
      </x:c>
    </x:row>
    <x:row r="21">
      <x:c r="A21" s="27" t="str">
        <x:f>'Inputs_Trades'!D21</x:f>
        <x:v>IND-000018</x:v>
      </x:c>
      <x:c r="B21" s="27" t="str">
        <x:f>'Inputs_Trades'!B21</x:f>
        <x:v>IND_INSURER_001</x:v>
      </x:c>
      <x:c r="C21" s="27" t="n">
        <x:f>'Inputs_Trades'!C21</x:f>
        <x:v>3122</x:v>
      </x:c>
      <x:c r="D21" s="27" t="str">
        <x:f>'Inputs_Trades'!E21</x:f>
        <x:v>FX Forward</x:v>
      </x:c>
      <x:c r="E21" s="27" t="str">
        <x:f>'Inputs_Trades'!F21</x:f>
        <x:v>FX</x:v>
      </x:c>
      <x:c r="F21" s="27" t="n">
        <x:f>'Inputs_Trades'!G21</x:f>
        <x:v>0</x:v>
      </x:c>
      <x:c r="G21" s="27" t="str">
        <x:f>'Inputs_Trades'!J21</x:f>
        <x:v>USD</x:v>
      </x:c>
      <x:c r="H21" s="27" t="str">
        <x:f>'Inputs_Trades'!H21</x:f>
        <x:v>AUD</x:v>
      </x:c>
      <x:c r="I21" s="27" t="str">
        <x:f>'Inputs_Trades'!I21</x:f>
        <x:v>USD</x:v>
      </x:c>
      <x:c r="J21" s="27" t="str">
        <x:f>'Inputs_Trades'!M21</x:f>
        <x:v>AUD/USD</x:v>
      </x:c>
      <x:c r="K21" s="27" t="n">
        <x:f>'Inputs_Trades'!N21</x:f>
        <x:v>0</x:v>
      </x:c>
      <x:c r="L21" s="27" t="n">
        <x:f>'Inputs_Trades'!O21</x:f>
        <x:v>0</x:v>
      </x:c>
      <x:c r="M21" s="39" t="n">
        <x:f>'Inputs_Trades'!A21</x:f>
        <x:v>45702</x:v>
      </x:c>
      <x:c r="N21" s="39" t="n">
        <x:f>'Inputs_Trades'!P21</x:f>
        <x:v>47223</x:v>
      </x:c>
      <x:c r="O21" s="39" t="n">
        <x:f>'Inputs_Trades'!Q21</x:f>
        <x:v>45060</x:v>
      </x:c>
      <x:c r="P21" s="39" t="n">
        <x:f>'Inputs_Trades'!R21</x:f>
        <x:v>47223</x:v>
      </x:c>
      <x:c r="Q21" s="40" t="n">
        <x:f>'Inputs_Trades'!U21</x:f>
        <x:v>151000000</x:v>
      </x:c>
      <x:c r="R21" s="40" t="n">
        <x:f>'Inputs_Trades'!S21</x:f>
        <x:v>228787878.79</x:v>
      </x:c>
      <x:c r="S21" s="40" t="n">
        <x:f>'Inputs_Trades'!T21</x:f>
        <x:v>151000000</x:v>
      </x:c>
      <x:c r="T21" s="27" t="str">
        <x:f>'Inputs_Trades'!V21</x:f>
        <x:v>M</x:v>
      </x:c>
      <x:c r="U21" s="27" t="str">
        <x:f>'Inputs_Trades'!W21</x:f>
        <x:v>N</x:v>
      </x:c>
      <x:c r="V21" s="27" t="n">
        <x:f>'Inputs_Trades'!X21</x:f>
        <x:v>10</x:v>
      </x:c>
      <x:c r="W21" s="27" t="str">
        <x:f>'Inputs_Trades'!Y21</x:f>
        <x:v>B</x:v>
      </x:c>
      <x:c r="X21" s="27" t="n">
        <x:f>'Inputs_Trades'!AA21</x:f>
        <x:v>0</x:v>
      </x:c>
      <x:c r="Y21" s="27" t="n">
        <x:f>'Inputs_Trades'!AB21</x:f>
        <x:v>0</x:v>
      </x:c>
      <x:c r="Z21" s="27" t="n">
        <x:f>'Inputs_Trades'!AC21</x:f>
        <x:v>0</x:v>
      </x:c>
      <x:c r="AA21" s="39" t="n">
        <x:f>'Inputs_Trades'!Z21</x:f>
        <x:v>0</x:v>
      </x:c>
      <x:c r="AB21" s="40" t="n">
        <x:f>'Inputs_Trades'!AD21</x:f>
        <x:v>1204980</x:v>
      </x:c>
      <x:c r="AC21" s="27" t="n">
        <x:f>'Inputs_Trades'!K21</x:f>
        <x:v>0</x:v>
      </x:c>
      <x:c r="AD21" s="27" t="n">
        <x:f>N21-M21</x:f>
        <x:v>1521</x:v>
      </x:c>
      <x:c r="AE21" s="41" t="n">
        <x:f>AD21/365</x:f>
        <x:v>4.167123287671233</x:v>
      </x:c>
      <x:c r="AF21" s="27" t="str">
        <x:f>IF(AE21&lt;1,"&lt;1Y",IF(AE21&lt;=5,"1Y-5Y","&gt;5Y"))</x:f>
        <x:v>1Y-5Y</x:v>
      </x:c>
      <x:c r="AG21" s="27" t="str">
        <x:f>IF(E21="Commodity",IFERROR(VLOOKUP(F21,Parameters!$P$4:$Q$12,2,FALSE),"Other"),"")</x:f>
      </x:c>
      <x:c r="AH21" s="27" t="str">
        <x:f>IF(F21="","Unknown",F21)</x:f>
        <x:v>Unknown</x:v>
      </x:c>
      <x:c r="AI21" s="27" t="str">
        <x:f>IF(E21="Interest Rate",G21&amp;IF(OR(LOWER(AC21)="basis",LOWER(AC21)="volatility"),"_"&amp;AC21,""),IF(E21="FX",IF(H21&lt;I21,H21&amp;"/"&amp;I21,I21&amp;"/"&amp;H21)&amp;IF(OR(LOWER(AC21)="basis",LOWER(AC21)="volatility"),"_"&amp;AC21,""),IF(OR(E21="Credit",E21="Equity"),J21&amp;IF(OR(LOWER(AC21)="basis",LOWER(AC21)="volatility"),"_"&amp;AC21,""),IF(E21="Commodity",AG21&amp;IF(OR(LOWER(AC21)="basis",LOWER(AC21)="volatility"),"_"&amp;AC21,""),"UNKNOWN"))))</x:f>
        <x:v>AUD/USD</x:v>
      </x:c>
      <x:c r="AJ21" s="27" t="str">
        <x:f>T21</x:f>
        <x:v>M</x:v>
      </x:c>
      <x:c r="AK21" s="41" t="n">
        <x:f>IF(E21="Interest Rate",VLOOKUP("Interest Rate",Parameters!$D$4:$E$12,2,FALSE),IF(E21="FX",VLOOKUP("FX",Parameters!$D$4:$E$12,2,FALSE),IF(E21="Credit",IFERROR(VLOOKUP(L21,Parameters!$G$4:$H$12,2,FALSE),VLOOKUP("BBB",Parameters!$G$4:$H$12,2,FALSE)),IF(E21="Equity",VLOOKUP(IF(LOWER(K21)="index","Equity Index","Equity Single Name"),Parameters!$D$4:$E$12,2,FALSE),IF(E21="Commodity",VLOOKUP(IFERROR(VLOOKUP(F21,Parameters!$S$4:$T$12,2,FALSE),"Commodity Other"),Parameters!$D$4:$E$12,2,FALSE),0)))))</x:f>
        <x:v>0.04</x:v>
      </x:c>
      <x:c r="AL21" s="42" t="n">
        <x:f>IF(LOWER(AC21)="basis",Parameters!$B$8,IF(LOWER(AC21)="volatility",Parameters!$B$9,1))</x:f>
        <x:v>1</x:v>
      </x:c>
      <x:c r="AM21" s="41" t="n">
        <x:f>AK21*AL21</x:f>
        <x:v>0.04</x:v>
      </x:c>
      <x:c r="AN21" s="42" t="str">
        <x:f>IF(E21="Credit",VLOOKUP(IF(LOWER(K21)="index","Credit Index","Credit Single Name"),Parameters!$J$4:$K$8,2,FALSE),IF(E21="Equity",VLOOKUP(IF(LOWER(K21)="index","Equity Index","Equity Single Name"),Parameters!$J$4:$K$8,2,FALSE),IF(E21="Commodity",VLOOKUP("Commodity",Parameters!$J$4:$K$8,2,FALSE),"")))</x:f>
      </x:c>
      <x:c r="AO21" s="27" t="n">
        <x:f>MAX((O21-M21)/365,0)</x:f>
        <x:v>0</x:v>
      </x:c>
      <x:c r="AP21" s="27" t="n">
        <x:f>MAX((P21-M21)/365,10/Parameters!$B$6)</x:f>
        <x:v>4.167123287671233</x:v>
      </x:c>
      <x:c r="AQ21" s="27" t="n">
        <x:f>IF(AP21&lt;=AO21,AO21+10/Parameters!$B$6,AP21)</x:f>
        <x:v>4.167123287671233</x:v>
      </x:c>
      <x:c r="AR21" s="41" t="n">
        <x:f>IF(OR(E21="Interest Rate",E21="Credit"),(EXP(-Parameters!$B$7*AO21)-EXP(-Parameters!$B$7*AQ21))/Parameters!$B$7,1)</x:f>
        <x:v>1</x:v>
      </x:c>
      <x:c r="AS21" s="40" t="n">
        <x:f>IF(OR(E21="Interest Rate",E21="Credit"),ABS(Q21)*AR21,IF(E21="FX",IF(Q21&gt;0,Q21,MAX(ABS(R21),ABS(S21),ABS(Q21))),ABS(Q21)))</x:f>
        <x:v>151000000</x:v>
      </x:c>
      <x:c r="AT21" s="42" t="n">
        <x:f>IF(OR(E21="Interest Rate",E21="FX"),VLOOKUP(E21,Parameters!$M$4:$N$11,2,FALSE),IF(E21="Credit",VLOOKUP(IF(LOWER(K21)="index","Credit Index","Credit Single Name"),Parameters!$M$4:$N$11,2,FALSE),IF(E21="Equity",VLOOKUP(IF(LOWER(K21)="index","Equity Index","Equity Single Name"),Parameters!$M$4:$N$11,2,FALSE),IF(E21="Commodity",VLOOKUP(IF(F21="Electricity","Commodity Electricity","Commodity Other"),Parameters!$M$4:$N$11,2,FALSE),1))))</x:f>
        <x:v>0.15</x:v>
      </x:c>
      <x:c r="AU21" s="27" t="n">
        <x:f>IF(W21="B",1,-1)</x:f>
        <x:v>1</x:v>
      </x:c>
      <x:c r="AV21" s="27" t="n">
        <x:f>IF(OR(AA21="",M21=""),MAX(AE21,1/365),MAX((AA21-M21)/365,1/365))</x:f>
        <x:v>4.167123287671233</x:v>
      </x:c>
      <x:c r="AW21" s="41" t="str">
        <x:f>IF(OR(Z21&lt;=0,Y21&lt;=0,AT21&lt;=0,AV21&lt;=0),"",(LN(Z21/Y21)+0.5*AT21^2*AV21)/(AT21*SQRT(AV21)))</x:f>
      </x:c>
      <x:c r="AX21" s="41" t="n">
        <x:f>IF(AND(X21&lt;&gt;"C",X21&lt;&gt;"P"),AU21,IF(AW21="",AU21,IF(X21="C",AU21*0.5*(1+ERF(AW21/SQRT(2))),-AU21*0.5*(1+ERF(-AW21/SQRT(2))))))</x:f>
        <x:v>1</x:v>
      </x:c>
      <x:c r="AY21" s="41" t="n">
        <x:f>IF(AJ21="M",1.5*SQRT(MAX(IF(U21="Y",5,10),IF(V21="",10,V21))/Parameters!$B$6),SQRT(MIN(MAX(AE21,10/Parameters!$B$6),1)))</x:f>
        <x:v>0.30000000000000004</x:v>
      </x:c>
      <x:c r="AZ21" s="40" t="n">
        <x:f>AS21*AX21*AY21</x:f>
        <x:v>45300000.00000001</x:v>
      </x:c>
      <x:c r="BA21" s="40" t="n">
        <x:f>'Python_Trade_Output'!AZ21</x:f>
        <x:v>45300000.00000001</x:v>
      </x:c>
      <x:c r="BB21" s="43" t="n">
        <x:f>AZ21-BA21</x:f>
        <x:v>0</x:v>
      </x:c>
    </x:row>
    <x:row r="22">
      <x:c r="A22" s="27" t="str">
        <x:f>'Inputs_Trades'!D22</x:f>
        <x:v>IND-000019</x:v>
      </x:c>
      <x:c r="B22" s="27" t="str">
        <x:f>'Inputs_Trades'!B22</x:f>
        <x:v>IND_CORPORATE_002</x:v>
      </x:c>
      <x:c r="C22" s="27" t="n">
        <x:f>'Inputs_Trades'!C22</x:f>
        <x:v>3187</x:v>
      </x:c>
      <x:c r="D22" s="27" t="str">
        <x:f>'Inputs_Trades'!E22</x:f>
        <x:v>FX Forward</x:v>
      </x:c>
      <x:c r="E22" s="27" t="str">
        <x:f>'Inputs_Trades'!F22</x:f>
        <x:v>FX</x:v>
      </x:c>
      <x:c r="F22" s="27" t="n">
        <x:f>'Inputs_Trades'!G22</x:f>
        <x:v>0</x:v>
      </x:c>
      <x:c r="G22" s="27" t="str">
        <x:f>'Inputs_Trades'!J22</x:f>
        <x:v>USD</x:v>
      </x:c>
      <x:c r="H22" s="27" t="str">
        <x:f>'Inputs_Trades'!H22</x:f>
        <x:v>EUR</x:v>
      </x:c>
      <x:c r="I22" s="27" t="str">
        <x:f>'Inputs_Trades'!I22</x:f>
        <x:v>USD</x:v>
      </x:c>
      <x:c r="J22" s="27" t="str">
        <x:f>'Inputs_Trades'!M22</x:f>
        <x:v>EUR/USD</x:v>
      </x:c>
      <x:c r="K22" s="27" t="n">
        <x:f>'Inputs_Trades'!N22</x:f>
        <x:v>0</x:v>
      </x:c>
      <x:c r="L22" s="27" t="n">
        <x:f>'Inputs_Trades'!O22</x:f>
        <x:v>0</x:v>
      </x:c>
      <x:c r="M22" s="39" t="n">
        <x:f>'Inputs_Trades'!A22</x:f>
        <x:v>45702</x:v>
      </x:c>
      <x:c r="N22" s="39" t="n">
        <x:f>'Inputs_Trades'!P22</x:f>
        <x:v>46346</x:v>
      </x:c>
      <x:c r="O22" s="39" t="n">
        <x:f>'Inputs_Trades'!Q22</x:f>
        <x:v>45570</x:v>
      </x:c>
      <x:c r="P22" s="39" t="n">
        <x:f>'Inputs_Trades'!R22</x:f>
        <x:v>46346</x:v>
      </x:c>
      <x:c r="Q22" s="40" t="n">
        <x:f>'Inputs_Trades'!U22</x:f>
        <x:v>6600000</x:v>
      </x:c>
      <x:c r="R22" s="40" t="n">
        <x:f>'Inputs_Trades'!S22</x:f>
        <x:v>6285714.29</x:v>
      </x:c>
      <x:c r="S22" s="40" t="n">
        <x:f>'Inputs_Trades'!T22</x:f>
        <x:v>6600000</x:v>
      </x:c>
      <x:c r="T22" s="27" t="str">
        <x:f>'Inputs_Trades'!V22</x:f>
        <x:v>U</x:v>
      </x:c>
      <x:c r="U22" s="27" t="str">
        <x:f>'Inputs_Trades'!W22</x:f>
        <x:v>N</x:v>
      </x:c>
      <x:c r="V22" s="27" t="n">
        <x:f>'Inputs_Trades'!X22</x:f>
        <x:v>0</x:v>
      </x:c>
      <x:c r="W22" s="27" t="str">
        <x:f>'Inputs_Trades'!Y22</x:f>
        <x:v>S</x:v>
      </x:c>
      <x:c r="X22" s="27" t="n">
        <x:f>'Inputs_Trades'!AA22</x:f>
        <x:v>0</x:v>
      </x:c>
      <x:c r="Y22" s="27" t="n">
        <x:f>'Inputs_Trades'!AB22</x:f>
        <x:v>0</x:v>
      </x:c>
      <x:c r="Z22" s="27" t="n">
        <x:f>'Inputs_Trades'!AC22</x:f>
        <x:v>0</x:v>
      </x:c>
      <x:c r="AA22" s="39" t="n">
        <x:f>'Inputs_Trades'!Z22</x:f>
        <x:v>0</x:v>
      </x:c>
      <x:c r="AB22" s="40" t="n">
        <x:f>'Inputs_Trades'!AD22</x:f>
        <x:v>46662</x:v>
      </x:c>
      <x:c r="AC22" s="27" t="n">
        <x:f>'Inputs_Trades'!K22</x:f>
        <x:v>0</x:v>
      </x:c>
      <x:c r="AD22" s="27" t="n">
        <x:f>N22-M22</x:f>
        <x:v>644</x:v>
      </x:c>
      <x:c r="AE22" s="41" t="n">
        <x:f>AD22/365</x:f>
        <x:v>1.7643835616438357</x:v>
      </x:c>
      <x:c r="AF22" s="27" t="str">
        <x:f>IF(AE22&lt;1,"&lt;1Y",IF(AE22&lt;=5,"1Y-5Y","&gt;5Y"))</x:f>
        <x:v>1Y-5Y</x:v>
      </x:c>
      <x:c r="AG22" s="27" t="str">
        <x:f>IF(E22="Commodity",IFERROR(VLOOKUP(F22,Parameters!$P$4:$Q$12,2,FALSE),"Other"),"")</x:f>
      </x:c>
      <x:c r="AH22" s="27" t="str">
        <x:f>IF(F22="","Unknown",F22)</x:f>
        <x:v>Unknown</x:v>
      </x:c>
      <x:c r="AI22" s="27" t="str">
        <x:f>IF(E22="Interest Rate",G22&amp;IF(OR(LOWER(AC22)="basis",LOWER(AC22)="volatility"),"_"&amp;AC22,""),IF(E22="FX",IF(H22&lt;I22,H22&amp;"/"&amp;I22,I22&amp;"/"&amp;H22)&amp;IF(OR(LOWER(AC22)="basis",LOWER(AC22)="volatility"),"_"&amp;AC22,""),IF(OR(E22="Credit",E22="Equity"),J22&amp;IF(OR(LOWER(AC22)="basis",LOWER(AC22)="volatility"),"_"&amp;AC22,""),IF(E22="Commodity",AG22&amp;IF(OR(LOWER(AC22)="basis",LOWER(AC22)="volatility"),"_"&amp;AC22,""),"UNKNOWN"))))</x:f>
        <x:v>EUR/USD</x:v>
      </x:c>
      <x:c r="AJ22" s="27" t="str">
        <x:f>T22</x:f>
        <x:v>U</x:v>
      </x:c>
      <x:c r="AK22" s="41" t="n">
        <x:f>IF(E22="Interest Rate",VLOOKUP("Interest Rate",Parameters!$D$4:$E$12,2,FALSE),IF(E22="FX",VLOOKUP("FX",Parameters!$D$4:$E$12,2,FALSE),IF(E22="Credit",IFERROR(VLOOKUP(L22,Parameters!$G$4:$H$12,2,FALSE),VLOOKUP("BBB",Parameters!$G$4:$H$12,2,FALSE)),IF(E22="Equity",VLOOKUP(IF(LOWER(K22)="index","Equity Index","Equity Single Name"),Parameters!$D$4:$E$12,2,FALSE),IF(E22="Commodity",VLOOKUP(IFERROR(VLOOKUP(F22,Parameters!$S$4:$T$12,2,FALSE),"Commodity Other"),Parameters!$D$4:$E$12,2,FALSE),0)))))</x:f>
        <x:v>0.04</x:v>
      </x:c>
      <x:c r="AL22" s="42" t="n">
        <x:f>IF(LOWER(AC22)="basis",Parameters!$B$8,IF(LOWER(AC22)="volatility",Parameters!$B$9,1))</x:f>
        <x:v>1</x:v>
      </x:c>
      <x:c r="AM22" s="41" t="n">
        <x:f>AK22*AL22</x:f>
        <x:v>0.04</x:v>
      </x:c>
      <x:c r="AN22" s="42" t="str">
        <x:f>IF(E22="Credit",VLOOKUP(IF(LOWER(K22)="index","Credit Index","Credit Single Name"),Parameters!$J$4:$K$8,2,FALSE),IF(E22="Equity",VLOOKUP(IF(LOWER(K22)="index","Equity Index","Equity Single Name"),Parameters!$J$4:$K$8,2,FALSE),IF(E22="Commodity",VLOOKUP("Commodity",Parameters!$J$4:$K$8,2,FALSE),"")))</x:f>
      </x:c>
      <x:c r="AO22" s="27" t="n">
        <x:f>MAX((O22-M22)/365,0)</x:f>
        <x:v>0</x:v>
      </x:c>
      <x:c r="AP22" s="27" t="n">
        <x:f>MAX((P22-M22)/365,10/Parameters!$B$6)</x:f>
        <x:v>1.7643835616438357</x:v>
      </x:c>
      <x:c r="AQ22" s="27" t="n">
        <x:f>IF(AP22&lt;=AO22,AO22+10/Parameters!$B$6,AP22)</x:f>
        <x:v>1.7643835616438357</x:v>
      </x:c>
      <x:c r="AR22" s="41" t="n">
        <x:f>IF(OR(E22="Interest Rate",E22="Credit"),(EXP(-Parameters!$B$7*AO22)-EXP(-Parameters!$B$7*AQ22))/Parameters!$B$7,1)</x:f>
        <x:v>1</x:v>
      </x:c>
      <x:c r="AS22" s="40" t="n">
        <x:f>IF(OR(E22="Interest Rate",E22="Credit"),ABS(Q22)*AR22,IF(E22="FX",IF(Q22&gt;0,Q22,MAX(ABS(R22),ABS(S22),ABS(Q22))),ABS(Q22)))</x:f>
        <x:v>6600000</x:v>
      </x:c>
      <x:c r="AT22" s="42" t="n">
        <x:f>IF(OR(E22="Interest Rate",E22="FX"),VLOOKUP(E22,Parameters!$M$4:$N$11,2,FALSE),IF(E22="Credit",VLOOKUP(IF(LOWER(K22)="index","Credit Index","Credit Single Name"),Parameters!$M$4:$N$11,2,FALSE),IF(E22="Equity",VLOOKUP(IF(LOWER(K22)="index","Equity Index","Equity Single Name"),Parameters!$M$4:$N$11,2,FALSE),IF(E22="Commodity",VLOOKUP(IF(F22="Electricity","Commodity Electricity","Commodity Other"),Parameters!$M$4:$N$11,2,FALSE),1))))</x:f>
        <x:v>0.15</x:v>
      </x:c>
      <x:c r="AU22" s="27" t="n">
        <x:f>IF(W22="B",1,-1)</x:f>
        <x:v>-1</x:v>
      </x:c>
      <x:c r="AV22" s="27" t="n">
        <x:f>IF(OR(AA22="",M22=""),MAX(AE22,1/365),MAX((AA22-M22)/365,1/365))</x:f>
        <x:v>1.7643835616438357</x:v>
      </x:c>
      <x:c r="AW22" s="41" t="str">
        <x:f>IF(OR(Z22&lt;=0,Y22&lt;=0,AT22&lt;=0,AV22&lt;=0),"",(LN(Z22/Y22)+0.5*AT22^2*AV22)/(AT22*SQRT(AV22)))</x:f>
      </x:c>
      <x:c r="AX22" s="41" t="n">
        <x:f>IF(AND(X22&lt;&gt;"C",X22&lt;&gt;"P"),AU22,IF(AW22="",AU22,IF(X22="C",AU22*0.5*(1+ERF(AW22/SQRT(2))),-AU22*0.5*(1+ERF(-AW22/SQRT(2))))))</x:f>
        <x:v>-1</x:v>
      </x:c>
      <x:c r="AY22" s="41" t="n">
        <x:f>IF(AJ22="M",1.5*SQRT(MAX(IF(U22="Y",5,10),IF(V22="",10,V22))/Parameters!$B$6),SQRT(MIN(MAX(AE22,10/Parameters!$B$6),1)))</x:f>
        <x:v>1</x:v>
      </x:c>
      <x:c r="AZ22" s="40" t="n">
        <x:f>AS22*AX22*AY22</x:f>
        <x:v>-6600000</x:v>
      </x:c>
      <x:c r="BA22" s="40" t="n">
        <x:f>'Python_Trade_Output'!AZ22</x:f>
        <x:v>-6600000</x:v>
      </x:c>
      <x:c r="BB22" s="43" t="n">
        <x:f>AZ22-BA22</x:f>
        <x:v>0</x:v>
      </x:c>
    </x:row>
    <x:row r="23">
      <x:c r="A23" s="27" t="str">
        <x:f>'Inputs_Trades'!D23</x:f>
        <x:v>IND-000020</x:v>
      </x:c>
      <x:c r="B23" s="27" t="str">
        <x:f>'Inputs_Trades'!B23</x:f>
        <x:v>IND_CLEARING_MEMBER_001</x:v>
      </x:c>
      <x:c r="C23" s="27" t="n">
        <x:f>'Inputs_Trades'!C23</x:f>
        <x:v>3288</x:v>
      </x:c>
      <x:c r="D23" s="27" t="str">
        <x:f>'Inputs_Trades'!E23</x:f>
        <x:v>FX Forward</x:v>
      </x:c>
      <x:c r="E23" s="27" t="str">
        <x:f>'Inputs_Trades'!F23</x:f>
        <x:v>FX</x:v>
      </x:c>
      <x:c r="F23" s="27" t="n">
        <x:f>'Inputs_Trades'!G23</x:f>
        <x:v>0</x:v>
      </x:c>
      <x:c r="G23" s="27" t="str">
        <x:f>'Inputs_Trades'!J23</x:f>
        <x:v>USD</x:v>
      </x:c>
      <x:c r="H23" s="27" t="str">
        <x:f>'Inputs_Trades'!H23</x:f>
        <x:v>GBP</x:v>
      </x:c>
      <x:c r="I23" s="27" t="str">
        <x:f>'Inputs_Trades'!I23</x:f>
        <x:v>USD</x:v>
      </x:c>
      <x:c r="J23" s="27" t="str">
        <x:f>'Inputs_Trades'!M23</x:f>
        <x:v>GBP/USD</x:v>
      </x:c>
      <x:c r="K23" s="27" t="n">
        <x:f>'Inputs_Trades'!N23</x:f>
        <x:v>0</x:v>
      </x:c>
      <x:c r="L23" s="27" t="n">
        <x:f>'Inputs_Trades'!O23</x:f>
        <x:v>0</x:v>
      </x:c>
      <x:c r="M23" s="39" t="n">
        <x:f>'Inputs_Trades'!A23</x:f>
        <x:v>45702</x:v>
      </x:c>
      <x:c r="N23" s="39" t="n">
        <x:f>'Inputs_Trades'!P23</x:f>
        <x:v>47111</x:v>
      </x:c>
      <x:c r="O23" s="39" t="n">
        <x:f>'Inputs_Trades'!Q23</x:f>
        <x:v>45582</x:v>
      </x:c>
      <x:c r="P23" s="39" t="n">
        <x:f>'Inputs_Trades'!R23</x:f>
        <x:v>47111</x:v>
      </x:c>
      <x:c r="Q23" s="40" t="n">
        <x:f>'Inputs_Trades'!U23</x:f>
        <x:v>66000000</x:v>
      </x:c>
      <x:c r="R23" s="40" t="n">
        <x:f>'Inputs_Trades'!S23</x:f>
        <x:v>52800000</x:v>
      </x:c>
      <x:c r="S23" s="40" t="n">
        <x:f>'Inputs_Trades'!T23</x:f>
        <x:v>66000000</x:v>
      </x:c>
      <x:c r="T23" s="27" t="str">
        <x:f>'Inputs_Trades'!V23</x:f>
        <x:v>U</x:v>
      </x:c>
      <x:c r="U23" s="27" t="str">
        <x:f>'Inputs_Trades'!W23</x:f>
        <x:v>N</x:v>
      </x:c>
      <x:c r="V23" s="27" t="n">
        <x:f>'Inputs_Trades'!X23</x:f>
        <x:v>0</x:v>
      </x:c>
      <x:c r="W23" s="27" t="str">
        <x:f>'Inputs_Trades'!Y23</x:f>
        <x:v>B</x:v>
      </x:c>
      <x:c r="X23" s="27" t="n">
        <x:f>'Inputs_Trades'!AA23</x:f>
        <x:v>0</x:v>
      </x:c>
      <x:c r="Y23" s="27" t="n">
        <x:f>'Inputs_Trades'!AB23</x:f>
        <x:v>0</x:v>
      </x:c>
      <x:c r="Z23" s="27" t="n">
        <x:f>'Inputs_Trades'!AC23</x:f>
        <x:v>0</x:v>
      </x:c>
      <x:c r="AA23" s="39" t="n">
        <x:f>'Inputs_Trades'!Z23</x:f>
        <x:v>0</x:v>
      </x:c>
      <x:c r="AB23" s="40" t="n">
        <x:f>'Inputs_Trades'!AD23</x:f>
        <x:v>336600</x:v>
      </x:c>
      <x:c r="AC23" s="27" t="n">
        <x:f>'Inputs_Trades'!K23</x:f>
        <x:v>0</x:v>
      </x:c>
      <x:c r="AD23" s="27" t="n">
        <x:f>N23-M23</x:f>
        <x:v>1409</x:v>
      </x:c>
      <x:c r="AE23" s="41" t="n">
        <x:f>AD23/365</x:f>
        <x:v>3.8602739726027395</x:v>
      </x:c>
      <x:c r="AF23" s="27" t="str">
        <x:f>IF(AE23&lt;1,"&lt;1Y",IF(AE23&lt;=5,"1Y-5Y","&gt;5Y"))</x:f>
        <x:v>1Y-5Y</x:v>
      </x:c>
      <x:c r="AG23" s="27" t="str">
        <x:f>IF(E23="Commodity",IFERROR(VLOOKUP(F23,Parameters!$P$4:$Q$12,2,FALSE),"Other"),"")</x:f>
      </x:c>
      <x:c r="AH23" s="27" t="str">
        <x:f>IF(F23="","Unknown",F23)</x:f>
        <x:v>Unknown</x:v>
      </x:c>
      <x:c r="AI23" s="27" t="str">
        <x:f>IF(E23="Interest Rate",G23&amp;IF(OR(LOWER(AC23)="basis",LOWER(AC23)="volatility"),"_"&amp;AC23,""),IF(E23="FX",IF(H23&lt;I23,H23&amp;"/"&amp;I23,I23&amp;"/"&amp;H23)&amp;IF(OR(LOWER(AC23)="basis",LOWER(AC23)="volatility"),"_"&amp;AC23,""),IF(OR(E23="Credit",E23="Equity"),J23&amp;IF(OR(LOWER(AC23)="basis",LOWER(AC23)="volatility"),"_"&amp;AC23,""),IF(E23="Commodity",AG23&amp;IF(OR(LOWER(AC23)="basis",LOWER(AC23)="volatility"),"_"&amp;AC23,""),"UNKNOWN"))))</x:f>
        <x:v>GBP/USD</x:v>
      </x:c>
      <x:c r="AJ23" s="27" t="str">
        <x:f>T23</x:f>
        <x:v>U</x:v>
      </x:c>
      <x:c r="AK23" s="41" t="n">
        <x:f>IF(E23="Interest Rate",VLOOKUP("Interest Rate",Parameters!$D$4:$E$12,2,FALSE),IF(E23="FX",VLOOKUP("FX",Parameters!$D$4:$E$12,2,FALSE),IF(E23="Credit",IFERROR(VLOOKUP(L23,Parameters!$G$4:$H$12,2,FALSE),VLOOKUP("BBB",Parameters!$G$4:$H$12,2,FALSE)),IF(E23="Equity",VLOOKUP(IF(LOWER(K23)="index","Equity Index","Equity Single Name"),Parameters!$D$4:$E$12,2,FALSE),IF(E23="Commodity",VLOOKUP(IFERROR(VLOOKUP(F23,Parameters!$S$4:$T$12,2,FALSE),"Commodity Other"),Parameters!$D$4:$E$12,2,FALSE),0)))))</x:f>
        <x:v>0.04</x:v>
      </x:c>
      <x:c r="AL23" s="42" t="n">
        <x:f>IF(LOWER(AC23)="basis",Parameters!$B$8,IF(LOWER(AC23)="volatility",Parameters!$B$9,1))</x:f>
        <x:v>1</x:v>
      </x:c>
      <x:c r="AM23" s="41" t="n">
        <x:f>AK23*AL23</x:f>
        <x:v>0.04</x:v>
      </x:c>
      <x:c r="AN23" s="42" t="str">
        <x:f>IF(E23="Credit",VLOOKUP(IF(LOWER(K23)="index","Credit Index","Credit Single Name"),Parameters!$J$4:$K$8,2,FALSE),IF(E23="Equity",VLOOKUP(IF(LOWER(K23)="index","Equity Index","Equity Single Name"),Parameters!$J$4:$K$8,2,FALSE),IF(E23="Commodity",VLOOKUP("Commodity",Parameters!$J$4:$K$8,2,FALSE),"")))</x:f>
      </x:c>
      <x:c r="AO23" s="27" t="n">
        <x:f>MAX((O23-M23)/365,0)</x:f>
        <x:v>0</x:v>
      </x:c>
      <x:c r="AP23" s="27" t="n">
        <x:f>MAX((P23-M23)/365,10/Parameters!$B$6)</x:f>
        <x:v>3.8602739726027395</x:v>
      </x:c>
      <x:c r="AQ23" s="27" t="n">
        <x:f>IF(AP23&lt;=AO23,AO23+10/Parameters!$B$6,AP23)</x:f>
        <x:v>3.8602739726027395</x:v>
      </x:c>
      <x:c r="AR23" s="41" t="n">
        <x:f>IF(OR(E23="Interest Rate",E23="Credit"),(EXP(-Parameters!$B$7*AO23)-EXP(-Parameters!$B$7*AQ23))/Parameters!$B$7,1)</x:f>
        <x:v>1</x:v>
      </x:c>
      <x:c r="AS23" s="40" t="n">
        <x:f>IF(OR(E23="Interest Rate",E23="Credit"),ABS(Q23)*AR23,IF(E23="FX",IF(Q23&gt;0,Q23,MAX(ABS(R23),ABS(S23),ABS(Q23))),ABS(Q23)))</x:f>
        <x:v>66000000</x:v>
      </x:c>
      <x:c r="AT23" s="42" t="n">
        <x:f>IF(OR(E23="Interest Rate",E23="FX"),VLOOKUP(E23,Parameters!$M$4:$N$11,2,FALSE),IF(E23="Credit",VLOOKUP(IF(LOWER(K23)="index","Credit Index","Credit Single Name"),Parameters!$M$4:$N$11,2,FALSE),IF(E23="Equity",VLOOKUP(IF(LOWER(K23)="index","Equity Index","Equity Single Name"),Parameters!$M$4:$N$11,2,FALSE),IF(E23="Commodity",VLOOKUP(IF(F23="Electricity","Commodity Electricity","Commodity Other"),Parameters!$M$4:$N$11,2,FALSE),1))))</x:f>
        <x:v>0.15</x:v>
      </x:c>
      <x:c r="AU23" s="27" t="n">
        <x:f>IF(W23="B",1,-1)</x:f>
        <x:v>1</x:v>
      </x:c>
      <x:c r="AV23" s="27" t="n">
        <x:f>IF(OR(AA23="",M23=""),MAX(AE23,1/365),MAX((AA23-M23)/365,1/365))</x:f>
        <x:v>3.8602739726027395</x:v>
      </x:c>
      <x:c r="AW23" s="41" t="str">
        <x:f>IF(OR(Z23&lt;=0,Y23&lt;=0,AT23&lt;=0,AV23&lt;=0),"",(LN(Z23/Y23)+0.5*AT23^2*AV23)/(AT23*SQRT(AV23)))</x:f>
      </x:c>
      <x:c r="AX23" s="41" t="n">
        <x:f>IF(AND(X23&lt;&gt;"C",X23&lt;&gt;"P"),AU23,IF(AW23="",AU23,IF(X23="C",AU23*0.5*(1+ERF(AW23/SQRT(2))),-AU23*0.5*(1+ERF(-AW23/SQRT(2))))))</x:f>
        <x:v>1</x:v>
      </x:c>
      <x:c r="AY23" s="41" t="n">
        <x:f>IF(AJ23="M",1.5*SQRT(MAX(IF(U23="Y",5,10),IF(V23="",10,V23))/Parameters!$B$6),SQRT(MIN(MAX(AE23,10/Parameters!$B$6),1)))</x:f>
        <x:v>1</x:v>
      </x:c>
      <x:c r="AZ23" s="40" t="n">
        <x:f>AS23*AX23*AY23</x:f>
        <x:v>66000000</x:v>
      </x:c>
      <x:c r="BA23" s="40" t="n">
        <x:f>'Python_Trade_Output'!AZ23</x:f>
        <x:v>66000000</x:v>
      </x:c>
      <x:c r="BB23" s="43" t="n">
        <x:f>AZ23-BA23</x:f>
        <x:v>0</x:v>
      </x:c>
    </x:row>
    <x:row r="24">
      <x:c r="A24" s="27" t="str">
        <x:f>'Inputs_Trades'!D24</x:f>
        <x:v>IND-000021</x:v>
      </x:c>
      <x:c r="B24" s="27" t="str">
        <x:f>'Inputs_Trades'!B24</x:f>
        <x:v>IND_INSURER_001</x:v>
      </x:c>
      <x:c r="C24" s="27" t="n">
        <x:f>'Inputs_Trades'!C24</x:f>
        <x:v>3122</x:v>
      </x:c>
      <x:c r="D24" s="27" t="str">
        <x:f>'Inputs_Trades'!E24</x:f>
        <x:v>FX Forward</x:v>
      </x:c>
      <x:c r="E24" s="27" t="str">
        <x:f>'Inputs_Trades'!F24</x:f>
        <x:v>FX</x:v>
      </x:c>
      <x:c r="F24" s="27" t="n">
        <x:f>'Inputs_Trades'!G24</x:f>
        <x:v>0</x:v>
      </x:c>
      <x:c r="G24" s="27" t="str">
        <x:f>'Inputs_Trades'!J24</x:f>
        <x:v>USD</x:v>
      </x:c>
      <x:c r="H24" s="27" t="str">
        <x:f>'Inputs_Trades'!H24</x:f>
        <x:v>USD</x:v>
      </x:c>
      <x:c r="I24" s="27" t="str">
        <x:f>'Inputs_Trades'!I24</x:f>
        <x:v>JPY</x:v>
      </x:c>
      <x:c r="J24" s="27" t="str">
        <x:f>'Inputs_Trades'!M24</x:f>
        <x:v>USD/JPY</x:v>
      </x:c>
      <x:c r="K24" s="27" t="n">
        <x:f>'Inputs_Trades'!N24</x:f>
        <x:v>0</x:v>
      </x:c>
      <x:c r="L24" s="27" t="n">
        <x:f>'Inputs_Trades'!O24</x:f>
        <x:v>0</x:v>
      </x:c>
      <x:c r="M24" s="39" t="n">
        <x:f>'Inputs_Trades'!A24</x:f>
        <x:v>45702</x:v>
      </x:c>
      <x:c r="N24" s="39" t="n">
        <x:f>'Inputs_Trades'!P24</x:f>
        <x:v>46244</x:v>
      </x:c>
      <x:c r="O24" s="39" t="n">
        <x:f>'Inputs_Trades'!Q24</x:f>
        <x:v>45340</x:v>
      </x:c>
      <x:c r="P24" s="39" t="n">
        <x:f>'Inputs_Trades'!R24</x:f>
        <x:v>46244</x:v>
      </x:c>
      <x:c r="Q24" s="40" t="n">
        <x:f>'Inputs_Trades'!U24</x:f>
        <x:v>124000000</x:v>
      </x:c>
      <x:c r="R24" s="40" t="n">
        <x:f>'Inputs_Trades'!S24</x:f>
        <x:v>124000000</x:v>
      </x:c>
      <x:c r="S24" s="40" t="n">
        <x:f>'Inputs_Trades'!T24</x:f>
        <x:v>18507462686.57</x:v>
      </x:c>
      <x:c r="T24" s="27" t="str">
        <x:f>'Inputs_Trades'!V24</x:f>
        <x:v>M</x:v>
      </x:c>
      <x:c r="U24" s="27" t="str">
        <x:f>'Inputs_Trades'!W24</x:f>
        <x:v>N</x:v>
      </x:c>
      <x:c r="V24" s="27" t="n">
        <x:f>'Inputs_Trades'!X24</x:f>
        <x:v>10</x:v>
      </x:c>
      <x:c r="W24" s="27" t="str">
        <x:f>'Inputs_Trades'!Y24</x:f>
        <x:v>S</x:v>
      </x:c>
      <x:c r="X24" s="27" t="n">
        <x:f>'Inputs_Trades'!AA24</x:f>
        <x:v>0</x:v>
      </x:c>
      <x:c r="Y24" s="27" t="n">
        <x:f>'Inputs_Trades'!AB24</x:f>
        <x:v>0</x:v>
      </x:c>
      <x:c r="Z24" s="27" t="n">
        <x:f>'Inputs_Trades'!AC24</x:f>
        <x:v>0</x:v>
      </x:c>
      <x:c r="AA24" s="39" t="n">
        <x:f>'Inputs_Trades'!Z24</x:f>
        <x:v>0</x:v>
      </x:c>
      <x:c r="AB24" s="40" t="n">
        <x:f>'Inputs_Trades'!AD24</x:f>
        <x:v>-1201560</x:v>
      </x:c>
      <x:c r="AC24" s="27" t="n">
        <x:f>'Inputs_Trades'!K24</x:f>
        <x:v>0</x:v>
      </x:c>
      <x:c r="AD24" s="27" t="n">
        <x:f>N24-M24</x:f>
        <x:v>542</x:v>
      </x:c>
      <x:c r="AE24" s="41" t="n">
        <x:f>AD24/365</x:f>
        <x:v>1.484931506849315</x:v>
      </x:c>
      <x:c r="AF24" s="27" t="str">
        <x:f>IF(AE24&lt;1,"&lt;1Y",IF(AE24&lt;=5,"1Y-5Y","&gt;5Y"))</x:f>
        <x:v>1Y-5Y</x:v>
      </x:c>
      <x:c r="AG24" s="27" t="str">
        <x:f>IF(E24="Commodity",IFERROR(VLOOKUP(F24,Parameters!$P$4:$Q$12,2,FALSE),"Other"),"")</x:f>
      </x:c>
      <x:c r="AH24" s="27" t="str">
        <x:f>IF(F24="","Unknown",F24)</x:f>
        <x:v>Unknown</x:v>
      </x:c>
      <x:c r="AI24" s="27" t="str">
        <x:f>IF(E24="Interest Rate",G24&amp;IF(OR(LOWER(AC24)="basis",LOWER(AC24)="volatility"),"_"&amp;AC24,""),IF(E24="FX",IF(H24&lt;I24,H24&amp;"/"&amp;I24,I24&amp;"/"&amp;H24)&amp;IF(OR(LOWER(AC24)="basis",LOWER(AC24)="volatility"),"_"&amp;AC24,""),IF(OR(E24="Credit",E24="Equity"),J24&amp;IF(OR(LOWER(AC24)="basis",LOWER(AC24)="volatility"),"_"&amp;AC24,""),IF(E24="Commodity",AG24&amp;IF(OR(LOWER(AC24)="basis",LOWER(AC24)="volatility"),"_"&amp;AC24,""),"UNKNOWN"))))</x:f>
        <x:v>JPY/USD</x:v>
      </x:c>
      <x:c r="AJ24" s="27" t="str">
        <x:f>T24</x:f>
        <x:v>M</x:v>
      </x:c>
      <x:c r="AK24" s="41" t="n">
        <x:f>IF(E24="Interest Rate",VLOOKUP("Interest Rate",Parameters!$D$4:$E$12,2,FALSE),IF(E24="FX",VLOOKUP("FX",Parameters!$D$4:$E$12,2,FALSE),IF(E24="Credit",IFERROR(VLOOKUP(L24,Parameters!$G$4:$H$12,2,FALSE),VLOOKUP("BBB",Parameters!$G$4:$H$12,2,FALSE)),IF(E24="Equity",VLOOKUP(IF(LOWER(K24)="index","Equity Index","Equity Single Name"),Parameters!$D$4:$E$12,2,FALSE),IF(E24="Commodity",VLOOKUP(IFERROR(VLOOKUP(F24,Parameters!$S$4:$T$12,2,FALSE),"Commodity Other"),Parameters!$D$4:$E$12,2,FALSE),0)))))</x:f>
        <x:v>0.04</x:v>
      </x:c>
      <x:c r="AL24" s="42" t="n">
        <x:f>IF(LOWER(AC24)="basis",Parameters!$B$8,IF(LOWER(AC24)="volatility",Parameters!$B$9,1))</x:f>
        <x:v>1</x:v>
      </x:c>
      <x:c r="AM24" s="41" t="n">
        <x:f>AK24*AL24</x:f>
        <x:v>0.04</x:v>
      </x:c>
      <x:c r="AN24" s="42" t="str">
        <x:f>IF(E24="Credit",VLOOKUP(IF(LOWER(K24)="index","Credit Index","Credit Single Name"),Parameters!$J$4:$K$8,2,FALSE),IF(E24="Equity",VLOOKUP(IF(LOWER(K24)="index","Equity Index","Equity Single Name"),Parameters!$J$4:$K$8,2,FALSE),IF(E24="Commodity",VLOOKUP("Commodity",Parameters!$J$4:$K$8,2,FALSE),"")))</x:f>
      </x:c>
      <x:c r="AO24" s="27" t="n">
        <x:f>MAX((O24-M24)/365,0)</x:f>
        <x:v>0</x:v>
      </x:c>
      <x:c r="AP24" s="27" t="n">
        <x:f>MAX((P24-M24)/365,10/Parameters!$B$6)</x:f>
        <x:v>1.484931506849315</x:v>
      </x:c>
      <x:c r="AQ24" s="27" t="n">
        <x:f>IF(AP24&lt;=AO24,AO24+10/Parameters!$B$6,AP24)</x:f>
        <x:v>1.484931506849315</x:v>
      </x:c>
      <x:c r="AR24" s="41" t="n">
        <x:f>IF(OR(E24="Interest Rate",E24="Credit"),(EXP(-Parameters!$B$7*AO24)-EXP(-Parameters!$B$7*AQ24))/Parameters!$B$7,1)</x:f>
        <x:v>1</x:v>
      </x:c>
      <x:c r="AS24" s="40" t="n">
        <x:f>IF(OR(E24="Interest Rate",E24="Credit"),ABS(Q24)*AR24,IF(E24="FX",IF(Q24&gt;0,Q24,MAX(ABS(R24),ABS(S24),ABS(Q24))),ABS(Q24)))</x:f>
        <x:v>124000000</x:v>
      </x:c>
      <x:c r="AT24" s="42" t="n">
        <x:f>IF(OR(E24="Interest Rate",E24="FX"),VLOOKUP(E24,Parameters!$M$4:$N$11,2,FALSE),IF(E24="Credit",VLOOKUP(IF(LOWER(K24)="index","Credit Index","Credit Single Name"),Parameters!$M$4:$N$11,2,FALSE),IF(E24="Equity",VLOOKUP(IF(LOWER(K24)="index","Equity Index","Equity Single Name"),Parameters!$M$4:$N$11,2,FALSE),IF(E24="Commodity",VLOOKUP(IF(F24="Electricity","Commodity Electricity","Commodity Other"),Parameters!$M$4:$N$11,2,FALSE),1))))</x:f>
        <x:v>0.15</x:v>
      </x:c>
      <x:c r="AU24" s="27" t="n">
        <x:f>IF(W24="B",1,-1)</x:f>
        <x:v>-1</x:v>
      </x:c>
      <x:c r="AV24" s="27" t="n">
        <x:f>IF(OR(AA24="",M24=""),MAX(AE24,1/365),MAX((AA24-M24)/365,1/365))</x:f>
        <x:v>1.484931506849315</x:v>
      </x:c>
      <x:c r="AW24" s="41" t="str">
        <x:f>IF(OR(Z24&lt;=0,Y24&lt;=0,AT24&lt;=0,AV24&lt;=0),"",(LN(Z24/Y24)+0.5*AT24^2*AV24)/(AT24*SQRT(AV24)))</x:f>
      </x:c>
      <x:c r="AX24" s="41" t="n">
        <x:f>IF(AND(X24&lt;&gt;"C",X24&lt;&gt;"P"),AU24,IF(AW24="",AU24,IF(X24="C",AU24*0.5*(1+ERF(AW24/SQRT(2))),-AU24*0.5*(1+ERF(-AW24/SQRT(2))))))</x:f>
        <x:v>-1</x:v>
      </x:c>
      <x:c r="AY24" s="41" t="n">
        <x:f>IF(AJ24="M",1.5*SQRT(MAX(IF(U24="Y",5,10),IF(V24="",10,V24))/Parameters!$B$6),SQRT(MIN(MAX(AE24,10/Parameters!$B$6),1)))</x:f>
        <x:v>0.30000000000000004</x:v>
      </x:c>
      <x:c r="AZ24" s="40" t="n">
        <x:f>AS24*AX24*AY24</x:f>
        <x:v>-37200000.00000001</x:v>
      </x:c>
      <x:c r="BA24" s="40" t="n">
        <x:f>'Python_Trade_Output'!AZ24</x:f>
        <x:v>-37200000.00000001</x:v>
      </x:c>
      <x:c r="BB24" s="43" t="n">
        <x:f>AZ24-BA24</x:f>
        <x:v>0</x:v>
      </x:c>
    </x:row>
    <x:row r="25">
      <x:c r="A25" s="27" t="str">
        <x:f>'Inputs_Trades'!D25</x:f>
        <x:v>IND-000022</x:v>
      </x:c>
      <x:c r="B25" s="27" t="str">
        <x:f>'Inputs_Trades'!B25</x:f>
        <x:v>IND_BANK_001</x:v>
      </x:c>
      <x:c r="C25" s="27" t="n">
        <x:f>'Inputs_Trades'!C25</x:f>
        <x:v>3142</x:v>
      </x:c>
      <x:c r="D25" s="27" t="str">
        <x:f>'Inputs_Trades'!E25</x:f>
        <x:v>FX Forward</x:v>
      </x:c>
      <x:c r="E25" s="27" t="str">
        <x:f>'Inputs_Trades'!F25</x:f>
        <x:v>FX</x:v>
      </x:c>
      <x:c r="F25" s="27" t="n">
        <x:f>'Inputs_Trades'!G25</x:f>
        <x:v>0</x:v>
      </x:c>
      <x:c r="G25" s="27" t="str">
        <x:f>'Inputs_Trades'!J25</x:f>
        <x:v>USD</x:v>
      </x:c>
      <x:c r="H25" s="27" t="str">
        <x:f>'Inputs_Trades'!H25</x:f>
        <x:v>USD</x:v>
      </x:c>
      <x:c r="I25" s="27" t="str">
        <x:f>'Inputs_Trades'!I25</x:f>
        <x:v>JPY</x:v>
      </x:c>
      <x:c r="J25" s="27" t="str">
        <x:f>'Inputs_Trades'!M25</x:f>
        <x:v>USD/JPY</x:v>
      </x:c>
      <x:c r="K25" s="27" t="n">
        <x:f>'Inputs_Trades'!N25</x:f>
        <x:v>0</x:v>
      </x:c>
      <x:c r="L25" s="27" t="n">
        <x:f>'Inputs_Trades'!O25</x:f>
        <x:v>0</x:v>
      </x:c>
      <x:c r="M25" s="39" t="n">
        <x:f>'Inputs_Trades'!A25</x:f>
        <x:v>45702</x:v>
      </x:c>
      <x:c r="N25" s="39" t="n">
        <x:f>'Inputs_Trades'!P25</x:f>
        <x:v>47496</x:v>
      </x:c>
      <x:c r="O25" s="39" t="n">
        <x:f>'Inputs_Trades'!Q25</x:f>
        <x:v>44893</x:v>
      </x:c>
      <x:c r="P25" s="39" t="n">
        <x:f>'Inputs_Trades'!R25</x:f>
        <x:v>47496</x:v>
      </x:c>
      <x:c r="Q25" s="40" t="n">
        <x:f>'Inputs_Trades'!U25</x:f>
        <x:v>1000000</x:v>
      </x:c>
      <x:c r="R25" s="40" t="n">
        <x:f>'Inputs_Trades'!S25</x:f>
        <x:v>1000000</x:v>
      </x:c>
      <x:c r="S25" s="40" t="n">
        <x:f>'Inputs_Trades'!T25</x:f>
        <x:v>149253731.34</x:v>
      </x:c>
      <x:c r="T25" s="27" t="str">
        <x:f>'Inputs_Trades'!V25</x:f>
        <x:v>M</x:v>
      </x:c>
      <x:c r="U25" s="27" t="str">
        <x:f>'Inputs_Trades'!W25</x:f>
        <x:v>N</x:v>
      </x:c>
      <x:c r="V25" s="27" t="n">
        <x:f>'Inputs_Trades'!X25</x:f>
        <x:v>10</x:v>
      </x:c>
      <x:c r="W25" s="27" t="str">
        <x:f>'Inputs_Trades'!Y25</x:f>
        <x:v>B</x:v>
      </x:c>
      <x:c r="X25" s="27" t="n">
        <x:f>'Inputs_Trades'!AA25</x:f>
        <x:v>0</x:v>
      </x:c>
      <x:c r="Y25" s="27" t="n">
        <x:f>'Inputs_Trades'!AB25</x:f>
        <x:v>0</x:v>
      </x:c>
      <x:c r="Z25" s="27" t="n">
        <x:f>'Inputs_Trades'!AC25</x:f>
        <x:v>0</x:v>
      </x:c>
      <x:c r="AA25" s="39" t="n">
        <x:f>'Inputs_Trades'!Z25</x:f>
        <x:v>0</x:v>
      </x:c>
      <x:c r="AB25" s="40" t="n">
        <x:f>'Inputs_Trades'!AD25</x:f>
        <x:v>-5440</x:v>
      </x:c>
      <x:c r="AC25" s="27" t="n">
        <x:f>'Inputs_Trades'!K25</x:f>
        <x:v>0</x:v>
      </x:c>
      <x:c r="AD25" s="27" t="n">
        <x:f>N25-M25</x:f>
        <x:v>1794</x:v>
      </x:c>
      <x:c r="AE25" s="41" t="n">
        <x:f>AD25/365</x:f>
        <x:v>4.9150684931506845</x:v>
      </x:c>
      <x:c r="AF25" s="27" t="str">
        <x:f>IF(AE25&lt;1,"&lt;1Y",IF(AE25&lt;=5,"1Y-5Y","&gt;5Y"))</x:f>
        <x:v>1Y-5Y</x:v>
      </x:c>
      <x:c r="AG25" s="27" t="str">
        <x:f>IF(E25="Commodity",IFERROR(VLOOKUP(F25,Parameters!$P$4:$Q$12,2,FALSE),"Other"),"")</x:f>
      </x:c>
      <x:c r="AH25" s="27" t="str">
        <x:f>IF(F25="","Unknown",F25)</x:f>
        <x:v>Unknown</x:v>
      </x:c>
      <x:c r="AI25" s="27" t="str">
        <x:f>IF(E25="Interest Rate",G25&amp;IF(OR(LOWER(AC25)="basis",LOWER(AC25)="volatility"),"_"&amp;AC25,""),IF(E25="FX",IF(H25&lt;I25,H25&amp;"/"&amp;I25,I25&amp;"/"&amp;H25)&amp;IF(OR(LOWER(AC25)="basis",LOWER(AC25)="volatility"),"_"&amp;AC25,""),IF(OR(E25="Credit",E25="Equity"),J25&amp;IF(OR(LOWER(AC25)="basis",LOWER(AC25)="volatility"),"_"&amp;AC25,""),IF(E25="Commodity",AG25&amp;IF(OR(LOWER(AC25)="basis",LOWER(AC25)="volatility"),"_"&amp;AC25,""),"UNKNOWN"))))</x:f>
        <x:v>JPY/USD</x:v>
      </x:c>
      <x:c r="AJ25" s="27" t="str">
        <x:f>T25</x:f>
        <x:v>M</x:v>
      </x:c>
      <x:c r="AK25" s="41" t="n">
        <x:f>IF(E25="Interest Rate",VLOOKUP("Interest Rate",Parameters!$D$4:$E$12,2,FALSE),IF(E25="FX",VLOOKUP("FX",Parameters!$D$4:$E$12,2,FALSE),IF(E25="Credit",IFERROR(VLOOKUP(L25,Parameters!$G$4:$H$12,2,FALSE),VLOOKUP("BBB",Parameters!$G$4:$H$12,2,FALSE)),IF(E25="Equity",VLOOKUP(IF(LOWER(K25)="index","Equity Index","Equity Single Name"),Parameters!$D$4:$E$12,2,FALSE),IF(E25="Commodity",VLOOKUP(IFERROR(VLOOKUP(F25,Parameters!$S$4:$T$12,2,FALSE),"Commodity Other"),Parameters!$D$4:$E$12,2,FALSE),0)))))</x:f>
        <x:v>0.04</x:v>
      </x:c>
      <x:c r="AL25" s="42" t="n">
        <x:f>IF(LOWER(AC25)="basis",Parameters!$B$8,IF(LOWER(AC25)="volatility",Parameters!$B$9,1))</x:f>
        <x:v>1</x:v>
      </x:c>
      <x:c r="AM25" s="41" t="n">
        <x:f>AK25*AL25</x:f>
        <x:v>0.04</x:v>
      </x:c>
      <x:c r="AN25" s="42" t="str">
        <x:f>IF(E25="Credit",VLOOKUP(IF(LOWER(K25)="index","Credit Index","Credit Single Name"),Parameters!$J$4:$K$8,2,FALSE),IF(E25="Equity",VLOOKUP(IF(LOWER(K25)="index","Equity Index","Equity Single Name"),Parameters!$J$4:$K$8,2,FALSE),IF(E25="Commodity",VLOOKUP("Commodity",Parameters!$J$4:$K$8,2,FALSE),"")))</x:f>
      </x:c>
      <x:c r="AO25" s="27" t="n">
        <x:f>MAX((O25-M25)/365,0)</x:f>
        <x:v>0</x:v>
      </x:c>
      <x:c r="AP25" s="27" t="n">
        <x:f>MAX((P25-M25)/365,10/Parameters!$B$6)</x:f>
        <x:v>4.9150684931506845</x:v>
      </x:c>
      <x:c r="AQ25" s="27" t="n">
        <x:f>IF(AP25&lt;=AO25,AO25+10/Parameters!$B$6,AP25)</x:f>
        <x:v>4.9150684931506845</x:v>
      </x:c>
      <x:c r="AR25" s="41" t="n">
        <x:f>IF(OR(E25="Interest Rate",E25="Credit"),(EXP(-Parameters!$B$7*AO25)-EXP(-Parameters!$B$7*AQ25))/Parameters!$B$7,1)</x:f>
        <x:v>1</x:v>
      </x:c>
      <x:c r="AS25" s="40" t="n">
        <x:f>IF(OR(E25="Interest Rate",E25="Credit"),ABS(Q25)*AR25,IF(E25="FX",IF(Q25&gt;0,Q25,MAX(ABS(R25),ABS(S25),ABS(Q25))),ABS(Q25)))</x:f>
        <x:v>1000000</x:v>
      </x:c>
      <x:c r="AT25" s="42" t="n">
        <x:f>IF(OR(E25="Interest Rate",E25="FX"),VLOOKUP(E25,Parameters!$M$4:$N$11,2,FALSE),IF(E25="Credit",VLOOKUP(IF(LOWER(K25)="index","Credit Index","Credit Single Name"),Parameters!$M$4:$N$11,2,FALSE),IF(E25="Equity",VLOOKUP(IF(LOWER(K25)="index","Equity Index","Equity Single Name"),Parameters!$M$4:$N$11,2,FALSE),IF(E25="Commodity",VLOOKUP(IF(F25="Electricity","Commodity Electricity","Commodity Other"),Parameters!$M$4:$N$11,2,FALSE),1))))</x:f>
        <x:v>0.15</x:v>
      </x:c>
      <x:c r="AU25" s="27" t="n">
        <x:f>IF(W25="B",1,-1)</x:f>
        <x:v>1</x:v>
      </x:c>
      <x:c r="AV25" s="27" t="n">
        <x:f>IF(OR(AA25="",M25=""),MAX(AE25,1/365),MAX((AA25-M25)/365,1/365))</x:f>
        <x:v>4.9150684931506845</x:v>
      </x:c>
      <x:c r="AW25" s="41" t="str">
        <x:f>IF(OR(Z25&lt;=0,Y25&lt;=0,AT25&lt;=0,AV25&lt;=0),"",(LN(Z25/Y25)+0.5*AT25^2*AV25)/(AT25*SQRT(AV25)))</x:f>
      </x:c>
      <x:c r="AX25" s="41" t="n">
        <x:f>IF(AND(X25&lt;&gt;"C",X25&lt;&gt;"P"),AU25,IF(AW25="",AU25,IF(X25="C",AU25*0.5*(1+ERF(AW25/SQRT(2))),-AU25*0.5*(1+ERF(-AW25/SQRT(2))))))</x:f>
        <x:v>1</x:v>
      </x:c>
      <x:c r="AY25" s="41" t="n">
        <x:f>IF(AJ25="M",1.5*SQRT(MAX(IF(U25="Y",5,10),IF(V25="",10,V25))/Parameters!$B$6),SQRT(MIN(MAX(AE25,10/Parameters!$B$6),1)))</x:f>
        <x:v>0.30000000000000004</x:v>
      </x:c>
      <x:c r="AZ25" s="40" t="n">
        <x:f>AS25*AX25*AY25</x:f>
        <x:v>300000.00000000006</x:v>
      </x:c>
      <x:c r="BA25" s="40" t="n">
        <x:f>'Python_Trade_Output'!AZ25</x:f>
        <x:v>300000.00000000006</x:v>
      </x:c>
      <x:c r="BB25" s="43" t="n">
        <x:f>AZ25-BA25</x:f>
        <x:v>0</x:v>
      </x:c>
    </x:row>
    <x:row r="26">
      <x:c r="A26" s="27" t="str">
        <x:f>'Inputs_Trades'!D26</x:f>
        <x:v>IND-000023</x:v>
      </x:c>
      <x:c r="B26" s="27" t="str">
        <x:f>'Inputs_Trades'!B26</x:f>
        <x:v>IND_SOVEREIGN_001</x:v>
      </x:c>
      <x:c r="C26" s="27" t="n">
        <x:f>'Inputs_Trades'!C26</x:f>
        <x:v>3084</x:v>
      </x:c>
      <x:c r="D26" s="27" t="str">
        <x:f>'Inputs_Trades'!E26</x:f>
        <x:v>FX Forward</x:v>
      </x:c>
      <x:c r="E26" s="27" t="str">
        <x:f>'Inputs_Trades'!F26</x:f>
        <x:v>FX</x:v>
      </x:c>
      <x:c r="F26" s="27" t="n">
        <x:f>'Inputs_Trades'!G26</x:f>
        <x:v>0</x:v>
      </x:c>
      <x:c r="G26" s="27" t="str">
        <x:f>'Inputs_Trades'!J26</x:f>
        <x:v>USD</x:v>
      </x:c>
      <x:c r="H26" s="27" t="str">
        <x:f>'Inputs_Trades'!H26</x:f>
        <x:v>GBP</x:v>
      </x:c>
      <x:c r="I26" s="27" t="str">
        <x:f>'Inputs_Trades'!I26</x:f>
        <x:v>USD</x:v>
      </x:c>
      <x:c r="J26" s="27" t="str">
        <x:f>'Inputs_Trades'!M26</x:f>
        <x:v>GBP/USD</x:v>
      </x:c>
      <x:c r="K26" s="27" t="n">
        <x:f>'Inputs_Trades'!N26</x:f>
        <x:v>0</x:v>
      </x:c>
      <x:c r="L26" s="27" t="n">
        <x:f>'Inputs_Trades'!O26</x:f>
        <x:v>0</x:v>
      </x:c>
      <x:c r="M26" s="39" t="n">
        <x:f>'Inputs_Trades'!A26</x:f>
        <x:v>45702</x:v>
      </x:c>
      <x:c r="N26" s="39" t="n">
        <x:f>'Inputs_Trades'!P26</x:f>
        <x:v>45968</x:v>
      </x:c>
      <x:c r="O26" s="39" t="n">
        <x:f>'Inputs_Trades'!Q26</x:f>
        <x:v>45317</x:v>
      </x:c>
      <x:c r="P26" s="39" t="n">
        <x:f>'Inputs_Trades'!R26</x:f>
        <x:v>45968</x:v>
      </x:c>
      <x:c r="Q26" s="40" t="n">
        <x:f>'Inputs_Trades'!U26</x:f>
        <x:v>57000000</x:v>
      </x:c>
      <x:c r="R26" s="40" t="n">
        <x:f>'Inputs_Trades'!S26</x:f>
        <x:v>45600000</x:v>
      </x:c>
      <x:c r="S26" s="40" t="n">
        <x:f>'Inputs_Trades'!T26</x:f>
        <x:v>57000000</x:v>
      </x:c>
      <x:c r="T26" s="27" t="str">
        <x:f>'Inputs_Trades'!V26</x:f>
        <x:v>U</x:v>
      </x:c>
      <x:c r="U26" s="27" t="str">
        <x:f>'Inputs_Trades'!W26</x:f>
        <x:v>N</x:v>
      </x:c>
      <x:c r="V26" s="27" t="n">
        <x:f>'Inputs_Trades'!X26</x:f>
        <x:v>0</x:v>
      </x:c>
      <x:c r="W26" s="27" t="str">
        <x:f>'Inputs_Trades'!Y26</x:f>
        <x:v>B</x:v>
      </x:c>
      <x:c r="X26" s="27" t="n">
        <x:f>'Inputs_Trades'!AA26</x:f>
        <x:v>0</x:v>
      </x:c>
      <x:c r="Y26" s="27" t="n">
        <x:f>'Inputs_Trades'!AB26</x:f>
        <x:v>0</x:v>
      </x:c>
      <x:c r="Z26" s="27" t="n">
        <x:f>'Inputs_Trades'!AC26</x:f>
        <x:v>0</x:v>
      </x:c>
      <x:c r="AA26" s="39" t="n">
        <x:f>'Inputs_Trades'!Z26</x:f>
        <x:v>0</x:v>
      </x:c>
      <x:c r="AB26" s="40" t="n">
        <x:f>'Inputs_Trades'!AD26</x:f>
        <x:v>-226860</x:v>
      </x:c>
      <x:c r="AC26" s="27" t="n">
        <x:f>'Inputs_Trades'!K26</x:f>
        <x:v>0</x:v>
      </x:c>
      <x:c r="AD26" s="27" t="n">
        <x:f>N26-M26</x:f>
        <x:v>266</x:v>
      </x:c>
      <x:c r="AE26" s="41" t="n">
        <x:f>AD26/365</x:f>
        <x:v>0.7287671232876712</x:v>
      </x:c>
      <x:c r="AF26" s="27" t="str">
        <x:f>IF(AE26&lt;1,"&lt;1Y",IF(AE26&lt;=5,"1Y-5Y","&gt;5Y"))</x:f>
        <x:v>&lt;1Y</x:v>
      </x:c>
      <x:c r="AG26" s="27" t="str">
        <x:f>IF(E26="Commodity",IFERROR(VLOOKUP(F26,Parameters!$P$4:$Q$12,2,FALSE),"Other"),"")</x:f>
      </x:c>
      <x:c r="AH26" s="27" t="str">
        <x:f>IF(F26="","Unknown",F26)</x:f>
        <x:v>Unknown</x:v>
      </x:c>
      <x:c r="AI26" s="27" t="str">
        <x:f>IF(E26="Interest Rate",G26&amp;IF(OR(LOWER(AC26)="basis",LOWER(AC26)="volatility"),"_"&amp;AC26,""),IF(E26="FX",IF(H26&lt;I26,H26&amp;"/"&amp;I26,I26&amp;"/"&amp;H26)&amp;IF(OR(LOWER(AC26)="basis",LOWER(AC26)="volatility"),"_"&amp;AC26,""),IF(OR(E26="Credit",E26="Equity"),J26&amp;IF(OR(LOWER(AC26)="basis",LOWER(AC26)="volatility"),"_"&amp;AC26,""),IF(E26="Commodity",AG26&amp;IF(OR(LOWER(AC26)="basis",LOWER(AC26)="volatility"),"_"&amp;AC26,""),"UNKNOWN"))))</x:f>
        <x:v>GBP/USD</x:v>
      </x:c>
      <x:c r="AJ26" s="27" t="str">
        <x:f>T26</x:f>
        <x:v>U</x:v>
      </x:c>
      <x:c r="AK26" s="41" t="n">
        <x:f>IF(E26="Interest Rate",VLOOKUP("Interest Rate",Parameters!$D$4:$E$12,2,FALSE),IF(E26="FX",VLOOKUP("FX",Parameters!$D$4:$E$12,2,FALSE),IF(E26="Credit",IFERROR(VLOOKUP(L26,Parameters!$G$4:$H$12,2,FALSE),VLOOKUP("BBB",Parameters!$G$4:$H$12,2,FALSE)),IF(E26="Equity",VLOOKUP(IF(LOWER(K26)="index","Equity Index","Equity Single Name"),Parameters!$D$4:$E$12,2,FALSE),IF(E26="Commodity",VLOOKUP(IFERROR(VLOOKUP(F26,Parameters!$S$4:$T$12,2,FALSE),"Commodity Other"),Parameters!$D$4:$E$12,2,FALSE),0)))))</x:f>
        <x:v>0.04</x:v>
      </x:c>
      <x:c r="AL26" s="42" t="n">
        <x:f>IF(LOWER(AC26)="basis",Parameters!$B$8,IF(LOWER(AC26)="volatility",Parameters!$B$9,1))</x:f>
        <x:v>1</x:v>
      </x:c>
      <x:c r="AM26" s="41" t="n">
        <x:f>AK26*AL26</x:f>
        <x:v>0.04</x:v>
      </x:c>
      <x:c r="AN26" s="42" t="str">
        <x:f>IF(E26="Credit",VLOOKUP(IF(LOWER(K26)="index","Credit Index","Credit Single Name"),Parameters!$J$4:$K$8,2,FALSE),IF(E26="Equity",VLOOKUP(IF(LOWER(K26)="index","Equity Index","Equity Single Name"),Parameters!$J$4:$K$8,2,FALSE),IF(E26="Commodity",VLOOKUP("Commodity",Parameters!$J$4:$K$8,2,FALSE),"")))</x:f>
      </x:c>
      <x:c r="AO26" s="27" t="n">
        <x:f>MAX((O26-M26)/365,0)</x:f>
        <x:v>0</x:v>
      </x:c>
      <x:c r="AP26" s="27" t="n">
        <x:f>MAX((P26-M26)/365,10/Parameters!$B$6)</x:f>
        <x:v>0.7287671232876712</x:v>
      </x:c>
      <x:c r="AQ26" s="27" t="n">
        <x:f>IF(AP26&lt;=AO26,AO26+10/Parameters!$B$6,AP26)</x:f>
        <x:v>0.7287671232876712</x:v>
      </x:c>
      <x:c r="AR26" s="41" t="n">
        <x:f>IF(OR(E26="Interest Rate",E26="Credit"),(EXP(-Parameters!$B$7*AO26)-EXP(-Parameters!$B$7*AQ26))/Parameters!$B$7,1)</x:f>
        <x:v>1</x:v>
      </x:c>
      <x:c r="AS26" s="40" t="n">
        <x:f>IF(OR(E26="Interest Rate",E26="Credit"),ABS(Q26)*AR26,IF(E26="FX",IF(Q26&gt;0,Q26,MAX(ABS(R26),ABS(S26),ABS(Q26))),ABS(Q26)))</x:f>
        <x:v>57000000</x:v>
      </x:c>
      <x:c r="AT26" s="42" t="n">
        <x:f>IF(OR(E26="Interest Rate",E26="FX"),VLOOKUP(E26,Parameters!$M$4:$N$11,2,FALSE),IF(E26="Credit",VLOOKUP(IF(LOWER(K26)="index","Credit Index","Credit Single Name"),Parameters!$M$4:$N$11,2,FALSE),IF(E26="Equity",VLOOKUP(IF(LOWER(K26)="index","Equity Index","Equity Single Name"),Parameters!$M$4:$N$11,2,FALSE),IF(E26="Commodity",VLOOKUP(IF(F26="Electricity","Commodity Electricity","Commodity Other"),Parameters!$M$4:$N$11,2,FALSE),1))))</x:f>
        <x:v>0.15</x:v>
      </x:c>
      <x:c r="AU26" s="27" t="n">
        <x:f>IF(W26="B",1,-1)</x:f>
        <x:v>1</x:v>
      </x:c>
      <x:c r="AV26" s="27" t="n">
        <x:f>IF(OR(AA26="",M26=""),MAX(AE26,1/365),MAX((AA26-M26)/365,1/365))</x:f>
        <x:v>0.7287671232876712</x:v>
      </x:c>
      <x:c r="AW26" s="41" t="str">
        <x:f>IF(OR(Z26&lt;=0,Y26&lt;=0,AT26&lt;=0,AV26&lt;=0),"",(LN(Z26/Y26)+0.5*AT26^2*AV26)/(AT26*SQRT(AV26)))</x:f>
      </x:c>
      <x:c r="AX26" s="41" t="n">
        <x:f>IF(AND(X26&lt;&gt;"C",X26&lt;&gt;"P"),AU26,IF(AW26="",AU26,IF(X26="C",AU26*0.5*(1+ERF(AW26/SQRT(2))),-AU26*0.5*(1+ERF(-AW26/SQRT(2))))))</x:f>
        <x:v>1</x:v>
      </x:c>
      <x:c r="AY26" s="41" t="n">
        <x:f>IF(AJ26="M",1.5*SQRT(MAX(IF(U26="Y",5,10),IF(V26="",10,V26))/Parameters!$B$6),SQRT(MIN(MAX(AE26,10/Parameters!$B$6),1)))</x:f>
        <x:v>0.8536785831257987</x:v>
      </x:c>
      <x:c r="AZ26" s="40" t="n">
        <x:f>AS26*AX26*AY26</x:f>
        <x:v>48659679.23817053</x:v>
      </x:c>
      <x:c r="BA26" s="40" t="n">
        <x:f>'Python_Trade_Output'!AZ26</x:f>
        <x:v>48659679.23817053</x:v>
      </x:c>
      <x:c r="BB26" s="43" t="n">
        <x:f>AZ26-BA26</x:f>
        <x:v>0</x:v>
      </x:c>
    </x:row>
    <x:row r="27">
      <x:c r="A27" s="27" t="str">
        <x:f>'Inputs_Trades'!D27</x:f>
        <x:v>IND-000024</x:v>
      </x:c>
      <x:c r="B27" s="27" t="str">
        <x:f>'Inputs_Trades'!B27</x:f>
        <x:v>IND_REGIONAL_BANK_001</x:v>
      </x:c>
      <x:c r="C27" s="27" t="n">
        <x:f>'Inputs_Trades'!C27</x:f>
        <x:v>3245</x:v>
      </x:c>
      <x:c r="D27" s="27" t="str">
        <x:f>'Inputs_Trades'!E27</x:f>
        <x:v>FX Forward</x:v>
      </x:c>
      <x:c r="E27" s="27" t="str">
        <x:f>'Inputs_Trades'!F27</x:f>
        <x:v>FX</x:v>
      </x:c>
      <x:c r="F27" s="27" t="n">
        <x:f>'Inputs_Trades'!G27</x:f>
        <x:v>0</x:v>
      </x:c>
      <x:c r="G27" s="27" t="str">
        <x:f>'Inputs_Trades'!J27</x:f>
        <x:v>USD</x:v>
      </x:c>
      <x:c r="H27" s="27" t="str">
        <x:f>'Inputs_Trades'!H27</x:f>
        <x:v>GBP</x:v>
      </x:c>
      <x:c r="I27" s="27" t="str">
        <x:f>'Inputs_Trades'!I27</x:f>
        <x:v>USD</x:v>
      </x:c>
      <x:c r="J27" s="27" t="str">
        <x:f>'Inputs_Trades'!M27</x:f>
        <x:v>GBP/USD</x:v>
      </x:c>
      <x:c r="K27" s="27" t="n">
        <x:f>'Inputs_Trades'!N27</x:f>
        <x:v>0</x:v>
      </x:c>
      <x:c r="L27" s="27" t="n">
        <x:f>'Inputs_Trades'!O27</x:f>
        <x:v>0</x:v>
      </x:c>
      <x:c r="M27" s="39" t="n">
        <x:f>'Inputs_Trades'!A27</x:f>
        <x:v>45702</x:v>
      </x:c>
      <x:c r="N27" s="39" t="n">
        <x:f>'Inputs_Trades'!P27</x:f>
        <x:v>47572</x:v>
      </x:c>
      <x:c r="O27" s="39" t="n">
        <x:f>'Inputs_Trades'!Q27</x:f>
        <x:v>44944</x:v>
      </x:c>
      <x:c r="P27" s="39" t="n">
        <x:f>'Inputs_Trades'!R27</x:f>
        <x:v>47572</x:v>
      </x:c>
      <x:c r="Q27" s="40" t="n">
        <x:f>'Inputs_Trades'!U27</x:f>
        <x:v>61100000</x:v>
      </x:c>
      <x:c r="R27" s="40" t="n">
        <x:f>'Inputs_Trades'!S27</x:f>
        <x:v>48880000</x:v>
      </x:c>
      <x:c r="S27" s="40" t="n">
        <x:f>'Inputs_Trades'!T27</x:f>
        <x:v>61100000</x:v>
      </x:c>
      <x:c r="T27" s="27" t="str">
        <x:f>'Inputs_Trades'!V27</x:f>
        <x:v>U</x:v>
      </x:c>
      <x:c r="U27" s="27" t="str">
        <x:f>'Inputs_Trades'!W27</x:f>
        <x:v>N</x:v>
      </x:c>
      <x:c r="V27" s="27" t="n">
        <x:f>'Inputs_Trades'!X27</x:f>
        <x:v>0</x:v>
      </x:c>
      <x:c r="W27" s="27" t="str">
        <x:f>'Inputs_Trades'!Y27</x:f>
        <x:v>S</x:v>
      </x:c>
      <x:c r="X27" s="27" t="n">
        <x:f>'Inputs_Trades'!AA27</x:f>
        <x:v>0</x:v>
      </x:c>
      <x:c r="Y27" s="27" t="n">
        <x:f>'Inputs_Trades'!AB27</x:f>
        <x:v>0</x:v>
      </x:c>
      <x:c r="Z27" s="27" t="n">
        <x:f>'Inputs_Trades'!AC27</x:f>
        <x:v>0</x:v>
      </x:c>
      <x:c r="AA27" s="39" t="n">
        <x:f>'Inputs_Trades'!Z27</x:f>
        <x:v>0</x:v>
      </x:c>
      <x:c r="AB27" s="40" t="n">
        <x:f>'Inputs_Trades'!AD27</x:f>
        <x:v>212017</x:v>
      </x:c>
      <x:c r="AC27" s="27" t="n">
        <x:f>'Inputs_Trades'!K27</x:f>
        <x:v>0</x:v>
      </x:c>
      <x:c r="AD27" s="27" t="n">
        <x:f>N27-M27</x:f>
        <x:v>1870</x:v>
      </x:c>
      <x:c r="AE27" s="41" t="n">
        <x:f>AD27/365</x:f>
        <x:v>5.123287671232877</x:v>
      </x:c>
      <x:c r="AF27" s="27" t="str">
        <x:f>IF(AE27&lt;1,"&lt;1Y",IF(AE27&lt;=5,"1Y-5Y","&gt;5Y"))</x:f>
        <x:v>&gt;5Y</x:v>
      </x:c>
      <x:c r="AG27" s="27" t="str">
        <x:f>IF(E27="Commodity",IFERROR(VLOOKUP(F27,Parameters!$P$4:$Q$12,2,FALSE),"Other"),"")</x:f>
      </x:c>
      <x:c r="AH27" s="27" t="str">
        <x:f>IF(F27="","Unknown",F27)</x:f>
        <x:v>Unknown</x:v>
      </x:c>
      <x:c r="AI27" s="27" t="str">
        <x:f>IF(E27="Interest Rate",G27&amp;IF(OR(LOWER(AC27)="basis",LOWER(AC27)="volatility"),"_"&amp;AC27,""),IF(E27="FX",IF(H27&lt;I27,H27&amp;"/"&amp;I27,I27&amp;"/"&amp;H27)&amp;IF(OR(LOWER(AC27)="basis",LOWER(AC27)="volatility"),"_"&amp;AC27,""),IF(OR(E27="Credit",E27="Equity"),J27&amp;IF(OR(LOWER(AC27)="basis",LOWER(AC27)="volatility"),"_"&amp;AC27,""),IF(E27="Commodity",AG27&amp;IF(OR(LOWER(AC27)="basis",LOWER(AC27)="volatility"),"_"&amp;AC27,""),"UNKNOWN"))))</x:f>
        <x:v>GBP/USD</x:v>
      </x:c>
      <x:c r="AJ27" s="27" t="str">
        <x:f>T27</x:f>
        <x:v>U</x:v>
      </x:c>
      <x:c r="AK27" s="41" t="n">
        <x:f>IF(E27="Interest Rate",VLOOKUP("Interest Rate",Parameters!$D$4:$E$12,2,FALSE),IF(E27="FX",VLOOKUP("FX",Parameters!$D$4:$E$12,2,FALSE),IF(E27="Credit",IFERROR(VLOOKUP(L27,Parameters!$G$4:$H$12,2,FALSE),VLOOKUP("BBB",Parameters!$G$4:$H$12,2,FALSE)),IF(E27="Equity",VLOOKUP(IF(LOWER(K27)="index","Equity Index","Equity Single Name"),Parameters!$D$4:$E$12,2,FALSE),IF(E27="Commodity",VLOOKUP(IFERROR(VLOOKUP(F27,Parameters!$S$4:$T$12,2,FALSE),"Commodity Other"),Parameters!$D$4:$E$12,2,FALSE),0)))))</x:f>
        <x:v>0.04</x:v>
      </x:c>
      <x:c r="AL27" s="42" t="n">
        <x:f>IF(LOWER(AC27)="basis",Parameters!$B$8,IF(LOWER(AC27)="volatility",Parameters!$B$9,1))</x:f>
        <x:v>1</x:v>
      </x:c>
      <x:c r="AM27" s="41" t="n">
        <x:f>AK27*AL27</x:f>
        <x:v>0.04</x:v>
      </x:c>
      <x:c r="AN27" s="42" t="str">
        <x:f>IF(E27="Credit",VLOOKUP(IF(LOWER(K27)="index","Credit Index","Credit Single Name"),Parameters!$J$4:$K$8,2,FALSE),IF(E27="Equity",VLOOKUP(IF(LOWER(K27)="index","Equity Index","Equity Single Name"),Parameters!$J$4:$K$8,2,FALSE),IF(E27="Commodity",VLOOKUP("Commodity",Parameters!$J$4:$K$8,2,FALSE),"")))</x:f>
      </x:c>
      <x:c r="AO27" s="27" t="n">
        <x:f>MAX((O27-M27)/365,0)</x:f>
        <x:v>0</x:v>
      </x:c>
      <x:c r="AP27" s="27" t="n">
        <x:f>MAX((P27-M27)/365,10/Parameters!$B$6)</x:f>
        <x:v>5.123287671232877</x:v>
      </x:c>
      <x:c r="AQ27" s="27" t="n">
        <x:f>IF(AP27&lt;=AO27,AO27+10/Parameters!$B$6,AP27)</x:f>
        <x:v>5.123287671232877</x:v>
      </x:c>
      <x:c r="AR27" s="41" t="n">
        <x:f>IF(OR(E27="Interest Rate",E27="Credit"),(EXP(-Parameters!$B$7*AO27)-EXP(-Parameters!$B$7*AQ27))/Parameters!$B$7,1)</x:f>
        <x:v>1</x:v>
      </x:c>
      <x:c r="AS27" s="40" t="n">
        <x:f>IF(OR(E27="Interest Rate",E27="Credit"),ABS(Q27)*AR27,IF(E27="FX",IF(Q27&gt;0,Q27,MAX(ABS(R27),ABS(S27),ABS(Q27))),ABS(Q27)))</x:f>
        <x:v>61100000</x:v>
      </x:c>
      <x:c r="AT27" s="42" t="n">
        <x:f>IF(OR(E27="Interest Rate",E27="FX"),VLOOKUP(E27,Parameters!$M$4:$N$11,2,FALSE),IF(E27="Credit",VLOOKUP(IF(LOWER(K27)="index","Credit Index","Credit Single Name"),Parameters!$M$4:$N$11,2,FALSE),IF(E27="Equity",VLOOKUP(IF(LOWER(K27)="index","Equity Index","Equity Single Name"),Parameters!$M$4:$N$11,2,FALSE),IF(E27="Commodity",VLOOKUP(IF(F27="Electricity","Commodity Electricity","Commodity Other"),Parameters!$M$4:$N$11,2,FALSE),1))))</x:f>
        <x:v>0.15</x:v>
      </x:c>
      <x:c r="AU27" s="27" t="n">
        <x:f>IF(W27="B",1,-1)</x:f>
        <x:v>-1</x:v>
      </x:c>
      <x:c r="AV27" s="27" t="n">
        <x:f>IF(OR(AA27="",M27=""),MAX(AE27,1/365),MAX((AA27-M27)/365,1/365))</x:f>
        <x:v>5.123287671232877</x:v>
      </x:c>
      <x:c r="AW27" s="41" t="str">
        <x:f>IF(OR(Z27&lt;=0,Y27&lt;=0,AT27&lt;=0,AV27&lt;=0),"",(LN(Z27/Y27)+0.5*AT27^2*AV27)/(AT27*SQRT(AV27)))</x:f>
      </x:c>
      <x:c r="AX27" s="41" t="n">
        <x:f>IF(AND(X27&lt;&gt;"C",X27&lt;&gt;"P"),AU27,IF(AW27="",AU27,IF(X27="C",AU27*0.5*(1+ERF(AW27/SQRT(2))),-AU27*0.5*(1+ERF(-AW27/SQRT(2))))))</x:f>
        <x:v>-1</x:v>
      </x:c>
      <x:c r="AY27" s="41" t="n">
        <x:f>IF(AJ27="M",1.5*SQRT(MAX(IF(U27="Y",5,10),IF(V27="",10,V27))/Parameters!$B$6),SQRT(MIN(MAX(AE27,10/Parameters!$B$6),1)))</x:f>
        <x:v>1</x:v>
      </x:c>
      <x:c r="AZ27" s="40" t="n">
        <x:f>AS27*AX27*AY27</x:f>
        <x:v>-61100000</x:v>
      </x:c>
      <x:c r="BA27" s="40" t="n">
        <x:f>'Python_Trade_Output'!AZ27</x:f>
        <x:v>-61100000</x:v>
      </x:c>
      <x:c r="BB27" s="43" t="n">
        <x:f>AZ27-BA27</x:f>
        <x:v>0</x:v>
      </x:c>
    </x:row>
    <x:row r="28">
      <x:c r="A28" s="27" t="str">
        <x:f>'Inputs_Trades'!D28</x:f>
        <x:v>IND-000025</x:v>
      </x:c>
      <x:c r="B28" s="27" t="str">
        <x:f>'Inputs_Trades'!B28</x:f>
        <x:v>IND_PENSION_001</x:v>
      </x:c>
      <x:c r="C28" s="27" t="n">
        <x:f>'Inputs_Trades'!C28</x:f>
        <x:v>3294</x:v>
      </x:c>
      <x:c r="D28" s="27" t="str">
        <x:f>'Inputs_Trades'!E28</x:f>
        <x:v>FX Forward</x:v>
      </x:c>
      <x:c r="E28" s="27" t="str">
        <x:f>'Inputs_Trades'!F28</x:f>
        <x:v>FX</x:v>
      </x:c>
      <x:c r="F28" s="27" t="n">
        <x:f>'Inputs_Trades'!G28</x:f>
        <x:v>0</x:v>
      </x:c>
      <x:c r="G28" s="27" t="str">
        <x:f>'Inputs_Trades'!J28</x:f>
        <x:v>USD</x:v>
      </x:c>
      <x:c r="H28" s="27" t="str">
        <x:f>'Inputs_Trades'!H28</x:f>
        <x:v>USD</x:v>
      </x:c>
      <x:c r="I28" s="27" t="str">
        <x:f>'Inputs_Trades'!I28</x:f>
        <x:v>JPY</x:v>
      </x:c>
      <x:c r="J28" s="27" t="str">
        <x:f>'Inputs_Trades'!M28</x:f>
        <x:v>USD/JPY</x:v>
      </x:c>
      <x:c r="K28" s="27" t="n">
        <x:f>'Inputs_Trades'!N28</x:f>
        <x:v>0</x:v>
      </x:c>
      <x:c r="L28" s="27" t="n">
        <x:f>'Inputs_Trades'!O28</x:f>
        <x:v>0</x:v>
      </x:c>
      <x:c r="M28" s="39" t="n">
        <x:f>'Inputs_Trades'!A28</x:f>
        <x:v>45702</x:v>
      </x:c>
      <x:c r="N28" s="39" t="n">
        <x:f>'Inputs_Trades'!P28</x:f>
        <x:v>46321</x:v>
      </x:c>
      <x:c r="O28" s="39" t="n">
        <x:f>'Inputs_Trades'!Q28</x:f>
        <x:v>45478</x:v>
      </x:c>
      <x:c r="P28" s="39" t="n">
        <x:f>'Inputs_Trades'!R28</x:f>
        <x:v>46321</x:v>
      </x:c>
      <x:c r="Q28" s="40" t="n">
        <x:f>'Inputs_Trades'!U28</x:f>
        <x:v>90300000</x:v>
      </x:c>
      <x:c r="R28" s="40" t="n">
        <x:f>'Inputs_Trades'!S28</x:f>
        <x:v>90300000</x:v>
      </x:c>
      <x:c r="S28" s="40" t="n">
        <x:f>'Inputs_Trades'!T28</x:f>
        <x:v>13477611940.3</x:v>
      </x:c>
      <x:c r="T28" s="27" t="str">
        <x:f>'Inputs_Trades'!V28</x:f>
        <x:v>M</x:v>
      </x:c>
      <x:c r="U28" s="27" t="str">
        <x:f>'Inputs_Trades'!W28</x:f>
        <x:v>N</x:v>
      </x:c>
      <x:c r="V28" s="27" t="n">
        <x:f>'Inputs_Trades'!X28</x:f>
        <x:v>10</x:v>
      </x:c>
      <x:c r="W28" s="27" t="str">
        <x:f>'Inputs_Trades'!Y28</x:f>
        <x:v>B</x:v>
      </x:c>
      <x:c r="X28" s="27" t="n">
        <x:f>'Inputs_Trades'!AA28</x:f>
        <x:v>0</x:v>
      </x:c>
      <x:c r="Y28" s="27" t="n">
        <x:f>'Inputs_Trades'!AB28</x:f>
        <x:v>0</x:v>
      </x:c>
      <x:c r="Z28" s="27" t="n">
        <x:f>'Inputs_Trades'!AC28</x:f>
        <x:v>0</x:v>
      </x:c>
      <x:c r="AA28" s="39" t="n">
        <x:f>'Inputs_Trades'!Z28</x:f>
        <x:v>0</x:v>
      </x:c>
      <x:c r="AB28" s="40" t="n">
        <x:f>'Inputs_Trades'!AD28</x:f>
        <x:v>602301</x:v>
      </x:c>
      <x:c r="AC28" s="27" t="n">
        <x:f>'Inputs_Trades'!K28</x:f>
        <x:v>0</x:v>
      </x:c>
      <x:c r="AD28" s="27" t="n">
        <x:f>N28-M28</x:f>
        <x:v>619</x:v>
      </x:c>
      <x:c r="AE28" s="41" t="n">
        <x:f>AD28/365</x:f>
        <x:v>1.6958904109589041</x:v>
      </x:c>
      <x:c r="AF28" s="27" t="str">
        <x:f>IF(AE28&lt;1,"&lt;1Y",IF(AE28&lt;=5,"1Y-5Y","&gt;5Y"))</x:f>
        <x:v>1Y-5Y</x:v>
      </x:c>
      <x:c r="AG28" s="27" t="str">
        <x:f>IF(E28="Commodity",IFERROR(VLOOKUP(F28,Parameters!$P$4:$Q$12,2,FALSE),"Other"),"")</x:f>
      </x:c>
      <x:c r="AH28" s="27" t="str">
        <x:f>IF(F28="","Unknown",F28)</x:f>
        <x:v>Unknown</x:v>
      </x:c>
      <x:c r="AI28" s="27" t="str">
        <x:f>IF(E28="Interest Rate",G28&amp;IF(OR(LOWER(AC28)="basis",LOWER(AC28)="volatility"),"_"&amp;AC28,""),IF(E28="FX",IF(H28&lt;I28,H28&amp;"/"&amp;I28,I28&amp;"/"&amp;H28)&amp;IF(OR(LOWER(AC28)="basis",LOWER(AC28)="volatility"),"_"&amp;AC28,""),IF(OR(E28="Credit",E28="Equity"),J28&amp;IF(OR(LOWER(AC28)="basis",LOWER(AC28)="volatility"),"_"&amp;AC28,""),IF(E28="Commodity",AG28&amp;IF(OR(LOWER(AC28)="basis",LOWER(AC28)="volatility"),"_"&amp;AC28,""),"UNKNOWN"))))</x:f>
        <x:v>JPY/USD</x:v>
      </x:c>
      <x:c r="AJ28" s="27" t="str">
        <x:f>T28</x:f>
        <x:v>M</x:v>
      </x:c>
      <x:c r="AK28" s="41" t="n">
        <x:f>IF(E28="Interest Rate",VLOOKUP("Interest Rate",Parameters!$D$4:$E$12,2,FALSE),IF(E28="FX",VLOOKUP("FX",Parameters!$D$4:$E$12,2,FALSE),IF(E28="Credit",IFERROR(VLOOKUP(L28,Parameters!$G$4:$H$12,2,FALSE),VLOOKUP("BBB",Parameters!$G$4:$H$12,2,FALSE)),IF(E28="Equity",VLOOKUP(IF(LOWER(K28)="index","Equity Index","Equity Single Name"),Parameters!$D$4:$E$12,2,FALSE),IF(E28="Commodity",VLOOKUP(IFERROR(VLOOKUP(F28,Parameters!$S$4:$T$12,2,FALSE),"Commodity Other"),Parameters!$D$4:$E$12,2,FALSE),0)))))</x:f>
        <x:v>0.04</x:v>
      </x:c>
      <x:c r="AL28" s="42" t="n">
        <x:f>IF(LOWER(AC28)="basis",Parameters!$B$8,IF(LOWER(AC28)="volatility",Parameters!$B$9,1))</x:f>
        <x:v>1</x:v>
      </x:c>
      <x:c r="AM28" s="41" t="n">
        <x:f>AK28*AL28</x:f>
        <x:v>0.04</x:v>
      </x:c>
      <x:c r="AN28" s="42" t="str">
        <x:f>IF(E28="Credit",VLOOKUP(IF(LOWER(K28)="index","Credit Index","Credit Single Name"),Parameters!$J$4:$K$8,2,FALSE),IF(E28="Equity",VLOOKUP(IF(LOWER(K28)="index","Equity Index","Equity Single Name"),Parameters!$J$4:$K$8,2,FALSE),IF(E28="Commodity",VLOOKUP("Commodity",Parameters!$J$4:$K$8,2,FALSE),"")))</x:f>
      </x:c>
      <x:c r="AO28" s="27" t="n">
        <x:f>MAX((O28-M28)/365,0)</x:f>
        <x:v>0</x:v>
      </x:c>
      <x:c r="AP28" s="27" t="n">
        <x:f>MAX((P28-M28)/365,10/Parameters!$B$6)</x:f>
        <x:v>1.6958904109589041</x:v>
      </x:c>
      <x:c r="AQ28" s="27" t="n">
        <x:f>IF(AP28&lt;=AO28,AO28+10/Parameters!$B$6,AP28)</x:f>
        <x:v>1.6958904109589041</x:v>
      </x:c>
      <x:c r="AR28" s="41" t="n">
        <x:f>IF(OR(E28="Interest Rate",E28="Credit"),(EXP(-Parameters!$B$7*AO28)-EXP(-Parameters!$B$7*AQ28))/Parameters!$B$7,1)</x:f>
        <x:v>1</x:v>
      </x:c>
      <x:c r="AS28" s="40" t="n">
        <x:f>IF(OR(E28="Interest Rate",E28="Credit"),ABS(Q28)*AR28,IF(E28="FX",IF(Q28&gt;0,Q28,MAX(ABS(R28),ABS(S28),ABS(Q28))),ABS(Q28)))</x:f>
        <x:v>90300000</x:v>
      </x:c>
      <x:c r="AT28" s="42" t="n">
        <x:f>IF(OR(E28="Interest Rate",E28="FX"),VLOOKUP(E28,Parameters!$M$4:$N$11,2,FALSE),IF(E28="Credit",VLOOKUP(IF(LOWER(K28)="index","Credit Index","Credit Single Name"),Parameters!$M$4:$N$11,2,FALSE),IF(E28="Equity",VLOOKUP(IF(LOWER(K28)="index","Equity Index","Equity Single Name"),Parameters!$M$4:$N$11,2,FALSE),IF(E28="Commodity",VLOOKUP(IF(F28="Electricity","Commodity Electricity","Commodity Other"),Parameters!$M$4:$N$11,2,FALSE),1))))</x:f>
        <x:v>0.15</x:v>
      </x:c>
      <x:c r="AU28" s="27" t="n">
        <x:f>IF(W28="B",1,-1)</x:f>
        <x:v>1</x:v>
      </x:c>
      <x:c r="AV28" s="27" t="n">
        <x:f>IF(OR(AA28="",M28=""),MAX(AE28,1/365),MAX((AA28-M28)/365,1/365))</x:f>
        <x:v>1.6958904109589041</x:v>
      </x:c>
      <x:c r="AW28" s="41" t="str">
        <x:f>IF(OR(Z28&lt;=0,Y28&lt;=0,AT28&lt;=0,AV28&lt;=0),"",(LN(Z28/Y28)+0.5*AT28^2*AV28)/(AT28*SQRT(AV28)))</x:f>
      </x:c>
      <x:c r="AX28" s="41" t="n">
        <x:f>IF(AND(X28&lt;&gt;"C",X28&lt;&gt;"P"),AU28,IF(AW28="",AU28,IF(X28="C",AU28*0.5*(1+ERF(AW28/SQRT(2))),-AU28*0.5*(1+ERF(-AW28/SQRT(2))))))</x:f>
        <x:v>1</x:v>
      </x:c>
      <x:c r="AY28" s="41" t="n">
        <x:f>IF(AJ28="M",1.5*SQRT(MAX(IF(U28="Y",5,10),IF(V28="",10,V28))/Parameters!$B$6),SQRT(MIN(MAX(AE28,10/Parameters!$B$6),1)))</x:f>
        <x:v>0.30000000000000004</x:v>
      </x:c>
      <x:c r="AZ28" s="40" t="n">
        <x:f>AS28*AX28*AY28</x:f>
        <x:v>27090000.000000004</x:v>
      </x:c>
      <x:c r="BA28" s="40" t="n">
        <x:f>'Python_Trade_Output'!AZ28</x:f>
        <x:v>27090000.000000004</x:v>
      </x:c>
      <x:c r="BB28" s="43" t="n">
        <x:f>AZ28-BA28</x:f>
        <x:v>0</x:v>
      </x:c>
    </x:row>
    <x:row r="29">
      <x:c r="A29" s="27" t="str">
        <x:f>'Inputs_Trades'!D29</x:f>
        <x:v>IND-000026</x:v>
      </x:c>
      <x:c r="B29" s="27" t="str">
        <x:f>'Inputs_Trades'!B29</x:f>
        <x:v>IND_ASSET_MANAGER_001</x:v>
      </x:c>
      <x:c r="C29" s="27" t="n">
        <x:f>'Inputs_Trades'!C29</x:f>
        <x:v>3127</x:v>
      </x:c>
      <x:c r="D29" s="27" t="str">
        <x:f>'Inputs_Trades'!E29</x:f>
        <x:v>FX Forward</x:v>
      </x:c>
      <x:c r="E29" s="27" t="str">
        <x:f>'Inputs_Trades'!F29</x:f>
        <x:v>FX</x:v>
      </x:c>
      <x:c r="F29" s="27" t="n">
        <x:f>'Inputs_Trades'!G29</x:f>
        <x:v>0</x:v>
      </x:c>
      <x:c r="G29" s="27" t="str">
        <x:f>'Inputs_Trades'!J29</x:f>
        <x:v>USD</x:v>
      </x:c>
      <x:c r="H29" s="27" t="str">
        <x:f>'Inputs_Trades'!H29</x:f>
        <x:v>USD</x:v>
      </x:c>
      <x:c r="I29" s="27" t="str">
        <x:f>'Inputs_Trades'!I29</x:f>
        <x:v>CNY</x:v>
      </x:c>
      <x:c r="J29" s="27" t="str">
        <x:f>'Inputs_Trades'!M29</x:f>
        <x:v>USD/CNY</x:v>
      </x:c>
      <x:c r="K29" s="27" t="n">
        <x:f>'Inputs_Trades'!N29</x:f>
        <x:v>0</x:v>
      </x:c>
      <x:c r="L29" s="27" t="n">
        <x:f>'Inputs_Trades'!O29</x:f>
        <x:v>0</x:v>
      </x:c>
      <x:c r="M29" s="39" t="n">
        <x:f>'Inputs_Trades'!A29</x:f>
        <x:v>45702</x:v>
      </x:c>
      <x:c r="N29" s="39" t="n">
        <x:f>'Inputs_Trades'!P29</x:f>
        <x:v>46403</x:v>
      </x:c>
      <x:c r="O29" s="39" t="n">
        <x:f>'Inputs_Trades'!Q29</x:f>
        <x:v>44914</x:v>
      </x:c>
      <x:c r="P29" s="39" t="n">
        <x:f>'Inputs_Trades'!R29</x:f>
        <x:v>46403</x:v>
      </x:c>
      <x:c r="Q29" s="40" t="n">
        <x:f>'Inputs_Trades'!U29</x:f>
        <x:v>53400000</x:v>
      </x:c>
      <x:c r="R29" s="40" t="n">
        <x:f>'Inputs_Trades'!S29</x:f>
        <x:v>53400000</x:v>
      </x:c>
      <x:c r="S29" s="40" t="n">
        <x:f>'Inputs_Trades'!T29</x:f>
        <x:v>381428571.43</x:v>
      </x:c>
      <x:c r="T29" s="27" t="str">
        <x:f>'Inputs_Trades'!V29</x:f>
        <x:v>M</x:v>
      </x:c>
      <x:c r="U29" s="27" t="str">
        <x:f>'Inputs_Trades'!W29</x:f>
        <x:v>N</x:v>
      </x:c>
      <x:c r="V29" s="27" t="n">
        <x:f>'Inputs_Trades'!X29</x:f>
        <x:v>10</x:v>
      </x:c>
      <x:c r="W29" s="27" t="str">
        <x:f>'Inputs_Trades'!Y29</x:f>
        <x:v>S</x:v>
      </x:c>
      <x:c r="X29" s="27" t="n">
        <x:f>'Inputs_Trades'!AA29</x:f>
        <x:v>0</x:v>
      </x:c>
      <x:c r="Y29" s="27" t="n">
        <x:f>'Inputs_Trades'!AB29</x:f>
        <x:v>0</x:v>
      </x:c>
      <x:c r="Z29" s="27" t="n">
        <x:f>'Inputs_Trades'!AC29</x:f>
        <x:v>0</x:v>
      </x:c>
      <x:c r="AA29" s="39" t="n">
        <x:f>'Inputs_Trades'!Z29</x:f>
        <x:v>0</x:v>
      </x:c>
      <x:c r="AB29" s="40" t="n">
        <x:f>'Inputs_Trades'!AD29</x:f>
        <x:v>489144</x:v>
      </x:c>
      <x:c r="AC29" s="27" t="n">
        <x:f>'Inputs_Trades'!K29</x:f>
        <x:v>0</x:v>
      </x:c>
      <x:c r="AD29" s="27" t="n">
        <x:f>N29-M29</x:f>
        <x:v>701</x:v>
      </x:c>
      <x:c r="AE29" s="41" t="n">
        <x:f>AD29/365</x:f>
        <x:v>1.9205479452054794</x:v>
      </x:c>
      <x:c r="AF29" s="27" t="str">
        <x:f>IF(AE29&lt;1,"&lt;1Y",IF(AE29&lt;=5,"1Y-5Y","&gt;5Y"))</x:f>
        <x:v>1Y-5Y</x:v>
      </x:c>
      <x:c r="AG29" s="27" t="str">
        <x:f>IF(E29="Commodity",IFERROR(VLOOKUP(F29,Parameters!$P$4:$Q$12,2,FALSE),"Other"),"")</x:f>
      </x:c>
      <x:c r="AH29" s="27" t="str">
        <x:f>IF(F29="","Unknown",F29)</x:f>
        <x:v>Unknown</x:v>
      </x:c>
      <x:c r="AI29" s="27" t="str">
        <x:f>IF(E29="Interest Rate",G29&amp;IF(OR(LOWER(AC29)="basis",LOWER(AC29)="volatility"),"_"&amp;AC29,""),IF(E29="FX",IF(H29&lt;I29,H29&amp;"/"&amp;I29,I29&amp;"/"&amp;H29)&amp;IF(OR(LOWER(AC29)="basis",LOWER(AC29)="volatility"),"_"&amp;AC29,""),IF(OR(E29="Credit",E29="Equity"),J29&amp;IF(OR(LOWER(AC29)="basis",LOWER(AC29)="volatility"),"_"&amp;AC29,""),IF(E29="Commodity",AG29&amp;IF(OR(LOWER(AC29)="basis",LOWER(AC29)="volatility"),"_"&amp;AC29,""),"UNKNOWN"))))</x:f>
        <x:v>CNY/USD</x:v>
      </x:c>
      <x:c r="AJ29" s="27" t="str">
        <x:f>T29</x:f>
        <x:v>M</x:v>
      </x:c>
      <x:c r="AK29" s="41" t="n">
        <x:f>IF(E29="Interest Rate",VLOOKUP("Interest Rate",Parameters!$D$4:$E$12,2,FALSE),IF(E29="FX",VLOOKUP("FX",Parameters!$D$4:$E$12,2,FALSE),IF(E29="Credit",IFERROR(VLOOKUP(L29,Parameters!$G$4:$H$12,2,FALSE),VLOOKUP("BBB",Parameters!$G$4:$H$12,2,FALSE)),IF(E29="Equity",VLOOKUP(IF(LOWER(K29)="index","Equity Index","Equity Single Name"),Parameters!$D$4:$E$12,2,FALSE),IF(E29="Commodity",VLOOKUP(IFERROR(VLOOKUP(F29,Parameters!$S$4:$T$12,2,FALSE),"Commodity Other"),Parameters!$D$4:$E$12,2,FALSE),0)))))</x:f>
        <x:v>0.04</x:v>
      </x:c>
      <x:c r="AL29" s="42" t="n">
        <x:f>IF(LOWER(AC29)="basis",Parameters!$B$8,IF(LOWER(AC29)="volatility",Parameters!$B$9,1))</x:f>
        <x:v>1</x:v>
      </x:c>
      <x:c r="AM29" s="41" t="n">
        <x:f>AK29*AL29</x:f>
        <x:v>0.04</x:v>
      </x:c>
      <x:c r="AN29" s="42" t="str">
        <x:f>IF(E29="Credit",VLOOKUP(IF(LOWER(K29)="index","Credit Index","Credit Single Name"),Parameters!$J$4:$K$8,2,FALSE),IF(E29="Equity",VLOOKUP(IF(LOWER(K29)="index","Equity Index","Equity Single Name"),Parameters!$J$4:$K$8,2,FALSE),IF(E29="Commodity",VLOOKUP("Commodity",Parameters!$J$4:$K$8,2,FALSE),"")))</x:f>
      </x:c>
      <x:c r="AO29" s="27" t="n">
        <x:f>MAX((O29-M29)/365,0)</x:f>
        <x:v>0</x:v>
      </x:c>
      <x:c r="AP29" s="27" t="n">
        <x:f>MAX((P29-M29)/365,10/Parameters!$B$6)</x:f>
        <x:v>1.9205479452054794</x:v>
      </x:c>
      <x:c r="AQ29" s="27" t="n">
        <x:f>IF(AP29&lt;=AO29,AO29+10/Parameters!$B$6,AP29)</x:f>
        <x:v>1.9205479452054794</x:v>
      </x:c>
      <x:c r="AR29" s="41" t="n">
        <x:f>IF(OR(E29="Interest Rate",E29="Credit"),(EXP(-Parameters!$B$7*AO29)-EXP(-Parameters!$B$7*AQ29))/Parameters!$B$7,1)</x:f>
        <x:v>1</x:v>
      </x:c>
      <x:c r="AS29" s="40" t="n">
        <x:f>IF(OR(E29="Interest Rate",E29="Credit"),ABS(Q29)*AR29,IF(E29="FX",IF(Q29&gt;0,Q29,MAX(ABS(R29),ABS(S29),ABS(Q29))),ABS(Q29)))</x:f>
        <x:v>53400000</x:v>
      </x:c>
      <x:c r="AT29" s="42" t="n">
        <x:f>IF(OR(E29="Interest Rate",E29="FX"),VLOOKUP(E29,Parameters!$M$4:$N$11,2,FALSE),IF(E29="Credit",VLOOKUP(IF(LOWER(K29)="index","Credit Index","Credit Single Name"),Parameters!$M$4:$N$11,2,FALSE),IF(E29="Equity",VLOOKUP(IF(LOWER(K29)="index","Equity Index","Equity Single Name"),Parameters!$M$4:$N$11,2,FALSE),IF(E29="Commodity",VLOOKUP(IF(F29="Electricity","Commodity Electricity","Commodity Other"),Parameters!$M$4:$N$11,2,FALSE),1))))</x:f>
        <x:v>0.15</x:v>
      </x:c>
      <x:c r="AU29" s="27" t="n">
        <x:f>IF(W29="B",1,-1)</x:f>
        <x:v>-1</x:v>
      </x:c>
      <x:c r="AV29" s="27" t="n">
        <x:f>IF(OR(AA29="",M29=""),MAX(AE29,1/365),MAX((AA29-M29)/365,1/365))</x:f>
        <x:v>1.9205479452054794</x:v>
      </x:c>
      <x:c r="AW29" s="41" t="str">
        <x:f>IF(OR(Z29&lt;=0,Y29&lt;=0,AT29&lt;=0,AV29&lt;=0),"",(LN(Z29/Y29)+0.5*AT29^2*AV29)/(AT29*SQRT(AV29)))</x:f>
      </x:c>
      <x:c r="AX29" s="41" t="n">
        <x:f>IF(AND(X29&lt;&gt;"C",X29&lt;&gt;"P"),AU29,IF(AW29="",AU29,IF(X29="C",AU29*0.5*(1+ERF(AW29/SQRT(2))),-AU29*0.5*(1+ERF(-AW29/SQRT(2))))))</x:f>
        <x:v>-1</x:v>
      </x:c>
      <x:c r="AY29" s="41" t="n">
        <x:f>IF(AJ29="M",1.5*SQRT(MAX(IF(U29="Y",5,10),IF(V29="",10,V29))/Parameters!$B$6),SQRT(MIN(MAX(AE29,10/Parameters!$B$6),1)))</x:f>
        <x:v>0.30000000000000004</x:v>
      </x:c>
      <x:c r="AZ29" s="40" t="n">
        <x:f>AS29*AX29*AY29</x:f>
        <x:v>-16020000.000000002</x:v>
      </x:c>
      <x:c r="BA29" s="40" t="n">
        <x:f>'Python_Trade_Output'!AZ29</x:f>
        <x:v>-16020000.000000002</x:v>
      </x:c>
      <x:c r="BB29" s="43" t="n">
        <x:f>AZ29-BA29</x:f>
        <x:v>0</x:v>
      </x:c>
    </x:row>
    <x:row r="30">
      <x:c r="A30" s="27" t="str">
        <x:f>'Inputs_Trades'!D30</x:f>
        <x:v>IND-000027</x:v>
      </x:c>
      <x:c r="B30" s="27" t="str">
        <x:f>'Inputs_Trades'!B30</x:f>
        <x:v>IND_PENSION_001</x:v>
      </x:c>
      <x:c r="C30" s="27" t="n">
        <x:f>'Inputs_Trades'!C30</x:f>
        <x:v>3254</x:v>
      </x:c>
      <x:c r="D30" s="27" t="str">
        <x:f>'Inputs_Trades'!E30</x:f>
        <x:v>FX Forward</x:v>
      </x:c>
      <x:c r="E30" s="27" t="str">
        <x:f>'Inputs_Trades'!F30</x:f>
        <x:v>FX</x:v>
      </x:c>
      <x:c r="F30" s="27" t="n">
        <x:f>'Inputs_Trades'!G30</x:f>
        <x:v>0</x:v>
      </x:c>
      <x:c r="G30" s="27" t="str">
        <x:f>'Inputs_Trades'!J30</x:f>
        <x:v>USD</x:v>
      </x:c>
      <x:c r="H30" s="27" t="str">
        <x:f>'Inputs_Trades'!H30</x:f>
        <x:v>USD</x:v>
      </x:c>
      <x:c r="I30" s="27" t="str">
        <x:f>'Inputs_Trades'!I30</x:f>
        <x:v>JPY</x:v>
      </x:c>
      <x:c r="J30" s="27" t="str">
        <x:f>'Inputs_Trades'!M30</x:f>
        <x:v>USD/JPY</x:v>
      </x:c>
      <x:c r="K30" s="27" t="n">
        <x:f>'Inputs_Trades'!N30</x:f>
        <x:v>0</x:v>
      </x:c>
      <x:c r="L30" s="27" t="n">
        <x:f>'Inputs_Trades'!O30</x:f>
        <x:v>0</x:v>
      </x:c>
      <x:c r="M30" s="39" t="n">
        <x:f>'Inputs_Trades'!A30</x:f>
        <x:v>45702</x:v>
      </x:c>
      <x:c r="N30" s="39" t="n">
        <x:f>'Inputs_Trades'!P30</x:f>
        <x:v>46401</x:v>
      </x:c>
      <x:c r="O30" s="39" t="n">
        <x:f>'Inputs_Trades'!Q30</x:f>
        <x:v>45246</x:v>
      </x:c>
      <x:c r="P30" s="39" t="n">
        <x:f>'Inputs_Trades'!R30</x:f>
        <x:v>46401</x:v>
      </x:c>
      <x:c r="Q30" s="40" t="n">
        <x:f>'Inputs_Trades'!U30</x:f>
        <x:v>1400000</x:v>
      </x:c>
      <x:c r="R30" s="40" t="n">
        <x:f>'Inputs_Trades'!S30</x:f>
        <x:v>1400000</x:v>
      </x:c>
      <x:c r="S30" s="40" t="n">
        <x:f>'Inputs_Trades'!T30</x:f>
        <x:v>208955223.88</x:v>
      </x:c>
      <x:c r="T30" s="27" t="str">
        <x:f>'Inputs_Trades'!V30</x:f>
        <x:v>U</x:v>
      </x:c>
      <x:c r="U30" s="27" t="str">
        <x:f>'Inputs_Trades'!W30</x:f>
        <x:v>N</x:v>
      </x:c>
      <x:c r="V30" s="27" t="n">
        <x:f>'Inputs_Trades'!X30</x:f>
        <x:v>0</x:v>
      </x:c>
      <x:c r="W30" s="27" t="str">
        <x:f>'Inputs_Trades'!Y30</x:f>
        <x:v>B</x:v>
      </x:c>
      <x:c r="X30" s="27" t="n">
        <x:f>'Inputs_Trades'!AA30</x:f>
        <x:v>0</x:v>
      </x:c>
      <x:c r="Y30" s="27" t="n">
        <x:f>'Inputs_Trades'!AB30</x:f>
        <x:v>0</x:v>
      </x:c>
      <x:c r="Z30" s="27" t="n">
        <x:f>'Inputs_Trades'!AC30</x:f>
        <x:v>0</x:v>
      </x:c>
      <x:c r="AA30" s="39" t="n">
        <x:f>'Inputs_Trades'!Z30</x:f>
        <x:v>0</x:v>
      </x:c>
      <x:c r="AB30" s="40" t="n">
        <x:f>'Inputs_Trades'!AD30</x:f>
        <x:v>-9548</x:v>
      </x:c>
      <x:c r="AC30" s="27" t="n">
        <x:f>'Inputs_Trades'!K30</x:f>
        <x:v>0</x:v>
      </x:c>
      <x:c r="AD30" s="27" t="n">
        <x:f>N30-M30</x:f>
        <x:v>699</x:v>
      </x:c>
      <x:c r="AE30" s="41" t="n">
        <x:f>AD30/365</x:f>
        <x:v>1.915068493150685</x:v>
      </x:c>
      <x:c r="AF30" s="27" t="str">
        <x:f>IF(AE30&lt;1,"&lt;1Y",IF(AE30&lt;=5,"1Y-5Y","&gt;5Y"))</x:f>
        <x:v>1Y-5Y</x:v>
      </x:c>
      <x:c r="AG30" s="27" t="str">
        <x:f>IF(E30="Commodity",IFERROR(VLOOKUP(F30,Parameters!$P$4:$Q$12,2,FALSE),"Other"),"")</x:f>
      </x:c>
      <x:c r="AH30" s="27" t="str">
        <x:f>IF(F30="","Unknown",F30)</x:f>
        <x:v>Unknown</x:v>
      </x:c>
      <x:c r="AI30" s="27" t="str">
        <x:f>IF(E30="Interest Rate",G30&amp;IF(OR(LOWER(AC30)="basis",LOWER(AC30)="volatility"),"_"&amp;AC30,""),IF(E30="FX",IF(H30&lt;I30,H30&amp;"/"&amp;I30,I30&amp;"/"&amp;H30)&amp;IF(OR(LOWER(AC30)="basis",LOWER(AC30)="volatility"),"_"&amp;AC30,""),IF(OR(E30="Credit",E30="Equity"),J30&amp;IF(OR(LOWER(AC30)="basis",LOWER(AC30)="volatility"),"_"&amp;AC30,""),IF(E30="Commodity",AG30&amp;IF(OR(LOWER(AC30)="basis",LOWER(AC30)="volatility"),"_"&amp;AC30,""),"UNKNOWN"))))</x:f>
        <x:v>JPY/USD</x:v>
      </x:c>
      <x:c r="AJ30" s="27" t="str">
        <x:f>T30</x:f>
        <x:v>U</x:v>
      </x:c>
      <x:c r="AK30" s="41" t="n">
        <x:f>IF(E30="Interest Rate",VLOOKUP("Interest Rate",Parameters!$D$4:$E$12,2,FALSE),IF(E30="FX",VLOOKUP("FX",Parameters!$D$4:$E$12,2,FALSE),IF(E30="Credit",IFERROR(VLOOKUP(L30,Parameters!$G$4:$H$12,2,FALSE),VLOOKUP("BBB",Parameters!$G$4:$H$12,2,FALSE)),IF(E30="Equity",VLOOKUP(IF(LOWER(K30)="index","Equity Index","Equity Single Name"),Parameters!$D$4:$E$12,2,FALSE),IF(E30="Commodity",VLOOKUP(IFERROR(VLOOKUP(F30,Parameters!$S$4:$T$12,2,FALSE),"Commodity Other"),Parameters!$D$4:$E$12,2,FALSE),0)))))</x:f>
        <x:v>0.04</x:v>
      </x:c>
      <x:c r="AL30" s="42" t="n">
        <x:f>IF(LOWER(AC30)="basis",Parameters!$B$8,IF(LOWER(AC30)="volatility",Parameters!$B$9,1))</x:f>
        <x:v>1</x:v>
      </x:c>
      <x:c r="AM30" s="41" t="n">
        <x:f>AK30*AL30</x:f>
        <x:v>0.04</x:v>
      </x:c>
      <x:c r="AN30" s="42" t="str">
        <x:f>IF(E30="Credit",VLOOKUP(IF(LOWER(K30)="index","Credit Index","Credit Single Name"),Parameters!$J$4:$K$8,2,FALSE),IF(E30="Equity",VLOOKUP(IF(LOWER(K30)="index","Equity Index","Equity Single Name"),Parameters!$J$4:$K$8,2,FALSE),IF(E30="Commodity",VLOOKUP("Commodity",Parameters!$J$4:$K$8,2,FALSE),"")))</x:f>
      </x:c>
      <x:c r="AO30" s="27" t="n">
        <x:f>MAX((O30-M30)/365,0)</x:f>
        <x:v>0</x:v>
      </x:c>
      <x:c r="AP30" s="27" t="n">
        <x:f>MAX((P30-M30)/365,10/Parameters!$B$6)</x:f>
        <x:v>1.915068493150685</x:v>
      </x:c>
      <x:c r="AQ30" s="27" t="n">
        <x:f>IF(AP30&lt;=AO30,AO30+10/Parameters!$B$6,AP30)</x:f>
        <x:v>1.915068493150685</x:v>
      </x:c>
      <x:c r="AR30" s="41" t="n">
        <x:f>IF(OR(E30="Interest Rate",E30="Credit"),(EXP(-Parameters!$B$7*AO30)-EXP(-Parameters!$B$7*AQ30))/Parameters!$B$7,1)</x:f>
        <x:v>1</x:v>
      </x:c>
      <x:c r="AS30" s="40" t="n">
        <x:f>IF(OR(E30="Interest Rate",E30="Credit"),ABS(Q30)*AR30,IF(E30="FX",IF(Q30&gt;0,Q30,MAX(ABS(R30),ABS(S30),ABS(Q30))),ABS(Q30)))</x:f>
        <x:v>1400000</x:v>
      </x:c>
      <x:c r="AT30" s="42" t="n">
        <x:f>IF(OR(E30="Interest Rate",E30="FX"),VLOOKUP(E30,Parameters!$M$4:$N$11,2,FALSE),IF(E30="Credit",VLOOKUP(IF(LOWER(K30)="index","Credit Index","Credit Single Name"),Parameters!$M$4:$N$11,2,FALSE),IF(E30="Equity",VLOOKUP(IF(LOWER(K30)="index","Equity Index","Equity Single Name"),Parameters!$M$4:$N$11,2,FALSE),IF(E30="Commodity",VLOOKUP(IF(F30="Electricity","Commodity Electricity","Commodity Other"),Parameters!$M$4:$N$11,2,FALSE),1))))</x:f>
        <x:v>0.15</x:v>
      </x:c>
      <x:c r="AU30" s="27" t="n">
        <x:f>IF(W30="B",1,-1)</x:f>
        <x:v>1</x:v>
      </x:c>
      <x:c r="AV30" s="27" t="n">
        <x:f>IF(OR(AA30="",M30=""),MAX(AE30,1/365),MAX((AA30-M30)/365,1/365))</x:f>
        <x:v>1.915068493150685</x:v>
      </x:c>
      <x:c r="AW30" s="41" t="str">
        <x:f>IF(OR(Z30&lt;=0,Y30&lt;=0,AT30&lt;=0,AV30&lt;=0),"",(LN(Z30/Y30)+0.5*AT30^2*AV30)/(AT30*SQRT(AV30)))</x:f>
      </x:c>
      <x:c r="AX30" s="41" t="n">
        <x:f>IF(AND(X30&lt;&gt;"C",X30&lt;&gt;"P"),AU30,IF(AW30="",AU30,IF(X30="C",AU30*0.5*(1+ERF(AW30/SQRT(2))),-AU30*0.5*(1+ERF(-AW30/SQRT(2))))))</x:f>
        <x:v>1</x:v>
      </x:c>
      <x:c r="AY30" s="41" t="n">
        <x:f>IF(AJ30="M",1.5*SQRT(MAX(IF(U30="Y",5,10),IF(V30="",10,V30))/Parameters!$B$6),SQRT(MIN(MAX(AE30,10/Parameters!$B$6),1)))</x:f>
        <x:v>1</x:v>
      </x:c>
      <x:c r="AZ30" s="40" t="n">
        <x:f>AS30*AX30*AY30</x:f>
        <x:v>1400000</x:v>
      </x:c>
      <x:c r="BA30" s="40" t="n">
        <x:f>'Python_Trade_Output'!AZ30</x:f>
        <x:v>1400000</x:v>
      </x:c>
      <x:c r="BB30" s="43" t="n">
        <x:f>AZ30-BA30</x:f>
        <x:v>0</x:v>
      </x:c>
    </x:row>
    <x:row r="31">
      <x:c r="A31" s="27" t="str">
        <x:f>'Inputs_Trades'!D31</x:f>
        <x:v>IND-000028</x:v>
      </x:c>
      <x:c r="B31" s="27" t="str">
        <x:f>'Inputs_Trades'!B31</x:f>
        <x:v>IND_BANK_001</x:v>
      </x:c>
      <x:c r="C31" s="27" t="n">
        <x:f>'Inputs_Trades'!C31</x:f>
        <x:v>3142</x:v>
      </x:c>
      <x:c r="D31" s="27" t="str">
        <x:f>'Inputs_Trades'!E31</x:f>
        <x:v>FX Forward</x:v>
      </x:c>
      <x:c r="E31" s="27" t="str">
        <x:f>'Inputs_Trades'!F31</x:f>
        <x:v>FX</x:v>
      </x:c>
      <x:c r="F31" s="27" t="n">
        <x:f>'Inputs_Trades'!G31</x:f>
        <x:v>0</x:v>
      </x:c>
      <x:c r="G31" s="27" t="str">
        <x:f>'Inputs_Trades'!J31</x:f>
        <x:v>USD</x:v>
      </x:c>
      <x:c r="H31" s="27" t="str">
        <x:f>'Inputs_Trades'!H31</x:f>
        <x:v>GBP</x:v>
      </x:c>
      <x:c r="I31" s="27" t="str">
        <x:f>'Inputs_Trades'!I31</x:f>
        <x:v>USD</x:v>
      </x:c>
      <x:c r="J31" s="27" t="str">
        <x:f>'Inputs_Trades'!M31</x:f>
        <x:v>GBP/USD</x:v>
      </x:c>
      <x:c r="K31" s="27" t="n">
        <x:f>'Inputs_Trades'!N31</x:f>
        <x:v>0</x:v>
      </x:c>
      <x:c r="L31" s="27" t="n">
        <x:f>'Inputs_Trades'!O31</x:f>
        <x:v>0</x:v>
      </x:c>
      <x:c r="M31" s="39" t="n">
        <x:f>'Inputs_Trades'!A31</x:f>
        <x:v>45702</x:v>
      </x:c>
      <x:c r="N31" s="39" t="n">
        <x:f>'Inputs_Trades'!P31</x:f>
        <x:v>47339</x:v>
      </x:c>
      <x:c r="O31" s="39" t="n">
        <x:f>'Inputs_Trades'!Q31</x:f>
        <x:v>45407</x:v>
      </x:c>
      <x:c r="P31" s="39" t="n">
        <x:f>'Inputs_Trades'!R31</x:f>
        <x:v>47339</x:v>
      </x:c>
      <x:c r="Q31" s="40" t="n">
        <x:f>'Inputs_Trades'!U31</x:f>
        <x:v>101000000</x:v>
      </x:c>
      <x:c r="R31" s="40" t="n">
        <x:f>'Inputs_Trades'!S31</x:f>
        <x:v>80800000</x:v>
      </x:c>
      <x:c r="S31" s="40" t="n">
        <x:f>'Inputs_Trades'!T31</x:f>
        <x:v>101000000</x:v>
      </x:c>
      <x:c r="T31" s="27" t="str">
        <x:f>'Inputs_Trades'!V31</x:f>
        <x:v>M</x:v>
      </x:c>
      <x:c r="U31" s="27" t="str">
        <x:f>'Inputs_Trades'!W31</x:f>
        <x:v>N</x:v>
      </x:c>
      <x:c r="V31" s="27" t="n">
        <x:f>'Inputs_Trades'!X31</x:f>
        <x:v>10</x:v>
      </x:c>
      <x:c r="W31" s="27" t="str">
        <x:f>'Inputs_Trades'!Y31</x:f>
        <x:v>B</x:v>
      </x:c>
      <x:c r="X31" s="27" t="n">
        <x:f>'Inputs_Trades'!AA31</x:f>
        <x:v>0</x:v>
      </x:c>
      <x:c r="Y31" s="27" t="n">
        <x:f>'Inputs_Trades'!AB31</x:f>
        <x:v>0</x:v>
      </x:c>
      <x:c r="Z31" s="27" t="n">
        <x:f>'Inputs_Trades'!AC31</x:f>
        <x:v>0</x:v>
      </x:c>
      <x:c r="AA31" s="39" t="n">
        <x:f>'Inputs_Trades'!Z31</x:f>
        <x:v>0</x:v>
      </x:c>
      <x:c r="AB31" s="40" t="n">
        <x:f>'Inputs_Trades'!AD31</x:f>
        <x:v>669630</x:v>
      </x:c>
      <x:c r="AC31" s="27" t="n">
        <x:f>'Inputs_Trades'!K31</x:f>
        <x:v>0</x:v>
      </x:c>
      <x:c r="AD31" s="27" t="n">
        <x:f>N31-M31</x:f>
        <x:v>1637</x:v>
      </x:c>
      <x:c r="AE31" s="41" t="n">
        <x:f>AD31/365</x:f>
        <x:v>4.484931506849315</x:v>
      </x:c>
      <x:c r="AF31" s="27" t="str">
        <x:f>IF(AE31&lt;1,"&lt;1Y",IF(AE31&lt;=5,"1Y-5Y","&gt;5Y"))</x:f>
        <x:v>1Y-5Y</x:v>
      </x:c>
      <x:c r="AG31" s="27" t="str">
        <x:f>IF(E31="Commodity",IFERROR(VLOOKUP(F31,Parameters!$P$4:$Q$12,2,FALSE),"Other"),"")</x:f>
      </x:c>
      <x:c r="AH31" s="27" t="str">
        <x:f>IF(F31="","Unknown",F31)</x:f>
        <x:v>Unknown</x:v>
      </x:c>
      <x:c r="AI31" s="27" t="str">
        <x:f>IF(E31="Interest Rate",G31&amp;IF(OR(LOWER(AC31)="basis",LOWER(AC31)="volatility"),"_"&amp;AC31,""),IF(E31="FX",IF(H31&lt;I31,H31&amp;"/"&amp;I31,I31&amp;"/"&amp;H31)&amp;IF(OR(LOWER(AC31)="basis",LOWER(AC31)="volatility"),"_"&amp;AC31,""),IF(OR(E31="Credit",E31="Equity"),J31&amp;IF(OR(LOWER(AC31)="basis",LOWER(AC31)="volatility"),"_"&amp;AC31,""),IF(E31="Commodity",AG31&amp;IF(OR(LOWER(AC31)="basis",LOWER(AC31)="volatility"),"_"&amp;AC31,""),"UNKNOWN"))))</x:f>
        <x:v>GBP/USD</x:v>
      </x:c>
      <x:c r="AJ31" s="27" t="str">
        <x:f>T31</x:f>
        <x:v>M</x:v>
      </x:c>
      <x:c r="AK31" s="41" t="n">
        <x:f>IF(E31="Interest Rate",VLOOKUP("Interest Rate",Parameters!$D$4:$E$12,2,FALSE),IF(E31="FX",VLOOKUP("FX",Parameters!$D$4:$E$12,2,FALSE),IF(E31="Credit",IFERROR(VLOOKUP(L31,Parameters!$G$4:$H$12,2,FALSE),VLOOKUP("BBB",Parameters!$G$4:$H$12,2,FALSE)),IF(E31="Equity",VLOOKUP(IF(LOWER(K31)="index","Equity Index","Equity Single Name"),Parameters!$D$4:$E$12,2,FALSE),IF(E31="Commodity",VLOOKUP(IFERROR(VLOOKUP(F31,Parameters!$S$4:$T$12,2,FALSE),"Commodity Other"),Parameters!$D$4:$E$12,2,FALSE),0)))))</x:f>
        <x:v>0.04</x:v>
      </x:c>
      <x:c r="AL31" s="42" t="n">
        <x:f>IF(LOWER(AC31)="basis",Parameters!$B$8,IF(LOWER(AC31)="volatility",Parameters!$B$9,1))</x:f>
        <x:v>1</x:v>
      </x:c>
      <x:c r="AM31" s="41" t="n">
        <x:f>AK31*AL31</x:f>
        <x:v>0.04</x:v>
      </x:c>
      <x:c r="AN31" s="42" t="str">
        <x:f>IF(E31="Credit",VLOOKUP(IF(LOWER(K31)="index","Credit Index","Credit Single Name"),Parameters!$J$4:$K$8,2,FALSE),IF(E31="Equity",VLOOKUP(IF(LOWER(K31)="index","Equity Index","Equity Single Name"),Parameters!$J$4:$K$8,2,FALSE),IF(E31="Commodity",VLOOKUP("Commodity",Parameters!$J$4:$K$8,2,FALSE),"")))</x:f>
      </x:c>
      <x:c r="AO31" s="27" t="n">
        <x:f>MAX((O31-M31)/365,0)</x:f>
        <x:v>0</x:v>
      </x:c>
      <x:c r="AP31" s="27" t="n">
        <x:f>MAX((P31-M31)/365,10/Parameters!$B$6)</x:f>
        <x:v>4.484931506849315</x:v>
      </x:c>
      <x:c r="AQ31" s="27" t="n">
        <x:f>IF(AP31&lt;=AO31,AO31+10/Parameters!$B$6,AP31)</x:f>
        <x:v>4.484931506849315</x:v>
      </x:c>
      <x:c r="AR31" s="41" t="n">
        <x:f>IF(OR(E31="Interest Rate",E31="Credit"),(EXP(-Parameters!$B$7*AO31)-EXP(-Parameters!$B$7*AQ31))/Parameters!$B$7,1)</x:f>
        <x:v>1</x:v>
      </x:c>
      <x:c r="AS31" s="40" t="n">
        <x:f>IF(OR(E31="Interest Rate",E31="Credit"),ABS(Q31)*AR31,IF(E31="FX",IF(Q31&gt;0,Q31,MAX(ABS(R31),ABS(S31),ABS(Q31))),ABS(Q31)))</x:f>
        <x:v>101000000</x:v>
      </x:c>
      <x:c r="AT31" s="42" t="n">
        <x:f>IF(OR(E31="Interest Rate",E31="FX"),VLOOKUP(E31,Parameters!$M$4:$N$11,2,FALSE),IF(E31="Credit",VLOOKUP(IF(LOWER(K31)="index","Credit Index","Credit Single Name"),Parameters!$M$4:$N$11,2,FALSE),IF(E31="Equity",VLOOKUP(IF(LOWER(K31)="index","Equity Index","Equity Single Name"),Parameters!$M$4:$N$11,2,FALSE),IF(E31="Commodity",VLOOKUP(IF(F31="Electricity","Commodity Electricity","Commodity Other"),Parameters!$M$4:$N$11,2,FALSE),1))))</x:f>
        <x:v>0.15</x:v>
      </x:c>
      <x:c r="AU31" s="27" t="n">
        <x:f>IF(W31="B",1,-1)</x:f>
        <x:v>1</x:v>
      </x:c>
      <x:c r="AV31" s="27" t="n">
        <x:f>IF(OR(AA31="",M31=""),MAX(AE31,1/365),MAX((AA31-M31)/365,1/365))</x:f>
        <x:v>4.484931506849315</x:v>
      </x:c>
      <x:c r="AW31" s="41" t="str">
        <x:f>IF(OR(Z31&lt;=0,Y31&lt;=0,AT31&lt;=0,AV31&lt;=0),"",(LN(Z31/Y31)+0.5*AT31^2*AV31)/(AT31*SQRT(AV31)))</x:f>
      </x:c>
      <x:c r="AX31" s="41" t="n">
        <x:f>IF(AND(X31&lt;&gt;"C",X31&lt;&gt;"P"),AU31,IF(AW31="",AU31,IF(X31="C",AU31*0.5*(1+ERF(AW31/SQRT(2))),-AU31*0.5*(1+ERF(-AW31/SQRT(2))))))</x:f>
        <x:v>1</x:v>
      </x:c>
      <x:c r="AY31" s="41" t="n">
        <x:f>IF(AJ31="M",1.5*SQRT(MAX(IF(U31="Y",5,10),IF(V31="",10,V31))/Parameters!$B$6),SQRT(MIN(MAX(AE31,10/Parameters!$B$6),1)))</x:f>
        <x:v>0.30000000000000004</x:v>
      </x:c>
      <x:c r="AZ31" s="40" t="n">
        <x:f>AS31*AX31*AY31</x:f>
        <x:v>30300000.000000004</x:v>
      </x:c>
      <x:c r="BA31" s="40" t="n">
        <x:f>'Python_Trade_Output'!AZ31</x:f>
        <x:v>30300000.000000004</x:v>
      </x:c>
      <x:c r="BB31" s="43" t="n">
        <x:f>AZ31-BA31</x:f>
        <x:v>0</x:v>
      </x:c>
    </x:row>
    <x:row r="32">
      <x:c r="A32" s="27" t="str">
        <x:f>'Inputs_Trades'!D32</x:f>
        <x:v>IND-000029</x:v>
      </x:c>
      <x:c r="B32" s="27" t="str">
        <x:f>'Inputs_Trades'!B32</x:f>
        <x:v>IND_BANK_001</x:v>
      </x:c>
      <x:c r="C32" s="27" t="n">
        <x:f>'Inputs_Trades'!C32</x:f>
        <x:v>3214</x:v>
      </x:c>
      <x:c r="D32" s="27" t="str">
        <x:f>'Inputs_Trades'!E32</x:f>
        <x:v>FX Forward</x:v>
      </x:c>
      <x:c r="E32" s="27" t="str">
        <x:f>'Inputs_Trades'!F32</x:f>
        <x:v>FX</x:v>
      </x:c>
      <x:c r="F32" s="27" t="n">
        <x:f>'Inputs_Trades'!G32</x:f>
        <x:v>0</x:v>
      </x:c>
      <x:c r="G32" s="27" t="str">
        <x:f>'Inputs_Trades'!J32</x:f>
        <x:v>USD</x:v>
      </x:c>
      <x:c r="H32" s="27" t="str">
        <x:f>'Inputs_Trades'!H32</x:f>
        <x:v>EUR</x:v>
      </x:c>
      <x:c r="I32" s="27" t="str">
        <x:f>'Inputs_Trades'!I32</x:f>
        <x:v>USD</x:v>
      </x:c>
      <x:c r="J32" s="27" t="str">
        <x:f>'Inputs_Trades'!M32</x:f>
        <x:v>EUR/USD</x:v>
      </x:c>
      <x:c r="K32" s="27" t="n">
        <x:f>'Inputs_Trades'!N32</x:f>
        <x:v>0</x:v>
      </x:c>
      <x:c r="L32" s="27" t="n">
        <x:f>'Inputs_Trades'!O32</x:f>
        <x:v>0</x:v>
      </x:c>
      <x:c r="M32" s="39" t="n">
        <x:f>'Inputs_Trades'!A32</x:f>
        <x:v>45702</x:v>
      </x:c>
      <x:c r="N32" s="39" t="n">
        <x:f>'Inputs_Trades'!P32</x:f>
        <x:v>47625</x:v>
      </x:c>
      <x:c r="O32" s="39" t="n">
        <x:f>'Inputs_Trades'!Q32</x:f>
        <x:v>45544</x:v>
      </x:c>
      <x:c r="P32" s="39" t="n">
        <x:f>'Inputs_Trades'!R32</x:f>
        <x:v>47625</x:v>
      </x:c>
      <x:c r="Q32" s="40" t="n">
        <x:f>'Inputs_Trades'!U32</x:f>
        <x:v>22100000</x:v>
      </x:c>
      <x:c r="R32" s="40" t="n">
        <x:f>'Inputs_Trades'!S32</x:f>
        <x:v>21047619.05</x:v>
      </x:c>
      <x:c r="S32" s="40" t="n">
        <x:f>'Inputs_Trades'!T32</x:f>
        <x:v>22100000</x:v>
      </x:c>
      <x:c r="T32" s="27" t="str">
        <x:f>'Inputs_Trades'!V32</x:f>
        <x:v>U</x:v>
      </x:c>
      <x:c r="U32" s="27" t="str">
        <x:f>'Inputs_Trades'!W32</x:f>
        <x:v>N</x:v>
      </x:c>
      <x:c r="V32" s="27" t="n">
        <x:f>'Inputs_Trades'!X32</x:f>
        <x:v>0</x:v>
      </x:c>
      <x:c r="W32" s="27" t="str">
        <x:f>'Inputs_Trades'!Y32</x:f>
        <x:v>B</x:v>
      </x:c>
      <x:c r="X32" s="27" t="n">
        <x:f>'Inputs_Trades'!AA32</x:f>
        <x:v>0</x:v>
      </x:c>
      <x:c r="Y32" s="27" t="n">
        <x:f>'Inputs_Trades'!AB32</x:f>
        <x:v>0</x:v>
      </x:c>
      <x:c r="Z32" s="27" t="n">
        <x:f>'Inputs_Trades'!AC32</x:f>
        <x:v>0</x:v>
      </x:c>
      <x:c r="AA32" s="39" t="n">
        <x:f>'Inputs_Trades'!Z32</x:f>
        <x:v>0</x:v>
      </x:c>
      <x:c r="AB32" s="40" t="n">
        <x:f>'Inputs_Trades'!AD32</x:f>
        <x:v>-66300</x:v>
      </x:c>
      <x:c r="AC32" s="27" t="n">
        <x:f>'Inputs_Trades'!K32</x:f>
        <x:v>0</x:v>
      </x:c>
      <x:c r="AD32" s="27" t="n">
        <x:f>N32-M32</x:f>
        <x:v>1923</x:v>
      </x:c>
      <x:c r="AE32" s="41" t="n">
        <x:f>AD32/365</x:f>
        <x:v>5.2684931506849315</x:v>
      </x:c>
      <x:c r="AF32" s="27" t="str">
        <x:f>IF(AE32&lt;1,"&lt;1Y",IF(AE32&lt;=5,"1Y-5Y","&gt;5Y"))</x:f>
        <x:v>&gt;5Y</x:v>
      </x:c>
      <x:c r="AG32" s="27" t="str">
        <x:f>IF(E32="Commodity",IFERROR(VLOOKUP(F32,Parameters!$P$4:$Q$12,2,FALSE),"Other"),"")</x:f>
      </x:c>
      <x:c r="AH32" s="27" t="str">
        <x:f>IF(F32="","Unknown",F32)</x:f>
        <x:v>Unknown</x:v>
      </x:c>
      <x:c r="AI32" s="27" t="str">
        <x:f>IF(E32="Interest Rate",G32&amp;IF(OR(LOWER(AC32)="basis",LOWER(AC32)="volatility"),"_"&amp;AC32,""),IF(E32="FX",IF(H32&lt;I32,H32&amp;"/"&amp;I32,I32&amp;"/"&amp;H32)&amp;IF(OR(LOWER(AC32)="basis",LOWER(AC32)="volatility"),"_"&amp;AC32,""),IF(OR(E32="Credit",E32="Equity"),J32&amp;IF(OR(LOWER(AC32)="basis",LOWER(AC32)="volatility"),"_"&amp;AC32,""),IF(E32="Commodity",AG32&amp;IF(OR(LOWER(AC32)="basis",LOWER(AC32)="volatility"),"_"&amp;AC32,""),"UNKNOWN"))))</x:f>
        <x:v>EUR/USD</x:v>
      </x:c>
      <x:c r="AJ32" s="27" t="str">
        <x:f>T32</x:f>
        <x:v>U</x:v>
      </x:c>
      <x:c r="AK32" s="41" t="n">
        <x:f>IF(E32="Interest Rate",VLOOKUP("Interest Rate",Parameters!$D$4:$E$12,2,FALSE),IF(E32="FX",VLOOKUP("FX",Parameters!$D$4:$E$12,2,FALSE),IF(E32="Credit",IFERROR(VLOOKUP(L32,Parameters!$G$4:$H$12,2,FALSE),VLOOKUP("BBB",Parameters!$G$4:$H$12,2,FALSE)),IF(E32="Equity",VLOOKUP(IF(LOWER(K32)="index","Equity Index","Equity Single Name"),Parameters!$D$4:$E$12,2,FALSE),IF(E32="Commodity",VLOOKUP(IFERROR(VLOOKUP(F32,Parameters!$S$4:$T$12,2,FALSE),"Commodity Other"),Parameters!$D$4:$E$12,2,FALSE),0)))))</x:f>
        <x:v>0.04</x:v>
      </x:c>
      <x:c r="AL32" s="42" t="n">
        <x:f>IF(LOWER(AC32)="basis",Parameters!$B$8,IF(LOWER(AC32)="volatility",Parameters!$B$9,1))</x:f>
        <x:v>1</x:v>
      </x:c>
      <x:c r="AM32" s="41" t="n">
        <x:f>AK32*AL32</x:f>
        <x:v>0.04</x:v>
      </x:c>
      <x:c r="AN32" s="42" t="str">
        <x:f>IF(E32="Credit",VLOOKUP(IF(LOWER(K32)="index","Credit Index","Credit Single Name"),Parameters!$J$4:$K$8,2,FALSE),IF(E32="Equity",VLOOKUP(IF(LOWER(K32)="index","Equity Index","Equity Single Name"),Parameters!$J$4:$K$8,2,FALSE),IF(E32="Commodity",VLOOKUP("Commodity",Parameters!$J$4:$K$8,2,FALSE),"")))</x:f>
      </x:c>
      <x:c r="AO32" s="27" t="n">
        <x:f>MAX((O32-M32)/365,0)</x:f>
        <x:v>0</x:v>
      </x:c>
      <x:c r="AP32" s="27" t="n">
        <x:f>MAX((P32-M32)/365,10/Parameters!$B$6)</x:f>
        <x:v>5.2684931506849315</x:v>
      </x:c>
      <x:c r="AQ32" s="27" t="n">
        <x:f>IF(AP32&lt;=AO32,AO32+10/Parameters!$B$6,AP32)</x:f>
        <x:v>5.2684931506849315</x:v>
      </x:c>
      <x:c r="AR32" s="41" t="n">
        <x:f>IF(OR(E32="Interest Rate",E32="Credit"),(EXP(-Parameters!$B$7*AO32)-EXP(-Parameters!$B$7*AQ32))/Parameters!$B$7,1)</x:f>
        <x:v>1</x:v>
      </x:c>
      <x:c r="AS32" s="40" t="n">
        <x:f>IF(OR(E32="Interest Rate",E32="Credit"),ABS(Q32)*AR32,IF(E32="FX",IF(Q32&gt;0,Q32,MAX(ABS(R32),ABS(S32),ABS(Q32))),ABS(Q32)))</x:f>
        <x:v>22100000</x:v>
      </x:c>
      <x:c r="AT32" s="42" t="n">
        <x:f>IF(OR(E32="Interest Rate",E32="FX"),VLOOKUP(E32,Parameters!$M$4:$N$11,2,FALSE),IF(E32="Credit",VLOOKUP(IF(LOWER(K32)="index","Credit Index","Credit Single Name"),Parameters!$M$4:$N$11,2,FALSE),IF(E32="Equity",VLOOKUP(IF(LOWER(K32)="index","Equity Index","Equity Single Name"),Parameters!$M$4:$N$11,2,FALSE),IF(E32="Commodity",VLOOKUP(IF(F32="Electricity","Commodity Electricity","Commodity Other"),Parameters!$M$4:$N$11,2,FALSE),1))))</x:f>
        <x:v>0.15</x:v>
      </x:c>
      <x:c r="AU32" s="27" t="n">
        <x:f>IF(W32="B",1,-1)</x:f>
        <x:v>1</x:v>
      </x:c>
      <x:c r="AV32" s="27" t="n">
        <x:f>IF(OR(AA32="",M32=""),MAX(AE32,1/365),MAX((AA32-M32)/365,1/365))</x:f>
        <x:v>5.2684931506849315</x:v>
      </x:c>
      <x:c r="AW32" s="41" t="str">
        <x:f>IF(OR(Z32&lt;=0,Y32&lt;=0,AT32&lt;=0,AV32&lt;=0),"",(LN(Z32/Y32)+0.5*AT32^2*AV32)/(AT32*SQRT(AV32)))</x:f>
      </x:c>
      <x:c r="AX32" s="41" t="n">
        <x:f>IF(AND(X32&lt;&gt;"C",X32&lt;&gt;"P"),AU32,IF(AW32="",AU32,IF(X32="C",AU32*0.5*(1+ERF(AW32/SQRT(2))),-AU32*0.5*(1+ERF(-AW32/SQRT(2))))))</x:f>
        <x:v>1</x:v>
      </x:c>
      <x:c r="AY32" s="41" t="n">
        <x:f>IF(AJ32="M",1.5*SQRT(MAX(IF(U32="Y",5,10),IF(V32="",10,V32))/Parameters!$B$6),SQRT(MIN(MAX(AE32,10/Parameters!$B$6),1)))</x:f>
        <x:v>1</x:v>
      </x:c>
      <x:c r="AZ32" s="40" t="n">
        <x:f>AS32*AX32*AY32</x:f>
        <x:v>22100000</x:v>
      </x:c>
      <x:c r="BA32" s="40" t="n">
        <x:f>'Python_Trade_Output'!AZ32</x:f>
        <x:v>22100000</x:v>
      </x:c>
      <x:c r="BB32" s="43" t="n">
        <x:f>AZ32-BA32</x:f>
        <x:v>0</x:v>
      </x:c>
    </x:row>
    <x:row r="33">
      <x:c r="A33" s="27" t="str">
        <x:f>'Inputs_Trades'!D33</x:f>
        <x:v>IND-000030</x:v>
      </x:c>
      <x:c r="B33" s="27" t="str">
        <x:f>'Inputs_Trades'!B33</x:f>
        <x:v>IND_BANK_002</x:v>
      </x:c>
      <x:c r="C33" s="27" t="n">
        <x:f>'Inputs_Trades'!C33</x:f>
        <x:v>3331</x:v>
      </x:c>
      <x:c r="D33" s="27" t="str">
        <x:f>'Inputs_Trades'!E33</x:f>
        <x:v>FX Forward</x:v>
      </x:c>
      <x:c r="E33" s="27" t="str">
        <x:f>'Inputs_Trades'!F33</x:f>
        <x:v>FX</x:v>
      </x:c>
      <x:c r="F33" s="27" t="n">
        <x:f>'Inputs_Trades'!G33</x:f>
        <x:v>0</x:v>
      </x:c>
      <x:c r="G33" s="27" t="str">
        <x:f>'Inputs_Trades'!J33</x:f>
        <x:v>USD</x:v>
      </x:c>
      <x:c r="H33" s="27" t="str">
        <x:f>'Inputs_Trades'!H33</x:f>
        <x:v>USD</x:v>
      </x:c>
      <x:c r="I33" s="27" t="str">
        <x:f>'Inputs_Trades'!I33</x:f>
        <x:v>CNY</x:v>
      </x:c>
      <x:c r="J33" s="27" t="str">
        <x:f>'Inputs_Trades'!M33</x:f>
        <x:v>USD/CNY</x:v>
      </x:c>
      <x:c r="K33" s="27" t="n">
        <x:f>'Inputs_Trades'!N33</x:f>
        <x:v>0</x:v>
      </x:c>
      <x:c r="L33" s="27" t="n">
        <x:f>'Inputs_Trades'!O33</x:f>
        <x:v>0</x:v>
      </x:c>
      <x:c r="M33" s="39" t="n">
        <x:f>'Inputs_Trades'!A33</x:f>
        <x:v>45702</x:v>
      </x:c>
      <x:c r="N33" s="39" t="n">
        <x:f>'Inputs_Trades'!P33</x:f>
        <x:v>47094</x:v>
      </x:c>
      <x:c r="O33" s="39" t="n">
        <x:f>'Inputs_Trades'!Q33</x:f>
        <x:v>45632</x:v>
      </x:c>
      <x:c r="P33" s="39" t="n">
        <x:f>'Inputs_Trades'!R33</x:f>
        <x:v>47094</x:v>
      </x:c>
      <x:c r="Q33" s="40" t="n">
        <x:f>'Inputs_Trades'!U33</x:f>
        <x:v>129000000</x:v>
      </x:c>
      <x:c r="R33" s="40" t="n">
        <x:f>'Inputs_Trades'!S33</x:f>
        <x:v>129000000</x:v>
      </x:c>
      <x:c r="S33" s="40" t="n">
        <x:f>'Inputs_Trades'!T33</x:f>
        <x:v>921428571.43</x:v>
      </x:c>
      <x:c r="T33" s="27" t="str">
        <x:f>'Inputs_Trades'!V33</x:f>
        <x:v>M</x:v>
      </x:c>
      <x:c r="U33" s="27" t="str">
        <x:f>'Inputs_Trades'!W33</x:f>
        <x:v>N</x:v>
      </x:c>
      <x:c r="V33" s="27" t="n">
        <x:f>'Inputs_Trades'!X33</x:f>
        <x:v>10</x:v>
      </x:c>
      <x:c r="W33" s="27" t="str">
        <x:f>'Inputs_Trades'!Y33</x:f>
        <x:v>S</x:v>
      </x:c>
      <x:c r="X33" s="27" t="n">
        <x:f>'Inputs_Trades'!AA33</x:f>
        <x:v>0</x:v>
      </x:c>
      <x:c r="Y33" s="27" t="n">
        <x:f>'Inputs_Trades'!AB33</x:f>
        <x:v>0</x:v>
      </x:c>
      <x:c r="Z33" s="27" t="n">
        <x:f>'Inputs_Trades'!AC33</x:f>
        <x:v>0</x:v>
      </x:c>
      <x:c r="AA33" s="39" t="n">
        <x:f>'Inputs_Trades'!Z33</x:f>
        <x:v>0</x:v>
      </x:c>
      <x:c r="AB33" s="40" t="n">
        <x:f>'Inputs_Trades'!AD33</x:f>
        <x:v>526320</x:v>
      </x:c>
      <x:c r="AC33" s="27" t="n">
        <x:f>'Inputs_Trades'!K33</x:f>
        <x:v>0</x:v>
      </x:c>
      <x:c r="AD33" s="27" t="n">
        <x:f>N33-M33</x:f>
        <x:v>1392</x:v>
      </x:c>
      <x:c r="AE33" s="41" t="n">
        <x:f>AD33/365</x:f>
        <x:v>3.813698630136986</x:v>
      </x:c>
      <x:c r="AF33" s="27" t="str">
        <x:f>IF(AE33&lt;1,"&lt;1Y",IF(AE33&lt;=5,"1Y-5Y","&gt;5Y"))</x:f>
        <x:v>1Y-5Y</x:v>
      </x:c>
      <x:c r="AG33" s="27" t="str">
        <x:f>IF(E33="Commodity",IFERROR(VLOOKUP(F33,Parameters!$P$4:$Q$12,2,FALSE),"Other"),"")</x:f>
      </x:c>
      <x:c r="AH33" s="27" t="str">
        <x:f>IF(F33="","Unknown",F33)</x:f>
        <x:v>Unknown</x:v>
      </x:c>
      <x:c r="AI33" s="27" t="str">
        <x:f>IF(E33="Interest Rate",G33&amp;IF(OR(LOWER(AC33)="basis",LOWER(AC33)="volatility"),"_"&amp;AC33,""),IF(E33="FX",IF(H33&lt;I33,H33&amp;"/"&amp;I33,I33&amp;"/"&amp;H33)&amp;IF(OR(LOWER(AC33)="basis",LOWER(AC33)="volatility"),"_"&amp;AC33,""),IF(OR(E33="Credit",E33="Equity"),J33&amp;IF(OR(LOWER(AC33)="basis",LOWER(AC33)="volatility"),"_"&amp;AC33,""),IF(E33="Commodity",AG33&amp;IF(OR(LOWER(AC33)="basis",LOWER(AC33)="volatility"),"_"&amp;AC33,""),"UNKNOWN"))))</x:f>
        <x:v>CNY/USD</x:v>
      </x:c>
      <x:c r="AJ33" s="27" t="str">
        <x:f>T33</x:f>
        <x:v>M</x:v>
      </x:c>
      <x:c r="AK33" s="41" t="n">
        <x:f>IF(E33="Interest Rate",VLOOKUP("Interest Rate",Parameters!$D$4:$E$12,2,FALSE),IF(E33="FX",VLOOKUP("FX",Parameters!$D$4:$E$12,2,FALSE),IF(E33="Credit",IFERROR(VLOOKUP(L33,Parameters!$G$4:$H$12,2,FALSE),VLOOKUP("BBB",Parameters!$G$4:$H$12,2,FALSE)),IF(E33="Equity",VLOOKUP(IF(LOWER(K33)="index","Equity Index","Equity Single Name"),Parameters!$D$4:$E$12,2,FALSE),IF(E33="Commodity",VLOOKUP(IFERROR(VLOOKUP(F33,Parameters!$S$4:$T$12,2,FALSE),"Commodity Other"),Parameters!$D$4:$E$12,2,FALSE),0)))))</x:f>
        <x:v>0.04</x:v>
      </x:c>
      <x:c r="AL33" s="42" t="n">
        <x:f>IF(LOWER(AC33)="basis",Parameters!$B$8,IF(LOWER(AC33)="volatility",Parameters!$B$9,1))</x:f>
        <x:v>1</x:v>
      </x:c>
      <x:c r="AM33" s="41" t="n">
        <x:f>AK33*AL33</x:f>
        <x:v>0.04</x:v>
      </x:c>
      <x:c r="AN33" s="42" t="str">
        <x:f>IF(E33="Credit",VLOOKUP(IF(LOWER(K33)="index","Credit Index","Credit Single Name"),Parameters!$J$4:$K$8,2,FALSE),IF(E33="Equity",VLOOKUP(IF(LOWER(K33)="index","Equity Index","Equity Single Name"),Parameters!$J$4:$K$8,2,FALSE),IF(E33="Commodity",VLOOKUP("Commodity",Parameters!$J$4:$K$8,2,FALSE),"")))</x:f>
      </x:c>
      <x:c r="AO33" s="27" t="n">
        <x:f>MAX((O33-M33)/365,0)</x:f>
        <x:v>0</x:v>
      </x:c>
      <x:c r="AP33" s="27" t="n">
        <x:f>MAX((P33-M33)/365,10/Parameters!$B$6)</x:f>
        <x:v>3.813698630136986</x:v>
      </x:c>
      <x:c r="AQ33" s="27" t="n">
        <x:f>IF(AP33&lt;=AO33,AO33+10/Parameters!$B$6,AP33)</x:f>
        <x:v>3.813698630136986</x:v>
      </x:c>
      <x:c r="AR33" s="41" t="n">
        <x:f>IF(OR(E33="Interest Rate",E33="Credit"),(EXP(-Parameters!$B$7*AO33)-EXP(-Parameters!$B$7*AQ33))/Parameters!$B$7,1)</x:f>
        <x:v>1</x:v>
      </x:c>
      <x:c r="AS33" s="40" t="n">
        <x:f>IF(OR(E33="Interest Rate",E33="Credit"),ABS(Q33)*AR33,IF(E33="FX",IF(Q33&gt;0,Q33,MAX(ABS(R33),ABS(S33),ABS(Q33))),ABS(Q33)))</x:f>
        <x:v>129000000</x:v>
      </x:c>
      <x:c r="AT33" s="42" t="n">
        <x:f>IF(OR(E33="Interest Rate",E33="FX"),VLOOKUP(E33,Parameters!$M$4:$N$11,2,FALSE),IF(E33="Credit",VLOOKUP(IF(LOWER(K33)="index","Credit Index","Credit Single Name"),Parameters!$M$4:$N$11,2,FALSE),IF(E33="Equity",VLOOKUP(IF(LOWER(K33)="index","Equity Index","Equity Single Name"),Parameters!$M$4:$N$11,2,FALSE),IF(E33="Commodity",VLOOKUP(IF(F33="Electricity","Commodity Electricity","Commodity Other"),Parameters!$M$4:$N$11,2,FALSE),1))))</x:f>
        <x:v>0.15</x:v>
      </x:c>
      <x:c r="AU33" s="27" t="n">
        <x:f>IF(W33="B",1,-1)</x:f>
        <x:v>-1</x:v>
      </x:c>
      <x:c r="AV33" s="27" t="n">
        <x:f>IF(OR(AA33="",M33=""),MAX(AE33,1/365),MAX((AA33-M33)/365,1/365))</x:f>
        <x:v>3.813698630136986</x:v>
      </x:c>
      <x:c r="AW33" s="41" t="str">
        <x:f>IF(OR(Z33&lt;=0,Y33&lt;=0,AT33&lt;=0,AV33&lt;=0),"",(LN(Z33/Y33)+0.5*AT33^2*AV33)/(AT33*SQRT(AV33)))</x:f>
      </x:c>
      <x:c r="AX33" s="41" t="n">
        <x:f>IF(AND(X33&lt;&gt;"C",X33&lt;&gt;"P"),AU33,IF(AW33="",AU33,IF(X33="C",AU33*0.5*(1+ERF(AW33/SQRT(2))),-AU33*0.5*(1+ERF(-AW33/SQRT(2))))))</x:f>
        <x:v>-1</x:v>
      </x:c>
      <x:c r="AY33" s="41" t="n">
        <x:f>IF(AJ33="M",1.5*SQRT(MAX(IF(U33="Y",5,10),IF(V33="",10,V33))/Parameters!$B$6),SQRT(MIN(MAX(AE33,10/Parameters!$B$6),1)))</x:f>
        <x:v>0.30000000000000004</x:v>
      </x:c>
      <x:c r="AZ33" s="40" t="n">
        <x:f>AS33*AX33*AY33</x:f>
        <x:v>-38700000.00000001</x:v>
      </x:c>
      <x:c r="BA33" s="40" t="n">
        <x:f>'Python_Trade_Output'!AZ33</x:f>
        <x:v>-38700000.00000001</x:v>
      </x:c>
      <x:c r="BB33" s="43" t="n">
        <x:f>AZ33-BA33</x:f>
        <x:v>0</x:v>
      </x:c>
    </x:row>
    <x:row r="34">
      <x:c r="A34" s="27" t="str">
        <x:f>'Inputs_Trades'!D34</x:f>
        <x:v>IND-000031</x:v>
      </x:c>
      <x:c r="B34" s="27" t="str">
        <x:f>'Inputs_Trades'!B34</x:f>
        <x:v>IND_REGIONAL_BANK_001</x:v>
      </x:c>
      <x:c r="C34" s="27" t="n">
        <x:f>'Inputs_Trades'!C34</x:f>
        <x:v>3210</x:v>
      </x:c>
      <x:c r="D34" s="27" t="str">
        <x:f>'Inputs_Trades'!E34</x:f>
        <x:v>FX Forward</x:v>
      </x:c>
      <x:c r="E34" s="27" t="str">
        <x:f>'Inputs_Trades'!F34</x:f>
        <x:v>FX</x:v>
      </x:c>
      <x:c r="F34" s="27" t="n">
        <x:f>'Inputs_Trades'!G34</x:f>
        <x:v>0</x:v>
      </x:c>
      <x:c r="G34" s="27" t="str">
        <x:f>'Inputs_Trades'!J34</x:f>
        <x:v>USD</x:v>
      </x:c>
      <x:c r="H34" s="27" t="str">
        <x:f>'Inputs_Trades'!H34</x:f>
        <x:v>AUD</x:v>
      </x:c>
      <x:c r="I34" s="27" t="str">
        <x:f>'Inputs_Trades'!I34</x:f>
        <x:v>USD</x:v>
      </x:c>
      <x:c r="J34" s="27" t="str">
        <x:f>'Inputs_Trades'!M34</x:f>
        <x:v>AUD/USD</x:v>
      </x:c>
      <x:c r="K34" s="27" t="n">
        <x:f>'Inputs_Trades'!N34</x:f>
        <x:v>0</x:v>
      </x:c>
      <x:c r="L34" s="27" t="n">
        <x:f>'Inputs_Trades'!O34</x:f>
        <x:v>0</x:v>
      </x:c>
      <x:c r="M34" s="39" t="n">
        <x:f>'Inputs_Trades'!A34</x:f>
        <x:v>45702</x:v>
      </x:c>
      <x:c r="N34" s="39" t="n">
        <x:f>'Inputs_Trades'!P34</x:f>
        <x:v>47303</x:v>
      </x:c>
      <x:c r="O34" s="39" t="n">
        <x:f>'Inputs_Trades'!Q34</x:f>
        <x:v>45085</x:v>
      </x:c>
      <x:c r="P34" s="39" t="n">
        <x:f>'Inputs_Trades'!R34</x:f>
        <x:v>47303</x:v>
      </x:c>
      <x:c r="Q34" s="40" t="n">
        <x:f>'Inputs_Trades'!U34</x:f>
        <x:v>71400000</x:v>
      </x:c>
      <x:c r="R34" s="40" t="n">
        <x:f>'Inputs_Trades'!S34</x:f>
        <x:v>108181818.18</x:v>
      </x:c>
      <x:c r="S34" s="40" t="n">
        <x:f>'Inputs_Trades'!T34</x:f>
        <x:v>71400000</x:v>
      </x:c>
      <x:c r="T34" s="27" t="str">
        <x:f>'Inputs_Trades'!V34</x:f>
        <x:v>M</x:v>
      </x:c>
      <x:c r="U34" s="27" t="str">
        <x:f>'Inputs_Trades'!W34</x:f>
        <x:v>N</x:v>
      </x:c>
      <x:c r="V34" s="27" t="n">
        <x:f>'Inputs_Trades'!X34</x:f>
        <x:v>10</x:v>
      </x:c>
      <x:c r="W34" s="27" t="str">
        <x:f>'Inputs_Trades'!Y34</x:f>
        <x:v>B</x:v>
      </x:c>
      <x:c r="X34" s="27" t="n">
        <x:f>'Inputs_Trades'!AA34</x:f>
        <x:v>0</x:v>
      </x:c>
      <x:c r="Y34" s="27" t="n">
        <x:f>'Inputs_Trades'!AB34</x:f>
        <x:v>0</x:v>
      </x:c>
      <x:c r="Z34" s="27" t="n">
        <x:f>'Inputs_Trades'!AC34</x:f>
        <x:v>0</x:v>
      </x:c>
      <x:c r="AA34" s="39" t="n">
        <x:f>'Inputs_Trades'!Z34</x:f>
        <x:v>0</x:v>
      </x:c>
      <x:c r="AB34" s="40" t="n">
        <x:f>'Inputs_Trades'!AD34</x:f>
        <x:v>494088</x:v>
      </x:c>
      <x:c r="AC34" s="27" t="n">
        <x:f>'Inputs_Trades'!K34</x:f>
        <x:v>0</x:v>
      </x:c>
      <x:c r="AD34" s="27" t="n">
        <x:f>N34-M34</x:f>
        <x:v>1601</x:v>
      </x:c>
      <x:c r="AE34" s="41" t="n">
        <x:f>AD34/365</x:f>
        <x:v>4.3863013698630136</x:v>
      </x:c>
      <x:c r="AF34" s="27" t="str">
        <x:f>IF(AE34&lt;1,"&lt;1Y",IF(AE34&lt;=5,"1Y-5Y","&gt;5Y"))</x:f>
        <x:v>1Y-5Y</x:v>
      </x:c>
      <x:c r="AG34" s="27" t="str">
        <x:f>IF(E34="Commodity",IFERROR(VLOOKUP(F34,Parameters!$P$4:$Q$12,2,FALSE),"Other"),"")</x:f>
      </x:c>
      <x:c r="AH34" s="27" t="str">
        <x:f>IF(F34="","Unknown",F34)</x:f>
        <x:v>Unknown</x:v>
      </x:c>
      <x:c r="AI34" s="27" t="str">
        <x:f>IF(E34="Interest Rate",G34&amp;IF(OR(LOWER(AC34)="basis",LOWER(AC34)="volatility"),"_"&amp;AC34,""),IF(E34="FX",IF(H34&lt;I34,H34&amp;"/"&amp;I34,I34&amp;"/"&amp;H34)&amp;IF(OR(LOWER(AC34)="basis",LOWER(AC34)="volatility"),"_"&amp;AC34,""),IF(OR(E34="Credit",E34="Equity"),J34&amp;IF(OR(LOWER(AC34)="basis",LOWER(AC34)="volatility"),"_"&amp;AC34,""),IF(E34="Commodity",AG34&amp;IF(OR(LOWER(AC34)="basis",LOWER(AC34)="volatility"),"_"&amp;AC34,""),"UNKNOWN"))))</x:f>
        <x:v>AUD/USD</x:v>
      </x:c>
      <x:c r="AJ34" s="27" t="str">
        <x:f>T34</x:f>
        <x:v>M</x:v>
      </x:c>
      <x:c r="AK34" s="41" t="n">
        <x:f>IF(E34="Interest Rate",VLOOKUP("Interest Rate",Parameters!$D$4:$E$12,2,FALSE),IF(E34="FX",VLOOKUP("FX",Parameters!$D$4:$E$12,2,FALSE),IF(E34="Credit",IFERROR(VLOOKUP(L34,Parameters!$G$4:$H$12,2,FALSE),VLOOKUP("BBB",Parameters!$G$4:$H$12,2,FALSE)),IF(E34="Equity",VLOOKUP(IF(LOWER(K34)="index","Equity Index","Equity Single Name"),Parameters!$D$4:$E$12,2,FALSE),IF(E34="Commodity",VLOOKUP(IFERROR(VLOOKUP(F34,Parameters!$S$4:$T$12,2,FALSE),"Commodity Other"),Parameters!$D$4:$E$12,2,FALSE),0)))))</x:f>
        <x:v>0.04</x:v>
      </x:c>
      <x:c r="AL34" s="42" t="n">
        <x:f>IF(LOWER(AC34)="basis",Parameters!$B$8,IF(LOWER(AC34)="volatility",Parameters!$B$9,1))</x:f>
        <x:v>1</x:v>
      </x:c>
      <x:c r="AM34" s="41" t="n">
        <x:f>AK34*AL34</x:f>
        <x:v>0.04</x:v>
      </x:c>
      <x:c r="AN34" s="42" t="str">
        <x:f>IF(E34="Credit",VLOOKUP(IF(LOWER(K34)="index","Credit Index","Credit Single Name"),Parameters!$J$4:$K$8,2,FALSE),IF(E34="Equity",VLOOKUP(IF(LOWER(K34)="index","Equity Index","Equity Single Name"),Parameters!$J$4:$K$8,2,FALSE),IF(E34="Commodity",VLOOKUP("Commodity",Parameters!$J$4:$K$8,2,FALSE),"")))</x:f>
      </x:c>
      <x:c r="AO34" s="27" t="n">
        <x:f>MAX((O34-M34)/365,0)</x:f>
        <x:v>0</x:v>
      </x:c>
      <x:c r="AP34" s="27" t="n">
        <x:f>MAX((P34-M34)/365,10/Parameters!$B$6)</x:f>
        <x:v>4.3863013698630136</x:v>
      </x:c>
      <x:c r="AQ34" s="27" t="n">
        <x:f>IF(AP34&lt;=AO34,AO34+10/Parameters!$B$6,AP34)</x:f>
        <x:v>4.3863013698630136</x:v>
      </x:c>
      <x:c r="AR34" s="41" t="n">
        <x:f>IF(OR(E34="Interest Rate",E34="Credit"),(EXP(-Parameters!$B$7*AO34)-EXP(-Parameters!$B$7*AQ34))/Parameters!$B$7,1)</x:f>
        <x:v>1</x:v>
      </x:c>
      <x:c r="AS34" s="40" t="n">
        <x:f>IF(OR(E34="Interest Rate",E34="Credit"),ABS(Q34)*AR34,IF(E34="FX",IF(Q34&gt;0,Q34,MAX(ABS(R34),ABS(S34),ABS(Q34))),ABS(Q34)))</x:f>
        <x:v>71400000</x:v>
      </x:c>
      <x:c r="AT34" s="42" t="n">
        <x:f>IF(OR(E34="Interest Rate",E34="FX"),VLOOKUP(E34,Parameters!$M$4:$N$11,2,FALSE),IF(E34="Credit",VLOOKUP(IF(LOWER(K34)="index","Credit Index","Credit Single Name"),Parameters!$M$4:$N$11,2,FALSE),IF(E34="Equity",VLOOKUP(IF(LOWER(K34)="index","Equity Index","Equity Single Name"),Parameters!$M$4:$N$11,2,FALSE),IF(E34="Commodity",VLOOKUP(IF(F34="Electricity","Commodity Electricity","Commodity Other"),Parameters!$M$4:$N$11,2,FALSE),1))))</x:f>
        <x:v>0.15</x:v>
      </x:c>
      <x:c r="AU34" s="27" t="n">
        <x:f>IF(W34="B",1,-1)</x:f>
        <x:v>1</x:v>
      </x:c>
      <x:c r="AV34" s="27" t="n">
        <x:f>IF(OR(AA34="",M34=""),MAX(AE34,1/365),MAX((AA34-M34)/365,1/365))</x:f>
        <x:v>4.3863013698630136</x:v>
      </x:c>
      <x:c r="AW34" s="41" t="str">
        <x:f>IF(OR(Z34&lt;=0,Y34&lt;=0,AT34&lt;=0,AV34&lt;=0),"",(LN(Z34/Y34)+0.5*AT34^2*AV34)/(AT34*SQRT(AV34)))</x:f>
      </x:c>
      <x:c r="AX34" s="41" t="n">
        <x:f>IF(AND(X34&lt;&gt;"C",X34&lt;&gt;"P"),AU34,IF(AW34="",AU34,IF(X34="C",AU34*0.5*(1+ERF(AW34/SQRT(2))),-AU34*0.5*(1+ERF(-AW34/SQRT(2))))))</x:f>
        <x:v>1</x:v>
      </x:c>
      <x:c r="AY34" s="41" t="n">
        <x:f>IF(AJ34="M",1.5*SQRT(MAX(IF(U34="Y",5,10),IF(V34="",10,V34))/Parameters!$B$6),SQRT(MIN(MAX(AE34,10/Parameters!$B$6),1)))</x:f>
        <x:v>0.30000000000000004</x:v>
      </x:c>
      <x:c r="AZ34" s="40" t="n">
        <x:f>AS34*AX34*AY34</x:f>
        <x:v>21420000.000000004</x:v>
      </x:c>
      <x:c r="BA34" s="40" t="n">
        <x:f>'Python_Trade_Output'!AZ34</x:f>
        <x:v>21420000.000000004</x:v>
      </x:c>
      <x:c r="BB34" s="43" t="n">
        <x:f>AZ34-BA34</x:f>
        <x:v>0</x:v>
      </x:c>
    </x:row>
    <x:row r="35">
      <x:c r="A35" s="27" t="str">
        <x:f>'Inputs_Trades'!D35</x:f>
        <x:v>IND-000032</x:v>
      </x:c>
      <x:c r="B35" s="27" t="str">
        <x:f>'Inputs_Trades'!B35</x:f>
        <x:v>IND_BANK_002</x:v>
      </x:c>
      <x:c r="C35" s="27" t="n">
        <x:f>'Inputs_Trades'!C35</x:f>
        <x:v>3331</x:v>
      </x:c>
      <x:c r="D35" s="27" t="str">
        <x:f>'Inputs_Trades'!E35</x:f>
        <x:v>FX Forward</x:v>
      </x:c>
      <x:c r="E35" s="27" t="str">
        <x:f>'Inputs_Trades'!F35</x:f>
        <x:v>FX</x:v>
      </x:c>
      <x:c r="F35" s="27" t="n">
        <x:f>'Inputs_Trades'!G35</x:f>
        <x:v>0</x:v>
      </x:c>
      <x:c r="G35" s="27" t="str">
        <x:f>'Inputs_Trades'!J35</x:f>
        <x:v>USD</x:v>
      </x:c>
      <x:c r="H35" s="27" t="str">
        <x:f>'Inputs_Trades'!H35</x:f>
        <x:v>AUD</x:v>
      </x:c>
      <x:c r="I35" s="27" t="str">
        <x:f>'Inputs_Trades'!I35</x:f>
        <x:v>USD</x:v>
      </x:c>
      <x:c r="J35" s="27" t="str">
        <x:f>'Inputs_Trades'!M35</x:f>
        <x:v>AUD/USD</x:v>
      </x:c>
      <x:c r="K35" s="27" t="n">
        <x:f>'Inputs_Trades'!N35</x:f>
        <x:v>0</x:v>
      </x:c>
      <x:c r="L35" s="27" t="n">
        <x:f>'Inputs_Trades'!O35</x:f>
        <x:v>0</x:v>
      </x:c>
      <x:c r="M35" s="39" t="n">
        <x:f>'Inputs_Trades'!A35</x:f>
        <x:v>45702</x:v>
      </x:c>
      <x:c r="N35" s="39" t="n">
        <x:f>'Inputs_Trades'!P35</x:f>
        <x:v>46425</x:v>
      </x:c>
      <x:c r="O35" s="39" t="n">
        <x:f>'Inputs_Trades'!Q35</x:f>
        <x:v>45268</x:v>
      </x:c>
      <x:c r="P35" s="39" t="n">
        <x:f>'Inputs_Trades'!R35</x:f>
        <x:v>46425</x:v>
      </x:c>
      <x:c r="Q35" s="40" t="n">
        <x:f>'Inputs_Trades'!U35</x:f>
        <x:v>4600000</x:v>
      </x:c>
      <x:c r="R35" s="40" t="n">
        <x:f>'Inputs_Trades'!S35</x:f>
        <x:v>6969696.97</x:v>
      </x:c>
      <x:c r="S35" s="40" t="n">
        <x:f>'Inputs_Trades'!T35</x:f>
        <x:v>4600000</x:v>
      </x:c>
      <x:c r="T35" s="27" t="str">
        <x:f>'Inputs_Trades'!V35</x:f>
        <x:v>M</x:v>
      </x:c>
      <x:c r="U35" s="27" t="str">
        <x:f>'Inputs_Trades'!W35</x:f>
        <x:v>N</x:v>
      </x:c>
      <x:c r="V35" s="27" t="n">
        <x:f>'Inputs_Trades'!X35</x:f>
        <x:v>10</x:v>
      </x:c>
      <x:c r="W35" s="27" t="str">
        <x:f>'Inputs_Trades'!Y35</x:f>
        <x:v>S</x:v>
      </x:c>
      <x:c r="X35" s="27" t="n">
        <x:f>'Inputs_Trades'!AA35</x:f>
        <x:v>0</x:v>
      </x:c>
      <x:c r="Y35" s="27" t="n">
        <x:f>'Inputs_Trades'!AB35</x:f>
        <x:v>0</x:v>
      </x:c>
      <x:c r="Z35" s="27" t="n">
        <x:f>'Inputs_Trades'!AC35</x:f>
        <x:v>0</x:v>
      </x:c>
      <x:c r="AA35" s="39" t="n">
        <x:f>'Inputs_Trades'!Z35</x:f>
        <x:v>0</x:v>
      </x:c>
      <x:c r="AB35" s="40" t="n">
        <x:f>'Inputs_Trades'!AD35</x:f>
        <x:v>-39054</x:v>
      </x:c>
      <x:c r="AC35" s="27" t="n">
        <x:f>'Inputs_Trades'!K35</x:f>
        <x:v>0</x:v>
      </x:c>
      <x:c r="AD35" s="27" t="n">
        <x:f>N35-M35</x:f>
        <x:v>723</x:v>
      </x:c>
      <x:c r="AE35" s="41" t="n">
        <x:f>AD35/365</x:f>
        <x:v>1.9808219178082191</x:v>
      </x:c>
      <x:c r="AF35" s="27" t="str">
        <x:f>IF(AE35&lt;1,"&lt;1Y",IF(AE35&lt;=5,"1Y-5Y","&gt;5Y"))</x:f>
        <x:v>1Y-5Y</x:v>
      </x:c>
      <x:c r="AG35" s="27" t="str">
        <x:f>IF(E35="Commodity",IFERROR(VLOOKUP(F35,Parameters!$P$4:$Q$12,2,FALSE),"Other"),"")</x:f>
      </x:c>
      <x:c r="AH35" s="27" t="str">
        <x:f>IF(F35="","Unknown",F35)</x:f>
        <x:v>Unknown</x:v>
      </x:c>
      <x:c r="AI35" s="27" t="str">
        <x:f>IF(E35="Interest Rate",G35&amp;IF(OR(LOWER(AC35)="basis",LOWER(AC35)="volatility"),"_"&amp;AC35,""),IF(E35="FX",IF(H35&lt;I35,H35&amp;"/"&amp;I35,I35&amp;"/"&amp;H35)&amp;IF(OR(LOWER(AC35)="basis",LOWER(AC35)="volatility"),"_"&amp;AC35,""),IF(OR(E35="Credit",E35="Equity"),J35&amp;IF(OR(LOWER(AC35)="basis",LOWER(AC35)="volatility"),"_"&amp;AC35,""),IF(E35="Commodity",AG35&amp;IF(OR(LOWER(AC35)="basis",LOWER(AC35)="volatility"),"_"&amp;AC35,""),"UNKNOWN"))))</x:f>
        <x:v>AUD/USD</x:v>
      </x:c>
      <x:c r="AJ35" s="27" t="str">
        <x:f>T35</x:f>
        <x:v>M</x:v>
      </x:c>
      <x:c r="AK35" s="41" t="n">
        <x:f>IF(E35="Interest Rate",VLOOKUP("Interest Rate",Parameters!$D$4:$E$12,2,FALSE),IF(E35="FX",VLOOKUP("FX",Parameters!$D$4:$E$12,2,FALSE),IF(E35="Credit",IFERROR(VLOOKUP(L35,Parameters!$G$4:$H$12,2,FALSE),VLOOKUP("BBB",Parameters!$G$4:$H$12,2,FALSE)),IF(E35="Equity",VLOOKUP(IF(LOWER(K35)="index","Equity Index","Equity Single Name"),Parameters!$D$4:$E$12,2,FALSE),IF(E35="Commodity",VLOOKUP(IFERROR(VLOOKUP(F35,Parameters!$S$4:$T$12,2,FALSE),"Commodity Other"),Parameters!$D$4:$E$12,2,FALSE),0)))))</x:f>
        <x:v>0.04</x:v>
      </x:c>
      <x:c r="AL35" s="42" t="n">
        <x:f>IF(LOWER(AC35)="basis",Parameters!$B$8,IF(LOWER(AC35)="volatility",Parameters!$B$9,1))</x:f>
        <x:v>1</x:v>
      </x:c>
      <x:c r="AM35" s="41" t="n">
        <x:f>AK35*AL35</x:f>
        <x:v>0.04</x:v>
      </x:c>
      <x:c r="AN35" s="42" t="str">
        <x:f>IF(E35="Credit",VLOOKUP(IF(LOWER(K35)="index","Credit Index","Credit Single Name"),Parameters!$J$4:$K$8,2,FALSE),IF(E35="Equity",VLOOKUP(IF(LOWER(K35)="index","Equity Index","Equity Single Name"),Parameters!$J$4:$K$8,2,FALSE),IF(E35="Commodity",VLOOKUP("Commodity",Parameters!$J$4:$K$8,2,FALSE),"")))</x:f>
      </x:c>
      <x:c r="AO35" s="27" t="n">
        <x:f>MAX((O35-M35)/365,0)</x:f>
        <x:v>0</x:v>
      </x:c>
      <x:c r="AP35" s="27" t="n">
        <x:f>MAX((P35-M35)/365,10/Parameters!$B$6)</x:f>
        <x:v>1.9808219178082191</x:v>
      </x:c>
      <x:c r="AQ35" s="27" t="n">
        <x:f>IF(AP35&lt;=AO35,AO35+10/Parameters!$B$6,AP35)</x:f>
        <x:v>1.9808219178082191</x:v>
      </x:c>
      <x:c r="AR35" s="41" t="n">
        <x:f>IF(OR(E35="Interest Rate",E35="Credit"),(EXP(-Parameters!$B$7*AO35)-EXP(-Parameters!$B$7*AQ35))/Parameters!$B$7,1)</x:f>
        <x:v>1</x:v>
      </x:c>
      <x:c r="AS35" s="40" t="n">
        <x:f>IF(OR(E35="Interest Rate",E35="Credit"),ABS(Q35)*AR35,IF(E35="FX",IF(Q35&gt;0,Q35,MAX(ABS(R35),ABS(S35),ABS(Q35))),ABS(Q35)))</x:f>
        <x:v>4600000</x:v>
      </x:c>
      <x:c r="AT35" s="42" t="n">
        <x:f>IF(OR(E35="Interest Rate",E35="FX"),VLOOKUP(E35,Parameters!$M$4:$N$11,2,FALSE),IF(E35="Credit",VLOOKUP(IF(LOWER(K35)="index","Credit Index","Credit Single Name"),Parameters!$M$4:$N$11,2,FALSE),IF(E35="Equity",VLOOKUP(IF(LOWER(K35)="index","Equity Index","Equity Single Name"),Parameters!$M$4:$N$11,2,FALSE),IF(E35="Commodity",VLOOKUP(IF(F35="Electricity","Commodity Electricity","Commodity Other"),Parameters!$M$4:$N$11,2,FALSE),1))))</x:f>
        <x:v>0.15</x:v>
      </x:c>
      <x:c r="AU35" s="27" t="n">
        <x:f>IF(W35="B",1,-1)</x:f>
        <x:v>-1</x:v>
      </x:c>
      <x:c r="AV35" s="27" t="n">
        <x:f>IF(OR(AA35="",M35=""),MAX(AE35,1/365),MAX((AA35-M35)/365,1/365))</x:f>
        <x:v>1.9808219178082191</x:v>
      </x:c>
      <x:c r="AW35" s="41" t="str">
        <x:f>IF(OR(Z35&lt;=0,Y35&lt;=0,AT35&lt;=0,AV35&lt;=0),"",(LN(Z35/Y35)+0.5*AT35^2*AV35)/(AT35*SQRT(AV35)))</x:f>
      </x:c>
      <x:c r="AX35" s="41" t="n">
        <x:f>IF(AND(X35&lt;&gt;"C",X35&lt;&gt;"P"),AU35,IF(AW35="",AU35,IF(X35="C",AU35*0.5*(1+ERF(AW35/SQRT(2))),-AU35*0.5*(1+ERF(-AW35/SQRT(2))))))</x:f>
        <x:v>-1</x:v>
      </x:c>
      <x:c r="AY35" s="41" t="n">
        <x:f>IF(AJ35="M",1.5*SQRT(MAX(IF(U35="Y",5,10),IF(V35="",10,V35))/Parameters!$B$6),SQRT(MIN(MAX(AE35,10/Parameters!$B$6),1)))</x:f>
        <x:v>0.30000000000000004</x:v>
      </x:c>
      <x:c r="AZ35" s="40" t="n">
        <x:f>AS35*AX35*AY35</x:f>
        <x:v>-1380000.0000000002</x:v>
      </x:c>
      <x:c r="BA35" s="40" t="n">
        <x:f>'Python_Trade_Output'!AZ35</x:f>
        <x:v>-1380000.0000000002</x:v>
      </x:c>
      <x:c r="BB35" s="43" t="n">
        <x:f>AZ35-BA35</x:f>
        <x:v>0</x:v>
      </x:c>
    </x:row>
    <x:row r="36">
      <x:c r="A36" s="27" t="str">
        <x:f>'Inputs_Trades'!D36</x:f>
        <x:v>IND-000033</x:v>
      </x:c>
      <x:c r="B36" s="27" t="str">
        <x:f>'Inputs_Trades'!B36</x:f>
        <x:v>IND_CLEARING_MEMBER_001</x:v>
      </x:c>
      <x:c r="C36" s="27" t="n">
        <x:f>'Inputs_Trades'!C36</x:f>
        <x:v>3206</x:v>
      </x:c>
      <x:c r="D36" s="27" t="str">
        <x:f>'Inputs_Trades'!E36</x:f>
        <x:v>FX Swap</x:v>
      </x:c>
      <x:c r="E36" s="27" t="str">
        <x:f>'Inputs_Trades'!F36</x:f>
        <x:v>FX</x:v>
      </x:c>
      <x:c r="F36" s="27" t="n">
        <x:f>'Inputs_Trades'!G36</x:f>
        <x:v>0</x:v>
      </x:c>
      <x:c r="G36" s="27" t="str">
        <x:f>'Inputs_Trades'!J36</x:f>
        <x:v>USD</x:v>
      </x:c>
      <x:c r="H36" s="27" t="str">
        <x:f>'Inputs_Trades'!H36</x:f>
        <x:v>USD</x:v>
      </x:c>
      <x:c r="I36" s="27" t="str">
        <x:f>'Inputs_Trades'!I36</x:f>
        <x:v>JPY</x:v>
      </x:c>
      <x:c r="J36" s="27" t="str">
        <x:f>'Inputs_Trades'!M36</x:f>
        <x:v>USD/JPY</x:v>
      </x:c>
      <x:c r="K36" s="27" t="n">
        <x:f>'Inputs_Trades'!N36</x:f>
        <x:v>0</x:v>
      </x:c>
      <x:c r="L36" s="27" t="n">
        <x:f>'Inputs_Trades'!O36</x:f>
        <x:v>0</x:v>
      </x:c>
      <x:c r="M36" s="39" t="n">
        <x:f>'Inputs_Trades'!A36</x:f>
        <x:v>45702</x:v>
      </x:c>
      <x:c r="N36" s="39" t="n">
        <x:f>'Inputs_Trades'!P36</x:f>
        <x:v>47428</x:v>
      </x:c>
      <x:c r="O36" s="39" t="n">
        <x:f>'Inputs_Trades'!Q36</x:f>
        <x:v>45107</x:v>
      </x:c>
      <x:c r="P36" s="39" t="n">
        <x:f>'Inputs_Trades'!R36</x:f>
        <x:v>47428</x:v>
      </x:c>
      <x:c r="Q36" s="40" t="n">
        <x:f>'Inputs_Trades'!U36</x:f>
        <x:v>31700000</x:v>
      </x:c>
      <x:c r="R36" s="40" t="n">
        <x:f>'Inputs_Trades'!S36</x:f>
        <x:v>31700000</x:v>
      </x:c>
      <x:c r="S36" s="40" t="n">
        <x:f>'Inputs_Trades'!T36</x:f>
        <x:v>4731343283.58</x:v>
      </x:c>
      <x:c r="T36" s="27" t="str">
        <x:f>'Inputs_Trades'!V36</x:f>
        <x:v>M</x:v>
      </x:c>
      <x:c r="U36" s="27" t="str">
        <x:f>'Inputs_Trades'!W36</x:f>
        <x:v>N</x:v>
      </x:c>
      <x:c r="V36" s="27" t="n">
        <x:f>'Inputs_Trades'!X36</x:f>
        <x:v>10</x:v>
      </x:c>
      <x:c r="W36" s="27" t="str">
        <x:f>'Inputs_Trades'!Y36</x:f>
        <x:v>S</x:v>
      </x:c>
      <x:c r="X36" s="27" t="n">
        <x:f>'Inputs_Trades'!AA36</x:f>
        <x:v>0</x:v>
      </x:c>
      <x:c r="Y36" s="27" t="n">
        <x:f>'Inputs_Trades'!AB36</x:f>
        <x:v>0</x:v>
      </x:c>
      <x:c r="Z36" s="27" t="n">
        <x:f>'Inputs_Trades'!AC36</x:f>
        <x:v>0</x:v>
      </x:c>
      <x:c r="AA36" s="39" t="n">
        <x:f>'Inputs_Trades'!Z36</x:f>
        <x:v>0</x:v>
      </x:c>
      <x:c r="AB36" s="40" t="n">
        <x:f>'Inputs_Trades'!AD36</x:f>
        <x:v>-187030</x:v>
      </x:c>
      <x:c r="AC36" s="27" t="n">
        <x:f>'Inputs_Trades'!K36</x:f>
        <x:v>0</x:v>
      </x:c>
      <x:c r="AD36" s="27" t="n">
        <x:f>N36-M36</x:f>
        <x:v>1726</x:v>
      </x:c>
      <x:c r="AE36" s="41" t="n">
        <x:f>AD36/365</x:f>
        <x:v>4.728767123287671</x:v>
      </x:c>
      <x:c r="AF36" s="27" t="str">
        <x:f>IF(AE36&lt;1,"&lt;1Y",IF(AE36&lt;=5,"1Y-5Y","&gt;5Y"))</x:f>
        <x:v>1Y-5Y</x:v>
      </x:c>
      <x:c r="AG36" s="27" t="str">
        <x:f>IF(E36="Commodity",IFERROR(VLOOKUP(F36,Parameters!$P$4:$Q$12,2,FALSE),"Other"),"")</x:f>
      </x:c>
      <x:c r="AH36" s="27" t="str">
        <x:f>IF(F36="","Unknown",F36)</x:f>
        <x:v>Unknown</x:v>
      </x:c>
      <x:c r="AI36" s="27" t="str">
        <x:f>IF(E36="Interest Rate",G36&amp;IF(OR(LOWER(AC36)="basis",LOWER(AC36)="volatility"),"_"&amp;AC36,""),IF(E36="FX",IF(H36&lt;I36,H36&amp;"/"&amp;I36,I36&amp;"/"&amp;H36)&amp;IF(OR(LOWER(AC36)="basis",LOWER(AC36)="volatility"),"_"&amp;AC36,""),IF(OR(E36="Credit",E36="Equity"),J36&amp;IF(OR(LOWER(AC36)="basis",LOWER(AC36)="volatility"),"_"&amp;AC36,""),IF(E36="Commodity",AG36&amp;IF(OR(LOWER(AC36)="basis",LOWER(AC36)="volatility"),"_"&amp;AC36,""),"UNKNOWN"))))</x:f>
        <x:v>JPY/USD</x:v>
      </x:c>
      <x:c r="AJ36" s="27" t="str">
        <x:f>T36</x:f>
        <x:v>M</x:v>
      </x:c>
      <x:c r="AK36" s="41" t="n">
        <x:f>IF(E36="Interest Rate",VLOOKUP("Interest Rate",Parameters!$D$4:$E$12,2,FALSE),IF(E36="FX",VLOOKUP("FX",Parameters!$D$4:$E$12,2,FALSE),IF(E36="Credit",IFERROR(VLOOKUP(L36,Parameters!$G$4:$H$12,2,FALSE),VLOOKUP("BBB",Parameters!$G$4:$H$12,2,FALSE)),IF(E36="Equity",VLOOKUP(IF(LOWER(K36)="index","Equity Index","Equity Single Name"),Parameters!$D$4:$E$12,2,FALSE),IF(E36="Commodity",VLOOKUP(IFERROR(VLOOKUP(F36,Parameters!$S$4:$T$12,2,FALSE),"Commodity Other"),Parameters!$D$4:$E$12,2,FALSE),0)))))</x:f>
        <x:v>0.04</x:v>
      </x:c>
      <x:c r="AL36" s="42" t="n">
        <x:f>IF(LOWER(AC36)="basis",Parameters!$B$8,IF(LOWER(AC36)="volatility",Parameters!$B$9,1))</x:f>
        <x:v>1</x:v>
      </x:c>
      <x:c r="AM36" s="41" t="n">
        <x:f>AK36*AL36</x:f>
        <x:v>0.04</x:v>
      </x:c>
      <x:c r="AN36" s="42" t="str">
        <x:f>IF(E36="Credit",VLOOKUP(IF(LOWER(K36)="index","Credit Index","Credit Single Name"),Parameters!$J$4:$K$8,2,FALSE),IF(E36="Equity",VLOOKUP(IF(LOWER(K36)="index","Equity Index","Equity Single Name"),Parameters!$J$4:$K$8,2,FALSE),IF(E36="Commodity",VLOOKUP("Commodity",Parameters!$J$4:$K$8,2,FALSE),"")))</x:f>
      </x:c>
      <x:c r="AO36" s="27" t="n">
        <x:f>MAX((O36-M36)/365,0)</x:f>
        <x:v>0</x:v>
      </x:c>
      <x:c r="AP36" s="27" t="n">
        <x:f>MAX((P36-M36)/365,10/Parameters!$B$6)</x:f>
        <x:v>4.728767123287671</x:v>
      </x:c>
      <x:c r="AQ36" s="27" t="n">
        <x:f>IF(AP36&lt;=AO36,AO36+10/Parameters!$B$6,AP36)</x:f>
        <x:v>4.728767123287671</x:v>
      </x:c>
      <x:c r="AR36" s="41" t="n">
        <x:f>IF(OR(E36="Interest Rate",E36="Credit"),(EXP(-Parameters!$B$7*AO36)-EXP(-Parameters!$B$7*AQ36))/Parameters!$B$7,1)</x:f>
        <x:v>1</x:v>
      </x:c>
      <x:c r="AS36" s="40" t="n">
        <x:f>IF(OR(E36="Interest Rate",E36="Credit"),ABS(Q36)*AR36,IF(E36="FX",IF(Q36&gt;0,Q36,MAX(ABS(R36),ABS(S36),ABS(Q36))),ABS(Q36)))</x:f>
        <x:v>31700000</x:v>
      </x:c>
      <x:c r="AT36" s="42" t="n">
        <x:f>IF(OR(E36="Interest Rate",E36="FX"),VLOOKUP(E36,Parameters!$M$4:$N$11,2,FALSE),IF(E36="Credit",VLOOKUP(IF(LOWER(K36)="index","Credit Index","Credit Single Name"),Parameters!$M$4:$N$11,2,FALSE),IF(E36="Equity",VLOOKUP(IF(LOWER(K36)="index","Equity Index","Equity Single Name"),Parameters!$M$4:$N$11,2,FALSE),IF(E36="Commodity",VLOOKUP(IF(F36="Electricity","Commodity Electricity","Commodity Other"),Parameters!$M$4:$N$11,2,FALSE),1))))</x:f>
        <x:v>0.15</x:v>
      </x:c>
      <x:c r="AU36" s="27" t="n">
        <x:f>IF(W36="B",1,-1)</x:f>
        <x:v>-1</x:v>
      </x:c>
      <x:c r="AV36" s="27" t="n">
        <x:f>IF(OR(AA36="",M36=""),MAX(AE36,1/365),MAX((AA36-M36)/365,1/365))</x:f>
        <x:v>4.728767123287671</x:v>
      </x:c>
      <x:c r="AW36" s="41" t="str">
        <x:f>IF(OR(Z36&lt;=0,Y36&lt;=0,AT36&lt;=0,AV36&lt;=0),"",(LN(Z36/Y36)+0.5*AT36^2*AV36)/(AT36*SQRT(AV36)))</x:f>
      </x:c>
      <x:c r="AX36" s="41" t="n">
        <x:f>IF(AND(X36&lt;&gt;"C",X36&lt;&gt;"P"),AU36,IF(AW36="",AU36,IF(X36="C",AU36*0.5*(1+ERF(AW36/SQRT(2))),-AU36*0.5*(1+ERF(-AW36/SQRT(2))))))</x:f>
        <x:v>-1</x:v>
      </x:c>
      <x:c r="AY36" s="41" t="n">
        <x:f>IF(AJ36="M",1.5*SQRT(MAX(IF(U36="Y",5,10),IF(V36="",10,V36))/Parameters!$B$6),SQRT(MIN(MAX(AE36,10/Parameters!$B$6),1)))</x:f>
        <x:v>0.30000000000000004</x:v>
      </x:c>
      <x:c r="AZ36" s="40" t="n">
        <x:f>AS36*AX36*AY36</x:f>
        <x:v>-9510000.000000002</x:v>
      </x:c>
      <x:c r="BA36" s="40" t="n">
        <x:f>'Python_Trade_Output'!AZ36</x:f>
        <x:v>-9510000.000000002</x:v>
      </x:c>
      <x:c r="BB36" s="43" t="n">
        <x:f>AZ36-BA36</x:f>
        <x:v>0</x:v>
      </x:c>
    </x:row>
    <x:row r="37">
      <x:c r="A37" s="27" t="str">
        <x:f>'Inputs_Trades'!D37</x:f>
        <x:v>IND-000034</x:v>
      </x:c>
      <x:c r="B37" s="27" t="str">
        <x:f>'Inputs_Trades'!B37</x:f>
        <x:v>IND_ASSET_MANAGER_001</x:v>
      </x:c>
      <x:c r="C37" s="27" t="n">
        <x:f>'Inputs_Trades'!C37</x:f>
        <x:v>3127</x:v>
      </x:c>
      <x:c r="D37" s="27" t="str">
        <x:f>'Inputs_Trades'!E37</x:f>
        <x:v>FX Swap</x:v>
      </x:c>
      <x:c r="E37" s="27" t="str">
        <x:f>'Inputs_Trades'!F37</x:f>
        <x:v>FX</x:v>
      </x:c>
      <x:c r="F37" s="27" t="n">
        <x:f>'Inputs_Trades'!G37</x:f>
        <x:v>0</x:v>
      </x:c>
      <x:c r="G37" s="27" t="str">
        <x:f>'Inputs_Trades'!J37</x:f>
        <x:v>USD</x:v>
      </x:c>
      <x:c r="H37" s="27" t="str">
        <x:f>'Inputs_Trades'!H37</x:f>
        <x:v>USD</x:v>
      </x:c>
      <x:c r="I37" s="27" t="str">
        <x:f>'Inputs_Trades'!I37</x:f>
        <x:v>CNH</x:v>
      </x:c>
      <x:c r="J37" s="27" t="str">
        <x:f>'Inputs_Trades'!M37</x:f>
        <x:v>USD/CNH</x:v>
      </x:c>
      <x:c r="K37" s="27" t="n">
        <x:f>'Inputs_Trades'!N37</x:f>
        <x:v>0</x:v>
      </x:c>
      <x:c r="L37" s="27" t="n">
        <x:f>'Inputs_Trades'!O37</x:f>
        <x:v>0</x:v>
      </x:c>
      <x:c r="M37" s="39" t="n">
        <x:f>'Inputs_Trades'!A37</x:f>
        <x:v>45702</x:v>
      </x:c>
      <x:c r="N37" s="39" t="n">
        <x:f>'Inputs_Trades'!P37</x:f>
        <x:v>46492</x:v>
      </x:c>
      <x:c r="O37" s="39" t="n">
        <x:f>'Inputs_Trades'!Q37</x:f>
        <x:v>45293</x:v>
      </x:c>
      <x:c r="P37" s="39" t="n">
        <x:f>'Inputs_Trades'!R37</x:f>
        <x:v>46492</x:v>
      </x:c>
      <x:c r="Q37" s="40" t="n">
        <x:f>'Inputs_Trades'!U37</x:f>
        <x:v>204000000</x:v>
      </x:c>
      <x:c r="R37" s="40" t="n">
        <x:f>'Inputs_Trades'!S37</x:f>
        <x:v>204000000</x:v>
      </x:c>
      <x:c r="S37" s="40" t="n">
        <x:f>'Inputs_Trades'!T37</x:f>
        <x:v>1457142857.14</x:v>
      </x:c>
      <x:c r="T37" s="27" t="str">
        <x:f>'Inputs_Trades'!V37</x:f>
        <x:v>M</x:v>
      </x:c>
      <x:c r="U37" s="27" t="str">
        <x:f>'Inputs_Trades'!W37</x:f>
        <x:v>N</x:v>
      </x:c>
      <x:c r="V37" s="27" t="n">
        <x:f>'Inputs_Trades'!X37</x:f>
        <x:v>10</x:v>
      </x:c>
      <x:c r="W37" s="27" t="str">
        <x:f>'Inputs_Trades'!Y37</x:f>
        <x:v>B</x:v>
      </x:c>
      <x:c r="X37" s="27" t="n">
        <x:f>'Inputs_Trades'!AA37</x:f>
        <x:v>0</x:v>
      </x:c>
      <x:c r="Y37" s="27" t="n">
        <x:f>'Inputs_Trades'!AB37</x:f>
        <x:v>0</x:v>
      </x:c>
      <x:c r="Z37" s="27" t="n">
        <x:f>'Inputs_Trades'!AC37</x:f>
        <x:v>0</x:v>
      </x:c>
      <x:c r="AA37" s="39" t="n">
        <x:f>'Inputs_Trades'!Z37</x:f>
        <x:v>0</x:v>
      </x:c>
      <x:c r="AB37" s="40" t="n">
        <x:f>'Inputs_Trades'!AD37</x:f>
        <x:v>1409640</x:v>
      </x:c>
      <x:c r="AC37" s="27" t="n">
        <x:f>'Inputs_Trades'!K37</x:f>
        <x:v>0</x:v>
      </x:c>
      <x:c r="AD37" s="27" t="n">
        <x:f>N37-M37</x:f>
        <x:v>790</x:v>
      </x:c>
      <x:c r="AE37" s="41" t="n">
        <x:f>AD37/365</x:f>
        <x:v>2.164383561643836</x:v>
      </x:c>
      <x:c r="AF37" s="27" t="str">
        <x:f>IF(AE37&lt;1,"&lt;1Y",IF(AE37&lt;=5,"1Y-5Y","&gt;5Y"))</x:f>
        <x:v>1Y-5Y</x:v>
      </x:c>
      <x:c r="AG37" s="27" t="str">
        <x:f>IF(E37="Commodity",IFERROR(VLOOKUP(F37,Parameters!$P$4:$Q$12,2,FALSE),"Other"),"")</x:f>
      </x:c>
      <x:c r="AH37" s="27" t="str">
        <x:f>IF(F37="","Unknown",F37)</x:f>
        <x:v>Unknown</x:v>
      </x:c>
      <x:c r="AI37" s="27" t="str">
        <x:f>IF(E37="Interest Rate",G37&amp;IF(OR(LOWER(AC37)="basis",LOWER(AC37)="volatility"),"_"&amp;AC37,""),IF(E37="FX",IF(H37&lt;I37,H37&amp;"/"&amp;I37,I37&amp;"/"&amp;H37)&amp;IF(OR(LOWER(AC37)="basis",LOWER(AC37)="volatility"),"_"&amp;AC37,""),IF(OR(E37="Credit",E37="Equity"),J37&amp;IF(OR(LOWER(AC37)="basis",LOWER(AC37)="volatility"),"_"&amp;AC37,""),IF(E37="Commodity",AG37&amp;IF(OR(LOWER(AC37)="basis",LOWER(AC37)="volatility"),"_"&amp;AC37,""),"UNKNOWN"))))</x:f>
        <x:v>CNH/USD</x:v>
      </x:c>
      <x:c r="AJ37" s="27" t="str">
        <x:f>T37</x:f>
        <x:v>M</x:v>
      </x:c>
      <x:c r="AK37" s="41" t="n">
        <x:f>IF(E37="Interest Rate",VLOOKUP("Interest Rate",Parameters!$D$4:$E$12,2,FALSE),IF(E37="FX",VLOOKUP("FX",Parameters!$D$4:$E$12,2,FALSE),IF(E37="Credit",IFERROR(VLOOKUP(L37,Parameters!$G$4:$H$12,2,FALSE),VLOOKUP("BBB",Parameters!$G$4:$H$12,2,FALSE)),IF(E37="Equity",VLOOKUP(IF(LOWER(K37)="index","Equity Index","Equity Single Name"),Parameters!$D$4:$E$12,2,FALSE),IF(E37="Commodity",VLOOKUP(IFERROR(VLOOKUP(F37,Parameters!$S$4:$T$12,2,FALSE),"Commodity Other"),Parameters!$D$4:$E$12,2,FALSE),0)))))</x:f>
        <x:v>0.04</x:v>
      </x:c>
      <x:c r="AL37" s="42" t="n">
        <x:f>IF(LOWER(AC37)="basis",Parameters!$B$8,IF(LOWER(AC37)="volatility",Parameters!$B$9,1))</x:f>
        <x:v>1</x:v>
      </x:c>
      <x:c r="AM37" s="41" t="n">
        <x:f>AK37*AL37</x:f>
        <x:v>0.04</x:v>
      </x:c>
      <x:c r="AN37" s="42" t="str">
        <x:f>IF(E37="Credit",VLOOKUP(IF(LOWER(K37)="index","Credit Index","Credit Single Name"),Parameters!$J$4:$K$8,2,FALSE),IF(E37="Equity",VLOOKUP(IF(LOWER(K37)="index","Equity Index","Equity Single Name"),Parameters!$J$4:$K$8,2,FALSE),IF(E37="Commodity",VLOOKUP("Commodity",Parameters!$J$4:$K$8,2,FALSE),"")))</x:f>
      </x:c>
      <x:c r="AO37" s="27" t="n">
        <x:f>MAX((O37-M37)/365,0)</x:f>
        <x:v>0</x:v>
      </x:c>
      <x:c r="AP37" s="27" t="n">
        <x:f>MAX((P37-M37)/365,10/Parameters!$B$6)</x:f>
        <x:v>2.164383561643836</x:v>
      </x:c>
      <x:c r="AQ37" s="27" t="n">
        <x:f>IF(AP37&lt;=AO37,AO37+10/Parameters!$B$6,AP37)</x:f>
        <x:v>2.164383561643836</x:v>
      </x:c>
      <x:c r="AR37" s="41" t="n">
        <x:f>IF(OR(E37="Interest Rate",E37="Credit"),(EXP(-Parameters!$B$7*AO37)-EXP(-Parameters!$B$7*AQ37))/Parameters!$B$7,1)</x:f>
        <x:v>1</x:v>
      </x:c>
      <x:c r="AS37" s="40" t="n">
        <x:f>IF(OR(E37="Interest Rate",E37="Credit"),ABS(Q37)*AR37,IF(E37="FX",IF(Q37&gt;0,Q37,MAX(ABS(R37),ABS(S37),ABS(Q37))),ABS(Q37)))</x:f>
        <x:v>204000000</x:v>
      </x:c>
      <x:c r="AT37" s="42" t="n">
        <x:f>IF(OR(E37="Interest Rate",E37="FX"),VLOOKUP(E37,Parameters!$M$4:$N$11,2,FALSE),IF(E37="Credit",VLOOKUP(IF(LOWER(K37)="index","Credit Index","Credit Single Name"),Parameters!$M$4:$N$11,2,FALSE),IF(E37="Equity",VLOOKUP(IF(LOWER(K37)="index","Equity Index","Equity Single Name"),Parameters!$M$4:$N$11,2,FALSE),IF(E37="Commodity",VLOOKUP(IF(F37="Electricity","Commodity Electricity","Commodity Other"),Parameters!$M$4:$N$11,2,FALSE),1))))</x:f>
        <x:v>0.15</x:v>
      </x:c>
      <x:c r="AU37" s="27" t="n">
        <x:f>IF(W37="B",1,-1)</x:f>
        <x:v>1</x:v>
      </x:c>
      <x:c r="AV37" s="27" t="n">
        <x:f>IF(OR(AA37="",M37=""),MAX(AE37,1/365),MAX((AA37-M37)/365,1/365))</x:f>
        <x:v>2.164383561643836</x:v>
      </x:c>
      <x:c r="AW37" s="41" t="str">
        <x:f>IF(OR(Z37&lt;=0,Y37&lt;=0,AT37&lt;=0,AV37&lt;=0),"",(LN(Z37/Y37)+0.5*AT37^2*AV37)/(AT37*SQRT(AV37)))</x:f>
      </x:c>
      <x:c r="AX37" s="41" t="n">
        <x:f>IF(AND(X37&lt;&gt;"C",X37&lt;&gt;"P"),AU37,IF(AW37="",AU37,IF(X37="C",AU37*0.5*(1+ERF(AW37/SQRT(2))),-AU37*0.5*(1+ERF(-AW37/SQRT(2))))))</x:f>
        <x:v>1</x:v>
      </x:c>
      <x:c r="AY37" s="41" t="n">
        <x:f>IF(AJ37="M",1.5*SQRT(MAX(IF(U37="Y",5,10),IF(V37="",10,V37))/Parameters!$B$6),SQRT(MIN(MAX(AE37,10/Parameters!$B$6),1)))</x:f>
        <x:v>0.30000000000000004</x:v>
      </x:c>
      <x:c r="AZ37" s="40" t="n">
        <x:f>AS37*AX37*AY37</x:f>
        <x:v>61200000.00000001</x:v>
      </x:c>
      <x:c r="BA37" s="40" t="n">
        <x:f>'Python_Trade_Output'!AZ37</x:f>
        <x:v>61200000.00000001</x:v>
      </x:c>
      <x:c r="BB37" s="43" t="n">
        <x:f>AZ37-BA37</x:f>
        <x:v>0</x:v>
      </x:c>
    </x:row>
    <x:row r="38">
      <x:c r="A38" s="27" t="str">
        <x:f>'Inputs_Trades'!D38</x:f>
        <x:v>IND-000035</x:v>
      </x:c>
      <x:c r="B38" s="27" t="str">
        <x:f>'Inputs_Trades'!B38</x:f>
        <x:v>IND_INSURER_001</x:v>
      </x:c>
      <x:c r="C38" s="27" t="n">
        <x:f>'Inputs_Trades'!C38</x:f>
        <x:v>3094</x:v>
      </x:c>
      <x:c r="D38" s="27" t="str">
        <x:f>'Inputs_Trades'!E38</x:f>
        <x:v>FX Swap</x:v>
      </x:c>
      <x:c r="E38" s="27" t="str">
        <x:f>'Inputs_Trades'!F38</x:f>
        <x:v>FX</x:v>
      </x:c>
      <x:c r="F38" s="27" t="n">
        <x:f>'Inputs_Trades'!G38</x:f>
        <x:v>0</x:v>
      </x:c>
      <x:c r="G38" s="27" t="str">
        <x:f>'Inputs_Trades'!J38</x:f>
        <x:v>USD</x:v>
      </x:c>
      <x:c r="H38" s="27" t="str">
        <x:f>'Inputs_Trades'!H38</x:f>
        <x:v>USD</x:v>
      </x:c>
      <x:c r="I38" s="27" t="str">
        <x:f>'Inputs_Trades'!I38</x:f>
        <x:v>CNH</x:v>
      </x:c>
      <x:c r="J38" s="27" t="str">
        <x:f>'Inputs_Trades'!M38</x:f>
        <x:v>USD/CNH</x:v>
      </x:c>
      <x:c r="K38" s="27" t="n">
        <x:f>'Inputs_Trades'!N38</x:f>
        <x:v>0</x:v>
      </x:c>
      <x:c r="L38" s="27" t="n">
        <x:f>'Inputs_Trades'!O38</x:f>
        <x:v>0</x:v>
      </x:c>
      <x:c r="M38" s="39" t="n">
        <x:f>'Inputs_Trades'!A38</x:f>
        <x:v>45702</x:v>
      </x:c>
      <x:c r="N38" s="39" t="n">
        <x:f>'Inputs_Trades'!P38</x:f>
        <x:v>45737</x:v>
      </x:c>
      <x:c r="O38" s="39" t="n">
        <x:f>'Inputs_Trades'!Q38</x:f>
        <x:v>45232</x:v>
      </x:c>
      <x:c r="P38" s="39" t="n">
        <x:f>'Inputs_Trades'!R38</x:f>
        <x:v>45737</x:v>
      </x:c>
      <x:c r="Q38" s="40" t="n">
        <x:f>'Inputs_Trades'!U38</x:f>
        <x:v>102000000</x:v>
      </x:c>
      <x:c r="R38" s="40" t="n">
        <x:f>'Inputs_Trades'!S38</x:f>
        <x:v>102000000</x:v>
      </x:c>
      <x:c r="S38" s="40" t="n">
        <x:f>'Inputs_Trades'!T38</x:f>
        <x:v>728571428.57</x:v>
      </x:c>
      <x:c r="T38" s="27" t="str">
        <x:f>'Inputs_Trades'!V38</x:f>
        <x:v>U</x:v>
      </x:c>
      <x:c r="U38" s="27" t="str">
        <x:f>'Inputs_Trades'!W38</x:f>
        <x:v>N</x:v>
      </x:c>
      <x:c r="V38" s="27" t="n">
        <x:f>'Inputs_Trades'!X38</x:f>
        <x:v>0</x:v>
      </x:c>
      <x:c r="W38" s="27" t="str">
        <x:f>'Inputs_Trades'!Y38</x:f>
        <x:v>B</x:v>
      </x:c>
      <x:c r="X38" s="27" t="n">
        <x:f>'Inputs_Trades'!AA38</x:f>
        <x:v>0</x:v>
      </x:c>
      <x:c r="Y38" s="27" t="n">
        <x:f>'Inputs_Trades'!AB38</x:f>
        <x:v>0</x:v>
      </x:c>
      <x:c r="Z38" s="27" t="n">
        <x:f>'Inputs_Trades'!AC38</x:f>
        <x:v>0</x:v>
      </x:c>
      <x:c r="AA38" s="39" t="n">
        <x:f>'Inputs_Trades'!Z38</x:f>
        <x:v>0</x:v>
      </x:c>
      <x:c r="AB38" s="40" t="n">
        <x:f>'Inputs_Trades'!AD38</x:f>
        <x:v>980220</x:v>
      </x:c>
      <x:c r="AC38" s="27" t="n">
        <x:f>'Inputs_Trades'!K38</x:f>
        <x:v>0</x:v>
      </x:c>
      <x:c r="AD38" s="27" t="n">
        <x:f>N38-M38</x:f>
        <x:v>35</x:v>
      </x:c>
      <x:c r="AE38" s="41" t="n">
        <x:f>AD38/365</x:f>
        <x:v>0.0958904109589041</x:v>
      </x:c>
      <x:c r="AF38" s="27" t="str">
        <x:f>IF(AE38&lt;1,"&lt;1Y",IF(AE38&lt;=5,"1Y-5Y","&gt;5Y"))</x:f>
        <x:v>&lt;1Y</x:v>
      </x:c>
      <x:c r="AG38" s="27" t="str">
        <x:f>IF(E38="Commodity",IFERROR(VLOOKUP(F38,Parameters!$P$4:$Q$12,2,FALSE),"Other"),"")</x:f>
      </x:c>
      <x:c r="AH38" s="27" t="str">
        <x:f>IF(F38="","Unknown",F38)</x:f>
        <x:v>Unknown</x:v>
      </x:c>
      <x:c r="AI38" s="27" t="str">
        <x:f>IF(E38="Interest Rate",G38&amp;IF(OR(LOWER(AC38)="basis",LOWER(AC38)="volatility"),"_"&amp;AC38,""),IF(E38="FX",IF(H38&lt;I38,H38&amp;"/"&amp;I38,I38&amp;"/"&amp;H38)&amp;IF(OR(LOWER(AC38)="basis",LOWER(AC38)="volatility"),"_"&amp;AC38,""),IF(OR(E38="Credit",E38="Equity"),J38&amp;IF(OR(LOWER(AC38)="basis",LOWER(AC38)="volatility"),"_"&amp;AC38,""),IF(E38="Commodity",AG38&amp;IF(OR(LOWER(AC38)="basis",LOWER(AC38)="volatility"),"_"&amp;AC38,""),"UNKNOWN"))))</x:f>
        <x:v>CNH/USD</x:v>
      </x:c>
      <x:c r="AJ38" s="27" t="str">
        <x:f>T38</x:f>
        <x:v>U</x:v>
      </x:c>
      <x:c r="AK38" s="41" t="n">
        <x:f>IF(E38="Interest Rate",VLOOKUP("Interest Rate",Parameters!$D$4:$E$12,2,FALSE),IF(E38="FX",VLOOKUP("FX",Parameters!$D$4:$E$12,2,FALSE),IF(E38="Credit",IFERROR(VLOOKUP(L38,Parameters!$G$4:$H$12,2,FALSE),VLOOKUP("BBB",Parameters!$G$4:$H$12,2,FALSE)),IF(E38="Equity",VLOOKUP(IF(LOWER(K38)="index","Equity Index","Equity Single Name"),Parameters!$D$4:$E$12,2,FALSE),IF(E38="Commodity",VLOOKUP(IFERROR(VLOOKUP(F38,Parameters!$S$4:$T$12,2,FALSE),"Commodity Other"),Parameters!$D$4:$E$12,2,FALSE),0)))))</x:f>
        <x:v>0.04</x:v>
      </x:c>
      <x:c r="AL38" s="42" t="n">
        <x:f>IF(LOWER(AC38)="basis",Parameters!$B$8,IF(LOWER(AC38)="volatility",Parameters!$B$9,1))</x:f>
        <x:v>1</x:v>
      </x:c>
      <x:c r="AM38" s="41" t="n">
        <x:f>AK38*AL38</x:f>
        <x:v>0.04</x:v>
      </x:c>
      <x:c r="AN38" s="42" t="str">
        <x:f>IF(E38="Credit",VLOOKUP(IF(LOWER(K38)="index","Credit Index","Credit Single Name"),Parameters!$J$4:$K$8,2,FALSE),IF(E38="Equity",VLOOKUP(IF(LOWER(K38)="index","Equity Index","Equity Single Name"),Parameters!$J$4:$K$8,2,FALSE),IF(E38="Commodity",VLOOKUP("Commodity",Parameters!$J$4:$K$8,2,FALSE),"")))</x:f>
      </x:c>
      <x:c r="AO38" s="27" t="n">
        <x:f>MAX((O38-M38)/365,0)</x:f>
        <x:v>0</x:v>
      </x:c>
      <x:c r="AP38" s="27" t="n">
        <x:f>MAX((P38-M38)/365,10/Parameters!$B$6)</x:f>
        <x:v>0.0958904109589041</x:v>
      </x:c>
      <x:c r="AQ38" s="27" t="n">
        <x:f>IF(AP38&lt;=AO38,AO38+10/Parameters!$B$6,AP38)</x:f>
        <x:v>0.0958904109589041</x:v>
      </x:c>
      <x:c r="AR38" s="41" t="n">
        <x:f>IF(OR(E38="Interest Rate",E38="Credit"),(EXP(-Parameters!$B$7*AO38)-EXP(-Parameters!$B$7*AQ38))/Parameters!$B$7,1)</x:f>
        <x:v>1</x:v>
      </x:c>
      <x:c r="AS38" s="40" t="n">
        <x:f>IF(OR(E38="Interest Rate",E38="Credit"),ABS(Q38)*AR38,IF(E38="FX",IF(Q38&gt;0,Q38,MAX(ABS(R38),ABS(S38),ABS(Q38))),ABS(Q38)))</x:f>
        <x:v>102000000</x:v>
      </x:c>
      <x:c r="AT38" s="42" t="n">
        <x:f>IF(OR(E38="Interest Rate",E38="FX"),VLOOKUP(E38,Parameters!$M$4:$N$11,2,FALSE),IF(E38="Credit",VLOOKUP(IF(LOWER(K38)="index","Credit Index","Credit Single Name"),Parameters!$M$4:$N$11,2,FALSE),IF(E38="Equity",VLOOKUP(IF(LOWER(K38)="index","Equity Index","Equity Single Name"),Parameters!$M$4:$N$11,2,FALSE),IF(E38="Commodity",VLOOKUP(IF(F38="Electricity","Commodity Electricity","Commodity Other"),Parameters!$M$4:$N$11,2,FALSE),1))))</x:f>
        <x:v>0.15</x:v>
      </x:c>
      <x:c r="AU38" s="27" t="n">
        <x:f>IF(W38="B",1,-1)</x:f>
        <x:v>1</x:v>
      </x:c>
      <x:c r="AV38" s="27" t="n">
        <x:f>IF(OR(AA38="",M38=""),MAX(AE38,1/365),MAX((AA38-M38)/365,1/365))</x:f>
        <x:v>0.0958904109589041</x:v>
      </x:c>
      <x:c r="AW38" s="41" t="str">
        <x:f>IF(OR(Z38&lt;=0,Y38&lt;=0,AT38&lt;=0,AV38&lt;=0),"",(LN(Z38/Y38)+0.5*AT38^2*AV38)/(AT38*SQRT(AV38)))</x:f>
      </x:c>
      <x:c r="AX38" s="41" t="n">
        <x:f>IF(AND(X38&lt;&gt;"C",X38&lt;&gt;"P"),AU38,IF(AW38="",AU38,IF(X38="C",AU38*0.5*(1+ERF(AW38/SQRT(2))),-AU38*0.5*(1+ERF(-AW38/SQRT(2))))))</x:f>
        <x:v>1</x:v>
      </x:c>
      <x:c r="AY38" s="41" t="n">
        <x:f>IF(AJ38="M",1.5*SQRT(MAX(IF(U38="Y",5,10),IF(V38="",10,V38))/Parameters!$B$6),SQRT(MIN(MAX(AE38,10/Parameters!$B$6),1)))</x:f>
        <x:v>0.30966176864266615</x:v>
      </x:c>
      <x:c r="AZ38" s="40" t="n">
        <x:f>AS38*AX38*AY38</x:f>
        <x:v>31585500.401551947</x:v>
      </x:c>
      <x:c r="BA38" s="40" t="n">
        <x:f>'Python_Trade_Output'!AZ38</x:f>
        <x:v>31585500.401551947</x:v>
      </x:c>
      <x:c r="BB38" s="43" t="n">
        <x:f>AZ38-BA38</x:f>
        <x:v>0</x:v>
      </x:c>
    </x:row>
    <x:row r="39">
      <x:c r="A39" s="27" t="str">
        <x:f>'Inputs_Trades'!D39</x:f>
        <x:v>IND-000036</x:v>
      </x:c>
      <x:c r="B39" s="27" t="str">
        <x:f>'Inputs_Trades'!B39</x:f>
        <x:v>IND_REGIONAL_BANK_001</x:v>
      </x:c>
      <x:c r="C39" s="27" t="n">
        <x:f>'Inputs_Trades'!C39</x:f>
        <x:v>3245</x:v>
      </x:c>
      <x:c r="D39" s="27" t="str">
        <x:f>'Inputs_Trades'!E39</x:f>
        <x:v>FX Swap</x:v>
      </x:c>
      <x:c r="E39" s="27" t="str">
        <x:f>'Inputs_Trades'!F39</x:f>
        <x:v>FX</x:v>
      </x:c>
      <x:c r="F39" s="27" t="n">
        <x:f>'Inputs_Trades'!G39</x:f>
        <x:v>0</x:v>
      </x:c>
      <x:c r="G39" s="27" t="str">
        <x:f>'Inputs_Trades'!J39</x:f>
        <x:v>USD</x:v>
      </x:c>
      <x:c r="H39" s="27" t="str">
        <x:f>'Inputs_Trades'!H39</x:f>
        <x:v>USD</x:v>
      </x:c>
      <x:c r="I39" s="27" t="str">
        <x:f>'Inputs_Trades'!I39</x:f>
        <x:v>CNH</x:v>
      </x:c>
      <x:c r="J39" s="27" t="str">
        <x:f>'Inputs_Trades'!M39</x:f>
        <x:v>USD/CNH</x:v>
      </x:c>
      <x:c r="K39" s="27" t="n">
        <x:f>'Inputs_Trades'!N39</x:f>
        <x:v>0</x:v>
      </x:c>
      <x:c r="L39" s="27" t="n">
        <x:f>'Inputs_Trades'!O39</x:f>
        <x:v>0</x:v>
      </x:c>
      <x:c r="M39" s="39" t="n">
        <x:f>'Inputs_Trades'!A39</x:f>
        <x:v>45702</x:v>
      </x:c>
      <x:c r="N39" s="39" t="n">
        <x:f>'Inputs_Trades'!P39</x:f>
        <x:v>46292</x:v>
      </x:c>
      <x:c r="O39" s="39" t="n">
        <x:f>'Inputs_Trades'!Q39</x:f>
        <x:v>45240</x:v>
      </x:c>
      <x:c r="P39" s="39" t="n">
        <x:f>'Inputs_Trades'!R39</x:f>
        <x:v>46292</x:v>
      </x:c>
      <x:c r="Q39" s="40" t="n">
        <x:f>'Inputs_Trades'!U39</x:f>
        <x:v>2100000</x:v>
      </x:c>
      <x:c r="R39" s="40" t="n">
        <x:f>'Inputs_Trades'!S39</x:f>
        <x:v>2100000</x:v>
      </x:c>
      <x:c r="S39" s="40" t="n">
        <x:f>'Inputs_Trades'!T39</x:f>
        <x:v>15000000</x:v>
      </x:c>
      <x:c r="T39" s="27" t="str">
        <x:f>'Inputs_Trades'!V39</x:f>
        <x:v>U</x:v>
      </x:c>
      <x:c r="U39" s="27" t="str">
        <x:f>'Inputs_Trades'!W39</x:f>
        <x:v>N</x:v>
      </x:c>
      <x:c r="V39" s="27" t="n">
        <x:f>'Inputs_Trades'!X39</x:f>
        <x:v>0</x:v>
      </x:c>
      <x:c r="W39" s="27" t="str">
        <x:f>'Inputs_Trades'!Y39</x:f>
        <x:v>B</x:v>
      </x:c>
      <x:c r="X39" s="27" t="n">
        <x:f>'Inputs_Trades'!AA39</x:f>
        <x:v>0</x:v>
      </x:c>
      <x:c r="Y39" s="27" t="n">
        <x:f>'Inputs_Trades'!AB39</x:f>
        <x:v>0</x:v>
      </x:c>
      <x:c r="Z39" s="27" t="n">
        <x:f>'Inputs_Trades'!AC39</x:f>
        <x:v>0</x:v>
      </x:c>
      <x:c r="AA39" s="39" t="n">
        <x:f>'Inputs_Trades'!Z39</x:f>
        <x:v>0</x:v>
      </x:c>
      <x:c r="AB39" s="40" t="n">
        <x:f>'Inputs_Trades'!AD39</x:f>
        <x:v>-10290</x:v>
      </x:c>
      <x:c r="AC39" s="27" t="n">
        <x:f>'Inputs_Trades'!K39</x:f>
        <x:v>0</x:v>
      </x:c>
      <x:c r="AD39" s="27" t="n">
        <x:f>N39-M39</x:f>
        <x:v>590</x:v>
      </x:c>
      <x:c r="AE39" s="41" t="n">
        <x:f>AD39/365</x:f>
        <x:v>1.6164383561643836</x:v>
      </x:c>
      <x:c r="AF39" s="27" t="str">
        <x:f>IF(AE39&lt;1,"&lt;1Y",IF(AE39&lt;=5,"1Y-5Y","&gt;5Y"))</x:f>
        <x:v>1Y-5Y</x:v>
      </x:c>
      <x:c r="AG39" s="27" t="str">
        <x:f>IF(E39="Commodity",IFERROR(VLOOKUP(F39,Parameters!$P$4:$Q$12,2,FALSE),"Other"),"")</x:f>
      </x:c>
      <x:c r="AH39" s="27" t="str">
        <x:f>IF(F39="","Unknown",F39)</x:f>
        <x:v>Unknown</x:v>
      </x:c>
      <x:c r="AI39" s="27" t="str">
        <x:f>IF(E39="Interest Rate",G39&amp;IF(OR(LOWER(AC39)="basis",LOWER(AC39)="volatility"),"_"&amp;AC39,""),IF(E39="FX",IF(H39&lt;I39,H39&amp;"/"&amp;I39,I39&amp;"/"&amp;H39)&amp;IF(OR(LOWER(AC39)="basis",LOWER(AC39)="volatility"),"_"&amp;AC39,""),IF(OR(E39="Credit",E39="Equity"),J39&amp;IF(OR(LOWER(AC39)="basis",LOWER(AC39)="volatility"),"_"&amp;AC39,""),IF(E39="Commodity",AG39&amp;IF(OR(LOWER(AC39)="basis",LOWER(AC39)="volatility"),"_"&amp;AC39,""),"UNKNOWN"))))</x:f>
        <x:v>CNH/USD</x:v>
      </x:c>
      <x:c r="AJ39" s="27" t="str">
        <x:f>T39</x:f>
        <x:v>U</x:v>
      </x:c>
      <x:c r="AK39" s="41" t="n">
        <x:f>IF(E39="Interest Rate",VLOOKUP("Interest Rate",Parameters!$D$4:$E$12,2,FALSE),IF(E39="FX",VLOOKUP("FX",Parameters!$D$4:$E$12,2,FALSE),IF(E39="Credit",IFERROR(VLOOKUP(L39,Parameters!$G$4:$H$12,2,FALSE),VLOOKUP("BBB",Parameters!$G$4:$H$12,2,FALSE)),IF(E39="Equity",VLOOKUP(IF(LOWER(K39)="index","Equity Index","Equity Single Name"),Parameters!$D$4:$E$12,2,FALSE),IF(E39="Commodity",VLOOKUP(IFERROR(VLOOKUP(F39,Parameters!$S$4:$T$12,2,FALSE),"Commodity Other"),Parameters!$D$4:$E$12,2,FALSE),0)))))</x:f>
        <x:v>0.04</x:v>
      </x:c>
      <x:c r="AL39" s="42" t="n">
        <x:f>IF(LOWER(AC39)="basis",Parameters!$B$8,IF(LOWER(AC39)="volatility",Parameters!$B$9,1))</x:f>
        <x:v>1</x:v>
      </x:c>
      <x:c r="AM39" s="41" t="n">
        <x:f>AK39*AL39</x:f>
        <x:v>0.04</x:v>
      </x:c>
      <x:c r="AN39" s="42" t="str">
        <x:f>IF(E39="Credit",VLOOKUP(IF(LOWER(K39)="index","Credit Index","Credit Single Name"),Parameters!$J$4:$K$8,2,FALSE),IF(E39="Equity",VLOOKUP(IF(LOWER(K39)="index","Equity Index","Equity Single Name"),Parameters!$J$4:$K$8,2,FALSE),IF(E39="Commodity",VLOOKUP("Commodity",Parameters!$J$4:$K$8,2,FALSE),"")))</x:f>
      </x:c>
      <x:c r="AO39" s="27" t="n">
        <x:f>MAX((O39-M39)/365,0)</x:f>
        <x:v>0</x:v>
      </x:c>
      <x:c r="AP39" s="27" t="n">
        <x:f>MAX((P39-M39)/365,10/Parameters!$B$6)</x:f>
        <x:v>1.6164383561643836</x:v>
      </x:c>
      <x:c r="AQ39" s="27" t="n">
        <x:f>IF(AP39&lt;=AO39,AO39+10/Parameters!$B$6,AP39)</x:f>
        <x:v>1.6164383561643836</x:v>
      </x:c>
      <x:c r="AR39" s="41" t="n">
        <x:f>IF(OR(E39="Interest Rate",E39="Credit"),(EXP(-Parameters!$B$7*AO39)-EXP(-Parameters!$B$7*AQ39))/Parameters!$B$7,1)</x:f>
        <x:v>1</x:v>
      </x:c>
      <x:c r="AS39" s="40" t="n">
        <x:f>IF(OR(E39="Interest Rate",E39="Credit"),ABS(Q39)*AR39,IF(E39="FX",IF(Q39&gt;0,Q39,MAX(ABS(R39),ABS(S39),ABS(Q39))),ABS(Q39)))</x:f>
        <x:v>2100000</x:v>
      </x:c>
      <x:c r="AT39" s="42" t="n">
        <x:f>IF(OR(E39="Interest Rate",E39="FX"),VLOOKUP(E39,Parameters!$M$4:$N$11,2,FALSE),IF(E39="Credit",VLOOKUP(IF(LOWER(K39)="index","Credit Index","Credit Single Name"),Parameters!$M$4:$N$11,2,FALSE),IF(E39="Equity",VLOOKUP(IF(LOWER(K39)="index","Equity Index","Equity Single Name"),Parameters!$M$4:$N$11,2,FALSE),IF(E39="Commodity",VLOOKUP(IF(F39="Electricity","Commodity Electricity","Commodity Other"),Parameters!$M$4:$N$11,2,FALSE),1))))</x:f>
        <x:v>0.15</x:v>
      </x:c>
      <x:c r="AU39" s="27" t="n">
        <x:f>IF(W39="B",1,-1)</x:f>
        <x:v>1</x:v>
      </x:c>
      <x:c r="AV39" s="27" t="n">
        <x:f>IF(OR(AA39="",M39=""),MAX(AE39,1/365),MAX((AA39-M39)/365,1/365))</x:f>
        <x:v>1.6164383561643836</x:v>
      </x:c>
      <x:c r="AW39" s="41" t="str">
        <x:f>IF(OR(Z39&lt;=0,Y39&lt;=0,AT39&lt;=0,AV39&lt;=0),"",(LN(Z39/Y39)+0.5*AT39^2*AV39)/(AT39*SQRT(AV39)))</x:f>
      </x:c>
      <x:c r="AX39" s="41" t="n">
        <x:f>IF(AND(X39&lt;&gt;"C",X39&lt;&gt;"P"),AU39,IF(AW39="",AU39,IF(X39="C",AU39*0.5*(1+ERF(AW39/SQRT(2))),-AU39*0.5*(1+ERF(-AW39/SQRT(2))))))</x:f>
        <x:v>1</x:v>
      </x:c>
      <x:c r="AY39" s="41" t="n">
        <x:f>IF(AJ39="M",1.5*SQRT(MAX(IF(U39="Y",5,10),IF(V39="",10,V39))/Parameters!$B$6),SQRT(MIN(MAX(AE39,10/Parameters!$B$6),1)))</x:f>
        <x:v>1</x:v>
      </x:c>
      <x:c r="AZ39" s="40" t="n">
        <x:f>AS39*AX39*AY39</x:f>
        <x:v>2100000</x:v>
      </x:c>
      <x:c r="BA39" s="40" t="n">
        <x:f>'Python_Trade_Output'!AZ39</x:f>
        <x:v>2100000</x:v>
      </x:c>
      <x:c r="BB39" s="43" t="n">
        <x:f>AZ39-BA39</x:f>
        <x:v>0</x:v>
      </x:c>
    </x:row>
    <x:row r="40">
      <x:c r="A40" s="27" t="str">
        <x:f>'Inputs_Trades'!D40</x:f>
        <x:v>IND-000037</x:v>
      </x:c>
      <x:c r="B40" s="27" t="str">
        <x:f>'Inputs_Trades'!B40</x:f>
        <x:v>IND_CLEARING_MEMBER_001</x:v>
      </x:c>
      <x:c r="C40" s="27" t="n">
        <x:f>'Inputs_Trades'!C40</x:f>
        <x:v>3206</x:v>
      </x:c>
      <x:c r="D40" s="27" t="str">
        <x:f>'Inputs_Trades'!E40</x:f>
        <x:v>FX Swap</x:v>
      </x:c>
      <x:c r="E40" s="27" t="str">
        <x:f>'Inputs_Trades'!F40</x:f>
        <x:v>FX</x:v>
      </x:c>
      <x:c r="F40" s="27" t="n">
        <x:f>'Inputs_Trades'!G40</x:f>
        <x:v>0</x:v>
      </x:c>
      <x:c r="G40" s="27" t="str">
        <x:f>'Inputs_Trades'!J40</x:f>
        <x:v>USD</x:v>
      </x:c>
      <x:c r="H40" s="27" t="str">
        <x:f>'Inputs_Trades'!H40</x:f>
        <x:v>USD</x:v>
      </x:c>
      <x:c r="I40" s="27" t="str">
        <x:f>'Inputs_Trades'!I40</x:f>
        <x:v>JPY</x:v>
      </x:c>
      <x:c r="J40" s="27" t="str">
        <x:f>'Inputs_Trades'!M40</x:f>
        <x:v>USD/JPY</x:v>
      </x:c>
      <x:c r="K40" s="27" t="n">
        <x:f>'Inputs_Trades'!N40</x:f>
        <x:v>0</x:v>
      </x:c>
      <x:c r="L40" s="27" t="n">
        <x:f>'Inputs_Trades'!O40</x:f>
        <x:v>0</x:v>
      </x:c>
      <x:c r="M40" s="39" t="n">
        <x:f>'Inputs_Trades'!A40</x:f>
        <x:v>45702</x:v>
      </x:c>
      <x:c r="N40" s="39" t="n">
        <x:f>'Inputs_Trades'!P40</x:f>
        <x:v>47692</x:v>
      </x:c>
      <x:c r="O40" s="39" t="n">
        <x:f>'Inputs_Trades'!Q40</x:f>
        <x:v>45150</x:v>
      </x:c>
      <x:c r="P40" s="39" t="n">
        <x:f>'Inputs_Trades'!R40</x:f>
        <x:v>47692</x:v>
      </x:c>
      <x:c r="Q40" s="40" t="n">
        <x:f>'Inputs_Trades'!U40</x:f>
        <x:v>81200000</x:v>
      </x:c>
      <x:c r="R40" s="40" t="n">
        <x:f>'Inputs_Trades'!S40</x:f>
        <x:v>81200000</x:v>
      </x:c>
      <x:c r="S40" s="40" t="n">
        <x:f>'Inputs_Trades'!T40</x:f>
        <x:v>12119402985.07</x:v>
      </x:c>
      <x:c r="T40" s="27" t="str">
        <x:f>'Inputs_Trades'!V40</x:f>
        <x:v>M</x:v>
      </x:c>
      <x:c r="U40" s="27" t="str">
        <x:f>'Inputs_Trades'!W40</x:f>
        <x:v>N</x:v>
      </x:c>
      <x:c r="V40" s="27" t="n">
        <x:f>'Inputs_Trades'!X40</x:f>
        <x:v>10</x:v>
      </x:c>
      <x:c r="W40" s="27" t="str">
        <x:f>'Inputs_Trades'!Y40</x:f>
        <x:v>B</x:v>
      </x:c>
      <x:c r="X40" s="27" t="n">
        <x:f>'Inputs_Trades'!AA40</x:f>
        <x:v>0</x:v>
      </x:c>
      <x:c r="Y40" s="27" t="n">
        <x:f>'Inputs_Trades'!AB40</x:f>
        <x:v>0</x:v>
      </x:c>
      <x:c r="Z40" s="27" t="n">
        <x:f>'Inputs_Trades'!AC40</x:f>
        <x:v>0</x:v>
      </x:c>
      <x:c r="AA40" s="39" t="n">
        <x:f>'Inputs_Trades'!Z40</x:f>
        <x:v>0</x:v>
      </x:c>
      <x:c r="AB40" s="40" t="n">
        <x:f>'Inputs_Trades'!AD40</x:f>
        <x:v>345912</x:v>
      </x:c>
      <x:c r="AC40" s="27" t="n">
        <x:f>'Inputs_Trades'!K40</x:f>
        <x:v>0</x:v>
      </x:c>
      <x:c r="AD40" s="27" t="n">
        <x:f>N40-M40</x:f>
        <x:v>1990</x:v>
      </x:c>
      <x:c r="AE40" s="41" t="n">
        <x:f>AD40/365</x:f>
        <x:v>5.4520547945205475</x:v>
      </x:c>
      <x:c r="AF40" s="27" t="str">
        <x:f>IF(AE40&lt;1,"&lt;1Y",IF(AE40&lt;=5,"1Y-5Y","&gt;5Y"))</x:f>
        <x:v>&gt;5Y</x:v>
      </x:c>
      <x:c r="AG40" s="27" t="str">
        <x:f>IF(E40="Commodity",IFERROR(VLOOKUP(F40,Parameters!$P$4:$Q$12,2,FALSE),"Other"),"")</x:f>
      </x:c>
      <x:c r="AH40" s="27" t="str">
        <x:f>IF(F40="","Unknown",F40)</x:f>
        <x:v>Unknown</x:v>
      </x:c>
      <x:c r="AI40" s="27" t="str">
        <x:f>IF(E40="Interest Rate",G40&amp;IF(OR(LOWER(AC40)="basis",LOWER(AC40)="volatility"),"_"&amp;AC40,""),IF(E40="FX",IF(H40&lt;I40,H40&amp;"/"&amp;I40,I40&amp;"/"&amp;H40)&amp;IF(OR(LOWER(AC40)="basis",LOWER(AC40)="volatility"),"_"&amp;AC40,""),IF(OR(E40="Credit",E40="Equity"),J40&amp;IF(OR(LOWER(AC40)="basis",LOWER(AC40)="volatility"),"_"&amp;AC40,""),IF(E40="Commodity",AG40&amp;IF(OR(LOWER(AC40)="basis",LOWER(AC40)="volatility"),"_"&amp;AC40,""),"UNKNOWN"))))</x:f>
        <x:v>JPY/USD</x:v>
      </x:c>
      <x:c r="AJ40" s="27" t="str">
        <x:f>T40</x:f>
        <x:v>M</x:v>
      </x:c>
      <x:c r="AK40" s="41" t="n">
        <x:f>IF(E40="Interest Rate",VLOOKUP("Interest Rate",Parameters!$D$4:$E$12,2,FALSE),IF(E40="FX",VLOOKUP("FX",Parameters!$D$4:$E$12,2,FALSE),IF(E40="Credit",IFERROR(VLOOKUP(L40,Parameters!$G$4:$H$12,2,FALSE),VLOOKUP("BBB",Parameters!$G$4:$H$12,2,FALSE)),IF(E40="Equity",VLOOKUP(IF(LOWER(K40)="index","Equity Index","Equity Single Name"),Parameters!$D$4:$E$12,2,FALSE),IF(E40="Commodity",VLOOKUP(IFERROR(VLOOKUP(F40,Parameters!$S$4:$T$12,2,FALSE),"Commodity Other"),Parameters!$D$4:$E$12,2,FALSE),0)))))</x:f>
        <x:v>0.04</x:v>
      </x:c>
      <x:c r="AL40" s="42" t="n">
        <x:f>IF(LOWER(AC40)="basis",Parameters!$B$8,IF(LOWER(AC40)="volatility",Parameters!$B$9,1))</x:f>
        <x:v>1</x:v>
      </x:c>
      <x:c r="AM40" s="41" t="n">
        <x:f>AK40*AL40</x:f>
        <x:v>0.04</x:v>
      </x:c>
      <x:c r="AN40" s="42" t="str">
        <x:f>IF(E40="Credit",VLOOKUP(IF(LOWER(K40)="index","Credit Index","Credit Single Name"),Parameters!$J$4:$K$8,2,FALSE),IF(E40="Equity",VLOOKUP(IF(LOWER(K40)="index","Equity Index","Equity Single Name"),Parameters!$J$4:$K$8,2,FALSE),IF(E40="Commodity",VLOOKUP("Commodity",Parameters!$J$4:$K$8,2,FALSE),"")))</x:f>
      </x:c>
      <x:c r="AO40" s="27" t="n">
        <x:f>MAX((O40-M40)/365,0)</x:f>
        <x:v>0</x:v>
      </x:c>
      <x:c r="AP40" s="27" t="n">
        <x:f>MAX((P40-M40)/365,10/Parameters!$B$6)</x:f>
        <x:v>5.4520547945205475</x:v>
      </x:c>
      <x:c r="AQ40" s="27" t="n">
        <x:f>IF(AP40&lt;=AO40,AO40+10/Parameters!$B$6,AP40)</x:f>
        <x:v>5.4520547945205475</x:v>
      </x:c>
      <x:c r="AR40" s="41" t="n">
        <x:f>IF(OR(E40="Interest Rate",E40="Credit"),(EXP(-Parameters!$B$7*AO40)-EXP(-Parameters!$B$7*AQ40))/Parameters!$B$7,1)</x:f>
        <x:v>1</x:v>
      </x:c>
      <x:c r="AS40" s="40" t="n">
        <x:f>IF(OR(E40="Interest Rate",E40="Credit"),ABS(Q40)*AR40,IF(E40="FX",IF(Q40&gt;0,Q40,MAX(ABS(R40),ABS(S40),ABS(Q40))),ABS(Q40)))</x:f>
        <x:v>81200000</x:v>
      </x:c>
      <x:c r="AT40" s="42" t="n">
        <x:f>IF(OR(E40="Interest Rate",E40="FX"),VLOOKUP(E40,Parameters!$M$4:$N$11,2,FALSE),IF(E40="Credit",VLOOKUP(IF(LOWER(K40)="index","Credit Index","Credit Single Name"),Parameters!$M$4:$N$11,2,FALSE),IF(E40="Equity",VLOOKUP(IF(LOWER(K40)="index","Equity Index","Equity Single Name"),Parameters!$M$4:$N$11,2,FALSE),IF(E40="Commodity",VLOOKUP(IF(F40="Electricity","Commodity Electricity","Commodity Other"),Parameters!$M$4:$N$11,2,FALSE),1))))</x:f>
        <x:v>0.15</x:v>
      </x:c>
      <x:c r="AU40" s="27" t="n">
        <x:f>IF(W40="B",1,-1)</x:f>
        <x:v>1</x:v>
      </x:c>
      <x:c r="AV40" s="27" t="n">
        <x:f>IF(OR(AA40="",M40=""),MAX(AE40,1/365),MAX((AA40-M40)/365,1/365))</x:f>
        <x:v>5.4520547945205475</x:v>
      </x:c>
      <x:c r="AW40" s="41" t="str">
        <x:f>IF(OR(Z40&lt;=0,Y40&lt;=0,AT40&lt;=0,AV40&lt;=0),"",(LN(Z40/Y40)+0.5*AT40^2*AV40)/(AT40*SQRT(AV40)))</x:f>
      </x:c>
      <x:c r="AX40" s="41" t="n">
        <x:f>IF(AND(X40&lt;&gt;"C",X40&lt;&gt;"P"),AU40,IF(AW40="",AU40,IF(X40="C",AU40*0.5*(1+ERF(AW40/SQRT(2))),-AU40*0.5*(1+ERF(-AW40/SQRT(2))))))</x:f>
        <x:v>1</x:v>
      </x:c>
      <x:c r="AY40" s="41" t="n">
        <x:f>IF(AJ40="M",1.5*SQRT(MAX(IF(U40="Y",5,10),IF(V40="",10,V40))/Parameters!$B$6),SQRT(MIN(MAX(AE40,10/Parameters!$B$6),1)))</x:f>
        <x:v>0.30000000000000004</x:v>
      </x:c>
      <x:c r="AZ40" s="40" t="n">
        <x:f>AS40*AX40*AY40</x:f>
        <x:v>24360000.000000004</x:v>
      </x:c>
      <x:c r="BA40" s="40" t="n">
        <x:f>'Python_Trade_Output'!AZ40</x:f>
        <x:v>24360000.000000004</x:v>
      </x:c>
      <x:c r="BB40" s="43" t="n">
        <x:f>AZ40-BA40</x:f>
        <x:v>0</x:v>
      </x:c>
    </x:row>
    <x:row r="41">
      <x:c r="A41" s="27" t="str">
        <x:f>'Inputs_Trades'!D41</x:f>
        <x:v>IND-000038</x:v>
      </x:c>
      <x:c r="B41" s="27" t="str">
        <x:f>'Inputs_Trades'!B41</x:f>
        <x:v>IND_CORPORATE_001</x:v>
      </x:c>
      <x:c r="C41" s="27" t="n">
        <x:f>'Inputs_Trades'!C41</x:f>
        <x:v>3040</x:v>
      </x:c>
      <x:c r="D41" s="27" t="str">
        <x:f>'Inputs_Trades'!E41</x:f>
        <x:v>FX Swap</x:v>
      </x:c>
      <x:c r="E41" s="27" t="str">
        <x:f>'Inputs_Trades'!F41</x:f>
        <x:v>FX</x:v>
      </x:c>
      <x:c r="F41" s="27" t="n">
        <x:f>'Inputs_Trades'!G41</x:f>
        <x:v>0</x:v>
      </x:c>
      <x:c r="G41" s="27" t="str">
        <x:f>'Inputs_Trades'!J41</x:f>
        <x:v>USD</x:v>
      </x:c>
      <x:c r="H41" s="27" t="str">
        <x:f>'Inputs_Trades'!H41</x:f>
        <x:v>EUR</x:v>
      </x:c>
      <x:c r="I41" s="27" t="str">
        <x:f>'Inputs_Trades'!I41</x:f>
        <x:v>USD</x:v>
      </x:c>
      <x:c r="J41" s="27" t="str">
        <x:f>'Inputs_Trades'!M41</x:f>
        <x:v>EUR/USD</x:v>
      </x:c>
      <x:c r="K41" s="27" t="n">
        <x:f>'Inputs_Trades'!N41</x:f>
        <x:v>0</x:v>
      </x:c>
      <x:c r="L41" s="27" t="n">
        <x:f>'Inputs_Trades'!O41</x:f>
        <x:v>0</x:v>
      </x:c>
      <x:c r="M41" s="39" t="n">
        <x:f>'Inputs_Trades'!A41</x:f>
        <x:v>45702</x:v>
      </x:c>
      <x:c r="N41" s="39" t="n">
        <x:f>'Inputs_Trades'!P41</x:f>
        <x:v>46398</x:v>
      </x:c>
      <x:c r="O41" s="39" t="n">
        <x:f>'Inputs_Trades'!Q41</x:f>
        <x:v>45434</x:v>
      </x:c>
      <x:c r="P41" s="39" t="n">
        <x:f>'Inputs_Trades'!R41</x:f>
        <x:v>46398</x:v>
      </x:c>
      <x:c r="Q41" s="40" t="n">
        <x:f>'Inputs_Trades'!U41</x:f>
        <x:v>27000000</x:v>
      </x:c>
      <x:c r="R41" s="40" t="n">
        <x:f>'Inputs_Trades'!S41</x:f>
        <x:v>25714285.71</x:v>
      </x:c>
      <x:c r="S41" s="40" t="n">
        <x:f>'Inputs_Trades'!T41</x:f>
        <x:v>27000000</x:v>
      </x:c>
      <x:c r="T41" s="27" t="str">
        <x:f>'Inputs_Trades'!V41</x:f>
        <x:v>M</x:v>
      </x:c>
      <x:c r="U41" s="27" t="str">
        <x:f>'Inputs_Trades'!W41</x:f>
        <x:v>N</x:v>
      </x:c>
      <x:c r="V41" s="27" t="n">
        <x:f>'Inputs_Trades'!X41</x:f>
        <x:v>10</x:v>
      </x:c>
      <x:c r="W41" s="27" t="str">
        <x:f>'Inputs_Trades'!Y41</x:f>
        <x:v>B</x:v>
      </x:c>
      <x:c r="X41" s="27" t="n">
        <x:f>'Inputs_Trades'!AA41</x:f>
        <x:v>0</x:v>
      </x:c>
      <x:c r="Y41" s="27" t="n">
        <x:f>'Inputs_Trades'!AB41</x:f>
        <x:v>0</x:v>
      </x:c>
      <x:c r="Z41" s="27" t="n">
        <x:f>'Inputs_Trades'!AC41</x:f>
        <x:v>0</x:v>
      </x:c>
      <x:c r="AA41" s="39" t="n">
        <x:f>'Inputs_Trades'!Z41</x:f>
        <x:v>0</x:v>
      </x:c>
      <x:c r="AB41" s="40" t="n">
        <x:f>'Inputs_Trades'!AD41</x:f>
        <x:v>152550</x:v>
      </x:c>
      <x:c r="AC41" s="27" t="n">
        <x:f>'Inputs_Trades'!K41</x:f>
        <x:v>0</x:v>
      </x:c>
      <x:c r="AD41" s="27" t="n">
        <x:f>N41-M41</x:f>
        <x:v>696</x:v>
      </x:c>
      <x:c r="AE41" s="41" t="n">
        <x:f>AD41/365</x:f>
        <x:v>1.906849315068493</x:v>
      </x:c>
      <x:c r="AF41" s="27" t="str">
        <x:f>IF(AE41&lt;1,"&lt;1Y",IF(AE41&lt;=5,"1Y-5Y","&gt;5Y"))</x:f>
        <x:v>1Y-5Y</x:v>
      </x:c>
      <x:c r="AG41" s="27" t="str">
        <x:f>IF(E41="Commodity",IFERROR(VLOOKUP(F41,Parameters!$P$4:$Q$12,2,FALSE),"Other"),"")</x:f>
      </x:c>
      <x:c r="AH41" s="27" t="str">
        <x:f>IF(F41="","Unknown",F41)</x:f>
        <x:v>Unknown</x:v>
      </x:c>
      <x:c r="AI41" s="27" t="str">
        <x:f>IF(E41="Interest Rate",G41&amp;IF(OR(LOWER(AC41)="basis",LOWER(AC41)="volatility"),"_"&amp;AC41,""),IF(E41="FX",IF(H41&lt;I41,H41&amp;"/"&amp;I41,I41&amp;"/"&amp;H41)&amp;IF(OR(LOWER(AC41)="basis",LOWER(AC41)="volatility"),"_"&amp;AC41,""),IF(OR(E41="Credit",E41="Equity"),J41&amp;IF(OR(LOWER(AC41)="basis",LOWER(AC41)="volatility"),"_"&amp;AC41,""),IF(E41="Commodity",AG41&amp;IF(OR(LOWER(AC41)="basis",LOWER(AC41)="volatility"),"_"&amp;AC41,""),"UNKNOWN"))))</x:f>
        <x:v>EUR/USD</x:v>
      </x:c>
      <x:c r="AJ41" s="27" t="str">
        <x:f>T41</x:f>
        <x:v>M</x:v>
      </x:c>
      <x:c r="AK41" s="41" t="n">
        <x:f>IF(E41="Interest Rate",VLOOKUP("Interest Rate",Parameters!$D$4:$E$12,2,FALSE),IF(E41="FX",VLOOKUP("FX",Parameters!$D$4:$E$12,2,FALSE),IF(E41="Credit",IFERROR(VLOOKUP(L41,Parameters!$G$4:$H$12,2,FALSE),VLOOKUP("BBB",Parameters!$G$4:$H$12,2,FALSE)),IF(E41="Equity",VLOOKUP(IF(LOWER(K41)="index","Equity Index","Equity Single Name"),Parameters!$D$4:$E$12,2,FALSE),IF(E41="Commodity",VLOOKUP(IFERROR(VLOOKUP(F41,Parameters!$S$4:$T$12,2,FALSE),"Commodity Other"),Parameters!$D$4:$E$12,2,FALSE),0)))))</x:f>
        <x:v>0.04</x:v>
      </x:c>
      <x:c r="AL41" s="42" t="n">
        <x:f>IF(LOWER(AC41)="basis",Parameters!$B$8,IF(LOWER(AC41)="volatility",Parameters!$B$9,1))</x:f>
        <x:v>1</x:v>
      </x:c>
      <x:c r="AM41" s="41" t="n">
        <x:f>AK41*AL41</x:f>
        <x:v>0.04</x:v>
      </x:c>
      <x:c r="AN41" s="42" t="str">
        <x:f>IF(E41="Credit",VLOOKUP(IF(LOWER(K41)="index","Credit Index","Credit Single Name"),Parameters!$J$4:$K$8,2,FALSE),IF(E41="Equity",VLOOKUP(IF(LOWER(K41)="index","Equity Index","Equity Single Name"),Parameters!$J$4:$K$8,2,FALSE),IF(E41="Commodity",VLOOKUP("Commodity",Parameters!$J$4:$K$8,2,FALSE),"")))</x:f>
      </x:c>
      <x:c r="AO41" s="27" t="n">
        <x:f>MAX((O41-M41)/365,0)</x:f>
        <x:v>0</x:v>
      </x:c>
      <x:c r="AP41" s="27" t="n">
        <x:f>MAX((P41-M41)/365,10/Parameters!$B$6)</x:f>
        <x:v>1.906849315068493</x:v>
      </x:c>
      <x:c r="AQ41" s="27" t="n">
        <x:f>IF(AP41&lt;=AO41,AO41+10/Parameters!$B$6,AP41)</x:f>
        <x:v>1.906849315068493</x:v>
      </x:c>
      <x:c r="AR41" s="41" t="n">
        <x:f>IF(OR(E41="Interest Rate",E41="Credit"),(EXP(-Parameters!$B$7*AO41)-EXP(-Parameters!$B$7*AQ41))/Parameters!$B$7,1)</x:f>
        <x:v>1</x:v>
      </x:c>
      <x:c r="AS41" s="40" t="n">
        <x:f>IF(OR(E41="Interest Rate",E41="Credit"),ABS(Q41)*AR41,IF(E41="FX",IF(Q41&gt;0,Q41,MAX(ABS(R41),ABS(S41),ABS(Q41))),ABS(Q41)))</x:f>
        <x:v>27000000</x:v>
      </x:c>
      <x:c r="AT41" s="42" t="n">
        <x:f>IF(OR(E41="Interest Rate",E41="FX"),VLOOKUP(E41,Parameters!$M$4:$N$11,2,FALSE),IF(E41="Credit",VLOOKUP(IF(LOWER(K41)="index","Credit Index","Credit Single Name"),Parameters!$M$4:$N$11,2,FALSE),IF(E41="Equity",VLOOKUP(IF(LOWER(K41)="index","Equity Index","Equity Single Name"),Parameters!$M$4:$N$11,2,FALSE),IF(E41="Commodity",VLOOKUP(IF(F41="Electricity","Commodity Electricity","Commodity Other"),Parameters!$M$4:$N$11,2,FALSE),1))))</x:f>
        <x:v>0.15</x:v>
      </x:c>
      <x:c r="AU41" s="27" t="n">
        <x:f>IF(W41="B",1,-1)</x:f>
        <x:v>1</x:v>
      </x:c>
      <x:c r="AV41" s="27" t="n">
        <x:f>IF(OR(AA41="",M41=""),MAX(AE41,1/365),MAX((AA41-M41)/365,1/365))</x:f>
        <x:v>1.906849315068493</x:v>
      </x:c>
      <x:c r="AW41" s="41" t="str">
        <x:f>IF(OR(Z41&lt;=0,Y41&lt;=0,AT41&lt;=0,AV41&lt;=0),"",(LN(Z41/Y41)+0.5*AT41^2*AV41)/(AT41*SQRT(AV41)))</x:f>
      </x:c>
      <x:c r="AX41" s="41" t="n">
        <x:f>IF(AND(X41&lt;&gt;"C",X41&lt;&gt;"P"),AU41,IF(AW41="",AU41,IF(X41="C",AU41*0.5*(1+ERF(AW41/SQRT(2))),-AU41*0.5*(1+ERF(-AW41/SQRT(2))))))</x:f>
        <x:v>1</x:v>
      </x:c>
      <x:c r="AY41" s="41" t="n">
        <x:f>IF(AJ41="M",1.5*SQRT(MAX(IF(U41="Y",5,10),IF(V41="",10,V41))/Parameters!$B$6),SQRT(MIN(MAX(AE41,10/Parameters!$B$6),1)))</x:f>
        <x:v>0.30000000000000004</x:v>
      </x:c>
      <x:c r="AZ41" s="40" t="n">
        <x:f>AS41*AX41*AY41</x:f>
        <x:v>8100000.000000001</x:v>
      </x:c>
      <x:c r="BA41" s="40" t="n">
        <x:f>'Python_Trade_Output'!AZ41</x:f>
        <x:v>8100000.000000001</x:v>
      </x:c>
      <x:c r="BB41" s="43" t="n">
        <x:f>AZ41-BA41</x:f>
        <x:v>0</x:v>
      </x:c>
    </x:row>
    <x:row r="42">
      <x:c r="A42" s="27" t="str">
        <x:f>'Inputs_Trades'!D42</x:f>
        <x:v>IND-000039</x:v>
      </x:c>
      <x:c r="B42" s="27" t="str">
        <x:f>'Inputs_Trades'!B42</x:f>
        <x:v>IND_HEDGE_FUND_001</x:v>
      </x:c>
      <x:c r="C42" s="27" t="n">
        <x:f>'Inputs_Trades'!C42</x:f>
        <x:v>3205</x:v>
      </x:c>
      <x:c r="D42" s="27" t="str">
        <x:f>'Inputs_Trades'!E42</x:f>
        <x:v>FX Swap</x:v>
      </x:c>
      <x:c r="E42" s="27" t="str">
        <x:f>'Inputs_Trades'!F42</x:f>
        <x:v>FX</x:v>
      </x:c>
      <x:c r="F42" s="27" t="n">
        <x:f>'Inputs_Trades'!G42</x:f>
        <x:v>0</x:v>
      </x:c>
      <x:c r="G42" s="27" t="str">
        <x:f>'Inputs_Trades'!J42</x:f>
        <x:v>USD</x:v>
      </x:c>
      <x:c r="H42" s="27" t="str">
        <x:f>'Inputs_Trades'!H42</x:f>
        <x:v>USD</x:v>
      </x:c>
      <x:c r="I42" s="27" t="str">
        <x:f>'Inputs_Trades'!I42</x:f>
        <x:v>CNY</x:v>
      </x:c>
      <x:c r="J42" s="27" t="str">
        <x:f>'Inputs_Trades'!M42</x:f>
        <x:v>USD/CNY</x:v>
      </x:c>
      <x:c r="K42" s="27" t="n">
        <x:f>'Inputs_Trades'!N42</x:f>
        <x:v>0</x:v>
      </x:c>
      <x:c r="L42" s="27" t="n">
        <x:f>'Inputs_Trades'!O42</x:f>
        <x:v>0</x:v>
      </x:c>
      <x:c r="M42" s="39" t="n">
        <x:f>'Inputs_Trades'!A42</x:f>
        <x:v>45702</x:v>
      </x:c>
      <x:c r="N42" s="39" t="n">
        <x:f>'Inputs_Trades'!P42</x:f>
        <x:v>47062</x:v>
      </x:c>
      <x:c r="O42" s="39" t="n">
        <x:f>'Inputs_Trades'!Q42</x:f>
        <x:v>45667</x:v>
      </x:c>
      <x:c r="P42" s="39" t="n">
        <x:f>'Inputs_Trades'!R42</x:f>
        <x:v>47062</x:v>
      </x:c>
      <x:c r="Q42" s="40" t="n">
        <x:f>'Inputs_Trades'!U42</x:f>
        <x:v>12200000</x:v>
      </x:c>
      <x:c r="R42" s="40" t="n">
        <x:f>'Inputs_Trades'!S42</x:f>
        <x:v>12200000</x:v>
      </x:c>
      <x:c r="S42" s="40" t="n">
        <x:f>'Inputs_Trades'!T42</x:f>
        <x:v>87142857.14</x:v>
      </x:c>
      <x:c r="T42" s="27" t="str">
        <x:f>'Inputs_Trades'!V42</x:f>
        <x:v>M</x:v>
      </x:c>
      <x:c r="U42" s="27" t="str">
        <x:f>'Inputs_Trades'!W42</x:f>
        <x:v>N</x:v>
      </x:c>
      <x:c r="V42" s="27" t="n">
        <x:f>'Inputs_Trades'!X42</x:f>
        <x:v>10</x:v>
      </x:c>
      <x:c r="W42" s="27" t="str">
        <x:f>'Inputs_Trades'!Y42</x:f>
        <x:v>S</x:v>
      </x:c>
      <x:c r="X42" s="27" t="n">
        <x:f>'Inputs_Trades'!AA42</x:f>
        <x:v>0</x:v>
      </x:c>
      <x:c r="Y42" s="27" t="n">
        <x:f>'Inputs_Trades'!AB42</x:f>
        <x:v>0</x:v>
      </x:c>
      <x:c r="Z42" s="27" t="n">
        <x:f>'Inputs_Trades'!AC42</x:f>
        <x:v>0</x:v>
      </x:c>
      <x:c r="AA42" s="39" t="n">
        <x:f>'Inputs_Trades'!Z42</x:f>
        <x:v>0</x:v>
      </x:c>
      <x:c r="AB42" s="40" t="n">
        <x:f>'Inputs_Trades'!AD42</x:f>
        <x:v>-36844</x:v>
      </x:c>
      <x:c r="AC42" s="27" t="n">
        <x:f>'Inputs_Trades'!K42</x:f>
        <x:v>0</x:v>
      </x:c>
      <x:c r="AD42" s="27" t="n">
        <x:f>N42-M42</x:f>
        <x:v>1360</x:v>
      </x:c>
      <x:c r="AE42" s="41" t="n">
        <x:f>AD42/365</x:f>
        <x:v>3.7260273972602738</x:v>
      </x:c>
      <x:c r="AF42" s="27" t="str">
        <x:f>IF(AE42&lt;1,"&lt;1Y",IF(AE42&lt;=5,"1Y-5Y","&gt;5Y"))</x:f>
        <x:v>1Y-5Y</x:v>
      </x:c>
      <x:c r="AG42" s="27" t="str">
        <x:f>IF(E42="Commodity",IFERROR(VLOOKUP(F42,Parameters!$P$4:$Q$12,2,FALSE),"Other"),"")</x:f>
      </x:c>
      <x:c r="AH42" s="27" t="str">
        <x:f>IF(F42="","Unknown",F42)</x:f>
        <x:v>Unknown</x:v>
      </x:c>
      <x:c r="AI42" s="27" t="str">
        <x:f>IF(E42="Interest Rate",G42&amp;IF(OR(LOWER(AC42)="basis",LOWER(AC42)="volatility"),"_"&amp;AC42,""),IF(E42="FX",IF(H42&lt;I42,H42&amp;"/"&amp;I42,I42&amp;"/"&amp;H42)&amp;IF(OR(LOWER(AC42)="basis",LOWER(AC42)="volatility"),"_"&amp;AC42,""),IF(OR(E42="Credit",E42="Equity"),J42&amp;IF(OR(LOWER(AC42)="basis",LOWER(AC42)="volatility"),"_"&amp;AC42,""),IF(E42="Commodity",AG42&amp;IF(OR(LOWER(AC42)="basis",LOWER(AC42)="volatility"),"_"&amp;AC42,""),"UNKNOWN"))))</x:f>
        <x:v>CNY/USD</x:v>
      </x:c>
      <x:c r="AJ42" s="27" t="str">
        <x:f>T42</x:f>
        <x:v>M</x:v>
      </x:c>
      <x:c r="AK42" s="41" t="n">
        <x:f>IF(E42="Interest Rate",VLOOKUP("Interest Rate",Parameters!$D$4:$E$12,2,FALSE),IF(E42="FX",VLOOKUP("FX",Parameters!$D$4:$E$12,2,FALSE),IF(E42="Credit",IFERROR(VLOOKUP(L42,Parameters!$G$4:$H$12,2,FALSE),VLOOKUP("BBB",Parameters!$G$4:$H$12,2,FALSE)),IF(E42="Equity",VLOOKUP(IF(LOWER(K42)="index","Equity Index","Equity Single Name"),Parameters!$D$4:$E$12,2,FALSE),IF(E42="Commodity",VLOOKUP(IFERROR(VLOOKUP(F42,Parameters!$S$4:$T$12,2,FALSE),"Commodity Other"),Parameters!$D$4:$E$12,2,FALSE),0)))))</x:f>
        <x:v>0.04</x:v>
      </x:c>
      <x:c r="AL42" s="42" t="n">
        <x:f>IF(LOWER(AC42)="basis",Parameters!$B$8,IF(LOWER(AC42)="volatility",Parameters!$B$9,1))</x:f>
        <x:v>1</x:v>
      </x:c>
      <x:c r="AM42" s="41" t="n">
        <x:f>AK42*AL42</x:f>
        <x:v>0.04</x:v>
      </x:c>
      <x:c r="AN42" s="42" t="str">
        <x:f>IF(E42="Credit",VLOOKUP(IF(LOWER(K42)="index","Credit Index","Credit Single Name"),Parameters!$J$4:$K$8,2,FALSE),IF(E42="Equity",VLOOKUP(IF(LOWER(K42)="index","Equity Index","Equity Single Name"),Parameters!$J$4:$K$8,2,FALSE),IF(E42="Commodity",VLOOKUP("Commodity",Parameters!$J$4:$K$8,2,FALSE),"")))</x:f>
      </x:c>
      <x:c r="AO42" s="27" t="n">
        <x:f>MAX((O42-M42)/365,0)</x:f>
        <x:v>0</x:v>
      </x:c>
      <x:c r="AP42" s="27" t="n">
        <x:f>MAX((P42-M42)/365,10/Parameters!$B$6)</x:f>
        <x:v>3.7260273972602738</x:v>
      </x:c>
      <x:c r="AQ42" s="27" t="n">
        <x:f>IF(AP42&lt;=AO42,AO42+10/Parameters!$B$6,AP42)</x:f>
        <x:v>3.7260273972602738</x:v>
      </x:c>
      <x:c r="AR42" s="41" t="n">
        <x:f>IF(OR(E42="Interest Rate",E42="Credit"),(EXP(-Parameters!$B$7*AO42)-EXP(-Parameters!$B$7*AQ42))/Parameters!$B$7,1)</x:f>
        <x:v>1</x:v>
      </x:c>
      <x:c r="AS42" s="40" t="n">
        <x:f>IF(OR(E42="Interest Rate",E42="Credit"),ABS(Q42)*AR42,IF(E42="FX",IF(Q42&gt;0,Q42,MAX(ABS(R42),ABS(S42),ABS(Q42))),ABS(Q42)))</x:f>
        <x:v>12200000</x:v>
      </x:c>
      <x:c r="AT42" s="42" t="n">
        <x:f>IF(OR(E42="Interest Rate",E42="FX"),VLOOKUP(E42,Parameters!$M$4:$N$11,2,FALSE),IF(E42="Credit",VLOOKUP(IF(LOWER(K42)="index","Credit Index","Credit Single Name"),Parameters!$M$4:$N$11,2,FALSE),IF(E42="Equity",VLOOKUP(IF(LOWER(K42)="index","Equity Index","Equity Single Name"),Parameters!$M$4:$N$11,2,FALSE),IF(E42="Commodity",VLOOKUP(IF(F42="Electricity","Commodity Electricity","Commodity Other"),Parameters!$M$4:$N$11,2,FALSE),1))))</x:f>
        <x:v>0.15</x:v>
      </x:c>
      <x:c r="AU42" s="27" t="n">
        <x:f>IF(W42="B",1,-1)</x:f>
        <x:v>-1</x:v>
      </x:c>
      <x:c r="AV42" s="27" t="n">
        <x:f>IF(OR(AA42="",M42=""),MAX(AE42,1/365),MAX((AA42-M42)/365,1/365))</x:f>
        <x:v>3.7260273972602738</x:v>
      </x:c>
      <x:c r="AW42" s="41" t="str">
        <x:f>IF(OR(Z42&lt;=0,Y42&lt;=0,AT42&lt;=0,AV42&lt;=0),"",(LN(Z42/Y42)+0.5*AT42^2*AV42)/(AT42*SQRT(AV42)))</x:f>
      </x:c>
      <x:c r="AX42" s="41" t="n">
        <x:f>IF(AND(X42&lt;&gt;"C",X42&lt;&gt;"P"),AU42,IF(AW42="",AU42,IF(X42="C",AU42*0.5*(1+ERF(AW42/SQRT(2))),-AU42*0.5*(1+ERF(-AW42/SQRT(2))))))</x:f>
        <x:v>-1</x:v>
      </x:c>
      <x:c r="AY42" s="41" t="n">
        <x:f>IF(AJ42="M",1.5*SQRT(MAX(IF(U42="Y",5,10),IF(V42="",10,V42))/Parameters!$B$6),SQRT(MIN(MAX(AE42,10/Parameters!$B$6),1)))</x:f>
        <x:v>0.30000000000000004</x:v>
      </x:c>
      <x:c r="AZ42" s="40" t="n">
        <x:f>AS42*AX42*AY42</x:f>
        <x:v>-3660000.0000000005</x:v>
      </x:c>
      <x:c r="BA42" s="40" t="n">
        <x:f>'Python_Trade_Output'!AZ42</x:f>
        <x:v>-3660000.0000000005</x:v>
      </x:c>
      <x:c r="BB42" s="43" t="n">
        <x:f>AZ42-BA42</x:f>
        <x:v>0</x:v>
      </x:c>
    </x:row>
    <x:row r="43">
      <x:c r="A43" s="27" t="str">
        <x:f>'Inputs_Trades'!D43</x:f>
        <x:v>IND-000040</x:v>
      </x:c>
      <x:c r="B43" s="27" t="str">
        <x:f>'Inputs_Trades'!B43</x:f>
        <x:v>IND_BANK_002</x:v>
      </x:c>
      <x:c r="C43" s="27" t="n">
        <x:f>'Inputs_Trades'!C43</x:f>
        <x:v>3331</x:v>
      </x:c>
      <x:c r="D43" s="27" t="str">
        <x:f>'Inputs_Trades'!E43</x:f>
        <x:v>FX Swap</x:v>
      </x:c>
      <x:c r="E43" s="27" t="str">
        <x:f>'Inputs_Trades'!F43</x:f>
        <x:v>FX</x:v>
      </x:c>
      <x:c r="F43" s="27" t="n">
        <x:f>'Inputs_Trades'!G43</x:f>
        <x:v>0</x:v>
      </x:c>
      <x:c r="G43" s="27" t="str">
        <x:f>'Inputs_Trades'!J43</x:f>
        <x:v>USD</x:v>
      </x:c>
      <x:c r="H43" s="27" t="str">
        <x:f>'Inputs_Trades'!H43</x:f>
        <x:v>EUR</x:v>
      </x:c>
      <x:c r="I43" s="27" t="str">
        <x:f>'Inputs_Trades'!I43</x:f>
        <x:v>USD</x:v>
      </x:c>
      <x:c r="J43" s="27" t="str">
        <x:f>'Inputs_Trades'!M43</x:f>
        <x:v>EUR/USD</x:v>
      </x:c>
      <x:c r="K43" s="27" t="n">
        <x:f>'Inputs_Trades'!N43</x:f>
        <x:v>0</x:v>
      </x:c>
      <x:c r="L43" s="27" t="n">
        <x:f>'Inputs_Trades'!O43</x:f>
        <x:v>0</x:v>
      </x:c>
      <x:c r="M43" s="39" t="n">
        <x:f>'Inputs_Trades'!A43</x:f>
        <x:v>45702</x:v>
      </x:c>
      <x:c r="N43" s="39" t="n">
        <x:f>'Inputs_Trades'!P43</x:f>
        <x:v>45837</x:v>
      </x:c>
      <x:c r="O43" s="39" t="n">
        <x:f>'Inputs_Trades'!Q43</x:f>
        <x:v>45674</x:v>
      </x:c>
      <x:c r="P43" s="39" t="n">
        <x:f>'Inputs_Trades'!R43</x:f>
        <x:v>45837</x:v>
      </x:c>
      <x:c r="Q43" s="40" t="n">
        <x:f>'Inputs_Trades'!U43</x:f>
        <x:v>228000000</x:v>
      </x:c>
      <x:c r="R43" s="40" t="n">
        <x:f>'Inputs_Trades'!S43</x:f>
        <x:v>217142857.14</x:v>
      </x:c>
      <x:c r="S43" s="40" t="n">
        <x:f>'Inputs_Trades'!T43</x:f>
        <x:v>228000000</x:v>
      </x:c>
      <x:c r="T43" s="27" t="str">
        <x:f>'Inputs_Trades'!V43</x:f>
        <x:v>M</x:v>
      </x:c>
      <x:c r="U43" s="27" t="str">
        <x:f>'Inputs_Trades'!W43</x:f>
        <x:v>N</x:v>
      </x:c>
      <x:c r="V43" s="27" t="n">
        <x:f>'Inputs_Trades'!X43</x:f>
        <x:v>10</x:v>
      </x:c>
      <x:c r="W43" s="27" t="str">
        <x:f>'Inputs_Trades'!Y43</x:f>
        <x:v>B</x:v>
      </x:c>
      <x:c r="X43" s="27" t="n">
        <x:f>'Inputs_Trades'!AA43</x:f>
        <x:v>0</x:v>
      </x:c>
      <x:c r="Y43" s="27" t="n">
        <x:f>'Inputs_Trades'!AB43</x:f>
        <x:v>0</x:v>
      </x:c>
      <x:c r="Z43" s="27" t="n">
        <x:f>'Inputs_Trades'!AC43</x:f>
        <x:v>0</x:v>
      </x:c>
      <x:c r="AA43" s="39" t="n">
        <x:f>'Inputs_Trades'!Z43</x:f>
        <x:v>0</x:v>
      </x:c>
      <x:c r="AB43" s="40" t="n">
        <x:f>'Inputs_Trades'!AD43</x:f>
        <x:v>-2156880</x:v>
      </x:c>
      <x:c r="AC43" s="27" t="n">
        <x:f>'Inputs_Trades'!K43</x:f>
        <x:v>0</x:v>
      </x:c>
      <x:c r="AD43" s="27" t="n">
        <x:f>N43-M43</x:f>
        <x:v>135</x:v>
      </x:c>
      <x:c r="AE43" s="41" t="n">
        <x:f>AD43/365</x:f>
        <x:v>0.3698630136986301</x:v>
      </x:c>
      <x:c r="AF43" s="27" t="str">
        <x:f>IF(AE43&lt;1,"&lt;1Y",IF(AE43&lt;=5,"1Y-5Y","&gt;5Y"))</x:f>
        <x:v>&lt;1Y</x:v>
      </x:c>
      <x:c r="AG43" s="27" t="str">
        <x:f>IF(E43="Commodity",IFERROR(VLOOKUP(F43,Parameters!$P$4:$Q$12,2,FALSE),"Other"),"")</x:f>
      </x:c>
      <x:c r="AH43" s="27" t="str">
        <x:f>IF(F43="","Unknown",F43)</x:f>
        <x:v>Unknown</x:v>
      </x:c>
      <x:c r="AI43" s="27" t="str">
        <x:f>IF(E43="Interest Rate",G43&amp;IF(OR(LOWER(AC43)="basis",LOWER(AC43)="volatility"),"_"&amp;AC43,""),IF(E43="FX",IF(H43&lt;I43,H43&amp;"/"&amp;I43,I43&amp;"/"&amp;H43)&amp;IF(OR(LOWER(AC43)="basis",LOWER(AC43)="volatility"),"_"&amp;AC43,""),IF(OR(E43="Credit",E43="Equity"),J43&amp;IF(OR(LOWER(AC43)="basis",LOWER(AC43)="volatility"),"_"&amp;AC43,""),IF(E43="Commodity",AG43&amp;IF(OR(LOWER(AC43)="basis",LOWER(AC43)="volatility"),"_"&amp;AC43,""),"UNKNOWN"))))</x:f>
        <x:v>EUR/USD</x:v>
      </x:c>
      <x:c r="AJ43" s="27" t="str">
        <x:f>T43</x:f>
        <x:v>M</x:v>
      </x:c>
      <x:c r="AK43" s="41" t="n">
        <x:f>IF(E43="Interest Rate",VLOOKUP("Interest Rate",Parameters!$D$4:$E$12,2,FALSE),IF(E43="FX",VLOOKUP("FX",Parameters!$D$4:$E$12,2,FALSE),IF(E43="Credit",IFERROR(VLOOKUP(L43,Parameters!$G$4:$H$12,2,FALSE),VLOOKUP("BBB",Parameters!$G$4:$H$12,2,FALSE)),IF(E43="Equity",VLOOKUP(IF(LOWER(K43)="index","Equity Index","Equity Single Name"),Parameters!$D$4:$E$12,2,FALSE),IF(E43="Commodity",VLOOKUP(IFERROR(VLOOKUP(F43,Parameters!$S$4:$T$12,2,FALSE),"Commodity Other"),Parameters!$D$4:$E$12,2,FALSE),0)))))</x:f>
        <x:v>0.04</x:v>
      </x:c>
      <x:c r="AL43" s="42" t="n">
        <x:f>IF(LOWER(AC43)="basis",Parameters!$B$8,IF(LOWER(AC43)="volatility",Parameters!$B$9,1))</x:f>
        <x:v>1</x:v>
      </x:c>
      <x:c r="AM43" s="41" t="n">
        <x:f>AK43*AL43</x:f>
        <x:v>0.04</x:v>
      </x:c>
      <x:c r="AN43" s="42" t="str">
        <x:f>IF(E43="Credit",VLOOKUP(IF(LOWER(K43)="index","Credit Index","Credit Single Name"),Parameters!$J$4:$K$8,2,FALSE),IF(E43="Equity",VLOOKUP(IF(LOWER(K43)="index","Equity Index","Equity Single Name"),Parameters!$J$4:$K$8,2,FALSE),IF(E43="Commodity",VLOOKUP("Commodity",Parameters!$J$4:$K$8,2,FALSE),"")))</x:f>
      </x:c>
      <x:c r="AO43" s="27" t="n">
        <x:f>MAX((O43-M43)/365,0)</x:f>
        <x:v>0</x:v>
      </x:c>
      <x:c r="AP43" s="27" t="n">
        <x:f>MAX((P43-M43)/365,10/Parameters!$B$6)</x:f>
        <x:v>0.3698630136986301</x:v>
      </x:c>
      <x:c r="AQ43" s="27" t="n">
        <x:f>IF(AP43&lt;=AO43,AO43+10/Parameters!$B$6,AP43)</x:f>
        <x:v>0.3698630136986301</x:v>
      </x:c>
      <x:c r="AR43" s="41" t="n">
        <x:f>IF(OR(E43="Interest Rate",E43="Credit"),(EXP(-Parameters!$B$7*AO43)-EXP(-Parameters!$B$7*AQ43))/Parameters!$B$7,1)</x:f>
        <x:v>1</x:v>
      </x:c>
      <x:c r="AS43" s="40" t="n">
        <x:f>IF(OR(E43="Interest Rate",E43="Credit"),ABS(Q43)*AR43,IF(E43="FX",IF(Q43&gt;0,Q43,MAX(ABS(R43),ABS(S43),ABS(Q43))),ABS(Q43)))</x:f>
        <x:v>228000000</x:v>
      </x:c>
      <x:c r="AT43" s="42" t="n">
        <x:f>IF(OR(E43="Interest Rate",E43="FX"),VLOOKUP(E43,Parameters!$M$4:$N$11,2,FALSE),IF(E43="Credit",VLOOKUP(IF(LOWER(K43)="index","Credit Index","Credit Single Name"),Parameters!$M$4:$N$11,2,FALSE),IF(E43="Equity",VLOOKUP(IF(LOWER(K43)="index","Equity Index","Equity Single Name"),Parameters!$M$4:$N$11,2,FALSE),IF(E43="Commodity",VLOOKUP(IF(F43="Electricity","Commodity Electricity","Commodity Other"),Parameters!$M$4:$N$11,2,FALSE),1))))</x:f>
        <x:v>0.15</x:v>
      </x:c>
      <x:c r="AU43" s="27" t="n">
        <x:f>IF(W43="B",1,-1)</x:f>
        <x:v>1</x:v>
      </x:c>
      <x:c r="AV43" s="27" t="n">
        <x:f>IF(OR(AA43="",M43=""),MAX(AE43,1/365),MAX((AA43-M43)/365,1/365))</x:f>
        <x:v>0.3698630136986301</x:v>
      </x:c>
      <x:c r="AW43" s="41" t="str">
        <x:f>IF(OR(Z43&lt;=0,Y43&lt;=0,AT43&lt;=0,AV43&lt;=0),"",(LN(Z43/Y43)+0.5*AT43^2*AV43)/(AT43*SQRT(AV43)))</x:f>
      </x:c>
      <x:c r="AX43" s="41" t="n">
        <x:f>IF(AND(X43&lt;&gt;"C",X43&lt;&gt;"P"),AU43,IF(AW43="",AU43,IF(X43="C",AU43*0.5*(1+ERF(AW43/SQRT(2))),-AU43*0.5*(1+ERF(-AW43/SQRT(2))))))</x:f>
        <x:v>1</x:v>
      </x:c>
      <x:c r="AY43" s="41" t="n">
        <x:f>IF(AJ43="M",1.5*SQRT(MAX(IF(U43="Y",5,10),IF(V43="",10,V43))/Parameters!$B$6),SQRT(MIN(MAX(AE43,10/Parameters!$B$6),1)))</x:f>
        <x:v>0.30000000000000004</x:v>
      </x:c>
      <x:c r="AZ43" s="40" t="n">
        <x:f>AS43*AX43*AY43</x:f>
        <x:v>68400000.00000001</x:v>
      </x:c>
      <x:c r="BA43" s="40" t="n">
        <x:f>'Python_Trade_Output'!AZ43</x:f>
        <x:v>68400000.00000001</x:v>
      </x:c>
      <x:c r="BB43" s="43" t="n">
        <x:f>AZ43-BA43</x:f>
        <x:v>0</x:v>
      </x:c>
    </x:row>
    <x:row r="44">
      <x:c r="A44" s="27" t="str">
        <x:f>'Inputs_Trades'!D44</x:f>
        <x:v>IND-000041</x:v>
      </x:c>
      <x:c r="B44" s="27" t="str">
        <x:f>'Inputs_Trades'!B44</x:f>
        <x:v>IND_CLEARING_MEMBER_001</x:v>
      </x:c>
      <x:c r="C44" s="27" t="n">
        <x:f>'Inputs_Trades'!C44</x:f>
        <x:v>3206</x:v>
      </x:c>
      <x:c r="D44" s="27" t="str">
        <x:f>'Inputs_Trades'!E44</x:f>
        <x:v>FX Swap</x:v>
      </x:c>
      <x:c r="E44" s="27" t="str">
        <x:f>'Inputs_Trades'!F44</x:f>
        <x:v>FX</x:v>
      </x:c>
      <x:c r="F44" s="27" t="n">
        <x:f>'Inputs_Trades'!G44</x:f>
        <x:v>0</x:v>
      </x:c>
      <x:c r="G44" s="27" t="str">
        <x:f>'Inputs_Trades'!J44</x:f>
        <x:v>USD</x:v>
      </x:c>
      <x:c r="H44" s="27" t="str">
        <x:f>'Inputs_Trades'!H44</x:f>
        <x:v>USD</x:v>
      </x:c>
      <x:c r="I44" s="27" t="str">
        <x:f>'Inputs_Trades'!I44</x:f>
        <x:v>JPY</x:v>
      </x:c>
      <x:c r="J44" s="27" t="str">
        <x:f>'Inputs_Trades'!M44</x:f>
        <x:v>USD/JPY</x:v>
      </x:c>
      <x:c r="K44" s="27" t="n">
        <x:f>'Inputs_Trades'!N44</x:f>
        <x:v>0</x:v>
      </x:c>
      <x:c r="L44" s="27" t="n">
        <x:f>'Inputs_Trades'!O44</x:f>
        <x:v>0</x:v>
      </x:c>
      <x:c r="M44" s="39" t="n">
        <x:f>'Inputs_Trades'!A44</x:f>
        <x:v>45702</x:v>
      </x:c>
      <x:c r="N44" s="39" t="n">
        <x:f>'Inputs_Trades'!P44</x:f>
        <x:v>47063</x:v>
      </x:c>
      <x:c r="O44" s="39" t="n">
        <x:f>'Inputs_Trades'!Q44</x:f>
        <x:v>44804</x:v>
      </x:c>
      <x:c r="P44" s="39" t="n">
        <x:f>'Inputs_Trades'!R44</x:f>
        <x:v>47063</x:v>
      </x:c>
      <x:c r="Q44" s="40" t="n">
        <x:f>'Inputs_Trades'!U44</x:f>
        <x:v>118000000</x:v>
      </x:c>
      <x:c r="R44" s="40" t="n">
        <x:f>'Inputs_Trades'!S44</x:f>
        <x:v>118000000</x:v>
      </x:c>
      <x:c r="S44" s="40" t="n">
        <x:f>'Inputs_Trades'!T44</x:f>
        <x:v>17611940298.51</x:v>
      </x:c>
      <x:c r="T44" s="27" t="str">
        <x:f>'Inputs_Trades'!V44</x:f>
        <x:v>M</x:v>
      </x:c>
      <x:c r="U44" s="27" t="str">
        <x:f>'Inputs_Trades'!W44</x:f>
        <x:v>N</x:v>
      </x:c>
      <x:c r="V44" s="27" t="n">
        <x:f>'Inputs_Trades'!X44</x:f>
        <x:v>10</x:v>
      </x:c>
      <x:c r="W44" s="27" t="str">
        <x:f>'Inputs_Trades'!Y44</x:f>
        <x:v>S</x:v>
      </x:c>
      <x:c r="X44" s="27" t="n">
        <x:f>'Inputs_Trades'!AA44</x:f>
        <x:v>0</x:v>
      </x:c>
      <x:c r="Y44" s="27" t="n">
        <x:f>'Inputs_Trades'!AB44</x:f>
        <x:v>0</x:v>
      </x:c>
      <x:c r="Z44" s="27" t="n">
        <x:f>'Inputs_Trades'!AC44</x:f>
        <x:v>0</x:v>
      </x:c>
      <x:c r="AA44" s="39" t="n">
        <x:f>'Inputs_Trades'!Z44</x:f>
        <x:v>0</x:v>
      </x:c>
      <x:c r="AB44" s="40" t="n">
        <x:f>'Inputs_Trades'!AD44</x:f>
        <x:v>-62540</x:v>
      </x:c>
      <x:c r="AC44" s="27" t="n">
        <x:f>'Inputs_Trades'!K44</x:f>
        <x:v>0</x:v>
      </x:c>
      <x:c r="AD44" s="27" t="n">
        <x:f>N44-M44</x:f>
        <x:v>1361</x:v>
      </x:c>
      <x:c r="AE44" s="41" t="n">
        <x:f>AD44/365</x:f>
        <x:v>3.728767123287671</x:v>
      </x:c>
      <x:c r="AF44" s="27" t="str">
        <x:f>IF(AE44&lt;1,"&lt;1Y",IF(AE44&lt;=5,"1Y-5Y","&gt;5Y"))</x:f>
        <x:v>1Y-5Y</x:v>
      </x:c>
      <x:c r="AG44" s="27" t="str">
        <x:f>IF(E44="Commodity",IFERROR(VLOOKUP(F44,Parameters!$P$4:$Q$12,2,FALSE),"Other"),"")</x:f>
      </x:c>
      <x:c r="AH44" s="27" t="str">
        <x:f>IF(F44="","Unknown",F44)</x:f>
        <x:v>Unknown</x:v>
      </x:c>
      <x:c r="AI44" s="27" t="str">
        <x:f>IF(E44="Interest Rate",G44&amp;IF(OR(LOWER(AC44)="basis",LOWER(AC44)="volatility"),"_"&amp;AC44,""),IF(E44="FX",IF(H44&lt;I44,H44&amp;"/"&amp;I44,I44&amp;"/"&amp;H44)&amp;IF(OR(LOWER(AC44)="basis",LOWER(AC44)="volatility"),"_"&amp;AC44,""),IF(OR(E44="Credit",E44="Equity"),J44&amp;IF(OR(LOWER(AC44)="basis",LOWER(AC44)="volatility"),"_"&amp;AC44,""),IF(E44="Commodity",AG44&amp;IF(OR(LOWER(AC44)="basis",LOWER(AC44)="volatility"),"_"&amp;AC44,""),"UNKNOWN"))))</x:f>
        <x:v>JPY/USD</x:v>
      </x:c>
      <x:c r="AJ44" s="27" t="str">
        <x:f>T44</x:f>
        <x:v>M</x:v>
      </x:c>
      <x:c r="AK44" s="41" t="n">
        <x:f>IF(E44="Interest Rate",VLOOKUP("Interest Rate",Parameters!$D$4:$E$12,2,FALSE),IF(E44="FX",VLOOKUP("FX",Parameters!$D$4:$E$12,2,FALSE),IF(E44="Credit",IFERROR(VLOOKUP(L44,Parameters!$G$4:$H$12,2,FALSE),VLOOKUP("BBB",Parameters!$G$4:$H$12,2,FALSE)),IF(E44="Equity",VLOOKUP(IF(LOWER(K44)="index","Equity Index","Equity Single Name"),Parameters!$D$4:$E$12,2,FALSE),IF(E44="Commodity",VLOOKUP(IFERROR(VLOOKUP(F44,Parameters!$S$4:$T$12,2,FALSE),"Commodity Other"),Parameters!$D$4:$E$12,2,FALSE),0)))))</x:f>
        <x:v>0.04</x:v>
      </x:c>
      <x:c r="AL44" s="42" t="n">
        <x:f>IF(LOWER(AC44)="basis",Parameters!$B$8,IF(LOWER(AC44)="volatility",Parameters!$B$9,1))</x:f>
        <x:v>1</x:v>
      </x:c>
      <x:c r="AM44" s="41" t="n">
        <x:f>AK44*AL44</x:f>
        <x:v>0.04</x:v>
      </x:c>
      <x:c r="AN44" s="42" t="str">
        <x:f>IF(E44="Credit",VLOOKUP(IF(LOWER(K44)="index","Credit Index","Credit Single Name"),Parameters!$J$4:$K$8,2,FALSE),IF(E44="Equity",VLOOKUP(IF(LOWER(K44)="index","Equity Index","Equity Single Name"),Parameters!$J$4:$K$8,2,FALSE),IF(E44="Commodity",VLOOKUP("Commodity",Parameters!$J$4:$K$8,2,FALSE),"")))</x:f>
      </x:c>
      <x:c r="AO44" s="27" t="n">
        <x:f>MAX((O44-M44)/365,0)</x:f>
        <x:v>0</x:v>
      </x:c>
      <x:c r="AP44" s="27" t="n">
        <x:f>MAX((P44-M44)/365,10/Parameters!$B$6)</x:f>
        <x:v>3.728767123287671</x:v>
      </x:c>
      <x:c r="AQ44" s="27" t="n">
        <x:f>IF(AP44&lt;=AO44,AO44+10/Parameters!$B$6,AP44)</x:f>
        <x:v>3.728767123287671</x:v>
      </x:c>
      <x:c r="AR44" s="41" t="n">
        <x:f>IF(OR(E44="Interest Rate",E44="Credit"),(EXP(-Parameters!$B$7*AO44)-EXP(-Parameters!$B$7*AQ44))/Parameters!$B$7,1)</x:f>
        <x:v>1</x:v>
      </x:c>
      <x:c r="AS44" s="40" t="n">
        <x:f>IF(OR(E44="Interest Rate",E44="Credit"),ABS(Q44)*AR44,IF(E44="FX",IF(Q44&gt;0,Q44,MAX(ABS(R44),ABS(S44),ABS(Q44))),ABS(Q44)))</x:f>
        <x:v>118000000</x:v>
      </x:c>
      <x:c r="AT44" s="42" t="n">
        <x:f>IF(OR(E44="Interest Rate",E44="FX"),VLOOKUP(E44,Parameters!$M$4:$N$11,2,FALSE),IF(E44="Credit",VLOOKUP(IF(LOWER(K44)="index","Credit Index","Credit Single Name"),Parameters!$M$4:$N$11,2,FALSE),IF(E44="Equity",VLOOKUP(IF(LOWER(K44)="index","Equity Index","Equity Single Name"),Parameters!$M$4:$N$11,2,FALSE),IF(E44="Commodity",VLOOKUP(IF(F44="Electricity","Commodity Electricity","Commodity Other"),Parameters!$M$4:$N$11,2,FALSE),1))))</x:f>
        <x:v>0.15</x:v>
      </x:c>
      <x:c r="AU44" s="27" t="n">
        <x:f>IF(W44="B",1,-1)</x:f>
        <x:v>-1</x:v>
      </x:c>
      <x:c r="AV44" s="27" t="n">
        <x:f>IF(OR(AA44="",M44=""),MAX(AE44,1/365),MAX((AA44-M44)/365,1/365))</x:f>
        <x:v>3.728767123287671</x:v>
      </x:c>
      <x:c r="AW44" s="41" t="str">
        <x:f>IF(OR(Z44&lt;=0,Y44&lt;=0,AT44&lt;=0,AV44&lt;=0),"",(LN(Z44/Y44)+0.5*AT44^2*AV44)/(AT44*SQRT(AV44)))</x:f>
      </x:c>
      <x:c r="AX44" s="41" t="n">
        <x:f>IF(AND(X44&lt;&gt;"C",X44&lt;&gt;"P"),AU44,IF(AW44="",AU44,IF(X44="C",AU44*0.5*(1+ERF(AW44/SQRT(2))),-AU44*0.5*(1+ERF(-AW44/SQRT(2))))))</x:f>
        <x:v>-1</x:v>
      </x:c>
      <x:c r="AY44" s="41" t="n">
        <x:f>IF(AJ44="M",1.5*SQRT(MAX(IF(U44="Y",5,10),IF(V44="",10,V44))/Parameters!$B$6),SQRT(MIN(MAX(AE44,10/Parameters!$B$6),1)))</x:f>
        <x:v>0.30000000000000004</x:v>
      </x:c>
      <x:c r="AZ44" s="40" t="n">
        <x:f>AS44*AX44*AY44</x:f>
        <x:v>-35400000.00000001</x:v>
      </x:c>
      <x:c r="BA44" s="40" t="n">
        <x:f>'Python_Trade_Output'!AZ44</x:f>
        <x:v>-35400000.00000001</x:v>
      </x:c>
      <x:c r="BB44" s="43" t="n">
        <x:f>AZ44-BA44</x:f>
        <x:v>0</x:v>
      </x:c>
    </x:row>
    <x:row r="45">
      <x:c r="A45" s="27" t="str">
        <x:f>'Inputs_Trades'!D45</x:f>
        <x:v>IND-000042</x:v>
      </x:c>
      <x:c r="B45" s="27" t="str">
        <x:f>'Inputs_Trades'!B45</x:f>
        <x:v>IND_REGIONAL_BANK_001</x:v>
      </x:c>
      <x:c r="C45" s="27" t="n">
        <x:f>'Inputs_Trades'!C45</x:f>
        <x:v>3210</x:v>
      </x:c>
      <x:c r="D45" s="27" t="str">
        <x:f>'Inputs_Trades'!E45</x:f>
        <x:v>FX Swap</x:v>
      </x:c>
      <x:c r="E45" s="27" t="str">
        <x:f>'Inputs_Trades'!F45</x:f>
        <x:v>FX</x:v>
      </x:c>
      <x:c r="F45" s="27" t="n">
        <x:f>'Inputs_Trades'!G45</x:f>
        <x:v>0</x:v>
      </x:c>
      <x:c r="G45" s="27" t="str">
        <x:f>'Inputs_Trades'!J45</x:f>
        <x:v>USD</x:v>
      </x:c>
      <x:c r="H45" s="27" t="str">
        <x:f>'Inputs_Trades'!H45</x:f>
        <x:v>USD</x:v>
      </x:c>
      <x:c r="I45" s="27" t="str">
        <x:f>'Inputs_Trades'!I45</x:f>
        <x:v>CNH</x:v>
      </x:c>
      <x:c r="J45" s="27" t="str">
        <x:f>'Inputs_Trades'!M45</x:f>
        <x:v>USD/CNH</x:v>
      </x:c>
      <x:c r="K45" s="27" t="n">
        <x:f>'Inputs_Trades'!N45</x:f>
        <x:v>0</x:v>
      </x:c>
      <x:c r="L45" s="27" t="n">
        <x:f>'Inputs_Trades'!O45</x:f>
        <x:v>0</x:v>
      </x:c>
      <x:c r="M45" s="39" t="n">
        <x:f>'Inputs_Trades'!A45</x:f>
        <x:v>45702</x:v>
      </x:c>
      <x:c r="N45" s="39" t="n">
        <x:f>'Inputs_Trades'!P45</x:f>
        <x:v>47334</x:v>
      </x:c>
      <x:c r="O45" s="39" t="n">
        <x:f>'Inputs_Trades'!Q45</x:f>
        <x:v>45073</x:v>
      </x:c>
      <x:c r="P45" s="39" t="n">
        <x:f>'Inputs_Trades'!R45</x:f>
        <x:v>47334</x:v>
      </x:c>
      <x:c r="Q45" s="40" t="n">
        <x:f>'Inputs_Trades'!U45</x:f>
        <x:v>79400000</x:v>
      </x:c>
      <x:c r="R45" s="40" t="n">
        <x:f>'Inputs_Trades'!S45</x:f>
        <x:v>79400000</x:v>
      </x:c>
      <x:c r="S45" s="40" t="n">
        <x:f>'Inputs_Trades'!T45</x:f>
        <x:v>567142857.14</x:v>
      </x:c>
      <x:c r="T45" s="27" t="str">
        <x:f>'Inputs_Trades'!V45</x:f>
        <x:v>M</x:v>
      </x:c>
      <x:c r="U45" s="27" t="str">
        <x:f>'Inputs_Trades'!W45</x:f>
        <x:v>N</x:v>
      </x:c>
      <x:c r="V45" s="27" t="n">
        <x:f>'Inputs_Trades'!X45</x:f>
        <x:v>10</x:v>
      </x:c>
      <x:c r="W45" s="27" t="str">
        <x:f>'Inputs_Trades'!Y45</x:f>
        <x:v>S</x:v>
      </x:c>
      <x:c r="X45" s="27" t="n">
        <x:f>'Inputs_Trades'!AA45</x:f>
        <x:v>0</x:v>
      </x:c>
      <x:c r="Y45" s="27" t="n">
        <x:f>'Inputs_Trades'!AB45</x:f>
        <x:v>0</x:v>
      </x:c>
      <x:c r="Z45" s="27" t="n">
        <x:f>'Inputs_Trades'!AC45</x:f>
        <x:v>0</x:v>
      </x:c>
      <x:c r="AA45" s="39" t="n">
        <x:f>'Inputs_Trades'!Z45</x:f>
        <x:v>0</x:v>
      </x:c>
      <x:c r="AB45" s="40" t="n">
        <x:f>'Inputs_Trades'!AD45</x:f>
        <x:v>576444</x:v>
      </x:c>
      <x:c r="AC45" s="27" t="n">
        <x:f>'Inputs_Trades'!K45</x:f>
        <x:v>0</x:v>
      </x:c>
      <x:c r="AD45" s="27" t="n">
        <x:f>N45-M45</x:f>
        <x:v>1632</x:v>
      </x:c>
      <x:c r="AE45" s="41" t="n">
        <x:f>AD45/365</x:f>
        <x:v>4.471232876712329</x:v>
      </x:c>
      <x:c r="AF45" s="27" t="str">
        <x:f>IF(AE45&lt;1,"&lt;1Y",IF(AE45&lt;=5,"1Y-5Y","&gt;5Y"))</x:f>
        <x:v>1Y-5Y</x:v>
      </x:c>
      <x:c r="AG45" s="27" t="str">
        <x:f>IF(E45="Commodity",IFERROR(VLOOKUP(F45,Parameters!$P$4:$Q$12,2,FALSE),"Other"),"")</x:f>
      </x:c>
      <x:c r="AH45" s="27" t="str">
        <x:f>IF(F45="","Unknown",F45)</x:f>
        <x:v>Unknown</x:v>
      </x:c>
      <x:c r="AI45" s="27" t="str">
        <x:f>IF(E45="Interest Rate",G45&amp;IF(OR(LOWER(AC45)="basis",LOWER(AC45)="volatility"),"_"&amp;AC45,""),IF(E45="FX",IF(H45&lt;I45,H45&amp;"/"&amp;I45,I45&amp;"/"&amp;H45)&amp;IF(OR(LOWER(AC45)="basis",LOWER(AC45)="volatility"),"_"&amp;AC45,""),IF(OR(E45="Credit",E45="Equity"),J45&amp;IF(OR(LOWER(AC45)="basis",LOWER(AC45)="volatility"),"_"&amp;AC45,""),IF(E45="Commodity",AG45&amp;IF(OR(LOWER(AC45)="basis",LOWER(AC45)="volatility"),"_"&amp;AC45,""),"UNKNOWN"))))</x:f>
        <x:v>CNH/USD</x:v>
      </x:c>
      <x:c r="AJ45" s="27" t="str">
        <x:f>T45</x:f>
        <x:v>M</x:v>
      </x:c>
      <x:c r="AK45" s="41" t="n">
        <x:f>IF(E45="Interest Rate",VLOOKUP("Interest Rate",Parameters!$D$4:$E$12,2,FALSE),IF(E45="FX",VLOOKUP("FX",Parameters!$D$4:$E$12,2,FALSE),IF(E45="Credit",IFERROR(VLOOKUP(L45,Parameters!$G$4:$H$12,2,FALSE),VLOOKUP("BBB",Parameters!$G$4:$H$12,2,FALSE)),IF(E45="Equity",VLOOKUP(IF(LOWER(K45)="index","Equity Index","Equity Single Name"),Parameters!$D$4:$E$12,2,FALSE),IF(E45="Commodity",VLOOKUP(IFERROR(VLOOKUP(F45,Parameters!$S$4:$T$12,2,FALSE),"Commodity Other"),Parameters!$D$4:$E$12,2,FALSE),0)))))</x:f>
        <x:v>0.04</x:v>
      </x:c>
      <x:c r="AL45" s="42" t="n">
        <x:f>IF(LOWER(AC45)="basis",Parameters!$B$8,IF(LOWER(AC45)="volatility",Parameters!$B$9,1))</x:f>
        <x:v>1</x:v>
      </x:c>
      <x:c r="AM45" s="41" t="n">
        <x:f>AK45*AL45</x:f>
        <x:v>0.04</x:v>
      </x:c>
      <x:c r="AN45" s="42" t="str">
        <x:f>IF(E45="Credit",VLOOKUP(IF(LOWER(K45)="index","Credit Index","Credit Single Name"),Parameters!$J$4:$K$8,2,FALSE),IF(E45="Equity",VLOOKUP(IF(LOWER(K45)="index","Equity Index","Equity Single Name"),Parameters!$J$4:$K$8,2,FALSE),IF(E45="Commodity",VLOOKUP("Commodity",Parameters!$J$4:$K$8,2,FALSE),"")))</x:f>
      </x:c>
      <x:c r="AO45" s="27" t="n">
        <x:f>MAX((O45-M45)/365,0)</x:f>
        <x:v>0</x:v>
      </x:c>
      <x:c r="AP45" s="27" t="n">
        <x:f>MAX((P45-M45)/365,10/Parameters!$B$6)</x:f>
        <x:v>4.471232876712329</x:v>
      </x:c>
      <x:c r="AQ45" s="27" t="n">
        <x:f>IF(AP45&lt;=AO45,AO45+10/Parameters!$B$6,AP45)</x:f>
        <x:v>4.471232876712329</x:v>
      </x:c>
      <x:c r="AR45" s="41" t="n">
        <x:f>IF(OR(E45="Interest Rate",E45="Credit"),(EXP(-Parameters!$B$7*AO45)-EXP(-Parameters!$B$7*AQ45))/Parameters!$B$7,1)</x:f>
        <x:v>1</x:v>
      </x:c>
      <x:c r="AS45" s="40" t="n">
        <x:f>IF(OR(E45="Interest Rate",E45="Credit"),ABS(Q45)*AR45,IF(E45="FX",IF(Q45&gt;0,Q45,MAX(ABS(R45),ABS(S45),ABS(Q45))),ABS(Q45)))</x:f>
        <x:v>79400000</x:v>
      </x:c>
      <x:c r="AT45" s="42" t="n">
        <x:f>IF(OR(E45="Interest Rate",E45="FX"),VLOOKUP(E45,Parameters!$M$4:$N$11,2,FALSE),IF(E45="Credit",VLOOKUP(IF(LOWER(K45)="index","Credit Index","Credit Single Name"),Parameters!$M$4:$N$11,2,FALSE),IF(E45="Equity",VLOOKUP(IF(LOWER(K45)="index","Equity Index","Equity Single Name"),Parameters!$M$4:$N$11,2,FALSE),IF(E45="Commodity",VLOOKUP(IF(F45="Electricity","Commodity Electricity","Commodity Other"),Parameters!$M$4:$N$11,2,FALSE),1))))</x:f>
        <x:v>0.15</x:v>
      </x:c>
      <x:c r="AU45" s="27" t="n">
        <x:f>IF(W45="B",1,-1)</x:f>
        <x:v>-1</x:v>
      </x:c>
      <x:c r="AV45" s="27" t="n">
        <x:f>IF(OR(AA45="",M45=""),MAX(AE45,1/365),MAX((AA45-M45)/365,1/365))</x:f>
        <x:v>4.471232876712329</x:v>
      </x:c>
      <x:c r="AW45" s="41" t="str">
        <x:f>IF(OR(Z45&lt;=0,Y45&lt;=0,AT45&lt;=0,AV45&lt;=0),"",(LN(Z45/Y45)+0.5*AT45^2*AV45)/(AT45*SQRT(AV45)))</x:f>
      </x:c>
      <x:c r="AX45" s="41" t="n">
        <x:f>IF(AND(X45&lt;&gt;"C",X45&lt;&gt;"P"),AU45,IF(AW45="",AU45,IF(X45="C",AU45*0.5*(1+ERF(AW45/SQRT(2))),-AU45*0.5*(1+ERF(-AW45/SQRT(2))))))</x:f>
        <x:v>-1</x:v>
      </x:c>
      <x:c r="AY45" s="41" t="n">
        <x:f>IF(AJ45="M",1.5*SQRT(MAX(IF(U45="Y",5,10),IF(V45="",10,V45))/Parameters!$B$6),SQRT(MIN(MAX(AE45,10/Parameters!$B$6),1)))</x:f>
        <x:v>0.30000000000000004</x:v>
      </x:c>
      <x:c r="AZ45" s="40" t="n">
        <x:f>AS45*AX45*AY45</x:f>
        <x:v>-23820000.000000004</x:v>
      </x:c>
      <x:c r="BA45" s="40" t="n">
        <x:f>'Python_Trade_Output'!AZ45</x:f>
        <x:v>-23820000.000000004</x:v>
      </x:c>
      <x:c r="BB45" s="43" t="n">
        <x:f>AZ45-BA45</x:f>
        <x:v>0</x:v>
      </x:c>
    </x:row>
    <x:row r="46">
      <x:c r="A46" s="27" t="str">
        <x:f>'Inputs_Trades'!D46</x:f>
        <x:v>IND-000043</x:v>
      </x:c>
      <x:c r="B46" s="27" t="str">
        <x:f>'Inputs_Trades'!B46</x:f>
        <x:v>IND_HEDGE_FUND_001</x:v>
      </x:c>
      <x:c r="C46" s="27" t="n">
        <x:f>'Inputs_Trades'!C46</x:f>
        <x:v>3040</x:v>
      </x:c>
      <x:c r="D46" s="27" t="str">
        <x:f>'Inputs_Trades'!E46</x:f>
        <x:v>FX Swap</x:v>
      </x:c>
      <x:c r="E46" s="27" t="str">
        <x:f>'Inputs_Trades'!F46</x:f>
        <x:v>FX</x:v>
      </x:c>
      <x:c r="F46" s="27" t="n">
        <x:f>'Inputs_Trades'!G46</x:f>
        <x:v>0</x:v>
      </x:c>
      <x:c r="G46" s="27" t="str">
        <x:f>'Inputs_Trades'!J46</x:f>
        <x:v>USD</x:v>
      </x:c>
      <x:c r="H46" s="27" t="str">
        <x:f>'Inputs_Trades'!H46</x:f>
        <x:v>USD</x:v>
      </x:c>
      <x:c r="I46" s="27" t="str">
        <x:f>'Inputs_Trades'!I46</x:f>
        <x:v>CNY</x:v>
      </x:c>
      <x:c r="J46" s="27" t="str">
        <x:f>'Inputs_Trades'!M46</x:f>
        <x:v>USD/CNY</x:v>
      </x:c>
      <x:c r="K46" s="27" t="n">
        <x:f>'Inputs_Trades'!N46</x:f>
        <x:v>0</x:v>
      </x:c>
      <x:c r="L46" s="27" t="n">
        <x:f>'Inputs_Trades'!O46</x:f>
        <x:v>0</x:v>
      </x:c>
      <x:c r="M46" s="39" t="n">
        <x:f>'Inputs_Trades'!A46</x:f>
        <x:v>45702</x:v>
      </x:c>
      <x:c r="N46" s="39" t="n">
        <x:f>'Inputs_Trades'!P46</x:f>
        <x:v>46562</x:v>
      </x:c>
      <x:c r="O46" s="39" t="n">
        <x:f>'Inputs_Trades'!Q46</x:f>
        <x:v>45289</x:v>
      </x:c>
      <x:c r="P46" s="39" t="n">
        <x:f>'Inputs_Trades'!R46</x:f>
        <x:v>46562</x:v>
      </x:c>
      <x:c r="Q46" s="40" t="n">
        <x:f>'Inputs_Trades'!U46</x:f>
        <x:v>62700000</x:v>
      </x:c>
      <x:c r="R46" s="40" t="n">
        <x:f>'Inputs_Trades'!S46</x:f>
        <x:v>62700000</x:v>
      </x:c>
      <x:c r="S46" s="40" t="n">
        <x:f>'Inputs_Trades'!T46</x:f>
        <x:v>447857142.86</x:v>
      </x:c>
      <x:c r="T46" s="27" t="str">
        <x:f>'Inputs_Trades'!V46</x:f>
        <x:v>U</x:v>
      </x:c>
      <x:c r="U46" s="27" t="str">
        <x:f>'Inputs_Trades'!W46</x:f>
        <x:v>N</x:v>
      </x:c>
      <x:c r="V46" s="27" t="n">
        <x:f>'Inputs_Trades'!X46</x:f>
        <x:v>0</x:v>
      </x:c>
      <x:c r="W46" s="27" t="str">
        <x:f>'Inputs_Trades'!Y46</x:f>
        <x:v>B</x:v>
      </x:c>
      <x:c r="X46" s="27" t="n">
        <x:f>'Inputs_Trades'!AA46</x:f>
        <x:v>0</x:v>
      </x:c>
      <x:c r="Y46" s="27" t="n">
        <x:f>'Inputs_Trades'!AB46</x:f>
        <x:v>0</x:v>
      </x:c>
      <x:c r="Z46" s="27" t="n">
        <x:f>'Inputs_Trades'!AC46</x:f>
        <x:v>0</x:v>
      </x:c>
      <x:c r="AA46" s="39" t="n">
        <x:f>'Inputs_Trades'!Z46</x:f>
        <x:v>0</x:v>
      </x:c>
      <x:c r="AB46" s="40" t="n">
        <x:f>'Inputs_Trades'!AD46</x:f>
        <x:v>433884</x:v>
      </x:c>
      <x:c r="AC46" s="27" t="n">
        <x:f>'Inputs_Trades'!K46</x:f>
        <x:v>0</x:v>
      </x:c>
      <x:c r="AD46" s="27" t="n">
        <x:f>N46-M46</x:f>
        <x:v>860</x:v>
      </x:c>
      <x:c r="AE46" s="41" t="n">
        <x:f>AD46/365</x:f>
        <x:v>2.356164383561644</x:v>
      </x:c>
      <x:c r="AF46" s="27" t="str">
        <x:f>IF(AE46&lt;1,"&lt;1Y",IF(AE46&lt;=5,"1Y-5Y","&gt;5Y"))</x:f>
        <x:v>1Y-5Y</x:v>
      </x:c>
      <x:c r="AG46" s="27" t="str">
        <x:f>IF(E46="Commodity",IFERROR(VLOOKUP(F46,Parameters!$P$4:$Q$12,2,FALSE),"Other"),"")</x:f>
      </x:c>
      <x:c r="AH46" s="27" t="str">
        <x:f>IF(F46="","Unknown",F46)</x:f>
        <x:v>Unknown</x:v>
      </x:c>
      <x:c r="AI46" s="27" t="str">
        <x:f>IF(E46="Interest Rate",G46&amp;IF(OR(LOWER(AC46)="basis",LOWER(AC46)="volatility"),"_"&amp;AC46,""),IF(E46="FX",IF(H46&lt;I46,H46&amp;"/"&amp;I46,I46&amp;"/"&amp;H46)&amp;IF(OR(LOWER(AC46)="basis",LOWER(AC46)="volatility"),"_"&amp;AC46,""),IF(OR(E46="Credit",E46="Equity"),J46&amp;IF(OR(LOWER(AC46)="basis",LOWER(AC46)="volatility"),"_"&amp;AC46,""),IF(E46="Commodity",AG46&amp;IF(OR(LOWER(AC46)="basis",LOWER(AC46)="volatility"),"_"&amp;AC46,""),"UNKNOWN"))))</x:f>
        <x:v>CNY/USD</x:v>
      </x:c>
      <x:c r="AJ46" s="27" t="str">
        <x:f>T46</x:f>
        <x:v>U</x:v>
      </x:c>
      <x:c r="AK46" s="41" t="n">
        <x:f>IF(E46="Interest Rate",VLOOKUP("Interest Rate",Parameters!$D$4:$E$12,2,FALSE),IF(E46="FX",VLOOKUP("FX",Parameters!$D$4:$E$12,2,FALSE),IF(E46="Credit",IFERROR(VLOOKUP(L46,Parameters!$G$4:$H$12,2,FALSE),VLOOKUP("BBB",Parameters!$G$4:$H$12,2,FALSE)),IF(E46="Equity",VLOOKUP(IF(LOWER(K46)="index","Equity Index","Equity Single Name"),Parameters!$D$4:$E$12,2,FALSE),IF(E46="Commodity",VLOOKUP(IFERROR(VLOOKUP(F46,Parameters!$S$4:$T$12,2,FALSE),"Commodity Other"),Parameters!$D$4:$E$12,2,FALSE),0)))))</x:f>
        <x:v>0.04</x:v>
      </x:c>
      <x:c r="AL46" s="42" t="n">
        <x:f>IF(LOWER(AC46)="basis",Parameters!$B$8,IF(LOWER(AC46)="volatility",Parameters!$B$9,1))</x:f>
        <x:v>1</x:v>
      </x:c>
      <x:c r="AM46" s="41" t="n">
        <x:f>AK46*AL46</x:f>
        <x:v>0.04</x:v>
      </x:c>
      <x:c r="AN46" s="42" t="str">
        <x:f>IF(E46="Credit",VLOOKUP(IF(LOWER(K46)="index","Credit Index","Credit Single Name"),Parameters!$J$4:$K$8,2,FALSE),IF(E46="Equity",VLOOKUP(IF(LOWER(K46)="index","Equity Index","Equity Single Name"),Parameters!$J$4:$K$8,2,FALSE),IF(E46="Commodity",VLOOKUP("Commodity",Parameters!$J$4:$K$8,2,FALSE),"")))</x:f>
      </x:c>
      <x:c r="AO46" s="27" t="n">
        <x:f>MAX((O46-M46)/365,0)</x:f>
        <x:v>0</x:v>
      </x:c>
      <x:c r="AP46" s="27" t="n">
        <x:f>MAX((P46-M46)/365,10/Parameters!$B$6)</x:f>
        <x:v>2.356164383561644</x:v>
      </x:c>
      <x:c r="AQ46" s="27" t="n">
        <x:f>IF(AP46&lt;=AO46,AO46+10/Parameters!$B$6,AP46)</x:f>
        <x:v>2.356164383561644</x:v>
      </x:c>
      <x:c r="AR46" s="41" t="n">
        <x:f>IF(OR(E46="Interest Rate",E46="Credit"),(EXP(-Parameters!$B$7*AO46)-EXP(-Parameters!$B$7*AQ46))/Parameters!$B$7,1)</x:f>
        <x:v>1</x:v>
      </x:c>
      <x:c r="AS46" s="40" t="n">
        <x:f>IF(OR(E46="Interest Rate",E46="Credit"),ABS(Q46)*AR46,IF(E46="FX",IF(Q46&gt;0,Q46,MAX(ABS(R46),ABS(S46),ABS(Q46))),ABS(Q46)))</x:f>
        <x:v>62700000</x:v>
      </x:c>
      <x:c r="AT46" s="42" t="n">
        <x:f>IF(OR(E46="Interest Rate",E46="FX"),VLOOKUP(E46,Parameters!$M$4:$N$11,2,FALSE),IF(E46="Credit",VLOOKUP(IF(LOWER(K46)="index","Credit Index","Credit Single Name"),Parameters!$M$4:$N$11,2,FALSE),IF(E46="Equity",VLOOKUP(IF(LOWER(K46)="index","Equity Index","Equity Single Name"),Parameters!$M$4:$N$11,2,FALSE),IF(E46="Commodity",VLOOKUP(IF(F46="Electricity","Commodity Electricity","Commodity Other"),Parameters!$M$4:$N$11,2,FALSE),1))))</x:f>
        <x:v>0.15</x:v>
      </x:c>
      <x:c r="AU46" s="27" t="n">
        <x:f>IF(W46="B",1,-1)</x:f>
        <x:v>1</x:v>
      </x:c>
      <x:c r="AV46" s="27" t="n">
        <x:f>IF(OR(AA46="",M46=""),MAX(AE46,1/365),MAX((AA46-M46)/365,1/365))</x:f>
        <x:v>2.356164383561644</x:v>
      </x:c>
      <x:c r="AW46" s="41" t="str">
        <x:f>IF(OR(Z46&lt;=0,Y46&lt;=0,AT46&lt;=0,AV46&lt;=0),"",(LN(Z46/Y46)+0.5*AT46^2*AV46)/(AT46*SQRT(AV46)))</x:f>
      </x:c>
      <x:c r="AX46" s="41" t="n">
        <x:f>IF(AND(X46&lt;&gt;"C",X46&lt;&gt;"P"),AU46,IF(AW46="",AU46,IF(X46="C",AU46*0.5*(1+ERF(AW46/SQRT(2))),-AU46*0.5*(1+ERF(-AW46/SQRT(2))))))</x:f>
        <x:v>1</x:v>
      </x:c>
      <x:c r="AY46" s="41" t="n">
        <x:f>IF(AJ46="M",1.5*SQRT(MAX(IF(U46="Y",5,10),IF(V46="",10,V46))/Parameters!$B$6),SQRT(MIN(MAX(AE46,10/Parameters!$B$6),1)))</x:f>
        <x:v>1</x:v>
      </x:c>
      <x:c r="AZ46" s="40" t="n">
        <x:f>AS46*AX46*AY46</x:f>
        <x:v>62700000</x:v>
      </x:c>
      <x:c r="BA46" s="40" t="n">
        <x:f>'Python_Trade_Output'!AZ46</x:f>
        <x:v>62700000</x:v>
      </x:c>
      <x:c r="BB46" s="43" t="n">
        <x:f>AZ46-BA46</x:f>
        <x:v>0</x:v>
      </x:c>
    </x:row>
    <x:row r="47">
      <x:c r="A47" s="27" t="str">
        <x:f>'Inputs_Trades'!D47</x:f>
        <x:v>IND-000044</x:v>
      </x:c>
      <x:c r="B47" s="27" t="str">
        <x:f>'Inputs_Trades'!B47</x:f>
        <x:v>IND_PENSION_001</x:v>
      </x:c>
      <x:c r="C47" s="27" t="n">
        <x:f>'Inputs_Trades'!C47</x:f>
        <x:v>3294</x:v>
      </x:c>
      <x:c r="D47" s="27" t="str">
        <x:f>'Inputs_Trades'!E47</x:f>
        <x:v>FX Swap</x:v>
      </x:c>
      <x:c r="E47" s="27" t="str">
        <x:f>'Inputs_Trades'!F47</x:f>
        <x:v>FX</x:v>
      </x:c>
      <x:c r="F47" s="27" t="n">
        <x:f>'Inputs_Trades'!G47</x:f>
        <x:v>0</x:v>
      </x:c>
      <x:c r="G47" s="27" t="str">
        <x:f>'Inputs_Trades'!J47</x:f>
        <x:v>USD</x:v>
      </x:c>
      <x:c r="H47" s="27" t="str">
        <x:f>'Inputs_Trades'!H47</x:f>
        <x:v>EUR</x:v>
      </x:c>
      <x:c r="I47" s="27" t="str">
        <x:f>'Inputs_Trades'!I47</x:f>
        <x:v>USD</x:v>
      </x:c>
      <x:c r="J47" s="27" t="str">
        <x:f>'Inputs_Trades'!M47</x:f>
        <x:v>EUR/USD</x:v>
      </x:c>
      <x:c r="K47" s="27" t="n">
        <x:f>'Inputs_Trades'!N47</x:f>
        <x:v>0</x:v>
      </x:c>
      <x:c r="L47" s="27" t="n">
        <x:f>'Inputs_Trades'!O47</x:f>
        <x:v>0</x:v>
      </x:c>
      <x:c r="M47" s="39" t="n">
        <x:f>'Inputs_Trades'!A47</x:f>
        <x:v>45702</x:v>
      </x:c>
      <x:c r="N47" s="39" t="n">
        <x:f>'Inputs_Trades'!P47</x:f>
        <x:v>46443</x:v>
      </x:c>
      <x:c r="O47" s="39" t="n">
        <x:f>'Inputs_Trades'!Q47</x:f>
        <x:v>45060</x:v>
      </x:c>
      <x:c r="P47" s="39" t="n">
        <x:f>'Inputs_Trades'!R47</x:f>
        <x:v>46443</x:v>
      </x:c>
      <x:c r="Q47" s="40" t="n">
        <x:f>'Inputs_Trades'!U47</x:f>
        <x:v>229000000</x:v>
      </x:c>
      <x:c r="R47" s="40" t="n">
        <x:f>'Inputs_Trades'!S47</x:f>
        <x:v>218095238.1</x:v>
      </x:c>
      <x:c r="S47" s="40" t="n">
        <x:f>'Inputs_Trades'!T47</x:f>
        <x:v>229000000</x:v>
      </x:c>
      <x:c r="T47" s="27" t="str">
        <x:f>'Inputs_Trades'!V47</x:f>
        <x:v>M</x:v>
      </x:c>
      <x:c r="U47" s="27" t="str">
        <x:f>'Inputs_Trades'!W47</x:f>
        <x:v>N</x:v>
      </x:c>
      <x:c r="V47" s="27" t="n">
        <x:f>'Inputs_Trades'!X47</x:f>
        <x:v>10</x:v>
      </x:c>
      <x:c r="W47" s="27" t="str">
        <x:f>'Inputs_Trades'!Y47</x:f>
        <x:v>S</x:v>
      </x:c>
      <x:c r="X47" s="27" t="n">
        <x:f>'Inputs_Trades'!AA47</x:f>
        <x:v>0</x:v>
      </x:c>
      <x:c r="Y47" s="27" t="n">
        <x:f>'Inputs_Trades'!AB47</x:f>
        <x:v>0</x:v>
      </x:c>
      <x:c r="Z47" s="27" t="n">
        <x:f>'Inputs_Trades'!AC47</x:f>
        <x:v>0</x:v>
      </x:c>
      <x:c r="AA47" s="39" t="n">
        <x:f>'Inputs_Trades'!Z47</x:f>
        <x:v>0</x:v>
      </x:c>
      <x:c r="AB47" s="40" t="n">
        <x:f>'Inputs_Trades'!AD47</x:f>
        <x:v>675550</x:v>
      </x:c>
      <x:c r="AC47" s="27" t="n">
        <x:f>'Inputs_Trades'!K47</x:f>
        <x:v>0</x:v>
      </x:c>
      <x:c r="AD47" s="27" t="n">
        <x:f>N47-M47</x:f>
        <x:v>741</x:v>
      </x:c>
      <x:c r="AE47" s="41" t="n">
        <x:f>AD47/365</x:f>
        <x:v>2.03013698630137</x:v>
      </x:c>
      <x:c r="AF47" s="27" t="str">
        <x:f>IF(AE47&lt;1,"&lt;1Y",IF(AE47&lt;=5,"1Y-5Y","&gt;5Y"))</x:f>
        <x:v>1Y-5Y</x:v>
      </x:c>
      <x:c r="AG47" s="27" t="str">
        <x:f>IF(E47="Commodity",IFERROR(VLOOKUP(F47,Parameters!$P$4:$Q$12,2,FALSE),"Other"),"")</x:f>
      </x:c>
      <x:c r="AH47" s="27" t="str">
        <x:f>IF(F47="","Unknown",F47)</x:f>
        <x:v>Unknown</x:v>
      </x:c>
      <x:c r="AI47" s="27" t="str">
        <x:f>IF(E47="Interest Rate",G47&amp;IF(OR(LOWER(AC47)="basis",LOWER(AC47)="volatility"),"_"&amp;AC47,""),IF(E47="FX",IF(H47&lt;I47,H47&amp;"/"&amp;I47,I47&amp;"/"&amp;H47)&amp;IF(OR(LOWER(AC47)="basis",LOWER(AC47)="volatility"),"_"&amp;AC47,""),IF(OR(E47="Credit",E47="Equity"),J47&amp;IF(OR(LOWER(AC47)="basis",LOWER(AC47)="volatility"),"_"&amp;AC47,""),IF(E47="Commodity",AG47&amp;IF(OR(LOWER(AC47)="basis",LOWER(AC47)="volatility"),"_"&amp;AC47,""),"UNKNOWN"))))</x:f>
        <x:v>EUR/USD</x:v>
      </x:c>
      <x:c r="AJ47" s="27" t="str">
        <x:f>T47</x:f>
        <x:v>M</x:v>
      </x:c>
      <x:c r="AK47" s="41" t="n">
        <x:f>IF(E47="Interest Rate",VLOOKUP("Interest Rate",Parameters!$D$4:$E$12,2,FALSE),IF(E47="FX",VLOOKUP("FX",Parameters!$D$4:$E$12,2,FALSE),IF(E47="Credit",IFERROR(VLOOKUP(L47,Parameters!$G$4:$H$12,2,FALSE),VLOOKUP("BBB",Parameters!$G$4:$H$12,2,FALSE)),IF(E47="Equity",VLOOKUP(IF(LOWER(K47)="index","Equity Index","Equity Single Name"),Parameters!$D$4:$E$12,2,FALSE),IF(E47="Commodity",VLOOKUP(IFERROR(VLOOKUP(F47,Parameters!$S$4:$T$12,2,FALSE),"Commodity Other"),Parameters!$D$4:$E$12,2,FALSE),0)))))</x:f>
        <x:v>0.04</x:v>
      </x:c>
      <x:c r="AL47" s="42" t="n">
        <x:f>IF(LOWER(AC47)="basis",Parameters!$B$8,IF(LOWER(AC47)="volatility",Parameters!$B$9,1))</x:f>
        <x:v>1</x:v>
      </x:c>
      <x:c r="AM47" s="41" t="n">
        <x:f>AK47*AL47</x:f>
        <x:v>0.04</x:v>
      </x:c>
      <x:c r="AN47" s="42" t="str">
        <x:f>IF(E47="Credit",VLOOKUP(IF(LOWER(K47)="index","Credit Index","Credit Single Name"),Parameters!$J$4:$K$8,2,FALSE),IF(E47="Equity",VLOOKUP(IF(LOWER(K47)="index","Equity Index","Equity Single Name"),Parameters!$J$4:$K$8,2,FALSE),IF(E47="Commodity",VLOOKUP("Commodity",Parameters!$J$4:$K$8,2,FALSE),"")))</x:f>
      </x:c>
      <x:c r="AO47" s="27" t="n">
        <x:f>MAX((O47-M47)/365,0)</x:f>
        <x:v>0</x:v>
      </x:c>
      <x:c r="AP47" s="27" t="n">
        <x:f>MAX((P47-M47)/365,10/Parameters!$B$6)</x:f>
        <x:v>2.03013698630137</x:v>
      </x:c>
      <x:c r="AQ47" s="27" t="n">
        <x:f>IF(AP47&lt;=AO47,AO47+10/Parameters!$B$6,AP47)</x:f>
        <x:v>2.03013698630137</x:v>
      </x:c>
      <x:c r="AR47" s="41" t="n">
        <x:f>IF(OR(E47="Interest Rate",E47="Credit"),(EXP(-Parameters!$B$7*AO47)-EXP(-Parameters!$B$7*AQ47))/Parameters!$B$7,1)</x:f>
        <x:v>1</x:v>
      </x:c>
      <x:c r="AS47" s="40" t="n">
        <x:f>IF(OR(E47="Interest Rate",E47="Credit"),ABS(Q47)*AR47,IF(E47="FX",IF(Q47&gt;0,Q47,MAX(ABS(R47),ABS(S47),ABS(Q47))),ABS(Q47)))</x:f>
        <x:v>229000000</x:v>
      </x:c>
      <x:c r="AT47" s="42" t="n">
        <x:f>IF(OR(E47="Interest Rate",E47="FX"),VLOOKUP(E47,Parameters!$M$4:$N$11,2,FALSE),IF(E47="Credit",VLOOKUP(IF(LOWER(K47)="index","Credit Index","Credit Single Name"),Parameters!$M$4:$N$11,2,FALSE),IF(E47="Equity",VLOOKUP(IF(LOWER(K47)="index","Equity Index","Equity Single Name"),Parameters!$M$4:$N$11,2,FALSE),IF(E47="Commodity",VLOOKUP(IF(F47="Electricity","Commodity Electricity","Commodity Other"),Parameters!$M$4:$N$11,2,FALSE),1))))</x:f>
        <x:v>0.15</x:v>
      </x:c>
      <x:c r="AU47" s="27" t="n">
        <x:f>IF(W47="B",1,-1)</x:f>
        <x:v>-1</x:v>
      </x:c>
      <x:c r="AV47" s="27" t="n">
        <x:f>IF(OR(AA47="",M47=""),MAX(AE47,1/365),MAX((AA47-M47)/365,1/365))</x:f>
        <x:v>2.03013698630137</x:v>
      </x:c>
      <x:c r="AW47" s="41" t="str">
        <x:f>IF(OR(Z47&lt;=0,Y47&lt;=0,AT47&lt;=0,AV47&lt;=0),"",(LN(Z47/Y47)+0.5*AT47^2*AV47)/(AT47*SQRT(AV47)))</x:f>
      </x:c>
      <x:c r="AX47" s="41" t="n">
        <x:f>IF(AND(X47&lt;&gt;"C",X47&lt;&gt;"P"),AU47,IF(AW47="",AU47,IF(X47="C",AU47*0.5*(1+ERF(AW47/SQRT(2))),-AU47*0.5*(1+ERF(-AW47/SQRT(2))))))</x:f>
        <x:v>-1</x:v>
      </x:c>
      <x:c r="AY47" s="41" t="n">
        <x:f>IF(AJ47="M",1.5*SQRT(MAX(IF(U47="Y",5,10),IF(V47="",10,V47))/Parameters!$B$6),SQRT(MIN(MAX(AE47,10/Parameters!$B$6),1)))</x:f>
        <x:v>0.30000000000000004</x:v>
      </x:c>
      <x:c r="AZ47" s="40" t="n">
        <x:f>AS47*AX47*AY47</x:f>
        <x:v>-68700000.00000001</x:v>
      </x:c>
      <x:c r="BA47" s="40" t="n">
        <x:f>'Python_Trade_Output'!AZ47</x:f>
        <x:v>-68700000.00000001</x:v>
      </x:c>
      <x:c r="BB47" s="43" t="n">
        <x:f>AZ47-BA47</x:f>
        <x:v>0</x:v>
      </x:c>
    </x:row>
    <x:row r="48">
      <x:c r="A48" s="27" t="str">
        <x:f>'Inputs_Trades'!D48</x:f>
        <x:v>IND-000045</x:v>
      </x:c>
      <x:c r="B48" s="27" t="str">
        <x:f>'Inputs_Trades'!B48</x:f>
        <x:v>IND_BROKER_001</x:v>
      </x:c>
      <x:c r="C48" s="27" t="n">
        <x:f>'Inputs_Trades'!C48</x:f>
        <x:v>3276</x:v>
      </x:c>
      <x:c r="D48" s="27" t="str">
        <x:f>'Inputs_Trades'!E48</x:f>
        <x:v>FX Swap</x:v>
      </x:c>
      <x:c r="E48" s="27" t="str">
        <x:f>'Inputs_Trades'!F48</x:f>
        <x:v>FX</x:v>
      </x:c>
      <x:c r="F48" s="27" t="n">
        <x:f>'Inputs_Trades'!G48</x:f>
        <x:v>0</x:v>
      </x:c>
      <x:c r="G48" s="27" t="str">
        <x:f>'Inputs_Trades'!J48</x:f>
        <x:v>USD</x:v>
      </x:c>
      <x:c r="H48" s="27" t="str">
        <x:f>'Inputs_Trades'!H48</x:f>
        <x:v>USD</x:v>
      </x:c>
      <x:c r="I48" s="27" t="str">
        <x:f>'Inputs_Trades'!I48</x:f>
        <x:v>JPY</x:v>
      </x:c>
      <x:c r="J48" s="27" t="str">
        <x:f>'Inputs_Trades'!M48</x:f>
        <x:v>USD/JPY</x:v>
      </x:c>
      <x:c r="K48" s="27" t="n">
        <x:f>'Inputs_Trades'!N48</x:f>
        <x:v>0</x:v>
      </x:c>
      <x:c r="L48" s="27" t="n">
        <x:f>'Inputs_Trades'!O48</x:f>
        <x:v>0</x:v>
      </x:c>
      <x:c r="M48" s="39" t="n">
        <x:f>'Inputs_Trades'!A48</x:f>
        <x:v>45702</x:v>
      </x:c>
      <x:c r="N48" s="39" t="n">
        <x:f>'Inputs_Trades'!P48</x:f>
        <x:v>46513</x:v>
      </x:c>
      <x:c r="O48" s="39" t="n">
        <x:f>'Inputs_Trades'!Q48</x:f>
        <x:v>45658</x:v>
      </x:c>
      <x:c r="P48" s="39" t="n">
        <x:f>'Inputs_Trades'!R48</x:f>
        <x:v>46513</x:v>
      </x:c>
      <x:c r="Q48" s="40" t="n">
        <x:f>'Inputs_Trades'!U48</x:f>
        <x:v>60000000</x:v>
      </x:c>
      <x:c r="R48" s="40" t="n">
        <x:f>'Inputs_Trades'!S48</x:f>
        <x:v>60000000</x:v>
      </x:c>
      <x:c r="S48" s="40" t="n">
        <x:f>'Inputs_Trades'!T48</x:f>
        <x:v>8955223880.6</x:v>
      </x:c>
      <x:c r="T48" s="27" t="str">
        <x:f>'Inputs_Trades'!V48</x:f>
        <x:v>M</x:v>
      </x:c>
      <x:c r="U48" s="27" t="str">
        <x:f>'Inputs_Trades'!W48</x:f>
        <x:v>N</x:v>
      </x:c>
      <x:c r="V48" s="27" t="n">
        <x:f>'Inputs_Trades'!X48</x:f>
        <x:v>10</x:v>
      </x:c>
      <x:c r="W48" s="27" t="str">
        <x:f>'Inputs_Trades'!Y48</x:f>
        <x:v>B</x:v>
      </x:c>
      <x:c r="X48" s="27" t="n">
        <x:f>'Inputs_Trades'!AA48</x:f>
        <x:v>0</x:v>
      </x:c>
      <x:c r="Y48" s="27" t="n">
        <x:f>'Inputs_Trades'!AB48</x:f>
        <x:v>0</x:v>
      </x:c>
      <x:c r="Z48" s="27" t="n">
        <x:f>'Inputs_Trades'!AC48</x:f>
        <x:v>0</x:v>
      </x:c>
      <x:c r="AA48" s="39" t="n">
        <x:f>'Inputs_Trades'!Z48</x:f>
        <x:v>0</x:v>
      </x:c>
      <x:c r="AB48" s="40" t="n">
        <x:f>'Inputs_Trades'!AD48</x:f>
        <x:v>257400</x:v>
      </x:c>
      <x:c r="AC48" s="27" t="n">
        <x:f>'Inputs_Trades'!K48</x:f>
        <x:v>0</x:v>
      </x:c>
      <x:c r="AD48" s="27" t="n">
        <x:f>N48-M48</x:f>
        <x:v>811</x:v>
      </x:c>
      <x:c r="AE48" s="41" t="n">
        <x:f>AD48/365</x:f>
        <x:v>2.221917808219178</x:v>
      </x:c>
      <x:c r="AF48" s="27" t="str">
        <x:f>IF(AE48&lt;1,"&lt;1Y",IF(AE48&lt;=5,"1Y-5Y","&gt;5Y"))</x:f>
        <x:v>1Y-5Y</x:v>
      </x:c>
      <x:c r="AG48" s="27" t="str">
        <x:f>IF(E48="Commodity",IFERROR(VLOOKUP(F48,Parameters!$P$4:$Q$12,2,FALSE),"Other"),"")</x:f>
      </x:c>
      <x:c r="AH48" s="27" t="str">
        <x:f>IF(F48="","Unknown",F48)</x:f>
        <x:v>Unknown</x:v>
      </x:c>
      <x:c r="AI48" s="27" t="str">
        <x:f>IF(E48="Interest Rate",G48&amp;IF(OR(LOWER(AC48)="basis",LOWER(AC48)="volatility"),"_"&amp;AC48,""),IF(E48="FX",IF(H48&lt;I48,H48&amp;"/"&amp;I48,I48&amp;"/"&amp;H48)&amp;IF(OR(LOWER(AC48)="basis",LOWER(AC48)="volatility"),"_"&amp;AC48,""),IF(OR(E48="Credit",E48="Equity"),J48&amp;IF(OR(LOWER(AC48)="basis",LOWER(AC48)="volatility"),"_"&amp;AC48,""),IF(E48="Commodity",AG48&amp;IF(OR(LOWER(AC48)="basis",LOWER(AC48)="volatility"),"_"&amp;AC48,""),"UNKNOWN"))))</x:f>
        <x:v>JPY/USD</x:v>
      </x:c>
      <x:c r="AJ48" s="27" t="str">
        <x:f>T48</x:f>
        <x:v>M</x:v>
      </x:c>
      <x:c r="AK48" s="41" t="n">
        <x:f>IF(E48="Interest Rate",VLOOKUP("Interest Rate",Parameters!$D$4:$E$12,2,FALSE),IF(E48="FX",VLOOKUP("FX",Parameters!$D$4:$E$12,2,FALSE),IF(E48="Credit",IFERROR(VLOOKUP(L48,Parameters!$G$4:$H$12,2,FALSE),VLOOKUP("BBB",Parameters!$G$4:$H$12,2,FALSE)),IF(E48="Equity",VLOOKUP(IF(LOWER(K48)="index","Equity Index","Equity Single Name"),Parameters!$D$4:$E$12,2,FALSE),IF(E48="Commodity",VLOOKUP(IFERROR(VLOOKUP(F48,Parameters!$S$4:$T$12,2,FALSE),"Commodity Other"),Parameters!$D$4:$E$12,2,FALSE),0)))))</x:f>
        <x:v>0.04</x:v>
      </x:c>
      <x:c r="AL48" s="42" t="n">
        <x:f>IF(LOWER(AC48)="basis",Parameters!$B$8,IF(LOWER(AC48)="volatility",Parameters!$B$9,1))</x:f>
        <x:v>1</x:v>
      </x:c>
      <x:c r="AM48" s="41" t="n">
        <x:f>AK48*AL48</x:f>
        <x:v>0.04</x:v>
      </x:c>
      <x:c r="AN48" s="42" t="str">
        <x:f>IF(E48="Credit",VLOOKUP(IF(LOWER(K48)="index","Credit Index","Credit Single Name"),Parameters!$J$4:$K$8,2,FALSE),IF(E48="Equity",VLOOKUP(IF(LOWER(K48)="index","Equity Index","Equity Single Name"),Parameters!$J$4:$K$8,2,FALSE),IF(E48="Commodity",VLOOKUP("Commodity",Parameters!$J$4:$K$8,2,FALSE),"")))</x:f>
      </x:c>
      <x:c r="AO48" s="27" t="n">
        <x:f>MAX((O48-M48)/365,0)</x:f>
        <x:v>0</x:v>
      </x:c>
      <x:c r="AP48" s="27" t="n">
        <x:f>MAX((P48-M48)/365,10/Parameters!$B$6)</x:f>
        <x:v>2.221917808219178</x:v>
      </x:c>
      <x:c r="AQ48" s="27" t="n">
        <x:f>IF(AP48&lt;=AO48,AO48+10/Parameters!$B$6,AP48)</x:f>
        <x:v>2.221917808219178</x:v>
      </x:c>
      <x:c r="AR48" s="41" t="n">
        <x:f>IF(OR(E48="Interest Rate",E48="Credit"),(EXP(-Parameters!$B$7*AO48)-EXP(-Parameters!$B$7*AQ48))/Parameters!$B$7,1)</x:f>
        <x:v>1</x:v>
      </x:c>
      <x:c r="AS48" s="40" t="n">
        <x:f>IF(OR(E48="Interest Rate",E48="Credit"),ABS(Q48)*AR48,IF(E48="FX",IF(Q48&gt;0,Q48,MAX(ABS(R48),ABS(S48),ABS(Q48))),ABS(Q48)))</x:f>
        <x:v>60000000</x:v>
      </x:c>
      <x:c r="AT48" s="42" t="n">
        <x:f>IF(OR(E48="Interest Rate",E48="FX"),VLOOKUP(E48,Parameters!$M$4:$N$11,2,FALSE),IF(E48="Credit",VLOOKUP(IF(LOWER(K48)="index","Credit Index","Credit Single Name"),Parameters!$M$4:$N$11,2,FALSE),IF(E48="Equity",VLOOKUP(IF(LOWER(K48)="index","Equity Index","Equity Single Name"),Parameters!$M$4:$N$11,2,FALSE),IF(E48="Commodity",VLOOKUP(IF(F48="Electricity","Commodity Electricity","Commodity Other"),Parameters!$M$4:$N$11,2,FALSE),1))))</x:f>
        <x:v>0.15</x:v>
      </x:c>
      <x:c r="AU48" s="27" t="n">
        <x:f>IF(W48="B",1,-1)</x:f>
        <x:v>1</x:v>
      </x:c>
      <x:c r="AV48" s="27" t="n">
        <x:f>IF(OR(AA48="",M48=""),MAX(AE48,1/365),MAX((AA48-M48)/365,1/365))</x:f>
        <x:v>2.221917808219178</x:v>
      </x:c>
      <x:c r="AW48" s="41" t="str">
        <x:f>IF(OR(Z48&lt;=0,Y48&lt;=0,AT48&lt;=0,AV48&lt;=0),"",(LN(Z48/Y48)+0.5*AT48^2*AV48)/(AT48*SQRT(AV48)))</x:f>
      </x:c>
      <x:c r="AX48" s="41" t="n">
        <x:f>IF(AND(X48&lt;&gt;"C",X48&lt;&gt;"P"),AU48,IF(AW48="",AU48,IF(X48="C",AU48*0.5*(1+ERF(AW48/SQRT(2))),-AU48*0.5*(1+ERF(-AW48/SQRT(2))))))</x:f>
        <x:v>1</x:v>
      </x:c>
      <x:c r="AY48" s="41" t="n">
        <x:f>IF(AJ48="M",1.5*SQRT(MAX(IF(U48="Y",5,10),IF(V48="",10,V48))/Parameters!$B$6),SQRT(MIN(MAX(AE48,10/Parameters!$B$6),1)))</x:f>
        <x:v>0.30000000000000004</x:v>
      </x:c>
      <x:c r="AZ48" s="40" t="n">
        <x:f>AS48*AX48*AY48</x:f>
        <x:v>18000000.000000004</x:v>
      </x:c>
      <x:c r="BA48" s="40" t="n">
        <x:f>'Python_Trade_Output'!AZ48</x:f>
        <x:v>18000000.000000004</x:v>
      </x:c>
      <x:c r="BB48" s="43" t="n">
        <x:f>AZ48-BA48</x:f>
        <x:v>0</x:v>
      </x:c>
    </x:row>
    <x:row r="49">
      <x:c r="A49" s="27" t="str">
        <x:f>'Inputs_Trades'!D49</x:f>
        <x:v>IND-000046</x:v>
      </x:c>
      <x:c r="B49" s="27" t="str">
        <x:f>'Inputs_Trades'!B49</x:f>
        <x:v>IND_SOVEREIGN_001</x:v>
      </x:c>
      <x:c r="C49" s="27" t="n">
        <x:f>'Inputs_Trades'!C49</x:f>
        <x:v>3390</x:v>
      </x:c>
      <x:c r="D49" s="27" t="str">
        <x:f>'Inputs_Trades'!E49</x:f>
        <x:v>FX Swap</x:v>
      </x:c>
      <x:c r="E49" s="27" t="str">
        <x:f>'Inputs_Trades'!F49</x:f>
        <x:v>FX</x:v>
      </x:c>
      <x:c r="F49" s="27" t="n">
        <x:f>'Inputs_Trades'!G49</x:f>
        <x:v>0</x:v>
      </x:c>
      <x:c r="G49" s="27" t="str">
        <x:f>'Inputs_Trades'!J49</x:f>
        <x:v>USD</x:v>
      </x:c>
      <x:c r="H49" s="27" t="str">
        <x:f>'Inputs_Trades'!H49</x:f>
        <x:v>USD</x:v>
      </x:c>
      <x:c r="I49" s="27" t="str">
        <x:f>'Inputs_Trades'!I49</x:f>
        <x:v>CNY</x:v>
      </x:c>
      <x:c r="J49" s="27" t="str">
        <x:f>'Inputs_Trades'!M49</x:f>
        <x:v>USD/CNY</x:v>
      </x:c>
      <x:c r="K49" s="27" t="n">
        <x:f>'Inputs_Trades'!N49</x:f>
        <x:v>0</x:v>
      </x:c>
      <x:c r="L49" s="27" t="n">
        <x:f>'Inputs_Trades'!O49</x:f>
        <x:v>0</x:v>
      </x:c>
      <x:c r="M49" s="39" t="n">
        <x:f>'Inputs_Trades'!A49</x:f>
        <x:v>45702</x:v>
      </x:c>
      <x:c r="N49" s="39" t="n">
        <x:f>'Inputs_Trades'!P49</x:f>
        <x:v>46588</x:v>
      </x:c>
      <x:c r="O49" s="39" t="n">
        <x:f>'Inputs_Trades'!Q49</x:f>
        <x:v>45635</x:v>
      </x:c>
      <x:c r="P49" s="39" t="n">
        <x:f>'Inputs_Trades'!R49</x:f>
        <x:v>46588</x:v>
      </x:c>
      <x:c r="Q49" s="40" t="n">
        <x:f>'Inputs_Trades'!U49</x:f>
        <x:v>167000000</x:v>
      </x:c>
      <x:c r="R49" s="40" t="n">
        <x:f>'Inputs_Trades'!S49</x:f>
        <x:v>167000000</x:v>
      </x:c>
      <x:c r="S49" s="40" t="n">
        <x:f>'Inputs_Trades'!T49</x:f>
        <x:v>1192857142.86</x:v>
      </x:c>
      <x:c r="T49" s="27" t="str">
        <x:f>'Inputs_Trades'!V49</x:f>
        <x:v>M</x:v>
      </x:c>
      <x:c r="U49" s="27" t="str">
        <x:f>'Inputs_Trades'!W49</x:f>
        <x:v>N</x:v>
      </x:c>
      <x:c r="V49" s="27" t="n">
        <x:f>'Inputs_Trades'!X49</x:f>
        <x:v>10</x:v>
      </x:c>
      <x:c r="W49" s="27" t="str">
        <x:f>'Inputs_Trades'!Y49</x:f>
        <x:v>S</x:v>
      </x:c>
      <x:c r="X49" s="27" t="n">
        <x:f>'Inputs_Trades'!AA49</x:f>
        <x:v>0</x:v>
      </x:c>
      <x:c r="Y49" s="27" t="n">
        <x:f>'Inputs_Trades'!AB49</x:f>
        <x:v>0</x:v>
      </x:c>
      <x:c r="Z49" s="27" t="n">
        <x:f>'Inputs_Trades'!AC49</x:f>
        <x:v>0</x:v>
      </x:c>
      <x:c r="AA49" s="39" t="n">
        <x:f>'Inputs_Trades'!Z49</x:f>
        <x:v>0</x:v>
      </x:c>
      <x:c r="AB49" s="40" t="n">
        <x:f>'Inputs_Trades'!AD49</x:f>
        <x:v>831660</x:v>
      </x:c>
      <x:c r="AC49" s="27" t="n">
        <x:f>'Inputs_Trades'!K49</x:f>
        <x:v>0</x:v>
      </x:c>
      <x:c r="AD49" s="27" t="n">
        <x:f>N49-M49</x:f>
        <x:v>886</x:v>
      </x:c>
      <x:c r="AE49" s="41" t="n">
        <x:f>AD49/365</x:f>
        <x:v>2.4273972602739726</x:v>
      </x:c>
      <x:c r="AF49" s="27" t="str">
        <x:f>IF(AE49&lt;1,"&lt;1Y",IF(AE49&lt;=5,"1Y-5Y","&gt;5Y"))</x:f>
        <x:v>1Y-5Y</x:v>
      </x:c>
      <x:c r="AG49" s="27" t="str">
        <x:f>IF(E49="Commodity",IFERROR(VLOOKUP(F49,Parameters!$P$4:$Q$12,2,FALSE),"Other"),"")</x:f>
      </x:c>
      <x:c r="AH49" s="27" t="str">
        <x:f>IF(F49="","Unknown",F49)</x:f>
        <x:v>Unknown</x:v>
      </x:c>
      <x:c r="AI49" s="27" t="str">
        <x:f>IF(E49="Interest Rate",G49&amp;IF(OR(LOWER(AC49)="basis",LOWER(AC49)="volatility"),"_"&amp;AC49,""),IF(E49="FX",IF(H49&lt;I49,H49&amp;"/"&amp;I49,I49&amp;"/"&amp;H49)&amp;IF(OR(LOWER(AC49)="basis",LOWER(AC49)="volatility"),"_"&amp;AC49,""),IF(OR(E49="Credit",E49="Equity"),J49&amp;IF(OR(LOWER(AC49)="basis",LOWER(AC49)="volatility"),"_"&amp;AC49,""),IF(E49="Commodity",AG49&amp;IF(OR(LOWER(AC49)="basis",LOWER(AC49)="volatility"),"_"&amp;AC49,""),"UNKNOWN"))))</x:f>
        <x:v>CNY/USD</x:v>
      </x:c>
      <x:c r="AJ49" s="27" t="str">
        <x:f>T49</x:f>
        <x:v>M</x:v>
      </x:c>
      <x:c r="AK49" s="41" t="n">
        <x:f>IF(E49="Interest Rate",VLOOKUP("Interest Rate",Parameters!$D$4:$E$12,2,FALSE),IF(E49="FX",VLOOKUP("FX",Parameters!$D$4:$E$12,2,FALSE),IF(E49="Credit",IFERROR(VLOOKUP(L49,Parameters!$G$4:$H$12,2,FALSE),VLOOKUP("BBB",Parameters!$G$4:$H$12,2,FALSE)),IF(E49="Equity",VLOOKUP(IF(LOWER(K49)="index","Equity Index","Equity Single Name"),Parameters!$D$4:$E$12,2,FALSE),IF(E49="Commodity",VLOOKUP(IFERROR(VLOOKUP(F49,Parameters!$S$4:$T$12,2,FALSE),"Commodity Other"),Parameters!$D$4:$E$12,2,FALSE),0)))))</x:f>
        <x:v>0.04</x:v>
      </x:c>
      <x:c r="AL49" s="42" t="n">
        <x:f>IF(LOWER(AC49)="basis",Parameters!$B$8,IF(LOWER(AC49)="volatility",Parameters!$B$9,1))</x:f>
        <x:v>1</x:v>
      </x:c>
      <x:c r="AM49" s="41" t="n">
        <x:f>AK49*AL49</x:f>
        <x:v>0.04</x:v>
      </x:c>
      <x:c r="AN49" s="42" t="str">
        <x:f>IF(E49="Credit",VLOOKUP(IF(LOWER(K49)="index","Credit Index","Credit Single Name"),Parameters!$J$4:$K$8,2,FALSE),IF(E49="Equity",VLOOKUP(IF(LOWER(K49)="index","Equity Index","Equity Single Name"),Parameters!$J$4:$K$8,2,FALSE),IF(E49="Commodity",VLOOKUP("Commodity",Parameters!$J$4:$K$8,2,FALSE),"")))</x:f>
      </x:c>
      <x:c r="AO49" s="27" t="n">
        <x:f>MAX((O49-M49)/365,0)</x:f>
        <x:v>0</x:v>
      </x:c>
      <x:c r="AP49" s="27" t="n">
        <x:f>MAX((P49-M49)/365,10/Parameters!$B$6)</x:f>
        <x:v>2.4273972602739726</x:v>
      </x:c>
      <x:c r="AQ49" s="27" t="n">
        <x:f>IF(AP49&lt;=AO49,AO49+10/Parameters!$B$6,AP49)</x:f>
        <x:v>2.4273972602739726</x:v>
      </x:c>
      <x:c r="AR49" s="41" t="n">
        <x:f>IF(OR(E49="Interest Rate",E49="Credit"),(EXP(-Parameters!$B$7*AO49)-EXP(-Parameters!$B$7*AQ49))/Parameters!$B$7,1)</x:f>
        <x:v>1</x:v>
      </x:c>
      <x:c r="AS49" s="40" t="n">
        <x:f>IF(OR(E49="Interest Rate",E49="Credit"),ABS(Q49)*AR49,IF(E49="FX",IF(Q49&gt;0,Q49,MAX(ABS(R49),ABS(S49),ABS(Q49))),ABS(Q49)))</x:f>
        <x:v>167000000</x:v>
      </x:c>
      <x:c r="AT49" s="42" t="n">
        <x:f>IF(OR(E49="Interest Rate",E49="FX"),VLOOKUP(E49,Parameters!$M$4:$N$11,2,FALSE),IF(E49="Credit",VLOOKUP(IF(LOWER(K49)="index","Credit Index","Credit Single Name"),Parameters!$M$4:$N$11,2,FALSE),IF(E49="Equity",VLOOKUP(IF(LOWER(K49)="index","Equity Index","Equity Single Name"),Parameters!$M$4:$N$11,2,FALSE),IF(E49="Commodity",VLOOKUP(IF(F49="Electricity","Commodity Electricity","Commodity Other"),Parameters!$M$4:$N$11,2,FALSE),1))))</x:f>
        <x:v>0.15</x:v>
      </x:c>
      <x:c r="AU49" s="27" t="n">
        <x:f>IF(W49="B",1,-1)</x:f>
        <x:v>-1</x:v>
      </x:c>
      <x:c r="AV49" s="27" t="n">
        <x:f>IF(OR(AA49="",M49=""),MAX(AE49,1/365),MAX((AA49-M49)/365,1/365))</x:f>
        <x:v>2.4273972602739726</x:v>
      </x:c>
      <x:c r="AW49" s="41" t="str">
        <x:f>IF(OR(Z49&lt;=0,Y49&lt;=0,AT49&lt;=0,AV49&lt;=0),"",(LN(Z49/Y49)+0.5*AT49^2*AV49)/(AT49*SQRT(AV49)))</x:f>
      </x:c>
      <x:c r="AX49" s="41" t="n">
        <x:f>IF(AND(X49&lt;&gt;"C",X49&lt;&gt;"P"),AU49,IF(AW49="",AU49,IF(X49="C",AU49*0.5*(1+ERF(AW49/SQRT(2))),-AU49*0.5*(1+ERF(-AW49/SQRT(2))))))</x:f>
        <x:v>-1</x:v>
      </x:c>
      <x:c r="AY49" s="41" t="n">
        <x:f>IF(AJ49="M",1.5*SQRT(MAX(IF(U49="Y",5,10),IF(V49="",10,V49))/Parameters!$B$6),SQRT(MIN(MAX(AE49,10/Parameters!$B$6),1)))</x:f>
        <x:v>0.30000000000000004</x:v>
      </x:c>
      <x:c r="AZ49" s="40" t="n">
        <x:f>AS49*AX49*AY49</x:f>
        <x:v>-50100000.00000001</x:v>
      </x:c>
      <x:c r="BA49" s="40" t="n">
        <x:f>'Python_Trade_Output'!AZ49</x:f>
        <x:v>-50100000.00000001</x:v>
      </x:c>
      <x:c r="BB49" s="43" t="n">
        <x:f>AZ49-BA49</x:f>
        <x:v>0</x:v>
      </x:c>
    </x:row>
    <x:row r="50">
      <x:c r="A50" s="27" t="str">
        <x:f>'Inputs_Trades'!D50</x:f>
        <x:v>IND-000047</x:v>
      </x:c>
      <x:c r="B50" s="27" t="str">
        <x:f>'Inputs_Trades'!B50</x:f>
        <x:v>IND_ASSET_MANAGER_001</x:v>
      </x:c>
      <x:c r="C50" s="27" t="n">
        <x:f>'Inputs_Trades'!C50</x:f>
        <x:v>3257</x:v>
      </x:c>
      <x:c r="D50" s="27" t="str">
        <x:f>'Inputs_Trades'!E50</x:f>
        <x:v>FX Swap</x:v>
      </x:c>
      <x:c r="E50" s="27" t="str">
        <x:f>'Inputs_Trades'!F50</x:f>
        <x:v>FX</x:v>
      </x:c>
      <x:c r="F50" s="27" t="n">
        <x:f>'Inputs_Trades'!G50</x:f>
        <x:v>0</x:v>
      </x:c>
      <x:c r="G50" s="27" t="str">
        <x:f>'Inputs_Trades'!J50</x:f>
        <x:v>USD</x:v>
      </x:c>
      <x:c r="H50" s="27" t="str">
        <x:f>'Inputs_Trades'!H50</x:f>
        <x:v>USD</x:v>
      </x:c>
      <x:c r="I50" s="27" t="str">
        <x:f>'Inputs_Trades'!I50</x:f>
        <x:v>CNH</x:v>
      </x:c>
      <x:c r="J50" s="27" t="str">
        <x:f>'Inputs_Trades'!M50</x:f>
        <x:v>USD/CNH</x:v>
      </x:c>
      <x:c r="K50" s="27" t="n">
        <x:f>'Inputs_Trades'!N50</x:f>
        <x:v>0</x:v>
      </x:c>
      <x:c r="L50" s="27" t="n">
        <x:f>'Inputs_Trades'!O50</x:f>
        <x:v>0</x:v>
      </x:c>
      <x:c r="M50" s="39" t="n">
        <x:f>'Inputs_Trades'!A50</x:f>
        <x:v>45702</x:v>
      </x:c>
      <x:c r="N50" s="39" t="n">
        <x:f>'Inputs_Trades'!P50</x:f>
        <x:v>46550</x:v>
      </x:c>
      <x:c r="O50" s="39" t="n">
        <x:f>'Inputs_Trades'!Q50</x:f>
        <x:v>44983</x:v>
      </x:c>
      <x:c r="P50" s="39" t="n">
        <x:f>'Inputs_Trades'!R50</x:f>
        <x:v>46550</x:v>
      </x:c>
      <x:c r="Q50" s="40" t="n">
        <x:f>'Inputs_Trades'!U50</x:f>
        <x:v>12900000</x:v>
      </x:c>
      <x:c r="R50" s="40" t="n">
        <x:f>'Inputs_Trades'!S50</x:f>
        <x:v>12900000</x:v>
      </x:c>
      <x:c r="S50" s="40" t="n">
        <x:f>'Inputs_Trades'!T50</x:f>
        <x:v>92142857.14</x:v>
      </x:c>
      <x:c r="T50" s="27" t="str">
        <x:f>'Inputs_Trades'!V50</x:f>
        <x:v>U</x:v>
      </x:c>
      <x:c r="U50" s="27" t="str">
        <x:f>'Inputs_Trades'!W50</x:f>
        <x:v>N</x:v>
      </x:c>
      <x:c r="V50" s="27" t="n">
        <x:f>'Inputs_Trades'!X50</x:f>
        <x:v>0</x:v>
      </x:c>
      <x:c r="W50" s="27" t="str">
        <x:f>'Inputs_Trades'!Y50</x:f>
        <x:v>B</x:v>
      </x:c>
      <x:c r="X50" s="27" t="n">
        <x:f>'Inputs_Trades'!AA50</x:f>
        <x:v>0</x:v>
      </x:c>
      <x:c r="Y50" s="27" t="n">
        <x:f>'Inputs_Trades'!AB50</x:f>
        <x:v>0</x:v>
      </x:c>
      <x:c r="Z50" s="27" t="n">
        <x:f>'Inputs_Trades'!AC50</x:f>
        <x:v>0</x:v>
      </x:c>
      <x:c r="AA50" s="39" t="n">
        <x:f>'Inputs_Trades'!Z50</x:f>
        <x:v>0</x:v>
      </x:c>
      <x:c r="AB50" s="40" t="n">
        <x:f>'Inputs_Trades'!AD50</x:f>
        <x:v>-121389</x:v>
      </x:c>
      <x:c r="AC50" s="27" t="n">
        <x:f>'Inputs_Trades'!K50</x:f>
        <x:v>0</x:v>
      </x:c>
      <x:c r="AD50" s="27" t="n">
        <x:f>N50-M50</x:f>
        <x:v>848</x:v>
      </x:c>
      <x:c r="AE50" s="41" t="n">
        <x:f>AD50/365</x:f>
        <x:v>2.3232876712328765</x:v>
      </x:c>
      <x:c r="AF50" s="27" t="str">
        <x:f>IF(AE50&lt;1,"&lt;1Y",IF(AE50&lt;=5,"1Y-5Y","&gt;5Y"))</x:f>
        <x:v>1Y-5Y</x:v>
      </x:c>
      <x:c r="AG50" s="27" t="str">
        <x:f>IF(E50="Commodity",IFERROR(VLOOKUP(F50,Parameters!$P$4:$Q$12,2,FALSE),"Other"),"")</x:f>
      </x:c>
      <x:c r="AH50" s="27" t="str">
        <x:f>IF(F50="","Unknown",F50)</x:f>
        <x:v>Unknown</x:v>
      </x:c>
      <x:c r="AI50" s="27" t="str">
        <x:f>IF(E50="Interest Rate",G50&amp;IF(OR(LOWER(AC50)="basis",LOWER(AC50)="volatility"),"_"&amp;AC50,""),IF(E50="FX",IF(H50&lt;I50,H50&amp;"/"&amp;I50,I50&amp;"/"&amp;H50)&amp;IF(OR(LOWER(AC50)="basis",LOWER(AC50)="volatility"),"_"&amp;AC50,""),IF(OR(E50="Credit",E50="Equity"),J50&amp;IF(OR(LOWER(AC50)="basis",LOWER(AC50)="volatility"),"_"&amp;AC50,""),IF(E50="Commodity",AG50&amp;IF(OR(LOWER(AC50)="basis",LOWER(AC50)="volatility"),"_"&amp;AC50,""),"UNKNOWN"))))</x:f>
        <x:v>CNH/USD</x:v>
      </x:c>
      <x:c r="AJ50" s="27" t="str">
        <x:f>T50</x:f>
        <x:v>U</x:v>
      </x:c>
      <x:c r="AK50" s="41" t="n">
        <x:f>IF(E50="Interest Rate",VLOOKUP("Interest Rate",Parameters!$D$4:$E$12,2,FALSE),IF(E50="FX",VLOOKUP("FX",Parameters!$D$4:$E$12,2,FALSE),IF(E50="Credit",IFERROR(VLOOKUP(L50,Parameters!$G$4:$H$12,2,FALSE),VLOOKUP("BBB",Parameters!$G$4:$H$12,2,FALSE)),IF(E50="Equity",VLOOKUP(IF(LOWER(K50)="index","Equity Index","Equity Single Name"),Parameters!$D$4:$E$12,2,FALSE),IF(E50="Commodity",VLOOKUP(IFERROR(VLOOKUP(F50,Parameters!$S$4:$T$12,2,FALSE),"Commodity Other"),Parameters!$D$4:$E$12,2,FALSE),0)))))</x:f>
        <x:v>0.04</x:v>
      </x:c>
      <x:c r="AL50" s="42" t="n">
        <x:f>IF(LOWER(AC50)="basis",Parameters!$B$8,IF(LOWER(AC50)="volatility",Parameters!$B$9,1))</x:f>
        <x:v>1</x:v>
      </x:c>
      <x:c r="AM50" s="41" t="n">
        <x:f>AK50*AL50</x:f>
        <x:v>0.04</x:v>
      </x:c>
      <x:c r="AN50" s="42" t="str">
        <x:f>IF(E50="Credit",VLOOKUP(IF(LOWER(K50)="index","Credit Index","Credit Single Name"),Parameters!$J$4:$K$8,2,FALSE),IF(E50="Equity",VLOOKUP(IF(LOWER(K50)="index","Equity Index","Equity Single Name"),Parameters!$J$4:$K$8,2,FALSE),IF(E50="Commodity",VLOOKUP("Commodity",Parameters!$J$4:$K$8,2,FALSE),"")))</x:f>
      </x:c>
      <x:c r="AO50" s="27" t="n">
        <x:f>MAX((O50-M50)/365,0)</x:f>
        <x:v>0</x:v>
      </x:c>
      <x:c r="AP50" s="27" t="n">
        <x:f>MAX((P50-M50)/365,10/Parameters!$B$6)</x:f>
        <x:v>2.3232876712328765</x:v>
      </x:c>
      <x:c r="AQ50" s="27" t="n">
        <x:f>IF(AP50&lt;=AO50,AO50+10/Parameters!$B$6,AP50)</x:f>
        <x:v>2.3232876712328765</x:v>
      </x:c>
      <x:c r="AR50" s="41" t="n">
        <x:f>IF(OR(E50="Interest Rate",E50="Credit"),(EXP(-Parameters!$B$7*AO50)-EXP(-Parameters!$B$7*AQ50))/Parameters!$B$7,1)</x:f>
        <x:v>1</x:v>
      </x:c>
      <x:c r="AS50" s="40" t="n">
        <x:f>IF(OR(E50="Interest Rate",E50="Credit"),ABS(Q50)*AR50,IF(E50="FX",IF(Q50&gt;0,Q50,MAX(ABS(R50),ABS(S50),ABS(Q50))),ABS(Q50)))</x:f>
        <x:v>12900000</x:v>
      </x:c>
      <x:c r="AT50" s="42" t="n">
        <x:f>IF(OR(E50="Interest Rate",E50="FX"),VLOOKUP(E50,Parameters!$M$4:$N$11,2,FALSE),IF(E50="Credit",VLOOKUP(IF(LOWER(K50)="index","Credit Index","Credit Single Name"),Parameters!$M$4:$N$11,2,FALSE),IF(E50="Equity",VLOOKUP(IF(LOWER(K50)="index","Equity Index","Equity Single Name"),Parameters!$M$4:$N$11,2,FALSE),IF(E50="Commodity",VLOOKUP(IF(F50="Electricity","Commodity Electricity","Commodity Other"),Parameters!$M$4:$N$11,2,FALSE),1))))</x:f>
        <x:v>0.15</x:v>
      </x:c>
      <x:c r="AU50" s="27" t="n">
        <x:f>IF(W50="B",1,-1)</x:f>
        <x:v>1</x:v>
      </x:c>
      <x:c r="AV50" s="27" t="n">
        <x:f>IF(OR(AA50="",M50=""),MAX(AE50,1/365),MAX((AA50-M50)/365,1/365))</x:f>
        <x:v>2.3232876712328765</x:v>
      </x:c>
      <x:c r="AW50" s="41" t="str">
        <x:f>IF(OR(Z50&lt;=0,Y50&lt;=0,AT50&lt;=0,AV50&lt;=0),"",(LN(Z50/Y50)+0.5*AT50^2*AV50)/(AT50*SQRT(AV50)))</x:f>
      </x:c>
      <x:c r="AX50" s="41" t="n">
        <x:f>IF(AND(X50&lt;&gt;"C",X50&lt;&gt;"P"),AU50,IF(AW50="",AU50,IF(X50="C",AU50*0.5*(1+ERF(AW50/SQRT(2))),-AU50*0.5*(1+ERF(-AW50/SQRT(2))))))</x:f>
        <x:v>1</x:v>
      </x:c>
      <x:c r="AY50" s="41" t="n">
        <x:f>IF(AJ50="M",1.5*SQRT(MAX(IF(U50="Y",5,10),IF(V50="",10,V50))/Parameters!$B$6),SQRT(MIN(MAX(AE50,10/Parameters!$B$6),1)))</x:f>
        <x:v>1</x:v>
      </x:c>
      <x:c r="AZ50" s="40" t="n">
        <x:f>AS50*AX50*AY50</x:f>
        <x:v>12900000</x:v>
      </x:c>
      <x:c r="BA50" s="40" t="n">
        <x:f>'Python_Trade_Output'!AZ50</x:f>
        <x:v>12900000</x:v>
      </x:c>
      <x:c r="BB50" s="43" t="n">
        <x:f>AZ50-BA50</x:f>
        <x:v>0</x:v>
      </x:c>
    </x:row>
    <x:row r="51">
      <x:c r="A51" s="27" t="str">
        <x:f>'Inputs_Trades'!D51</x:f>
        <x:v>IND-000048</x:v>
      </x:c>
      <x:c r="B51" s="27" t="str">
        <x:f>'Inputs_Trades'!B51</x:f>
        <x:v>IND_CORPORATE_002</x:v>
      </x:c>
      <x:c r="C51" s="27" t="n">
        <x:f>'Inputs_Trades'!C51</x:f>
        <x:v>3346</x:v>
      </x:c>
      <x:c r="D51" s="27" t="str">
        <x:f>'Inputs_Trades'!E51</x:f>
        <x:v>FX Swap</x:v>
      </x:c>
      <x:c r="E51" s="27" t="str">
        <x:f>'Inputs_Trades'!F51</x:f>
        <x:v>FX</x:v>
      </x:c>
      <x:c r="F51" s="27" t="n">
        <x:f>'Inputs_Trades'!G51</x:f>
        <x:v>0</x:v>
      </x:c>
      <x:c r="G51" s="27" t="str">
        <x:f>'Inputs_Trades'!J51</x:f>
        <x:v>USD</x:v>
      </x:c>
      <x:c r="H51" s="27" t="str">
        <x:f>'Inputs_Trades'!H51</x:f>
        <x:v>USD</x:v>
      </x:c>
      <x:c r="I51" s="27" t="str">
        <x:f>'Inputs_Trades'!I51</x:f>
        <x:v>JPY</x:v>
      </x:c>
      <x:c r="J51" s="27" t="str">
        <x:f>'Inputs_Trades'!M51</x:f>
        <x:v>USD/JPY</x:v>
      </x:c>
      <x:c r="K51" s="27" t="n">
        <x:f>'Inputs_Trades'!N51</x:f>
        <x:v>0</x:v>
      </x:c>
      <x:c r="L51" s="27" t="n">
        <x:f>'Inputs_Trades'!O51</x:f>
        <x:v>0</x:v>
      </x:c>
      <x:c r="M51" s="39" t="n">
        <x:f>'Inputs_Trades'!A51</x:f>
        <x:v>45702</x:v>
      </x:c>
      <x:c r="N51" s="39" t="n">
        <x:f>'Inputs_Trades'!P51</x:f>
        <x:v>47708</x:v>
      </x:c>
      <x:c r="O51" s="39" t="n">
        <x:f>'Inputs_Trades'!Q51</x:f>
        <x:v>44994</x:v>
      </x:c>
      <x:c r="P51" s="39" t="n">
        <x:f>'Inputs_Trades'!R51</x:f>
        <x:v>47708</x:v>
      </x:c>
      <x:c r="Q51" s="40" t="n">
        <x:f>'Inputs_Trades'!U51</x:f>
        <x:v>8900000</x:v>
      </x:c>
      <x:c r="R51" s="40" t="n">
        <x:f>'Inputs_Trades'!S51</x:f>
        <x:v>8900000</x:v>
      </x:c>
      <x:c r="S51" s="40" t="n">
        <x:f>'Inputs_Trades'!T51</x:f>
        <x:v>1328358208.96</x:v>
      </x:c>
      <x:c r="T51" s="27" t="str">
        <x:f>'Inputs_Trades'!V51</x:f>
        <x:v>M</x:v>
      </x:c>
      <x:c r="U51" s="27" t="str">
        <x:f>'Inputs_Trades'!W51</x:f>
        <x:v>N</x:v>
      </x:c>
      <x:c r="V51" s="27" t="n">
        <x:f>'Inputs_Trades'!X51</x:f>
        <x:v>10</x:v>
      </x:c>
      <x:c r="W51" s="27" t="str">
        <x:f>'Inputs_Trades'!Y51</x:f>
        <x:v>B</x:v>
      </x:c>
      <x:c r="X51" s="27" t="n">
        <x:f>'Inputs_Trades'!AA51</x:f>
        <x:v>0</x:v>
      </x:c>
      <x:c r="Y51" s="27" t="n">
        <x:f>'Inputs_Trades'!AB51</x:f>
        <x:v>0</x:v>
      </x:c>
      <x:c r="Z51" s="27" t="n">
        <x:f>'Inputs_Trades'!AC51</x:f>
        <x:v>0</x:v>
      </x:c>
      <x:c r="AA51" s="39" t="n">
        <x:f>'Inputs_Trades'!Z51</x:f>
        <x:v>0</x:v>
      </x:c>
      <x:c r="AB51" s="40" t="n">
        <x:f>'Inputs_Trades'!AD51</x:f>
        <x:v>17978</x:v>
      </x:c>
      <x:c r="AC51" s="27" t="n">
        <x:f>'Inputs_Trades'!K51</x:f>
        <x:v>0</x:v>
      </x:c>
      <x:c r="AD51" s="27" t="n">
        <x:f>N51-M51</x:f>
        <x:v>2006</x:v>
      </x:c>
      <x:c r="AE51" s="41" t="n">
        <x:f>AD51/365</x:f>
        <x:v>5.495890410958904</x:v>
      </x:c>
      <x:c r="AF51" s="27" t="str">
        <x:f>IF(AE51&lt;1,"&lt;1Y",IF(AE51&lt;=5,"1Y-5Y","&gt;5Y"))</x:f>
        <x:v>&gt;5Y</x:v>
      </x:c>
      <x:c r="AG51" s="27" t="str">
        <x:f>IF(E51="Commodity",IFERROR(VLOOKUP(F51,Parameters!$P$4:$Q$12,2,FALSE),"Other"),"")</x:f>
      </x:c>
      <x:c r="AH51" s="27" t="str">
        <x:f>IF(F51="","Unknown",F51)</x:f>
        <x:v>Unknown</x:v>
      </x:c>
      <x:c r="AI51" s="27" t="str">
        <x:f>IF(E51="Interest Rate",G51&amp;IF(OR(LOWER(AC51)="basis",LOWER(AC51)="volatility"),"_"&amp;AC51,""),IF(E51="FX",IF(H51&lt;I51,H51&amp;"/"&amp;I51,I51&amp;"/"&amp;H51)&amp;IF(OR(LOWER(AC51)="basis",LOWER(AC51)="volatility"),"_"&amp;AC51,""),IF(OR(E51="Credit",E51="Equity"),J51&amp;IF(OR(LOWER(AC51)="basis",LOWER(AC51)="volatility"),"_"&amp;AC51,""),IF(E51="Commodity",AG51&amp;IF(OR(LOWER(AC51)="basis",LOWER(AC51)="volatility"),"_"&amp;AC51,""),"UNKNOWN"))))</x:f>
        <x:v>JPY/USD</x:v>
      </x:c>
      <x:c r="AJ51" s="27" t="str">
        <x:f>T51</x:f>
        <x:v>M</x:v>
      </x:c>
      <x:c r="AK51" s="41" t="n">
        <x:f>IF(E51="Interest Rate",VLOOKUP("Interest Rate",Parameters!$D$4:$E$12,2,FALSE),IF(E51="FX",VLOOKUP("FX",Parameters!$D$4:$E$12,2,FALSE),IF(E51="Credit",IFERROR(VLOOKUP(L51,Parameters!$G$4:$H$12,2,FALSE),VLOOKUP("BBB",Parameters!$G$4:$H$12,2,FALSE)),IF(E51="Equity",VLOOKUP(IF(LOWER(K51)="index","Equity Index","Equity Single Name"),Parameters!$D$4:$E$12,2,FALSE),IF(E51="Commodity",VLOOKUP(IFERROR(VLOOKUP(F51,Parameters!$S$4:$T$12,2,FALSE),"Commodity Other"),Parameters!$D$4:$E$12,2,FALSE),0)))))</x:f>
        <x:v>0.04</x:v>
      </x:c>
      <x:c r="AL51" s="42" t="n">
        <x:f>IF(LOWER(AC51)="basis",Parameters!$B$8,IF(LOWER(AC51)="volatility",Parameters!$B$9,1))</x:f>
        <x:v>1</x:v>
      </x:c>
      <x:c r="AM51" s="41" t="n">
        <x:f>AK51*AL51</x:f>
        <x:v>0.04</x:v>
      </x:c>
      <x:c r="AN51" s="42" t="str">
        <x:f>IF(E51="Credit",VLOOKUP(IF(LOWER(K51)="index","Credit Index","Credit Single Name"),Parameters!$J$4:$K$8,2,FALSE),IF(E51="Equity",VLOOKUP(IF(LOWER(K51)="index","Equity Index","Equity Single Name"),Parameters!$J$4:$K$8,2,FALSE),IF(E51="Commodity",VLOOKUP("Commodity",Parameters!$J$4:$K$8,2,FALSE),"")))</x:f>
      </x:c>
      <x:c r="AO51" s="27" t="n">
        <x:f>MAX((O51-M51)/365,0)</x:f>
        <x:v>0</x:v>
      </x:c>
      <x:c r="AP51" s="27" t="n">
        <x:f>MAX((P51-M51)/365,10/Parameters!$B$6)</x:f>
        <x:v>5.495890410958904</x:v>
      </x:c>
      <x:c r="AQ51" s="27" t="n">
        <x:f>IF(AP51&lt;=AO51,AO51+10/Parameters!$B$6,AP51)</x:f>
        <x:v>5.495890410958904</x:v>
      </x:c>
      <x:c r="AR51" s="41" t="n">
        <x:f>IF(OR(E51="Interest Rate",E51="Credit"),(EXP(-Parameters!$B$7*AO51)-EXP(-Parameters!$B$7*AQ51))/Parameters!$B$7,1)</x:f>
        <x:v>1</x:v>
      </x:c>
      <x:c r="AS51" s="40" t="n">
        <x:f>IF(OR(E51="Interest Rate",E51="Credit"),ABS(Q51)*AR51,IF(E51="FX",IF(Q51&gt;0,Q51,MAX(ABS(R51),ABS(S51),ABS(Q51))),ABS(Q51)))</x:f>
        <x:v>8900000</x:v>
      </x:c>
      <x:c r="AT51" s="42" t="n">
        <x:f>IF(OR(E51="Interest Rate",E51="FX"),VLOOKUP(E51,Parameters!$M$4:$N$11,2,FALSE),IF(E51="Credit",VLOOKUP(IF(LOWER(K51)="index","Credit Index","Credit Single Name"),Parameters!$M$4:$N$11,2,FALSE),IF(E51="Equity",VLOOKUP(IF(LOWER(K51)="index","Equity Index","Equity Single Name"),Parameters!$M$4:$N$11,2,FALSE),IF(E51="Commodity",VLOOKUP(IF(F51="Electricity","Commodity Electricity","Commodity Other"),Parameters!$M$4:$N$11,2,FALSE),1))))</x:f>
        <x:v>0.15</x:v>
      </x:c>
      <x:c r="AU51" s="27" t="n">
        <x:f>IF(W51="B",1,-1)</x:f>
        <x:v>1</x:v>
      </x:c>
      <x:c r="AV51" s="27" t="n">
        <x:f>IF(OR(AA51="",M51=""),MAX(AE51,1/365),MAX((AA51-M51)/365,1/365))</x:f>
        <x:v>5.495890410958904</x:v>
      </x:c>
      <x:c r="AW51" s="41" t="str">
        <x:f>IF(OR(Z51&lt;=0,Y51&lt;=0,AT51&lt;=0,AV51&lt;=0),"",(LN(Z51/Y51)+0.5*AT51^2*AV51)/(AT51*SQRT(AV51)))</x:f>
      </x:c>
      <x:c r="AX51" s="41" t="n">
        <x:f>IF(AND(X51&lt;&gt;"C",X51&lt;&gt;"P"),AU51,IF(AW51="",AU51,IF(X51="C",AU51*0.5*(1+ERF(AW51/SQRT(2))),-AU51*0.5*(1+ERF(-AW51/SQRT(2))))))</x:f>
        <x:v>1</x:v>
      </x:c>
      <x:c r="AY51" s="41" t="n">
        <x:f>IF(AJ51="M",1.5*SQRT(MAX(IF(U51="Y",5,10),IF(V51="",10,V51))/Parameters!$B$6),SQRT(MIN(MAX(AE51,10/Parameters!$B$6),1)))</x:f>
        <x:v>0.30000000000000004</x:v>
      </x:c>
      <x:c r="AZ51" s="40" t="n">
        <x:f>AS51*AX51*AY51</x:f>
        <x:v>2670000.0000000005</x:v>
      </x:c>
      <x:c r="BA51" s="40" t="n">
        <x:f>'Python_Trade_Output'!AZ51</x:f>
        <x:v>2670000.0000000005</x:v>
      </x:c>
      <x:c r="BB51" s="43" t="n">
        <x:f>AZ51-BA51</x:f>
        <x:v>0</x:v>
      </x:c>
    </x:row>
    <x:row r="52">
      <x:c r="A52" s="27" t="str">
        <x:f>'Inputs_Trades'!D52</x:f>
        <x:v>IND-000049</x:v>
      </x:c>
      <x:c r="B52" s="27" t="str">
        <x:f>'Inputs_Trades'!B52</x:f>
        <x:v>IND_CORPORATE_002</x:v>
      </x:c>
      <x:c r="C52" s="27" t="n">
        <x:f>'Inputs_Trades'!C52</x:f>
        <x:v>3346</x:v>
      </x:c>
      <x:c r="D52" s="27" t="str">
        <x:f>'Inputs_Trades'!E52</x:f>
        <x:v>FX Swap</x:v>
      </x:c>
      <x:c r="E52" s="27" t="str">
        <x:f>'Inputs_Trades'!F52</x:f>
        <x:v>FX</x:v>
      </x:c>
      <x:c r="F52" s="27" t="n">
        <x:f>'Inputs_Trades'!G52</x:f>
        <x:v>0</x:v>
      </x:c>
      <x:c r="G52" s="27" t="str">
        <x:f>'Inputs_Trades'!J52</x:f>
        <x:v>USD</x:v>
      </x:c>
      <x:c r="H52" s="27" t="str">
        <x:f>'Inputs_Trades'!H52</x:f>
        <x:v>USD</x:v>
      </x:c>
      <x:c r="I52" s="27" t="str">
        <x:f>'Inputs_Trades'!I52</x:f>
        <x:v>JPY</x:v>
      </x:c>
      <x:c r="J52" s="27" t="str">
        <x:f>'Inputs_Trades'!M52</x:f>
        <x:v>USD/JPY</x:v>
      </x:c>
      <x:c r="K52" s="27" t="n">
        <x:f>'Inputs_Trades'!N52</x:f>
        <x:v>0</x:v>
      </x:c>
      <x:c r="L52" s="27" t="n">
        <x:f>'Inputs_Trades'!O52</x:f>
        <x:v>0</x:v>
      </x:c>
      <x:c r="M52" s="39" t="n">
        <x:f>'Inputs_Trades'!A52</x:f>
        <x:v>45702</x:v>
      </x:c>
      <x:c r="N52" s="39" t="n">
        <x:f>'Inputs_Trades'!P52</x:f>
        <x:v>47329</x:v>
      </x:c>
      <x:c r="O52" s="39" t="n">
        <x:f>'Inputs_Trades'!Q52</x:f>
        <x:v>44822</x:v>
      </x:c>
      <x:c r="P52" s="39" t="n">
        <x:f>'Inputs_Trades'!R52</x:f>
        <x:v>47329</x:v>
      </x:c>
      <x:c r="Q52" s="40" t="n">
        <x:f>'Inputs_Trades'!U52</x:f>
        <x:v>113000000</x:v>
      </x:c>
      <x:c r="R52" s="40" t="n">
        <x:f>'Inputs_Trades'!S52</x:f>
        <x:v>113000000</x:v>
      </x:c>
      <x:c r="S52" s="40" t="n">
        <x:f>'Inputs_Trades'!T52</x:f>
        <x:v>16865671641.79</x:v>
      </x:c>
      <x:c r="T52" s="27" t="str">
        <x:f>'Inputs_Trades'!V52</x:f>
        <x:v>M</x:v>
      </x:c>
      <x:c r="U52" s="27" t="str">
        <x:f>'Inputs_Trades'!W52</x:f>
        <x:v>N</x:v>
      </x:c>
      <x:c r="V52" s="27" t="n">
        <x:f>'Inputs_Trades'!X52</x:f>
        <x:v>10</x:v>
      </x:c>
      <x:c r="W52" s="27" t="str">
        <x:f>'Inputs_Trades'!Y52</x:f>
        <x:v>S</x:v>
      </x:c>
      <x:c r="X52" s="27" t="n">
        <x:f>'Inputs_Trades'!AA52</x:f>
        <x:v>0</x:v>
      </x:c>
      <x:c r="Y52" s="27" t="n">
        <x:f>'Inputs_Trades'!AB52</x:f>
        <x:v>0</x:v>
      </x:c>
      <x:c r="Z52" s="27" t="n">
        <x:f>'Inputs_Trades'!AC52</x:f>
        <x:v>0</x:v>
      </x:c>
      <x:c r="AA52" s="39" t="n">
        <x:f>'Inputs_Trades'!Z52</x:f>
        <x:v>0</x:v>
      </x:c>
      <x:c r="AB52" s="40" t="n">
        <x:f>'Inputs_Trades'!AD52</x:f>
        <x:v>-924340</x:v>
      </x:c>
      <x:c r="AC52" s="27" t="n">
        <x:f>'Inputs_Trades'!K52</x:f>
        <x:v>0</x:v>
      </x:c>
      <x:c r="AD52" s="27" t="n">
        <x:f>N52-M52</x:f>
        <x:v>1627</x:v>
      </x:c>
      <x:c r="AE52" s="41" t="n">
        <x:f>AD52/365</x:f>
        <x:v>4.457534246575342</x:v>
      </x:c>
      <x:c r="AF52" s="27" t="str">
        <x:f>IF(AE52&lt;1,"&lt;1Y",IF(AE52&lt;=5,"1Y-5Y","&gt;5Y"))</x:f>
        <x:v>1Y-5Y</x:v>
      </x:c>
      <x:c r="AG52" s="27" t="str">
        <x:f>IF(E52="Commodity",IFERROR(VLOOKUP(F52,Parameters!$P$4:$Q$12,2,FALSE),"Other"),"")</x:f>
      </x:c>
      <x:c r="AH52" s="27" t="str">
        <x:f>IF(F52="","Unknown",F52)</x:f>
        <x:v>Unknown</x:v>
      </x:c>
      <x:c r="AI52" s="27" t="str">
        <x:f>IF(E52="Interest Rate",G52&amp;IF(OR(LOWER(AC52)="basis",LOWER(AC52)="volatility"),"_"&amp;AC52,""),IF(E52="FX",IF(H52&lt;I52,H52&amp;"/"&amp;I52,I52&amp;"/"&amp;H52)&amp;IF(OR(LOWER(AC52)="basis",LOWER(AC52)="volatility"),"_"&amp;AC52,""),IF(OR(E52="Credit",E52="Equity"),J52&amp;IF(OR(LOWER(AC52)="basis",LOWER(AC52)="volatility"),"_"&amp;AC52,""),IF(E52="Commodity",AG52&amp;IF(OR(LOWER(AC52)="basis",LOWER(AC52)="volatility"),"_"&amp;AC52,""),"UNKNOWN"))))</x:f>
        <x:v>JPY/USD</x:v>
      </x:c>
      <x:c r="AJ52" s="27" t="str">
        <x:f>T52</x:f>
        <x:v>M</x:v>
      </x:c>
      <x:c r="AK52" s="41" t="n">
        <x:f>IF(E52="Interest Rate",VLOOKUP("Interest Rate",Parameters!$D$4:$E$12,2,FALSE),IF(E52="FX",VLOOKUP("FX",Parameters!$D$4:$E$12,2,FALSE),IF(E52="Credit",IFERROR(VLOOKUP(L52,Parameters!$G$4:$H$12,2,FALSE),VLOOKUP("BBB",Parameters!$G$4:$H$12,2,FALSE)),IF(E52="Equity",VLOOKUP(IF(LOWER(K52)="index","Equity Index","Equity Single Name"),Parameters!$D$4:$E$12,2,FALSE),IF(E52="Commodity",VLOOKUP(IFERROR(VLOOKUP(F52,Parameters!$S$4:$T$12,2,FALSE),"Commodity Other"),Parameters!$D$4:$E$12,2,FALSE),0)))))</x:f>
        <x:v>0.04</x:v>
      </x:c>
      <x:c r="AL52" s="42" t="n">
        <x:f>IF(LOWER(AC52)="basis",Parameters!$B$8,IF(LOWER(AC52)="volatility",Parameters!$B$9,1))</x:f>
        <x:v>1</x:v>
      </x:c>
      <x:c r="AM52" s="41" t="n">
        <x:f>AK52*AL52</x:f>
        <x:v>0.04</x:v>
      </x:c>
      <x:c r="AN52" s="42" t="str">
        <x:f>IF(E52="Credit",VLOOKUP(IF(LOWER(K52)="index","Credit Index","Credit Single Name"),Parameters!$J$4:$K$8,2,FALSE),IF(E52="Equity",VLOOKUP(IF(LOWER(K52)="index","Equity Index","Equity Single Name"),Parameters!$J$4:$K$8,2,FALSE),IF(E52="Commodity",VLOOKUP("Commodity",Parameters!$J$4:$K$8,2,FALSE),"")))</x:f>
      </x:c>
      <x:c r="AO52" s="27" t="n">
        <x:f>MAX((O52-M52)/365,0)</x:f>
        <x:v>0</x:v>
      </x:c>
      <x:c r="AP52" s="27" t="n">
        <x:f>MAX((P52-M52)/365,10/Parameters!$B$6)</x:f>
        <x:v>4.457534246575342</x:v>
      </x:c>
      <x:c r="AQ52" s="27" t="n">
        <x:f>IF(AP52&lt;=AO52,AO52+10/Parameters!$B$6,AP52)</x:f>
        <x:v>4.457534246575342</x:v>
      </x:c>
      <x:c r="AR52" s="41" t="n">
        <x:f>IF(OR(E52="Interest Rate",E52="Credit"),(EXP(-Parameters!$B$7*AO52)-EXP(-Parameters!$B$7*AQ52))/Parameters!$B$7,1)</x:f>
        <x:v>1</x:v>
      </x:c>
      <x:c r="AS52" s="40" t="n">
        <x:f>IF(OR(E52="Interest Rate",E52="Credit"),ABS(Q52)*AR52,IF(E52="FX",IF(Q52&gt;0,Q52,MAX(ABS(R52),ABS(S52),ABS(Q52))),ABS(Q52)))</x:f>
        <x:v>113000000</x:v>
      </x:c>
      <x:c r="AT52" s="42" t="n">
        <x:f>IF(OR(E52="Interest Rate",E52="FX"),VLOOKUP(E52,Parameters!$M$4:$N$11,2,FALSE),IF(E52="Credit",VLOOKUP(IF(LOWER(K52)="index","Credit Index","Credit Single Name"),Parameters!$M$4:$N$11,2,FALSE),IF(E52="Equity",VLOOKUP(IF(LOWER(K52)="index","Equity Index","Equity Single Name"),Parameters!$M$4:$N$11,2,FALSE),IF(E52="Commodity",VLOOKUP(IF(F52="Electricity","Commodity Electricity","Commodity Other"),Parameters!$M$4:$N$11,2,FALSE),1))))</x:f>
        <x:v>0.15</x:v>
      </x:c>
      <x:c r="AU52" s="27" t="n">
        <x:f>IF(W52="B",1,-1)</x:f>
        <x:v>-1</x:v>
      </x:c>
      <x:c r="AV52" s="27" t="n">
        <x:f>IF(OR(AA52="",M52=""),MAX(AE52,1/365),MAX((AA52-M52)/365,1/365))</x:f>
        <x:v>4.457534246575342</x:v>
      </x:c>
      <x:c r="AW52" s="41" t="str">
        <x:f>IF(OR(Z52&lt;=0,Y52&lt;=0,AT52&lt;=0,AV52&lt;=0),"",(LN(Z52/Y52)+0.5*AT52^2*AV52)/(AT52*SQRT(AV52)))</x:f>
      </x:c>
      <x:c r="AX52" s="41" t="n">
        <x:f>IF(AND(X52&lt;&gt;"C",X52&lt;&gt;"P"),AU52,IF(AW52="",AU52,IF(X52="C",AU52*0.5*(1+ERF(AW52/SQRT(2))),-AU52*0.5*(1+ERF(-AW52/SQRT(2))))))</x:f>
        <x:v>-1</x:v>
      </x:c>
      <x:c r="AY52" s="41" t="n">
        <x:f>IF(AJ52="M",1.5*SQRT(MAX(IF(U52="Y",5,10),IF(V52="",10,V52))/Parameters!$B$6),SQRT(MIN(MAX(AE52,10/Parameters!$B$6),1)))</x:f>
        <x:v>0.30000000000000004</x:v>
      </x:c>
      <x:c r="AZ52" s="40" t="n">
        <x:f>AS52*AX52*AY52</x:f>
        <x:v>-33900000.00000001</x:v>
      </x:c>
      <x:c r="BA52" s="40" t="n">
        <x:f>'Python_Trade_Output'!AZ52</x:f>
        <x:v>-33900000.00000001</x:v>
      </x:c>
      <x:c r="BB52" s="43" t="n">
        <x:f>AZ52-BA52</x:f>
        <x:v>0</x:v>
      </x:c>
    </x:row>
    <x:row r="53">
      <x:c r="A53" s="27" t="str">
        <x:f>'Inputs_Trades'!D53</x:f>
        <x:v>IND-000050</x:v>
      </x:c>
      <x:c r="B53" s="27" t="str">
        <x:f>'Inputs_Trades'!B53</x:f>
        <x:v>IND_PENSION_001</x:v>
      </x:c>
      <x:c r="C53" s="27" t="n">
        <x:f>'Inputs_Trades'!C53</x:f>
        <x:v>3294</x:v>
      </x:c>
      <x:c r="D53" s="27" t="str">
        <x:f>'Inputs_Trades'!E53</x:f>
        <x:v>FX Swap</x:v>
      </x:c>
      <x:c r="E53" s="27" t="str">
        <x:f>'Inputs_Trades'!F53</x:f>
        <x:v>FX</x:v>
      </x:c>
      <x:c r="F53" s="27" t="n">
        <x:f>'Inputs_Trades'!G53</x:f>
        <x:v>0</x:v>
      </x:c>
      <x:c r="G53" s="27" t="str">
        <x:f>'Inputs_Trades'!J53</x:f>
        <x:v>USD</x:v>
      </x:c>
      <x:c r="H53" s="27" t="str">
        <x:f>'Inputs_Trades'!H53</x:f>
        <x:v>EUR</x:v>
      </x:c>
      <x:c r="I53" s="27" t="str">
        <x:f>'Inputs_Trades'!I53</x:f>
        <x:v>USD</x:v>
      </x:c>
      <x:c r="J53" s="27" t="str">
        <x:f>'Inputs_Trades'!M53</x:f>
        <x:v>EUR/USD</x:v>
      </x:c>
      <x:c r="K53" s="27" t="n">
        <x:f>'Inputs_Trades'!N53</x:f>
        <x:v>0</x:v>
      </x:c>
      <x:c r="L53" s="27" t="n">
        <x:f>'Inputs_Trades'!O53</x:f>
        <x:v>0</x:v>
      </x:c>
      <x:c r="M53" s="39" t="n">
        <x:f>'Inputs_Trades'!A53</x:f>
        <x:v>45702</x:v>
      </x:c>
      <x:c r="N53" s="39" t="n">
        <x:f>'Inputs_Trades'!P53</x:f>
        <x:v>47476</x:v>
      </x:c>
      <x:c r="O53" s="39" t="n">
        <x:f>'Inputs_Trades'!Q53</x:f>
        <x:v>45286</x:v>
      </x:c>
      <x:c r="P53" s="39" t="n">
        <x:f>'Inputs_Trades'!R53</x:f>
        <x:v>47476</x:v>
      </x:c>
      <x:c r="Q53" s="40" t="n">
        <x:f>'Inputs_Trades'!U53</x:f>
        <x:v>4600000</x:v>
      </x:c>
      <x:c r="R53" s="40" t="n">
        <x:f>'Inputs_Trades'!S53</x:f>
        <x:v>4380952.38</x:v>
      </x:c>
      <x:c r="S53" s="40" t="n">
        <x:f>'Inputs_Trades'!T53</x:f>
        <x:v>4600000</x:v>
      </x:c>
      <x:c r="T53" s="27" t="str">
        <x:f>'Inputs_Trades'!V53</x:f>
        <x:v>M</x:v>
      </x:c>
      <x:c r="U53" s="27" t="str">
        <x:f>'Inputs_Trades'!W53</x:f>
        <x:v>N</x:v>
      </x:c>
      <x:c r="V53" s="27" t="n">
        <x:f>'Inputs_Trades'!X53</x:f>
        <x:v>10</x:v>
      </x:c>
      <x:c r="W53" s="27" t="str">
        <x:f>'Inputs_Trades'!Y53</x:f>
        <x:v>B</x:v>
      </x:c>
      <x:c r="X53" s="27" t="n">
        <x:f>'Inputs_Trades'!AA53</x:f>
        <x:v>0</x:v>
      </x:c>
      <x:c r="Y53" s="27" t="n">
        <x:f>'Inputs_Trades'!AB53</x:f>
        <x:v>0</x:v>
      </x:c>
      <x:c r="Z53" s="27" t="n">
        <x:f>'Inputs_Trades'!AC53</x:f>
        <x:v>0</x:v>
      </x:c>
      <x:c r="AA53" s="39" t="n">
        <x:f>'Inputs_Trades'!Z53</x:f>
        <x:v>0</x:v>
      </x:c>
      <x:c r="AB53" s="40" t="n">
        <x:f>'Inputs_Trades'!AD53</x:f>
        <x:v>8924</x:v>
      </x:c>
      <x:c r="AC53" s="27" t="n">
        <x:f>'Inputs_Trades'!K53</x:f>
        <x:v>0</x:v>
      </x:c>
      <x:c r="AD53" s="27" t="n">
        <x:f>N53-M53</x:f>
        <x:v>1774</x:v>
      </x:c>
      <x:c r="AE53" s="41" t="n">
        <x:f>AD53/365</x:f>
        <x:v>4.86027397260274</x:v>
      </x:c>
      <x:c r="AF53" s="27" t="str">
        <x:f>IF(AE53&lt;1,"&lt;1Y",IF(AE53&lt;=5,"1Y-5Y","&gt;5Y"))</x:f>
        <x:v>1Y-5Y</x:v>
      </x:c>
      <x:c r="AG53" s="27" t="str">
        <x:f>IF(E53="Commodity",IFERROR(VLOOKUP(F53,Parameters!$P$4:$Q$12,2,FALSE),"Other"),"")</x:f>
      </x:c>
      <x:c r="AH53" s="27" t="str">
        <x:f>IF(F53="","Unknown",F53)</x:f>
        <x:v>Unknown</x:v>
      </x:c>
      <x:c r="AI53" s="27" t="str">
        <x:f>IF(E53="Interest Rate",G53&amp;IF(OR(LOWER(AC53)="basis",LOWER(AC53)="volatility"),"_"&amp;AC53,""),IF(E53="FX",IF(H53&lt;I53,H53&amp;"/"&amp;I53,I53&amp;"/"&amp;H53)&amp;IF(OR(LOWER(AC53)="basis",LOWER(AC53)="volatility"),"_"&amp;AC53,""),IF(OR(E53="Credit",E53="Equity"),J53&amp;IF(OR(LOWER(AC53)="basis",LOWER(AC53)="volatility"),"_"&amp;AC53,""),IF(E53="Commodity",AG53&amp;IF(OR(LOWER(AC53)="basis",LOWER(AC53)="volatility"),"_"&amp;AC53,""),"UNKNOWN"))))</x:f>
        <x:v>EUR/USD</x:v>
      </x:c>
      <x:c r="AJ53" s="27" t="str">
        <x:f>T53</x:f>
        <x:v>M</x:v>
      </x:c>
      <x:c r="AK53" s="41" t="n">
        <x:f>IF(E53="Interest Rate",VLOOKUP("Interest Rate",Parameters!$D$4:$E$12,2,FALSE),IF(E53="FX",VLOOKUP("FX",Parameters!$D$4:$E$12,2,FALSE),IF(E53="Credit",IFERROR(VLOOKUP(L53,Parameters!$G$4:$H$12,2,FALSE),VLOOKUP("BBB",Parameters!$G$4:$H$12,2,FALSE)),IF(E53="Equity",VLOOKUP(IF(LOWER(K53)="index","Equity Index","Equity Single Name"),Parameters!$D$4:$E$12,2,FALSE),IF(E53="Commodity",VLOOKUP(IFERROR(VLOOKUP(F53,Parameters!$S$4:$T$12,2,FALSE),"Commodity Other"),Parameters!$D$4:$E$12,2,FALSE),0)))))</x:f>
        <x:v>0.04</x:v>
      </x:c>
      <x:c r="AL53" s="42" t="n">
        <x:f>IF(LOWER(AC53)="basis",Parameters!$B$8,IF(LOWER(AC53)="volatility",Parameters!$B$9,1))</x:f>
        <x:v>1</x:v>
      </x:c>
      <x:c r="AM53" s="41" t="n">
        <x:f>AK53*AL53</x:f>
        <x:v>0.04</x:v>
      </x:c>
      <x:c r="AN53" s="42" t="str">
        <x:f>IF(E53="Credit",VLOOKUP(IF(LOWER(K53)="index","Credit Index","Credit Single Name"),Parameters!$J$4:$K$8,2,FALSE),IF(E53="Equity",VLOOKUP(IF(LOWER(K53)="index","Equity Index","Equity Single Name"),Parameters!$J$4:$K$8,2,FALSE),IF(E53="Commodity",VLOOKUP("Commodity",Parameters!$J$4:$K$8,2,FALSE),"")))</x:f>
      </x:c>
      <x:c r="AO53" s="27" t="n">
        <x:f>MAX((O53-M53)/365,0)</x:f>
        <x:v>0</x:v>
      </x:c>
      <x:c r="AP53" s="27" t="n">
        <x:f>MAX((P53-M53)/365,10/Parameters!$B$6)</x:f>
        <x:v>4.86027397260274</x:v>
      </x:c>
      <x:c r="AQ53" s="27" t="n">
        <x:f>IF(AP53&lt;=AO53,AO53+10/Parameters!$B$6,AP53)</x:f>
        <x:v>4.86027397260274</x:v>
      </x:c>
      <x:c r="AR53" s="41" t="n">
        <x:f>IF(OR(E53="Interest Rate",E53="Credit"),(EXP(-Parameters!$B$7*AO53)-EXP(-Parameters!$B$7*AQ53))/Parameters!$B$7,1)</x:f>
        <x:v>1</x:v>
      </x:c>
      <x:c r="AS53" s="40" t="n">
        <x:f>IF(OR(E53="Interest Rate",E53="Credit"),ABS(Q53)*AR53,IF(E53="FX",IF(Q53&gt;0,Q53,MAX(ABS(R53),ABS(S53),ABS(Q53))),ABS(Q53)))</x:f>
        <x:v>4600000</x:v>
      </x:c>
      <x:c r="AT53" s="42" t="n">
        <x:f>IF(OR(E53="Interest Rate",E53="FX"),VLOOKUP(E53,Parameters!$M$4:$N$11,2,FALSE),IF(E53="Credit",VLOOKUP(IF(LOWER(K53)="index","Credit Index","Credit Single Name"),Parameters!$M$4:$N$11,2,FALSE),IF(E53="Equity",VLOOKUP(IF(LOWER(K53)="index","Equity Index","Equity Single Name"),Parameters!$M$4:$N$11,2,FALSE),IF(E53="Commodity",VLOOKUP(IF(F53="Electricity","Commodity Electricity","Commodity Other"),Parameters!$M$4:$N$11,2,FALSE),1))))</x:f>
        <x:v>0.15</x:v>
      </x:c>
      <x:c r="AU53" s="27" t="n">
        <x:f>IF(W53="B",1,-1)</x:f>
        <x:v>1</x:v>
      </x:c>
      <x:c r="AV53" s="27" t="n">
        <x:f>IF(OR(AA53="",M53=""),MAX(AE53,1/365),MAX((AA53-M53)/365,1/365))</x:f>
        <x:v>4.86027397260274</x:v>
      </x:c>
      <x:c r="AW53" s="41" t="str">
        <x:f>IF(OR(Z53&lt;=0,Y53&lt;=0,AT53&lt;=0,AV53&lt;=0),"",(LN(Z53/Y53)+0.5*AT53^2*AV53)/(AT53*SQRT(AV53)))</x:f>
      </x:c>
      <x:c r="AX53" s="41" t="n">
        <x:f>IF(AND(X53&lt;&gt;"C",X53&lt;&gt;"P"),AU53,IF(AW53="",AU53,IF(X53="C",AU53*0.5*(1+ERF(AW53/SQRT(2))),-AU53*0.5*(1+ERF(-AW53/SQRT(2))))))</x:f>
        <x:v>1</x:v>
      </x:c>
      <x:c r="AY53" s="41" t="n">
        <x:f>IF(AJ53="M",1.5*SQRT(MAX(IF(U53="Y",5,10),IF(V53="",10,V53))/Parameters!$B$6),SQRT(MIN(MAX(AE53,10/Parameters!$B$6),1)))</x:f>
        <x:v>0.30000000000000004</x:v>
      </x:c>
      <x:c r="AZ53" s="40" t="n">
        <x:f>AS53*AX53*AY53</x:f>
        <x:v>1380000.0000000002</x:v>
      </x:c>
      <x:c r="BA53" s="40" t="n">
        <x:f>'Python_Trade_Output'!AZ53</x:f>
        <x:v>1380000.0000000002</x:v>
      </x:c>
      <x:c r="BB53" s="43" t="n">
        <x:f>AZ53-BA53</x:f>
        <x:v>0</x:v>
      </x:c>
    </x:row>
    <x:row r="54">
      <x:c r="A54" s="27" t="str">
        <x:f>'Inputs_Trades'!D54</x:f>
        <x:v>IND-000051</x:v>
      </x:c>
      <x:c r="B54" s="27" t="str">
        <x:f>'Inputs_Trades'!B54</x:f>
        <x:v>IND_CORPORATE_001</x:v>
      </x:c>
      <x:c r="C54" s="27" t="n">
        <x:f>'Inputs_Trades'!C54</x:f>
        <x:v>3040</x:v>
      </x:c>
      <x:c r="D54" s="27" t="str">
        <x:f>'Inputs_Trades'!E54</x:f>
        <x:v>FX Swap</x:v>
      </x:c>
      <x:c r="E54" s="27" t="str">
        <x:f>'Inputs_Trades'!F54</x:f>
        <x:v>FX</x:v>
      </x:c>
      <x:c r="F54" s="27" t="n">
        <x:f>'Inputs_Trades'!G54</x:f>
        <x:v>0</x:v>
      </x:c>
      <x:c r="G54" s="27" t="str">
        <x:f>'Inputs_Trades'!J54</x:f>
        <x:v>USD</x:v>
      </x:c>
      <x:c r="H54" s="27" t="str">
        <x:f>'Inputs_Trades'!H54</x:f>
        <x:v>EUR</x:v>
      </x:c>
      <x:c r="I54" s="27" t="str">
        <x:f>'Inputs_Trades'!I54</x:f>
        <x:v>USD</x:v>
      </x:c>
      <x:c r="J54" s="27" t="str">
        <x:f>'Inputs_Trades'!M54</x:f>
        <x:v>EUR/USD</x:v>
      </x:c>
      <x:c r="K54" s="27" t="n">
        <x:f>'Inputs_Trades'!N54</x:f>
        <x:v>0</x:v>
      </x:c>
      <x:c r="L54" s="27" t="n">
        <x:f>'Inputs_Trades'!O54</x:f>
        <x:v>0</x:v>
      </x:c>
      <x:c r="M54" s="39" t="n">
        <x:f>'Inputs_Trades'!A54</x:f>
        <x:v>45702</x:v>
      </x:c>
      <x:c r="N54" s="39" t="n">
        <x:f>'Inputs_Trades'!P54</x:f>
        <x:v>47382</x:v>
      </x:c>
      <x:c r="O54" s="39" t="n">
        <x:f>'Inputs_Trades'!Q54</x:f>
        <x:v>45222</x:v>
      </x:c>
      <x:c r="P54" s="39" t="n">
        <x:f>'Inputs_Trades'!R54</x:f>
        <x:v>47382</x:v>
      </x:c>
      <x:c r="Q54" s="40" t="n">
        <x:f>'Inputs_Trades'!U54</x:f>
        <x:v>76800000</x:v>
      </x:c>
      <x:c r="R54" s="40" t="n">
        <x:f>'Inputs_Trades'!S54</x:f>
        <x:v>73142857.14</x:v>
      </x:c>
      <x:c r="S54" s="40" t="n">
        <x:f>'Inputs_Trades'!T54</x:f>
        <x:v>76800000</x:v>
      </x:c>
      <x:c r="T54" s="27" t="str">
        <x:f>'Inputs_Trades'!V54</x:f>
        <x:v>M</x:v>
      </x:c>
      <x:c r="U54" s="27" t="str">
        <x:f>'Inputs_Trades'!W54</x:f>
        <x:v>N</x:v>
      </x:c>
      <x:c r="V54" s="27" t="n">
        <x:f>'Inputs_Trades'!X54</x:f>
        <x:v>10</x:v>
      </x:c>
      <x:c r="W54" s="27" t="str">
        <x:f>'Inputs_Trades'!Y54</x:f>
        <x:v>S</x:v>
      </x:c>
      <x:c r="X54" s="27" t="n">
        <x:f>'Inputs_Trades'!AA54</x:f>
        <x:v>0</x:v>
      </x:c>
      <x:c r="Y54" s="27" t="n">
        <x:f>'Inputs_Trades'!AB54</x:f>
        <x:v>0</x:v>
      </x:c>
      <x:c r="Z54" s="27" t="n">
        <x:f>'Inputs_Trades'!AC54</x:f>
        <x:v>0</x:v>
      </x:c>
      <x:c r="AA54" s="39" t="n">
        <x:f>'Inputs_Trades'!Z54</x:f>
        <x:v>0</x:v>
      </x:c>
      <x:c r="AB54" s="40" t="n">
        <x:f>'Inputs_Trades'!AD54</x:f>
        <x:v>-763392</x:v>
      </x:c>
      <x:c r="AC54" s="27" t="n">
        <x:f>'Inputs_Trades'!K54</x:f>
        <x:v>0</x:v>
      </x:c>
      <x:c r="AD54" s="27" t="n">
        <x:f>N54-M54</x:f>
        <x:v>1680</x:v>
      </x:c>
      <x:c r="AE54" s="41" t="n">
        <x:f>AD54/365</x:f>
        <x:v>4.602739726027397</x:v>
      </x:c>
      <x:c r="AF54" s="27" t="str">
        <x:f>IF(AE54&lt;1,"&lt;1Y",IF(AE54&lt;=5,"1Y-5Y","&gt;5Y"))</x:f>
        <x:v>1Y-5Y</x:v>
      </x:c>
      <x:c r="AG54" s="27" t="str">
        <x:f>IF(E54="Commodity",IFERROR(VLOOKUP(F54,Parameters!$P$4:$Q$12,2,FALSE),"Other"),"")</x:f>
      </x:c>
      <x:c r="AH54" s="27" t="str">
        <x:f>IF(F54="","Unknown",F54)</x:f>
        <x:v>Unknown</x:v>
      </x:c>
      <x:c r="AI54" s="27" t="str">
        <x:f>IF(E54="Interest Rate",G54&amp;IF(OR(LOWER(AC54)="basis",LOWER(AC54)="volatility"),"_"&amp;AC54,""),IF(E54="FX",IF(H54&lt;I54,H54&amp;"/"&amp;I54,I54&amp;"/"&amp;H54)&amp;IF(OR(LOWER(AC54)="basis",LOWER(AC54)="volatility"),"_"&amp;AC54,""),IF(OR(E54="Credit",E54="Equity"),J54&amp;IF(OR(LOWER(AC54)="basis",LOWER(AC54)="volatility"),"_"&amp;AC54,""),IF(E54="Commodity",AG54&amp;IF(OR(LOWER(AC54)="basis",LOWER(AC54)="volatility"),"_"&amp;AC54,""),"UNKNOWN"))))</x:f>
        <x:v>EUR/USD</x:v>
      </x:c>
      <x:c r="AJ54" s="27" t="str">
        <x:f>T54</x:f>
        <x:v>M</x:v>
      </x:c>
      <x:c r="AK54" s="41" t="n">
        <x:f>IF(E54="Interest Rate",VLOOKUP("Interest Rate",Parameters!$D$4:$E$12,2,FALSE),IF(E54="FX",VLOOKUP("FX",Parameters!$D$4:$E$12,2,FALSE),IF(E54="Credit",IFERROR(VLOOKUP(L54,Parameters!$G$4:$H$12,2,FALSE),VLOOKUP("BBB",Parameters!$G$4:$H$12,2,FALSE)),IF(E54="Equity",VLOOKUP(IF(LOWER(K54)="index","Equity Index","Equity Single Name"),Parameters!$D$4:$E$12,2,FALSE),IF(E54="Commodity",VLOOKUP(IFERROR(VLOOKUP(F54,Parameters!$S$4:$T$12,2,FALSE),"Commodity Other"),Parameters!$D$4:$E$12,2,FALSE),0)))))</x:f>
        <x:v>0.04</x:v>
      </x:c>
      <x:c r="AL54" s="42" t="n">
        <x:f>IF(LOWER(AC54)="basis",Parameters!$B$8,IF(LOWER(AC54)="volatility",Parameters!$B$9,1))</x:f>
        <x:v>1</x:v>
      </x:c>
      <x:c r="AM54" s="41" t="n">
        <x:f>AK54*AL54</x:f>
        <x:v>0.04</x:v>
      </x:c>
      <x:c r="AN54" s="42" t="str">
        <x:f>IF(E54="Credit",VLOOKUP(IF(LOWER(K54)="index","Credit Index","Credit Single Name"),Parameters!$J$4:$K$8,2,FALSE),IF(E54="Equity",VLOOKUP(IF(LOWER(K54)="index","Equity Index","Equity Single Name"),Parameters!$J$4:$K$8,2,FALSE),IF(E54="Commodity",VLOOKUP("Commodity",Parameters!$J$4:$K$8,2,FALSE),"")))</x:f>
      </x:c>
      <x:c r="AO54" s="27" t="n">
        <x:f>MAX((O54-M54)/365,0)</x:f>
        <x:v>0</x:v>
      </x:c>
      <x:c r="AP54" s="27" t="n">
        <x:f>MAX((P54-M54)/365,10/Parameters!$B$6)</x:f>
        <x:v>4.602739726027397</x:v>
      </x:c>
      <x:c r="AQ54" s="27" t="n">
        <x:f>IF(AP54&lt;=AO54,AO54+10/Parameters!$B$6,AP54)</x:f>
        <x:v>4.602739726027397</x:v>
      </x:c>
      <x:c r="AR54" s="41" t="n">
        <x:f>IF(OR(E54="Interest Rate",E54="Credit"),(EXP(-Parameters!$B$7*AO54)-EXP(-Parameters!$B$7*AQ54))/Parameters!$B$7,1)</x:f>
        <x:v>1</x:v>
      </x:c>
      <x:c r="AS54" s="40" t="n">
        <x:f>IF(OR(E54="Interest Rate",E54="Credit"),ABS(Q54)*AR54,IF(E54="FX",IF(Q54&gt;0,Q54,MAX(ABS(R54),ABS(S54),ABS(Q54))),ABS(Q54)))</x:f>
        <x:v>76800000</x:v>
      </x:c>
      <x:c r="AT54" s="42" t="n">
        <x:f>IF(OR(E54="Interest Rate",E54="FX"),VLOOKUP(E54,Parameters!$M$4:$N$11,2,FALSE),IF(E54="Credit",VLOOKUP(IF(LOWER(K54)="index","Credit Index","Credit Single Name"),Parameters!$M$4:$N$11,2,FALSE),IF(E54="Equity",VLOOKUP(IF(LOWER(K54)="index","Equity Index","Equity Single Name"),Parameters!$M$4:$N$11,2,FALSE),IF(E54="Commodity",VLOOKUP(IF(F54="Electricity","Commodity Electricity","Commodity Other"),Parameters!$M$4:$N$11,2,FALSE),1))))</x:f>
        <x:v>0.15</x:v>
      </x:c>
      <x:c r="AU54" s="27" t="n">
        <x:f>IF(W54="B",1,-1)</x:f>
        <x:v>-1</x:v>
      </x:c>
      <x:c r="AV54" s="27" t="n">
        <x:f>IF(OR(AA54="",M54=""),MAX(AE54,1/365),MAX((AA54-M54)/365,1/365))</x:f>
        <x:v>4.602739726027397</x:v>
      </x:c>
      <x:c r="AW54" s="41" t="str">
        <x:f>IF(OR(Z54&lt;=0,Y54&lt;=0,AT54&lt;=0,AV54&lt;=0),"",(LN(Z54/Y54)+0.5*AT54^2*AV54)/(AT54*SQRT(AV54)))</x:f>
      </x:c>
      <x:c r="AX54" s="41" t="n">
        <x:f>IF(AND(X54&lt;&gt;"C",X54&lt;&gt;"P"),AU54,IF(AW54="",AU54,IF(X54="C",AU54*0.5*(1+ERF(AW54/SQRT(2))),-AU54*0.5*(1+ERF(-AW54/SQRT(2))))))</x:f>
        <x:v>-1</x:v>
      </x:c>
      <x:c r="AY54" s="41" t="n">
        <x:f>IF(AJ54="M",1.5*SQRT(MAX(IF(U54="Y",5,10),IF(V54="",10,V54))/Parameters!$B$6),SQRT(MIN(MAX(AE54,10/Parameters!$B$6),1)))</x:f>
        <x:v>0.30000000000000004</x:v>
      </x:c>
      <x:c r="AZ54" s="40" t="n">
        <x:f>AS54*AX54*AY54</x:f>
        <x:v>-23040000.000000004</x:v>
      </x:c>
      <x:c r="BA54" s="40" t="n">
        <x:f>'Python_Trade_Output'!AZ54</x:f>
        <x:v>-23040000.000000004</x:v>
      </x:c>
      <x:c r="BB54" s="43" t="n">
        <x:f>AZ54-BA54</x:f>
        <x:v>0</x:v>
      </x:c>
    </x:row>
    <x:row r="55">
      <x:c r="A55" s="27" t="str">
        <x:f>'Inputs_Trades'!D55</x:f>
        <x:v>IND-000052</x:v>
      </x:c>
      <x:c r="B55" s="27" t="str">
        <x:f>'Inputs_Trades'!B55</x:f>
        <x:v>IND_PENSION_001</x:v>
      </x:c>
      <x:c r="C55" s="27" t="n">
        <x:f>'Inputs_Trades'!C55</x:f>
        <x:v>3254</x:v>
      </x:c>
      <x:c r="D55" s="27" t="str">
        <x:f>'Inputs_Trades'!E55</x:f>
        <x:v>FX Swap</x:v>
      </x:c>
      <x:c r="E55" s="27" t="str">
        <x:f>'Inputs_Trades'!F55</x:f>
        <x:v>FX</x:v>
      </x:c>
      <x:c r="F55" s="27" t="n">
        <x:f>'Inputs_Trades'!G55</x:f>
        <x:v>0</x:v>
      </x:c>
      <x:c r="G55" s="27" t="str">
        <x:f>'Inputs_Trades'!J55</x:f>
        <x:v>USD</x:v>
      </x:c>
      <x:c r="H55" s="27" t="str">
        <x:f>'Inputs_Trades'!H55</x:f>
        <x:v>EUR</x:v>
      </x:c>
      <x:c r="I55" s="27" t="str">
        <x:f>'Inputs_Trades'!I55</x:f>
        <x:v>USD</x:v>
      </x:c>
      <x:c r="J55" s="27" t="str">
        <x:f>'Inputs_Trades'!M55</x:f>
        <x:v>EUR/USD</x:v>
      </x:c>
      <x:c r="K55" s="27" t="n">
        <x:f>'Inputs_Trades'!N55</x:f>
        <x:v>0</x:v>
      </x:c>
      <x:c r="L55" s="27" t="n">
        <x:f>'Inputs_Trades'!O55</x:f>
        <x:v>0</x:v>
      </x:c>
      <x:c r="M55" s="39" t="n">
        <x:f>'Inputs_Trades'!A55</x:f>
        <x:v>45702</x:v>
      </x:c>
      <x:c r="N55" s="39" t="n">
        <x:f>'Inputs_Trades'!P55</x:f>
        <x:v>45997</x:v>
      </x:c>
      <x:c r="O55" s="39" t="n">
        <x:f>'Inputs_Trades'!Q55</x:f>
        <x:v>44931</x:v>
      </x:c>
      <x:c r="P55" s="39" t="n">
        <x:f>'Inputs_Trades'!R55</x:f>
        <x:v>45997</x:v>
      </x:c>
      <x:c r="Q55" s="40" t="n">
        <x:f>'Inputs_Trades'!U55</x:f>
        <x:v>65300000</x:v>
      </x:c>
      <x:c r="R55" s="40" t="n">
        <x:f>'Inputs_Trades'!S55</x:f>
        <x:v>62190476.19</x:v>
      </x:c>
      <x:c r="S55" s="40" t="n">
        <x:f>'Inputs_Trades'!T55</x:f>
        <x:v>65300000</x:v>
      </x:c>
      <x:c r="T55" s="27" t="str">
        <x:f>'Inputs_Trades'!V55</x:f>
        <x:v>U</x:v>
      </x:c>
      <x:c r="U55" s="27" t="str">
        <x:f>'Inputs_Trades'!W55</x:f>
        <x:v>N</x:v>
      </x:c>
      <x:c r="V55" s="27" t="n">
        <x:f>'Inputs_Trades'!X55</x:f>
        <x:v>0</x:v>
      </x:c>
      <x:c r="W55" s="27" t="str">
        <x:f>'Inputs_Trades'!Y55</x:f>
        <x:v>B</x:v>
      </x:c>
      <x:c r="X55" s="27" t="n">
        <x:f>'Inputs_Trades'!AA55</x:f>
        <x:v>0</x:v>
      </x:c>
      <x:c r="Y55" s="27" t="n">
        <x:f>'Inputs_Trades'!AB55</x:f>
        <x:v>0</x:v>
      </x:c>
      <x:c r="Z55" s="27" t="n">
        <x:f>'Inputs_Trades'!AC55</x:f>
        <x:v>0</x:v>
      </x:c>
      <x:c r="AA55" s="39" t="n">
        <x:f>'Inputs_Trades'!Z55</x:f>
        <x:v>0</x:v>
      </x:c>
      <x:c r="AB55" s="40" t="n">
        <x:f>'Inputs_Trades'!AD55</x:f>
        <x:v>-651694</x:v>
      </x:c>
      <x:c r="AC55" s="27" t="n">
        <x:f>'Inputs_Trades'!K55</x:f>
        <x:v>0</x:v>
      </x:c>
      <x:c r="AD55" s="27" t="n">
        <x:f>N55-M55</x:f>
        <x:v>295</x:v>
      </x:c>
      <x:c r="AE55" s="41" t="n">
        <x:f>AD55/365</x:f>
        <x:v>0.8082191780821918</x:v>
      </x:c>
      <x:c r="AF55" s="27" t="str">
        <x:f>IF(AE55&lt;1,"&lt;1Y",IF(AE55&lt;=5,"1Y-5Y","&gt;5Y"))</x:f>
        <x:v>&lt;1Y</x:v>
      </x:c>
      <x:c r="AG55" s="27" t="str">
        <x:f>IF(E55="Commodity",IFERROR(VLOOKUP(F55,Parameters!$P$4:$Q$12,2,FALSE),"Other"),"")</x:f>
      </x:c>
      <x:c r="AH55" s="27" t="str">
        <x:f>IF(F55="","Unknown",F55)</x:f>
        <x:v>Unknown</x:v>
      </x:c>
      <x:c r="AI55" s="27" t="str">
        <x:f>IF(E55="Interest Rate",G55&amp;IF(OR(LOWER(AC55)="basis",LOWER(AC55)="volatility"),"_"&amp;AC55,""),IF(E55="FX",IF(H55&lt;I55,H55&amp;"/"&amp;I55,I55&amp;"/"&amp;H55)&amp;IF(OR(LOWER(AC55)="basis",LOWER(AC55)="volatility"),"_"&amp;AC55,""),IF(OR(E55="Credit",E55="Equity"),J55&amp;IF(OR(LOWER(AC55)="basis",LOWER(AC55)="volatility"),"_"&amp;AC55,""),IF(E55="Commodity",AG55&amp;IF(OR(LOWER(AC55)="basis",LOWER(AC55)="volatility"),"_"&amp;AC55,""),"UNKNOWN"))))</x:f>
        <x:v>EUR/USD</x:v>
      </x:c>
      <x:c r="AJ55" s="27" t="str">
        <x:f>T55</x:f>
        <x:v>U</x:v>
      </x:c>
      <x:c r="AK55" s="41" t="n">
        <x:f>IF(E55="Interest Rate",VLOOKUP("Interest Rate",Parameters!$D$4:$E$12,2,FALSE),IF(E55="FX",VLOOKUP("FX",Parameters!$D$4:$E$12,2,FALSE),IF(E55="Credit",IFERROR(VLOOKUP(L55,Parameters!$G$4:$H$12,2,FALSE),VLOOKUP("BBB",Parameters!$G$4:$H$12,2,FALSE)),IF(E55="Equity",VLOOKUP(IF(LOWER(K55)="index","Equity Index","Equity Single Name"),Parameters!$D$4:$E$12,2,FALSE),IF(E55="Commodity",VLOOKUP(IFERROR(VLOOKUP(F55,Parameters!$S$4:$T$12,2,FALSE),"Commodity Other"),Parameters!$D$4:$E$12,2,FALSE),0)))))</x:f>
        <x:v>0.04</x:v>
      </x:c>
      <x:c r="AL55" s="42" t="n">
        <x:f>IF(LOWER(AC55)="basis",Parameters!$B$8,IF(LOWER(AC55)="volatility",Parameters!$B$9,1))</x:f>
        <x:v>1</x:v>
      </x:c>
      <x:c r="AM55" s="41" t="n">
        <x:f>AK55*AL55</x:f>
        <x:v>0.04</x:v>
      </x:c>
      <x:c r="AN55" s="42" t="str">
        <x:f>IF(E55="Credit",VLOOKUP(IF(LOWER(K55)="index","Credit Index","Credit Single Name"),Parameters!$J$4:$K$8,2,FALSE),IF(E55="Equity",VLOOKUP(IF(LOWER(K55)="index","Equity Index","Equity Single Name"),Parameters!$J$4:$K$8,2,FALSE),IF(E55="Commodity",VLOOKUP("Commodity",Parameters!$J$4:$K$8,2,FALSE),"")))</x:f>
      </x:c>
      <x:c r="AO55" s="27" t="n">
        <x:f>MAX((O55-M55)/365,0)</x:f>
        <x:v>0</x:v>
      </x:c>
      <x:c r="AP55" s="27" t="n">
        <x:f>MAX((P55-M55)/365,10/Parameters!$B$6)</x:f>
        <x:v>0.8082191780821918</x:v>
      </x:c>
      <x:c r="AQ55" s="27" t="n">
        <x:f>IF(AP55&lt;=AO55,AO55+10/Parameters!$B$6,AP55)</x:f>
        <x:v>0.8082191780821918</x:v>
      </x:c>
      <x:c r="AR55" s="41" t="n">
        <x:f>IF(OR(E55="Interest Rate",E55="Credit"),(EXP(-Parameters!$B$7*AO55)-EXP(-Parameters!$B$7*AQ55))/Parameters!$B$7,1)</x:f>
        <x:v>1</x:v>
      </x:c>
      <x:c r="AS55" s="40" t="n">
        <x:f>IF(OR(E55="Interest Rate",E55="Credit"),ABS(Q55)*AR55,IF(E55="FX",IF(Q55&gt;0,Q55,MAX(ABS(R55),ABS(S55),ABS(Q55))),ABS(Q55)))</x:f>
        <x:v>65300000</x:v>
      </x:c>
      <x:c r="AT55" s="42" t="n">
        <x:f>IF(OR(E55="Interest Rate",E55="FX"),VLOOKUP(E55,Parameters!$M$4:$N$11,2,FALSE),IF(E55="Credit",VLOOKUP(IF(LOWER(K55)="index","Credit Index","Credit Single Name"),Parameters!$M$4:$N$11,2,FALSE),IF(E55="Equity",VLOOKUP(IF(LOWER(K55)="index","Equity Index","Equity Single Name"),Parameters!$M$4:$N$11,2,FALSE),IF(E55="Commodity",VLOOKUP(IF(F55="Electricity","Commodity Electricity","Commodity Other"),Parameters!$M$4:$N$11,2,FALSE),1))))</x:f>
        <x:v>0.15</x:v>
      </x:c>
      <x:c r="AU55" s="27" t="n">
        <x:f>IF(W55="B",1,-1)</x:f>
        <x:v>1</x:v>
      </x:c>
      <x:c r="AV55" s="27" t="n">
        <x:f>IF(OR(AA55="",M55=""),MAX(AE55,1/365),MAX((AA55-M55)/365,1/365))</x:f>
        <x:v>0.8082191780821918</x:v>
      </x:c>
      <x:c r="AW55" s="41" t="str">
        <x:f>IF(OR(Z55&lt;=0,Y55&lt;=0,AT55&lt;=0,AV55&lt;=0),"",(LN(Z55/Y55)+0.5*AT55^2*AV55)/(AT55*SQRT(AV55)))</x:f>
      </x:c>
      <x:c r="AX55" s="41" t="n">
        <x:f>IF(AND(X55&lt;&gt;"C",X55&lt;&gt;"P"),AU55,IF(AW55="",AU55,IF(X55="C",AU55*0.5*(1+ERF(AW55/SQRT(2))),-AU55*0.5*(1+ERF(-AW55/SQRT(2))))))</x:f>
        <x:v>1</x:v>
      </x:c>
      <x:c r="AY55" s="41" t="n">
        <x:f>IF(AJ55="M",1.5*SQRT(MAX(IF(U55="Y",5,10),IF(V55="",10,V55))/Parameters!$B$6),SQRT(MIN(MAX(AE55,10/Parameters!$B$6),1)))</x:f>
        <x:v>0.8990101101112221</x:v>
      </x:c>
      <x:c r="AZ55" s="40" t="n">
        <x:f>AS55*AX55*AY55</x:f>
        <x:v>58705360.1902628</x:v>
      </x:c>
      <x:c r="BA55" s="40" t="n">
        <x:f>'Python_Trade_Output'!AZ55</x:f>
        <x:v>58705360.1902628</x:v>
      </x:c>
      <x:c r="BB55" s="43" t="n">
        <x:f>AZ55-BA55</x:f>
        <x:v>0</x:v>
      </x:c>
    </x:row>
    <x:row r="56">
      <x:c r="A56" s="27" t="str">
        <x:f>'Inputs_Trades'!D56</x:f>
        <x:v>IND-000053</x:v>
      </x:c>
      <x:c r="B56" s="27" t="str">
        <x:f>'Inputs_Trades'!B56</x:f>
        <x:v>IND_CLEARING_MEMBER_001</x:v>
      </x:c>
      <x:c r="C56" s="27" t="n">
        <x:f>'Inputs_Trades'!C56</x:f>
        <x:v>3206</x:v>
      </x:c>
      <x:c r="D56" s="27" t="str">
        <x:f>'Inputs_Trades'!E56</x:f>
        <x:v>FX Swap</x:v>
      </x:c>
      <x:c r="E56" s="27" t="str">
        <x:f>'Inputs_Trades'!F56</x:f>
        <x:v>FX</x:v>
      </x:c>
      <x:c r="F56" s="27" t="n">
        <x:f>'Inputs_Trades'!G56</x:f>
        <x:v>0</x:v>
      </x:c>
      <x:c r="G56" s="27" t="str">
        <x:f>'Inputs_Trades'!J56</x:f>
        <x:v>USD</x:v>
      </x:c>
      <x:c r="H56" s="27" t="str">
        <x:f>'Inputs_Trades'!H56</x:f>
        <x:v>USD</x:v>
      </x:c>
      <x:c r="I56" s="27" t="str">
        <x:f>'Inputs_Trades'!I56</x:f>
        <x:v>JPY</x:v>
      </x:c>
      <x:c r="J56" s="27" t="str">
        <x:f>'Inputs_Trades'!M56</x:f>
        <x:v>USD/JPY</x:v>
      </x:c>
      <x:c r="K56" s="27" t="n">
        <x:f>'Inputs_Trades'!N56</x:f>
        <x:v>0</x:v>
      </x:c>
      <x:c r="L56" s="27" t="n">
        <x:f>'Inputs_Trades'!O56</x:f>
        <x:v>0</x:v>
      </x:c>
      <x:c r="M56" s="39" t="n">
        <x:f>'Inputs_Trades'!A56</x:f>
        <x:v>45702</x:v>
      </x:c>
      <x:c r="N56" s="39" t="n">
        <x:f>'Inputs_Trades'!P56</x:f>
        <x:v>47679</x:v>
      </x:c>
      <x:c r="O56" s="39" t="n">
        <x:f>'Inputs_Trades'!Q56</x:f>
        <x:v>45054</x:v>
      </x:c>
      <x:c r="P56" s="39" t="n">
        <x:f>'Inputs_Trades'!R56</x:f>
        <x:v>47679</x:v>
      </x:c>
      <x:c r="Q56" s="40" t="n">
        <x:f>'Inputs_Trades'!U56</x:f>
        <x:v>39300000</x:v>
      </x:c>
      <x:c r="R56" s="40" t="n">
        <x:f>'Inputs_Trades'!S56</x:f>
        <x:v>39300000</x:v>
      </x:c>
      <x:c r="S56" s="40" t="n">
        <x:f>'Inputs_Trades'!T56</x:f>
        <x:v>5865671641.79</x:v>
      </x:c>
      <x:c r="T56" s="27" t="str">
        <x:f>'Inputs_Trades'!V56</x:f>
        <x:v>M</x:v>
      </x:c>
      <x:c r="U56" s="27" t="str">
        <x:f>'Inputs_Trades'!W56</x:f>
        <x:v>N</x:v>
      </x:c>
      <x:c r="V56" s="27" t="n">
        <x:f>'Inputs_Trades'!X56</x:f>
        <x:v>10</x:v>
      </x:c>
      <x:c r="W56" s="27" t="str">
        <x:f>'Inputs_Trades'!Y56</x:f>
        <x:v>B</x:v>
      </x:c>
      <x:c r="X56" s="27" t="n">
        <x:f>'Inputs_Trades'!AA56</x:f>
        <x:v>0</x:v>
      </x:c>
      <x:c r="Y56" s="27" t="n">
        <x:f>'Inputs_Trades'!AB56</x:f>
        <x:v>0</x:v>
      </x:c>
      <x:c r="Z56" s="27" t="n">
        <x:f>'Inputs_Trades'!AC56</x:f>
        <x:v>0</x:v>
      </x:c>
      <x:c r="AA56" s="39" t="n">
        <x:f>'Inputs_Trades'!Z56</x:f>
        <x:v>0</x:v>
      </x:c>
      <x:c r="AB56" s="40" t="n">
        <x:f>'Inputs_Trades'!AD56</x:f>
        <x:v>331692</x:v>
      </x:c>
      <x:c r="AC56" s="27" t="n">
        <x:f>'Inputs_Trades'!K56</x:f>
        <x:v>0</x:v>
      </x:c>
      <x:c r="AD56" s="27" t="n">
        <x:f>N56-M56</x:f>
        <x:v>1977</x:v>
      </x:c>
      <x:c r="AE56" s="41" t="n">
        <x:f>AD56/365</x:f>
        <x:v>5.416438356164384</x:v>
      </x:c>
      <x:c r="AF56" s="27" t="str">
        <x:f>IF(AE56&lt;1,"&lt;1Y",IF(AE56&lt;=5,"1Y-5Y","&gt;5Y"))</x:f>
        <x:v>&gt;5Y</x:v>
      </x:c>
      <x:c r="AG56" s="27" t="str">
        <x:f>IF(E56="Commodity",IFERROR(VLOOKUP(F56,Parameters!$P$4:$Q$12,2,FALSE),"Other"),"")</x:f>
      </x:c>
      <x:c r="AH56" s="27" t="str">
        <x:f>IF(F56="","Unknown",F56)</x:f>
        <x:v>Unknown</x:v>
      </x:c>
      <x:c r="AI56" s="27" t="str">
        <x:f>IF(E56="Interest Rate",G56&amp;IF(OR(LOWER(AC56)="basis",LOWER(AC56)="volatility"),"_"&amp;AC56,""),IF(E56="FX",IF(H56&lt;I56,H56&amp;"/"&amp;I56,I56&amp;"/"&amp;H56)&amp;IF(OR(LOWER(AC56)="basis",LOWER(AC56)="volatility"),"_"&amp;AC56,""),IF(OR(E56="Credit",E56="Equity"),J56&amp;IF(OR(LOWER(AC56)="basis",LOWER(AC56)="volatility"),"_"&amp;AC56,""),IF(E56="Commodity",AG56&amp;IF(OR(LOWER(AC56)="basis",LOWER(AC56)="volatility"),"_"&amp;AC56,""),"UNKNOWN"))))</x:f>
        <x:v>JPY/USD</x:v>
      </x:c>
      <x:c r="AJ56" s="27" t="str">
        <x:f>T56</x:f>
        <x:v>M</x:v>
      </x:c>
      <x:c r="AK56" s="41" t="n">
        <x:f>IF(E56="Interest Rate",VLOOKUP("Interest Rate",Parameters!$D$4:$E$12,2,FALSE),IF(E56="FX",VLOOKUP("FX",Parameters!$D$4:$E$12,2,FALSE),IF(E56="Credit",IFERROR(VLOOKUP(L56,Parameters!$G$4:$H$12,2,FALSE),VLOOKUP("BBB",Parameters!$G$4:$H$12,2,FALSE)),IF(E56="Equity",VLOOKUP(IF(LOWER(K56)="index","Equity Index","Equity Single Name"),Parameters!$D$4:$E$12,2,FALSE),IF(E56="Commodity",VLOOKUP(IFERROR(VLOOKUP(F56,Parameters!$S$4:$T$12,2,FALSE),"Commodity Other"),Parameters!$D$4:$E$12,2,FALSE),0)))))</x:f>
        <x:v>0.04</x:v>
      </x:c>
      <x:c r="AL56" s="42" t="n">
        <x:f>IF(LOWER(AC56)="basis",Parameters!$B$8,IF(LOWER(AC56)="volatility",Parameters!$B$9,1))</x:f>
        <x:v>1</x:v>
      </x:c>
      <x:c r="AM56" s="41" t="n">
        <x:f>AK56*AL56</x:f>
        <x:v>0.04</x:v>
      </x:c>
      <x:c r="AN56" s="42" t="str">
        <x:f>IF(E56="Credit",VLOOKUP(IF(LOWER(K56)="index","Credit Index","Credit Single Name"),Parameters!$J$4:$K$8,2,FALSE),IF(E56="Equity",VLOOKUP(IF(LOWER(K56)="index","Equity Index","Equity Single Name"),Parameters!$J$4:$K$8,2,FALSE),IF(E56="Commodity",VLOOKUP("Commodity",Parameters!$J$4:$K$8,2,FALSE),"")))</x:f>
      </x:c>
      <x:c r="AO56" s="27" t="n">
        <x:f>MAX((O56-M56)/365,0)</x:f>
        <x:v>0</x:v>
      </x:c>
      <x:c r="AP56" s="27" t="n">
        <x:f>MAX((P56-M56)/365,10/Parameters!$B$6)</x:f>
        <x:v>5.416438356164384</x:v>
      </x:c>
      <x:c r="AQ56" s="27" t="n">
        <x:f>IF(AP56&lt;=AO56,AO56+10/Parameters!$B$6,AP56)</x:f>
        <x:v>5.416438356164384</x:v>
      </x:c>
      <x:c r="AR56" s="41" t="n">
        <x:f>IF(OR(E56="Interest Rate",E56="Credit"),(EXP(-Parameters!$B$7*AO56)-EXP(-Parameters!$B$7*AQ56))/Parameters!$B$7,1)</x:f>
        <x:v>1</x:v>
      </x:c>
      <x:c r="AS56" s="40" t="n">
        <x:f>IF(OR(E56="Interest Rate",E56="Credit"),ABS(Q56)*AR56,IF(E56="FX",IF(Q56&gt;0,Q56,MAX(ABS(R56),ABS(S56),ABS(Q56))),ABS(Q56)))</x:f>
        <x:v>39300000</x:v>
      </x:c>
      <x:c r="AT56" s="42" t="n">
        <x:f>IF(OR(E56="Interest Rate",E56="FX"),VLOOKUP(E56,Parameters!$M$4:$N$11,2,FALSE),IF(E56="Credit",VLOOKUP(IF(LOWER(K56)="index","Credit Index","Credit Single Name"),Parameters!$M$4:$N$11,2,FALSE),IF(E56="Equity",VLOOKUP(IF(LOWER(K56)="index","Equity Index","Equity Single Name"),Parameters!$M$4:$N$11,2,FALSE),IF(E56="Commodity",VLOOKUP(IF(F56="Electricity","Commodity Electricity","Commodity Other"),Parameters!$M$4:$N$11,2,FALSE),1))))</x:f>
        <x:v>0.15</x:v>
      </x:c>
      <x:c r="AU56" s="27" t="n">
        <x:f>IF(W56="B",1,-1)</x:f>
        <x:v>1</x:v>
      </x:c>
      <x:c r="AV56" s="27" t="n">
        <x:f>IF(OR(AA56="",M56=""),MAX(AE56,1/365),MAX((AA56-M56)/365,1/365))</x:f>
        <x:v>5.416438356164384</x:v>
      </x:c>
      <x:c r="AW56" s="41" t="str">
        <x:f>IF(OR(Z56&lt;=0,Y56&lt;=0,AT56&lt;=0,AV56&lt;=0),"",(LN(Z56/Y56)+0.5*AT56^2*AV56)/(AT56*SQRT(AV56)))</x:f>
      </x:c>
      <x:c r="AX56" s="41" t="n">
        <x:f>IF(AND(X56&lt;&gt;"C",X56&lt;&gt;"P"),AU56,IF(AW56="",AU56,IF(X56="C",AU56*0.5*(1+ERF(AW56/SQRT(2))),-AU56*0.5*(1+ERF(-AW56/SQRT(2))))))</x:f>
        <x:v>1</x:v>
      </x:c>
      <x:c r="AY56" s="41" t="n">
        <x:f>IF(AJ56="M",1.5*SQRT(MAX(IF(U56="Y",5,10),IF(V56="",10,V56))/Parameters!$B$6),SQRT(MIN(MAX(AE56,10/Parameters!$B$6),1)))</x:f>
        <x:v>0.30000000000000004</x:v>
      </x:c>
      <x:c r="AZ56" s="40" t="n">
        <x:f>AS56*AX56*AY56</x:f>
        <x:v>11790000.000000002</x:v>
      </x:c>
      <x:c r="BA56" s="40" t="n">
        <x:f>'Python_Trade_Output'!AZ56</x:f>
        <x:v>11790000.000000002</x:v>
      </x:c>
      <x:c r="BB56" s="43" t="n">
        <x:f>AZ56-BA56</x:f>
        <x:v>0</x:v>
      </x:c>
    </x:row>
    <x:row r="57">
      <x:c r="A57" s="27" t="str">
        <x:f>'Inputs_Trades'!D57</x:f>
        <x:v>IND-000054</x:v>
      </x:c>
      <x:c r="B57" s="27" t="str">
        <x:f>'Inputs_Trades'!B57</x:f>
        <x:v>IND_REGIONAL_BANK_001</x:v>
      </x:c>
      <x:c r="C57" s="27" t="n">
        <x:f>'Inputs_Trades'!C57</x:f>
        <x:v>3210</x:v>
      </x:c>
      <x:c r="D57" s="27" t="str">
        <x:f>'Inputs_Trades'!E57</x:f>
        <x:v>FX Swap</x:v>
      </x:c>
      <x:c r="E57" s="27" t="str">
        <x:f>'Inputs_Trades'!F57</x:f>
        <x:v>FX</x:v>
      </x:c>
      <x:c r="F57" s="27" t="n">
        <x:f>'Inputs_Trades'!G57</x:f>
        <x:v>0</x:v>
      </x:c>
      <x:c r="G57" s="27" t="str">
        <x:f>'Inputs_Trades'!J57</x:f>
        <x:v>USD</x:v>
      </x:c>
      <x:c r="H57" s="27" t="str">
        <x:f>'Inputs_Trades'!H57</x:f>
        <x:v>USD</x:v>
      </x:c>
      <x:c r="I57" s="27" t="str">
        <x:f>'Inputs_Trades'!I57</x:f>
        <x:v>CNH</x:v>
      </x:c>
      <x:c r="J57" s="27" t="str">
        <x:f>'Inputs_Trades'!M57</x:f>
        <x:v>USD/CNH</x:v>
      </x:c>
      <x:c r="K57" s="27" t="n">
        <x:f>'Inputs_Trades'!N57</x:f>
        <x:v>0</x:v>
      </x:c>
      <x:c r="L57" s="27" t="n">
        <x:f>'Inputs_Trades'!O57</x:f>
        <x:v>0</x:v>
      </x:c>
      <x:c r="M57" s="39" t="n">
        <x:f>'Inputs_Trades'!A57</x:f>
        <x:v>45702</x:v>
      </x:c>
      <x:c r="N57" s="39" t="n">
        <x:f>'Inputs_Trades'!P57</x:f>
        <x:v>47096</x:v>
      </x:c>
      <x:c r="O57" s="39" t="n">
        <x:f>'Inputs_Trades'!Q57</x:f>
        <x:v>44841</x:v>
      </x:c>
      <x:c r="P57" s="39" t="n">
        <x:f>'Inputs_Trades'!R57</x:f>
        <x:v>47096</x:v>
      </x:c>
      <x:c r="Q57" s="40" t="n">
        <x:f>'Inputs_Trades'!U57</x:f>
        <x:v>142000000</x:v>
      </x:c>
      <x:c r="R57" s="40" t="n">
        <x:f>'Inputs_Trades'!S57</x:f>
        <x:v>142000000</x:v>
      </x:c>
      <x:c r="S57" s="40" t="n">
        <x:f>'Inputs_Trades'!T57</x:f>
        <x:v>1014285714.29</x:v>
      </x:c>
      <x:c r="T57" s="27" t="str">
        <x:f>'Inputs_Trades'!V57</x:f>
        <x:v>M</x:v>
      </x:c>
      <x:c r="U57" s="27" t="str">
        <x:f>'Inputs_Trades'!W57</x:f>
        <x:v>N</x:v>
      </x:c>
      <x:c r="V57" s="27" t="n">
        <x:f>'Inputs_Trades'!X57</x:f>
        <x:v>10</x:v>
      </x:c>
      <x:c r="W57" s="27" t="str">
        <x:f>'Inputs_Trades'!Y57</x:f>
        <x:v>B</x:v>
      </x:c>
      <x:c r="X57" s="27" t="n">
        <x:f>'Inputs_Trades'!AA57</x:f>
        <x:v>0</x:v>
      </x:c>
      <x:c r="Y57" s="27" t="n">
        <x:f>'Inputs_Trades'!AB57</x:f>
        <x:v>0</x:v>
      </x:c>
      <x:c r="Z57" s="27" t="n">
        <x:f>'Inputs_Trades'!AC57</x:f>
        <x:v>0</x:v>
      </x:c>
      <x:c r="AA57" s="39" t="n">
        <x:f>'Inputs_Trades'!Z57</x:f>
        <x:v>0</x:v>
      </x:c>
      <x:c r="AB57" s="40" t="n">
        <x:f>'Inputs_Trades'!AD57</x:f>
        <x:v>-630480</x:v>
      </x:c>
      <x:c r="AC57" s="27" t="n">
        <x:f>'Inputs_Trades'!K57</x:f>
        <x:v>0</x:v>
      </x:c>
      <x:c r="AD57" s="27" t="n">
        <x:f>N57-M57</x:f>
        <x:v>1394</x:v>
      </x:c>
      <x:c r="AE57" s="41" t="n">
        <x:f>AD57/365</x:f>
        <x:v>3.819178082191781</x:v>
      </x:c>
      <x:c r="AF57" s="27" t="str">
        <x:f>IF(AE57&lt;1,"&lt;1Y",IF(AE57&lt;=5,"1Y-5Y","&gt;5Y"))</x:f>
        <x:v>1Y-5Y</x:v>
      </x:c>
      <x:c r="AG57" s="27" t="str">
        <x:f>IF(E57="Commodity",IFERROR(VLOOKUP(F57,Parameters!$P$4:$Q$12,2,FALSE),"Other"),"")</x:f>
      </x:c>
      <x:c r="AH57" s="27" t="str">
        <x:f>IF(F57="","Unknown",F57)</x:f>
        <x:v>Unknown</x:v>
      </x:c>
      <x:c r="AI57" s="27" t="str">
        <x:f>IF(E57="Interest Rate",G57&amp;IF(OR(LOWER(AC57)="basis",LOWER(AC57)="volatility"),"_"&amp;AC57,""),IF(E57="FX",IF(H57&lt;I57,H57&amp;"/"&amp;I57,I57&amp;"/"&amp;H57)&amp;IF(OR(LOWER(AC57)="basis",LOWER(AC57)="volatility"),"_"&amp;AC57,""),IF(OR(E57="Credit",E57="Equity"),J57&amp;IF(OR(LOWER(AC57)="basis",LOWER(AC57)="volatility"),"_"&amp;AC57,""),IF(E57="Commodity",AG57&amp;IF(OR(LOWER(AC57)="basis",LOWER(AC57)="volatility"),"_"&amp;AC57,""),"UNKNOWN"))))</x:f>
        <x:v>CNH/USD</x:v>
      </x:c>
      <x:c r="AJ57" s="27" t="str">
        <x:f>T57</x:f>
        <x:v>M</x:v>
      </x:c>
      <x:c r="AK57" s="41" t="n">
        <x:f>IF(E57="Interest Rate",VLOOKUP("Interest Rate",Parameters!$D$4:$E$12,2,FALSE),IF(E57="FX",VLOOKUP("FX",Parameters!$D$4:$E$12,2,FALSE),IF(E57="Credit",IFERROR(VLOOKUP(L57,Parameters!$G$4:$H$12,2,FALSE),VLOOKUP("BBB",Parameters!$G$4:$H$12,2,FALSE)),IF(E57="Equity",VLOOKUP(IF(LOWER(K57)="index","Equity Index","Equity Single Name"),Parameters!$D$4:$E$12,2,FALSE),IF(E57="Commodity",VLOOKUP(IFERROR(VLOOKUP(F57,Parameters!$S$4:$T$12,2,FALSE),"Commodity Other"),Parameters!$D$4:$E$12,2,FALSE),0)))))</x:f>
        <x:v>0.04</x:v>
      </x:c>
      <x:c r="AL57" s="42" t="n">
        <x:f>IF(LOWER(AC57)="basis",Parameters!$B$8,IF(LOWER(AC57)="volatility",Parameters!$B$9,1))</x:f>
        <x:v>1</x:v>
      </x:c>
      <x:c r="AM57" s="41" t="n">
        <x:f>AK57*AL57</x:f>
        <x:v>0.04</x:v>
      </x:c>
      <x:c r="AN57" s="42" t="str">
        <x:f>IF(E57="Credit",VLOOKUP(IF(LOWER(K57)="index","Credit Index","Credit Single Name"),Parameters!$J$4:$K$8,2,FALSE),IF(E57="Equity",VLOOKUP(IF(LOWER(K57)="index","Equity Index","Equity Single Name"),Parameters!$J$4:$K$8,2,FALSE),IF(E57="Commodity",VLOOKUP("Commodity",Parameters!$J$4:$K$8,2,FALSE),"")))</x:f>
      </x:c>
      <x:c r="AO57" s="27" t="n">
        <x:f>MAX((O57-M57)/365,0)</x:f>
        <x:v>0</x:v>
      </x:c>
      <x:c r="AP57" s="27" t="n">
        <x:f>MAX((P57-M57)/365,10/Parameters!$B$6)</x:f>
        <x:v>3.819178082191781</x:v>
      </x:c>
      <x:c r="AQ57" s="27" t="n">
        <x:f>IF(AP57&lt;=AO57,AO57+10/Parameters!$B$6,AP57)</x:f>
        <x:v>3.819178082191781</x:v>
      </x:c>
      <x:c r="AR57" s="41" t="n">
        <x:f>IF(OR(E57="Interest Rate",E57="Credit"),(EXP(-Parameters!$B$7*AO57)-EXP(-Parameters!$B$7*AQ57))/Parameters!$B$7,1)</x:f>
        <x:v>1</x:v>
      </x:c>
      <x:c r="AS57" s="40" t="n">
        <x:f>IF(OR(E57="Interest Rate",E57="Credit"),ABS(Q57)*AR57,IF(E57="FX",IF(Q57&gt;0,Q57,MAX(ABS(R57),ABS(S57),ABS(Q57))),ABS(Q57)))</x:f>
        <x:v>142000000</x:v>
      </x:c>
      <x:c r="AT57" s="42" t="n">
        <x:f>IF(OR(E57="Interest Rate",E57="FX"),VLOOKUP(E57,Parameters!$M$4:$N$11,2,FALSE),IF(E57="Credit",VLOOKUP(IF(LOWER(K57)="index","Credit Index","Credit Single Name"),Parameters!$M$4:$N$11,2,FALSE),IF(E57="Equity",VLOOKUP(IF(LOWER(K57)="index","Equity Index","Equity Single Name"),Parameters!$M$4:$N$11,2,FALSE),IF(E57="Commodity",VLOOKUP(IF(F57="Electricity","Commodity Electricity","Commodity Other"),Parameters!$M$4:$N$11,2,FALSE),1))))</x:f>
        <x:v>0.15</x:v>
      </x:c>
      <x:c r="AU57" s="27" t="n">
        <x:f>IF(W57="B",1,-1)</x:f>
        <x:v>1</x:v>
      </x:c>
      <x:c r="AV57" s="27" t="n">
        <x:f>IF(OR(AA57="",M57=""),MAX(AE57,1/365),MAX((AA57-M57)/365,1/365))</x:f>
        <x:v>3.819178082191781</x:v>
      </x:c>
      <x:c r="AW57" s="41" t="str">
        <x:f>IF(OR(Z57&lt;=0,Y57&lt;=0,AT57&lt;=0,AV57&lt;=0),"",(LN(Z57/Y57)+0.5*AT57^2*AV57)/(AT57*SQRT(AV57)))</x:f>
      </x:c>
      <x:c r="AX57" s="41" t="n">
        <x:f>IF(AND(X57&lt;&gt;"C",X57&lt;&gt;"P"),AU57,IF(AW57="",AU57,IF(X57="C",AU57*0.5*(1+ERF(AW57/SQRT(2))),-AU57*0.5*(1+ERF(-AW57/SQRT(2))))))</x:f>
        <x:v>1</x:v>
      </x:c>
      <x:c r="AY57" s="41" t="n">
        <x:f>IF(AJ57="M",1.5*SQRT(MAX(IF(U57="Y",5,10),IF(V57="",10,V57))/Parameters!$B$6),SQRT(MIN(MAX(AE57,10/Parameters!$B$6),1)))</x:f>
        <x:v>0.30000000000000004</x:v>
      </x:c>
      <x:c r="AZ57" s="40" t="n">
        <x:f>AS57*AX57*AY57</x:f>
        <x:v>42600000.00000001</x:v>
      </x:c>
      <x:c r="BA57" s="40" t="n">
        <x:f>'Python_Trade_Output'!AZ57</x:f>
        <x:v>42600000.00000001</x:v>
      </x:c>
      <x:c r="BB57" s="43" t="n">
        <x:f>AZ57-BA57</x:f>
        <x:v>0</x:v>
      </x:c>
    </x:row>
    <x:row r="58">
      <x:c r="A58" s="27" t="str">
        <x:f>'Inputs_Trades'!D58</x:f>
        <x:v>IND-000055</x:v>
      </x:c>
      <x:c r="B58" s="27" t="str">
        <x:f>'Inputs_Trades'!B58</x:f>
        <x:v>IND_BANK_001</x:v>
      </x:c>
      <x:c r="C58" s="27" t="n">
        <x:f>'Inputs_Trades'!C58</x:f>
        <x:v>3214</x:v>
      </x:c>
      <x:c r="D58" s="27" t="str">
        <x:f>'Inputs_Trades'!E58</x:f>
        <x:v>FX Swap</x:v>
      </x:c>
      <x:c r="E58" s="27" t="str">
        <x:f>'Inputs_Trades'!F58</x:f>
        <x:v>FX</x:v>
      </x:c>
      <x:c r="F58" s="27" t="n">
        <x:f>'Inputs_Trades'!G58</x:f>
        <x:v>0</x:v>
      </x:c>
      <x:c r="G58" s="27" t="str">
        <x:f>'Inputs_Trades'!J58</x:f>
        <x:v>USD</x:v>
      </x:c>
      <x:c r="H58" s="27" t="str">
        <x:f>'Inputs_Trades'!H58</x:f>
        <x:v>USD</x:v>
      </x:c>
      <x:c r="I58" s="27" t="str">
        <x:f>'Inputs_Trades'!I58</x:f>
        <x:v>CNY</x:v>
      </x:c>
      <x:c r="J58" s="27" t="str">
        <x:f>'Inputs_Trades'!M58</x:f>
        <x:v>USD/CNY</x:v>
      </x:c>
      <x:c r="K58" s="27" t="n">
        <x:f>'Inputs_Trades'!N58</x:f>
        <x:v>0</x:v>
      </x:c>
      <x:c r="L58" s="27" t="n">
        <x:f>'Inputs_Trades'!O58</x:f>
        <x:v>0</x:v>
      </x:c>
      <x:c r="M58" s="39" t="n">
        <x:f>'Inputs_Trades'!A58</x:f>
        <x:v>45702</x:v>
      </x:c>
      <x:c r="N58" s="39" t="n">
        <x:f>'Inputs_Trades'!P58</x:f>
        <x:v>47698</x:v>
      </x:c>
      <x:c r="O58" s="39" t="n">
        <x:f>'Inputs_Trades'!Q58</x:f>
        <x:v>45127</x:v>
      </x:c>
      <x:c r="P58" s="39" t="n">
        <x:f>'Inputs_Trades'!R58</x:f>
        <x:v>47698</x:v>
      </x:c>
      <x:c r="Q58" s="40" t="n">
        <x:f>'Inputs_Trades'!U58</x:f>
        <x:v>89700000</x:v>
      </x:c>
      <x:c r="R58" s="40" t="n">
        <x:f>'Inputs_Trades'!S58</x:f>
        <x:v>89700000</x:v>
      </x:c>
      <x:c r="S58" s="40" t="n">
        <x:f>'Inputs_Trades'!T58</x:f>
        <x:v>640714285.71</x:v>
      </x:c>
      <x:c r="T58" s="27" t="str">
        <x:f>'Inputs_Trades'!V58</x:f>
        <x:v>U</x:v>
      </x:c>
      <x:c r="U58" s="27" t="str">
        <x:f>'Inputs_Trades'!W58</x:f>
        <x:v>N</x:v>
      </x:c>
      <x:c r="V58" s="27" t="n">
        <x:f>'Inputs_Trades'!X58</x:f>
        <x:v>0</x:v>
      </x:c>
      <x:c r="W58" s="27" t="str">
        <x:f>'Inputs_Trades'!Y58</x:f>
        <x:v>S</x:v>
      </x:c>
      <x:c r="X58" s="27" t="n">
        <x:f>'Inputs_Trades'!AA58</x:f>
        <x:v>0</x:v>
      </x:c>
      <x:c r="Y58" s="27" t="n">
        <x:f>'Inputs_Trades'!AB58</x:f>
        <x:v>0</x:v>
      </x:c>
      <x:c r="Z58" s="27" t="n">
        <x:f>'Inputs_Trades'!AC58</x:f>
        <x:v>0</x:v>
      </x:c>
      <x:c r="AA58" s="39" t="n">
        <x:f>'Inputs_Trades'!Z58</x:f>
        <x:v>0</x:v>
      </x:c>
      <x:c r="AB58" s="40" t="n">
        <x:f>'Inputs_Trades'!AD58</x:f>
        <x:v>-66378</x:v>
      </x:c>
      <x:c r="AC58" s="27" t="n">
        <x:f>'Inputs_Trades'!K58</x:f>
        <x:v>0</x:v>
      </x:c>
      <x:c r="AD58" s="27" t="n">
        <x:f>N58-M58</x:f>
        <x:v>1996</x:v>
      </x:c>
      <x:c r="AE58" s="41" t="n">
        <x:f>AD58/365</x:f>
        <x:v>5.468493150684932</x:v>
      </x:c>
      <x:c r="AF58" s="27" t="str">
        <x:f>IF(AE58&lt;1,"&lt;1Y",IF(AE58&lt;=5,"1Y-5Y","&gt;5Y"))</x:f>
        <x:v>&gt;5Y</x:v>
      </x:c>
      <x:c r="AG58" s="27" t="str">
        <x:f>IF(E58="Commodity",IFERROR(VLOOKUP(F58,Parameters!$P$4:$Q$12,2,FALSE),"Other"),"")</x:f>
      </x:c>
      <x:c r="AH58" s="27" t="str">
        <x:f>IF(F58="","Unknown",F58)</x:f>
        <x:v>Unknown</x:v>
      </x:c>
      <x:c r="AI58" s="27" t="str">
        <x:f>IF(E58="Interest Rate",G58&amp;IF(OR(LOWER(AC58)="basis",LOWER(AC58)="volatility"),"_"&amp;AC58,""),IF(E58="FX",IF(H58&lt;I58,H58&amp;"/"&amp;I58,I58&amp;"/"&amp;H58)&amp;IF(OR(LOWER(AC58)="basis",LOWER(AC58)="volatility"),"_"&amp;AC58,""),IF(OR(E58="Credit",E58="Equity"),J58&amp;IF(OR(LOWER(AC58)="basis",LOWER(AC58)="volatility"),"_"&amp;AC58,""),IF(E58="Commodity",AG58&amp;IF(OR(LOWER(AC58)="basis",LOWER(AC58)="volatility"),"_"&amp;AC58,""),"UNKNOWN"))))</x:f>
        <x:v>CNY/USD</x:v>
      </x:c>
      <x:c r="AJ58" s="27" t="str">
        <x:f>T58</x:f>
        <x:v>U</x:v>
      </x:c>
      <x:c r="AK58" s="41" t="n">
        <x:f>IF(E58="Interest Rate",VLOOKUP("Interest Rate",Parameters!$D$4:$E$12,2,FALSE),IF(E58="FX",VLOOKUP("FX",Parameters!$D$4:$E$12,2,FALSE),IF(E58="Credit",IFERROR(VLOOKUP(L58,Parameters!$G$4:$H$12,2,FALSE),VLOOKUP("BBB",Parameters!$G$4:$H$12,2,FALSE)),IF(E58="Equity",VLOOKUP(IF(LOWER(K58)="index","Equity Index","Equity Single Name"),Parameters!$D$4:$E$12,2,FALSE),IF(E58="Commodity",VLOOKUP(IFERROR(VLOOKUP(F58,Parameters!$S$4:$T$12,2,FALSE),"Commodity Other"),Parameters!$D$4:$E$12,2,FALSE),0)))))</x:f>
        <x:v>0.04</x:v>
      </x:c>
      <x:c r="AL58" s="42" t="n">
        <x:f>IF(LOWER(AC58)="basis",Parameters!$B$8,IF(LOWER(AC58)="volatility",Parameters!$B$9,1))</x:f>
        <x:v>1</x:v>
      </x:c>
      <x:c r="AM58" s="41" t="n">
        <x:f>AK58*AL58</x:f>
        <x:v>0.04</x:v>
      </x:c>
      <x:c r="AN58" s="42" t="str">
        <x:f>IF(E58="Credit",VLOOKUP(IF(LOWER(K58)="index","Credit Index","Credit Single Name"),Parameters!$J$4:$K$8,2,FALSE),IF(E58="Equity",VLOOKUP(IF(LOWER(K58)="index","Equity Index","Equity Single Name"),Parameters!$J$4:$K$8,2,FALSE),IF(E58="Commodity",VLOOKUP("Commodity",Parameters!$J$4:$K$8,2,FALSE),"")))</x:f>
      </x:c>
      <x:c r="AO58" s="27" t="n">
        <x:f>MAX((O58-M58)/365,0)</x:f>
        <x:v>0</x:v>
      </x:c>
      <x:c r="AP58" s="27" t="n">
        <x:f>MAX((P58-M58)/365,10/Parameters!$B$6)</x:f>
        <x:v>5.468493150684932</x:v>
      </x:c>
      <x:c r="AQ58" s="27" t="n">
        <x:f>IF(AP58&lt;=AO58,AO58+10/Parameters!$B$6,AP58)</x:f>
        <x:v>5.468493150684932</x:v>
      </x:c>
      <x:c r="AR58" s="41" t="n">
        <x:f>IF(OR(E58="Interest Rate",E58="Credit"),(EXP(-Parameters!$B$7*AO58)-EXP(-Parameters!$B$7*AQ58))/Parameters!$B$7,1)</x:f>
        <x:v>1</x:v>
      </x:c>
      <x:c r="AS58" s="40" t="n">
        <x:f>IF(OR(E58="Interest Rate",E58="Credit"),ABS(Q58)*AR58,IF(E58="FX",IF(Q58&gt;0,Q58,MAX(ABS(R58),ABS(S58),ABS(Q58))),ABS(Q58)))</x:f>
        <x:v>89700000</x:v>
      </x:c>
      <x:c r="AT58" s="42" t="n">
        <x:f>IF(OR(E58="Interest Rate",E58="FX"),VLOOKUP(E58,Parameters!$M$4:$N$11,2,FALSE),IF(E58="Credit",VLOOKUP(IF(LOWER(K58)="index","Credit Index","Credit Single Name"),Parameters!$M$4:$N$11,2,FALSE),IF(E58="Equity",VLOOKUP(IF(LOWER(K58)="index","Equity Index","Equity Single Name"),Parameters!$M$4:$N$11,2,FALSE),IF(E58="Commodity",VLOOKUP(IF(F58="Electricity","Commodity Electricity","Commodity Other"),Parameters!$M$4:$N$11,2,FALSE),1))))</x:f>
        <x:v>0.15</x:v>
      </x:c>
      <x:c r="AU58" s="27" t="n">
        <x:f>IF(W58="B",1,-1)</x:f>
        <x:v>-1</x:v>
      </x:c>
      <x:c r="AV58" s="27" t="n">
        <x:f>IF(OR(AA58="",M58=""),MAX(AE58,1/365),MAX((AA58-M58)/365,1/365))</x:f>
        <x:v>5.468493150684932</x:v>
      </x:c>
      <x:c r="AW58" s="41" t="str">
        <x:f>IF(OR(Z58&lt;=0,Y58&lt;=0,AT58&lt;=0,AV58&lt;=0),"",(LN(Z58/Y58)+0.5*AT58^2*AV58)/(AT58*SQRT(AV58)))</x:f>
      </x:c>
      <x:c r="AX58" s="41" t="n">
        <x:f>IF(AND(X58&lt;&gt;"C",X58&lt;&gt;"P"),AU58,IF(AW58="",AU58,IF(X58="C",AU58*0.5*(1+ERF(AW58/SQRT(2))),-AU58*0.5*(1+ERF(-AW58/SQRT(2))))))</x:f>
        <x:v>-1</x:v>
      </x:c>
      <x:c r="AY58" s="41" t="n">
        <x:f>IF(AJ58="M",1.5*SQRT(MAX(IF(U58="Y",5,10),IF(V58="",10,V58))/Parameters!$B$6),SQRT(MIN(MAX(AE58,10/Parameters!$B$6),1)))</x:f>
        <x:v>1</x:v>
      </x:c>
      <x:c r="AZ58" s="40" t="n">
        <x:f>AS58*AX58*AY58</x:f>
        <x:v>-89700000</x:v>
      </x:c>
      <x:c r="BA58" s="40" t="n">
        <x:f>'Python_Trade_Output'!AZ58</x:f>
        <x:v>-89700000</x:v>
      </x:c>
      <x:c r="BB58" s="43" t="n">
        <x:f>AZ58-BA58</x:f>
        <x:v>0</x:v>
      </x:c>
    </x:row>
    <x:row r="59">
      <x:c r="A59" s="27" t="str">
        <x:f>'Inputs_Trades'!D59</x:f>
        <x:v>IND-000056</x:v>
      </x:c>
      <x:c r="B59" s="27" t="str">
        <x:f>'Inputs_Trades'!B59</x:f>
        <x:v>IND_CLEARING_MEMBER_001</x:v>
      </x:c>
      <x:c r="C59" s="27" t="n">
        <x:f>'Inputs_Trades'!C59</x:f>
        <x:v>3206</x:v>
      </x:c>
      <x:c r="D59" s="27" t="str">
        <x:f>'Inputs_Trades'!E59</x:f>
        <x:v>FX Swap</x:v>
      </x:c>
      <x:c r="E59" s="27" t="str">
        <x:f>'Inputs_Trades'!F59</x:f>
        <x:v>FX</x:v>
      </x:c>
      <x:c r="F59" s="27" t="n">
        <x:f>'Inputs_Trades'!G59</x:f>
        <x:v>0</x:v>
      </x:c>
      <x:c r="G59" s="27" t="str">
        <x:f>'Inputs_Trades'!J59</x:f>
        <x:v>USD</x:v>
      </x:c>
      <x:c r="H59" s="27" t="str">
        <x:f>'Inputs_Trades'!H59</x:f>
        <x:v>USD</x:v>
      </x:c>
      <x:c r="I59" s="27" t="str">
        <x:f>'Inputs_Trades'!I59</x:f>
        <x:v>JPY</x:v>
      </x:c>
      <x:c r="J59" s="27" t="str">
        <x:f>'Inputs_Trades'!M59</x:f>
        <x:v>USD/JPY</x:v>
      </x:c>
      <x:c r="K59" s="27" t="n">
        <x:f>'Inputs_Trades'!N59</x:f>
        <x:v>0</x:v>
      </x:c>
      <x:c r="L59" s="27" t="n">
        <x:f>'Inputs_Trades'!O59</x:f>
        <x:v>0</x:v>
      </x:c>
      <x:c r="M59" s="39" t="n">
        <x:f>'Inputs_Trades'!A59</x:f>
        <x:v>45702</x:v>
      </x:c>
      <x:c r="N59" s="39" t="n">
        <x:f>'Inputs_Trades'!P59</x:f>
        <x:v>47047</x:v>
      </x:c>
      <x:c r="O59" s="39" t="n">
        <x:f>'Inputs_Trades'!Q59</x:f>
        <x:v>45192</x:v>
      </x:c>
      <x:c r="P59" s="39" t="n">
        <x:f>'Inputs_Trades'!R59</x:f>
        <x:v>47047</x:v>
      </x:c>
      <x:c r="Q59" s="40" t="n">
        <x:f>'Inputs_Trades'!U59</x:f>
        <x:v>2200000</x:v>
      </x:c>
      <x:c r="R59" s="40" t="n">
        <x:f>'Inputs_Trades'!S59</x:f>
        <x:v>2200000</x:v>
      </x:c>
      <x:c r="S59" s="40" t="n">
        <x:f>'Inputs_Trades'!T59</x:f>
        <x:v>328358208.96</x:v>
      </x:c>
      <x:c r="T59" s="27" t="str">
        <x:f>'Inputs_Trades'!V59</x:f>
        <x:v>M</x:v>
      </x:c>
      <x:c r="U59" s="27" t="str">
        <x:f>'Inputs_Trades'!W59</x:f>
        <x:v>N</x:v>
      </x:c>
      <x:c r="V59" s="27" t="n">
        <x:f>'Inputs_Trades'!X59</x:f>
        <x:v>10</x:v>
      </x:c>
      <x:c r="W59" s="27" t="str">
        <x:f>'Inputs_Trades'!Y59</x:f>
        <x:v>B</x:v>
      </x:c>
      <x:c r="X59" s="27" t="n">
        <x:f>'Inputs_Trades'!AA59</x:f>
        <x:v>0</x:v>
      </x:c>
      <x:c r="Y59" s="27" t="n">
        <x:f>'Inputs_Trades'!AB59</x:f>
        <x:v>0</x:v>
      </x:c>
      <x:c r="Z59" s="27" t="n">
        <x:f>'Inputs_Trades'!AC59</x:f>
        <x:v>0</x:v>
      </x:c>
      <x:c r="AA59" s="39" t="n">
        <x:f>'Inputs_Trades'!Z59</x:f>
        <x:v>0</x:v>
      </x:c>
      <x:c r="AB59" s="40" t="n">
        <x:f>'Inputs_Trades'!AD59</x:f>
        <x:v>-18084</x:v>
      </x:c>
      <x:c r="AC59" s="27" t="n">
        <x:f>'Inputs_Trades'!K59</x:f>
        <x:v>0</x:v>
      </x:c>
      <x:c r="AD59" s="27" t="n">
        <x:f>N59-M59</x:f>
        <x:v>1345</x:v>
      </x:c>
      <x:c r="AE59" s="41" t="n">
        <x:f>AD59/365</x:f>
        <x:v>3.684931506849315</x:v>
      </x:c>
      <x:c r="AF59" s="27" t="str">
        <x:f>IF(AE59&lt;1,"&lt;1Y",IF(AE59&lt;=5,"1Y-5Y","&gt;5Y"))</x:f>
        <x:v>1Y-5Y</x:v>
      </x:c>
      <x:c r="AG59" s="27" t="str">
        <x:f>IF(E59="Commodity",IFERROR(VLOOKUP(F59,Parameters!$P$4:$Q$12,2,FALSE),"Other"),"")</x:f>
      </x:c>
      <x:c r="AH59" s="27" t="str">
        <x:f>IF(F59="","Unknown",F59)</x:f>
        <x:v>Unknown</x:v>
      </x:c>
      <x:c r="AI59" s="27" t="str">
        <x:f>IF(E59="Interest Rate",G59&amp;IF(OR(LOWER(AC59)="basis",LOWER(AC59)="volatility"),"_"&amp;AC59,""),IF(E59="FX",IF(H59&lt;I59,H59&amp;"/"&amp;I59,I59&amp;"/"&amp;H59)&amp;IF(OR(LOWER(AC59)="basis",LOWER(AC59)="volatility"),"_"&amp;AC59,""),IF(OR(E59="Credit",E59="Equity"),J59&amp;IF(OR(LOWER(AC59)="basis",LOWER(AC59)="volatility"),"_"&amp;AC59,""),IF(E59="Commodity",AG59&amp;IF(OR(LOWER(AC59)="basis",LOWER(AC59)="volatility"),"_"&amp;AC59,""),"UNKNOWN"))))</x:f>
        <x:v>JPY/USD</x:v>
      </x:c>
      <x:c r="AJ59" s="27" t="str">
        <x:f>T59</x:f>
        <x:v>M</x:v>
      </x:c>
      <x:c r="AK59" s="41" t="n">
        <x:f>IF(E59="Interest Rate",VLOOKUP("Interest Rate",Parameters!$D$4:$E$12,2,FALSE),IF(E59="FX",VLOOKUP("FX",Parameters!$D$4:$E$12,2,FALSE),IF(E59="Credit",IFERROR(VLOOKUP(L59,Parameters!$G$4:$H$12,2,FALSE),VLOOKUP("BBB",Parameters!$G$4:$H$12,2,FALSE)),IF(E59="Equity",VLOOKUP(IF(LOWER(K59)="index","Equity Index","Equity Single Name"),Parameters!$D$4:$E$12,2,FALSE),IF(E59="Commodity",VLOOKUP(IFERROR(VLOOKUP(F59,Parameters!$S$4:$T$12,2,FALSE),"Commodity Other"),Parameters!$D$4:$E$12,2,FALSE),0)))))</x:f>
        <x:v>0.04</x:v>
      </x:c>
      <x:c r="AL59" s="42" t="n">
        <x:f>IF(LOWER(AC59)="basis",Parameters!$B$8,IF(LOWER(AC59)="volatility",Parameters!$B$9,1))</x:f>
        <x:v>1</x:v>
      </x:c>
      <x:c r="AM59" s="41" t="n">
        <x:f>AK59*AL59</x:f>
        <x:v>0.04</x:v>
      </x:c>
      <x:c r="AN59" s="42" t="str">
        <x:f>IF(E59="Credit",VLOOKUP(IF(LOWER(K59)="index","Credit Index","Credit Single Name"),Parameters!$J$4:$K$8,2,FALSE),IF(E59="Equity",VLOOKUP(IF(LOWER(K59)="index","Equity Index","Equity Single Name"),Parameters!$J$4:$K$8,2,FALSE),IF(E59="Commodity",VLOOKUP("Commodity",Parameters!$J$4:$K$8,2,FALSE),"")))</x:f>
      </x:c>
      <x:c r="AO59" s="27" t="n">
        <x:f>MAX((O59-M59)/365,0)</x:f>
        <x:v>0</x:v>
      </x:c>
      <x:c r="AP59" s="27" t="n">
        <x:f>MAX((P59-M59)/365,10/Parameters!$B$6)</x:f>
        <x:v>3.684931506849315</x:v>
      </x:c>
      <x:c r="AQ59" s="27" t="n">
        <x:f>IF(AP59&lt;=AO59,AO59+10/Parameters!$B$6,AP59)</x:f>
        <x:v>3.684931506849315</x:v>
      </x:c>
      <x:c r="AR59" s="41" t="n">
        <x:f>IF(OR(E59="Interest Rate",E59="Credit"),(EXP(-Parameters!$B$7*AO59)-EXP(-Parameters!$B$7*AQ59))/Parameters!$B$7,1)</x:f>
        <x:v>1</x:v>
      </x:c>
      <x:c r="AS59" s="40" t="n">
        <x:f>IF(OR(E59="Interest Rate",E59="Credit"),ABS(Q59)*AR59,IF(E59="FX",IF(Q59&gt;0,Q59,MAX(ABS(R59),ABS(S59),ABS(Q59))),ABS(Q59)))</x:f>
        <x:v>2200000</x:v>
      </x:c>
      <x:c r="AT59" s="42" t="n">
        <x:f>IF(OR(E59="Interest Rate",E59="FX"),VLOOKUP(E59,Parameters!$M$4:$N$11,2,FALSE),IF(E59="Credit",VLOOKUP(IF(LOWER(K59)="index","Credit Index","Credit Single Name"),Parameters!$M$4:$N$11,2,FALSE),IF(E59="Equity",VLOOKUP(IF(LOWER(K59)="index","Equity Index","Equity Single Name"),Parameters!$M$4:$N$11,2,FALSE),IF(E59="Commodity",VLOOKUP(IF(F59="Electricity","Commodity Electricity","Commodity Other"),Parameters!$M$4:$N$11,2,FALSE),1))))</x:f>
        <x:v>0.15</x:v>
      </x:c>
      <x:c r="AU59" s="27" t="n">
        <x:f>IF(W59="B",1,-1)</x:f>
        <x:v>1</x:v>
      </x:c>
      <x:c r="AV59" s="27" t="n">
        <x:f>IF(OR(AA59="",M59=""),MAX(AE59,1/365),MAX((AA59-M59)/365,1/365))</x:f>
        <x:v>3.684931506849315</x:v>
      </x:c>
      <x:c r="AW59" s="41" t="str">
        <x:f>IF(OR(Z59&lt;=0,Y59&lt;=0,AT59&lt;=0,AV59&lt;=0),"",(LN(Z59/Y59)+0.5*AT59^2*AV59)/(AT59*SQRT(AV59)))</x:f>
      </x:c>
      <x:c r="AX59" s="41" t="n">
        <x:f>IF(AND(X59&lt;&gt;"C",X59&lt;&gt;"P"),AU59,IF(AW59="",AU59,IF(X59="C",AU59*0.5*(1+ERF(AW59/SQRT(2))),-AU59*0.5*(1+ERF(-AW59/SQRT(2))))))</x:f>
        <x:v>1</x:v>
      </x:c>
      <x:c r="AY59" s="41" t="n">
        <x:f>IF(AJ59="M",1.5*SQRT(MAX(IF(U59="Y",5,10),IF(V59="",10,V59))/Parameters!$B$6),SQRT(MIN(MAX(AE59,10/Parameters!$B$6),1)))</x:f>
        <x:v>0.30000000000000004</x:v>
      </x:c>
      <x:c r="AZ59" s="40" t="n">
        <x:f>AS59*AX59*AY59</x:f>
        <x:v>660000.0000000001</x:v>
      </x:c>
      <x:c r="BA59" s="40" t="n">
        <x:f>'Python_Trade_Output'!AZ59</x:f>
        <x:v>660000.0000000001</x:v>
      </x:c>
      <x:c r="BB59" s="43" t="n">
        <x:f>AZ59-BA59</x:f>
        <x:v>0</x:v>
      </x:c>
    </x:row>
    <x:row r="60">
      <x:c r="A60" s="27" t="str">
        <x:f>'Inputs_Trades'!D60</x:f>
        <x:v>IND-000057</x:v>
      </x:c>
      <x:c r="B60" s="27" t="str">
        <x:f>'Inputs_Trades'!B60</x:f>
        <x:v>IND_CORPORATE_002</x:v>
      </x:c>
      <x:c r="C60" s="27" t="n">
        <x:f>'Inputs_Trades'!C60</x:f>
        <x:v>3346</x:v>
      </x:c>
      <x:c r="D60" s="27" t="str">
        <x:f>'Inputs_Trades'!E60</x:f>
        <x:v>FX Option</x:v>
      </x:c>
      <x:c r="E60" s="27" t="str">
        <x:f>'Inputs_Trades'!F60</x:f>
        <x:v>FX</x:v>
      </x:c>
      <x:c r="F60" s="27" t="n">
        <x:f>'Inputs_Trades'!G60</x:f>
        <x:v>0</x:v>
      </x:c>
      <x:c r="G60" s="27" t="str">
        <x:f>'Inputs_Trades'!J60</x:f>
        <x:v>USD</x:v>
      </x:c>
      <x:c r="H60" s="27" t="str">
        <x:f>'Inputs_Trades'!H60</x:f>
        <x:v>GBP</x:v>
      </x:c>
      <x:c r="I60" s="27" t="str">
        <x:f>'Inputs_Trades'!I60</x:f>
        <x:v>USD</x:v>
      </x:c>
      <x:c r="J60" s="27" t="str">
        <x:f>'Inputs_Trades'!M60</x:f>
        <x:v>GBP/USD</x:v>
      </x:c>
      <x:c r="K60" s="27" t="n">
        <x:f>'Inputs_Trades'!N60</x:f>
        <x:v>0</x:v>
      </x:c>
      <x:c r="L60" s="27" t="n">
        <x:f>'Inputs_Trades'!O60</x:f>
        <x:v>0</x:v>
      </x:c>
      <x:c r="M60" s="39" t="n">
        <x:f>'Inputs_Trades'!A60</x:f>
        <x:v>45702</x:v>
      </x:c>
      <x:c r="N60" s="39" t="n">
        <x:f>'Inputs_Trades'!P60</x:f>
        <x:v>47100</x:v>
      </x:c>
      <x:c r="O60" s="39" t="n">
        <x:f>'Inputs_Trades'!Q60</x:f>
        <x:v>45163</x:v>
      </x:c>
      <x:c r="P60" s="39" t="n">
        <x:f>'Inputs_Trades'!R60</x:f>
        <x:v>47100</x:v>
      </x:c>
      <x:c r="Q60" s="40" t="n">
        <x:f>'Inputs_Trades'!U60</x:f>
        <x:v>140000000</x:v>
      </x:c>
      <x:c r="R60" s="40" t="n">
        <x:f>'Inputs_Trades'!S60</x:f>
        <x:v>112000000</x:v>
      </x:c>
      <x:c r="S60" s="40" t="n">
        <x:f>'Inputs_Trades'!T60</x:f>
        <x:v>140000000</x:v>
      </x:c>
      <x:c r="T60" s="27" t="str">
        <x:f>'Inputs_Trades'!V60</x:f>
        <x:v>M</x:v>
      </x:c>
      <x:c r="U60" s="27" t="str">
        <x:f>'Inputs_Trades'!W60</x:f>
        <x:v>N</x:v>
      </x:c>
      <x:c r="V60" s="27" t="n">
        <x:f>'Inputs_Trades'!X60</x:f>
        <x:v>10</x:v>
      </x:c>
      <x:c r="W60" s="27" t="str">
        <x:f>'Inputs_Trades'!Y60</x:f>
        <x:v>S</x:v>
      </x:c>
      <x:c r="X60" s="27" t="str">
        <x:f>'Inputs_Trades'!AA60</x:f>
        <x:v>P</x:v>
      </x:c>
      <x:c r="Y60" s="27" t="n">
        <x:f>'Inputs_Trades'!AB60</x:f>
        <x:v>1.220541</x:v>
      </x:c>
      <x:c r="Z60" s="27" t="n">
        <x:f>'Inputs_Trades'!AC60</x:f>
        <x:v>1.127</x:v>
      </x:c>
      <x:c r="AA60" s="39" t="n">
        <x:f>'Inputs_Trades'!Z60</x:f>
        <x:v>46750</x:v>
      </x:c>
      <x:c r="AB60" s="40" t="n">
        <x:f>'Inputs_Trades'!AD60</x:f>
        <x:v>697200</x:v>
      </x:c>
      <x:c r="AC60" s="27" t="n">
        <x:f>'Inputs_Trades'!K60</x:f>
        <x:v>0</x:v>
      </x:c>
      <x:c r="AD60" s="27" t="n">
        <x:f>N60-M60</x:f>
        <x:v>1398</x:v>
      </x:c>
      <x:c r="AE60" s="41" t="n">
        <x:f>AD60/365</x:f>
        <x:v>3.83013698630137</x:v>
      </x:c>
      <x:c r="AF60" s="27" t="str">
        <x:f>IF(AE60&lt;1,"&lt;1Y",IF(AE60&lt;=5,"1Y-5Y","&gt;5Y"))</x:f>
        <x:v>1Y-5Y</x:v>
      </x:c>
      <x:c r="AG60" s="27" t="str">
        <x:f>IF(E60="Commodity",IFERROR(VLOOKUP(F60,Parameters!$P$4:$Q$12,2,FALSE),"Other"),"")</x:f>
      </x:c>
      <x:c r="AH60" s="27" t="str">
        <x:f>IF(F60="","Unknown",F60)</x:f>
        <x:v>Unknown</x:v>
      </x:c>
      <x:c r="AI60" s="27" t="str">
        <x:f>IF(E60="Interest Rate",G60&amp;IF(OR(LOWER(AC60)="basis",LOWER(AC60)="volatility"),"_"&amp;AC60,""),IF(E60="FX",IF(H60&lt;I60,H60&amp;"/"&amp;I60,I60&amp;"/"&amp;H60)&amp;IF(OR(LOWER(AC60)="basis",LOWER(AC60)="volatility"),"_"&amp;AC60,""),IF(OR(E60="Credit",E60="Equity"),J60&amp;IF(OR(LOWER(AC60)="basis",LOWER(AC60)="volatility"),"_"&amp;AC60,""),IF(E60="Commodity",AG60&amp;IF(OR(LOWER(AC60)="basis",LOWER(AC60)="volatility"),"_"&amp;AC60,""),"UNKNOWN"))))</x:f>
        <x:v>GBP/USD</x:v>
      </x:c>
      <x:c r="AJ60" s="27" t="str">
        <x:f>T60</x:f>
        <x:v>M</x:v>
      </x:c>
      <x:c r="AK60" s="41" t="n">
        <x:f>IF(E60="Interest Rate",VLOOKUP("Interest Rate",Parameters!$D$4:$E$12,2,FALSE),IF(E60="FX",VLOOKUP("FX",Parameters!$D$4:$E$12,2,FALSE),IF(E60="Credit",IFERROR(VLOOKUP(L60,Parameters!$G$4:$H$12,2,FALSE),VLOOKUP("BBB",Parameters!$G$4:$H$12,2,FALSE)),IF(E60="Equity",VLOOKUP(IF(LOWER(K60)="index","Equity Index","Equity Single Name"),Parameters!$D$4:$E$12,2,FALSE),IF(E60="Commodity",VLOOKUP(IFERROR(VLOOKUP(F60,Parameters!$S$4:$T$12,2,FALSE),"Commodity Other"),Parameters!$D$4:$E$12,2,FALSE),0)))))</x:f>
        <x:v>0.04</x:v>
      </x:c>
      <x:c r="AL60" s="42" t="n">
        <x:f>IF(LOWER(AC60)="basis",Parameters!$B$8,IF(LOWER(AC60)="volatility",Parameters!$B$9,1))</x:f>
        <x:v>1</x:v>
      </x:c>
      <x:c r="AM60" s="41" t="n">
        <x:f>AK60*AL60</x:f>
        <x:v>0.04</x:v>
      </x:c>
      <x:c r="AN60" s="42" t="str">
        <x:f>IF(E60="Credit",VLOOKUP(IF(LOWER(K60)="index","Credit Index","Credit Single Name"),Parameters!$J$4:$K$8,2,FALSE),IF(E60="Equity",VLOOKUP(IF(LOWER(K60)="index","Equity Index","Equity Single Name"),Parameters!$J$4:$K$8,2,FALSE),IF(E60="Commodity",VLOOKUP("Commodity",Parameters!$J$4:$K$8,2,FALSE),"")))</x:f>
      </x:c>
      <x:c r="AO60" s="27" t="n">
        <x:f>MAX((O60-M60)/365,0)</x:f>
        <x:v>0</x:v>
      </x:c>
      <x:c r="AP60" s="27" t="n">
        <x:f>MAX((P60-M60)/365,10/Parameters!$B$6)</x:f>
        <x:v>3.83013698630137</x:v>
      </x:c>
      <x:c r="AQ60" s="27" t="n">
        <x:f>IF(AP60&lt;=AO60,AO60+10/Parameters!$B$6,AP60)</x:f>
        <x:v>3.83013698630137</x:v>
      </x:c>
      <x:c r="AR60" s="41" t="n">
        <x:f>IF(OR(E60="Interest Rate",E60="Credit"),(EXP(-Parameters!$B$7*AO60)-EXP(-Parameters!$B$7*AQ60))/Parameters!$B$7,1)</x:f>
        <x:v>1</x:v>
      </x:c>
      <x:c r="AS60" s="40" t="n">
        <x:f>IF(OR(E60="Interest Rate",E60="Credit"),ABS(Q60)*AR60,IF(E60="FX",IF(Q60&gt;0,Q60,MAX(ABS(R60),ABS(S60),ABS(Q60))),ABS(Q60)))</x:f>
        <x:v>140000000</x:v>
      </x:c>
      <x:c r="AT60" s="42" t="n">
        <x:f>IF(OR(E60="Interest Rate",E60="FX"),VLOOKUP(E60,Parameters!$M$4:$N$11,2,FALSE),IF(E60="Credit",VLOOKUP(IF(LOWER(K60)="index","Credit Index","Credit Single Name"),Parameters!$M$4:$N$11,2,FALSE),IF(E60="Equity",VLOOKUP(IF(LOWER(K60)="index","Equity Index","Equity Single Name"),Parameters!$M$4:$N$11,2,FALSE),IF(E60="Commodity",VLOOKUP(IF(F60="Electricity","Commodity Electricity","Commodity Other"),Parameters!$M$4:$N$11,2,FALSE),1))))</x:f>
        <x:v>0.15</x:v>
      </x:c>
      <x:c r="AU60" s="27" t="n">
        <x:f>IF(W60="B",1,-1)</x:f>
        <x:v>-1</x:v>
      </x:c>
      <x:c r="AV60" s="27" t="n">
        <x:f>IF(OR(AA60="",M60=""),MAX(AE60,1/365),MAX((AA60-M60)/365,1/365))</x:f>
        <x:v>2.871232876712329</x:v>
      </x:c>
      <x:c r="AW60" s="41" t="n">
        <x:f>IF(OR(Z60&lt;=0,Y60&lt;=0,AT60&lt;=0,AV60&lt;=0),"",(LN(Z60/Y60)+0.5*AT60^2*AV60)/(AT60*SQRT(AV60)))</x:f>
        <x:v>-0.18662103852254736</x:v>
      </x:c>
      <x:c r="AX60" s="41" t="n">
        <x:f>IF(AND(X60&lt;&gt;"C",X60&lt;&gt;"P"),AU60,IF(AW60="",AU60,IF(X60="C",AU60*0.5*(1+ERF(AW60/SQRT(2))),-AU60*0.5*(1+ERF(-AW60/SQRT(2))))))</x:f>
        <x:v>0.5740211149082225</x:v>
      </x:c>
      <x:c r="AY60" s="41" t="n">
        <x:f>IF(AJ60="M",1.5*SQRT(MAX(IF(U60="Y",5,10),IF(V60="",10,V60))/Parameters!$B$6),SQRT(MIN(MAX(AE60,10/Parameters!$B$6),1)))</x:f>
        <x:v>0.30000000000000004</x:v>
      </x:c>
      <x:c r="AZ60" s="40" t="n">
        <x:f>AS60*AX60*AY60</x:f>
        <x:v>24108886.82614535</x:v>
      </x:c>
      <x:c r="BA60" s="40" t="n">
        <x:f>'Python_Trade_Output'!AZ60</x:f>
        <x:v>24108886.826145347</x:v>
      </x:c>
      <x:c r="BB60" s="43" t="n">
        <x:f>AZ60-BA60</x:f>
        <x:v>3.725290298461914e-9</x:v>
      </x:c>
    </x:row>
    <x:row r="61">
      <x:c r="A61" s="27" t="str">
        <x:f>'Inputs_Trades'!D61</x:f>
        <x:v>IND-000058</x:v>
      </x:c>
      <x:c r="B61" s="27" t="str">
        <x:f>'Inputs_Trades'!B61</x:f>
        <x:v>IND_CORPORATE_001</x:v>
      </x:c>
      <x:c r="C61" s="27" t="n">
        <x:f>'Inputs_Trades'!C61</x:f>
        <x:v>3092</x:v>
      </x:c>
      <x:c r="D61" s="27" t="str">
        <x:f>'Inputs_Trades'!E61</x:f>
        <x:v>FX Option</x:v>
      </x:c>
      <x:c r="E61" s="27" t="str">
        <x:f>'Inputs_Trades'!F61</x:f>
        <x:v>FX</x:v>
      </x:c>
      <x:c r="F61" s="27" t="n">
        <x:f>'Inputs_Trades'!G61</x:f>
        <x:v>0</x:v>
      </x:c>
      <x:c r="G61" s="27" t="str">
        <x:f>'Inputs_Trades'!J61</x:f>
        <x:v>USD</x:v>
      </x:c>
      <x:c r="H61" s="27" t="str">
        <x:f>'Inputs_Trades'!H61</x:f>
        <x:v>EUR</x:v>
      </x:c>
      <x:c r="I61" s="27" t="str">
        <x:f>'Inputs_Trades'!I61</x:f>
        <x:v>USD</x:v>
      </x:c>
      <x:c r="J61" s="27" t="str">
        <x:f>'Inputs_Trades'!M61</x:f>
        <x:v>EUR/USD</x:v>
      </x:c>
      <x:c r="K61" s="27" t="n">
        <x:f>'Inputs_Trades'!N61</x:f>
        <x:v>0</x:v>
      </x:c>
      <x:c r="L61" s="27" t="n">
        <x:f>'Inputs_Trades'!O61</x:f>
        <x:v>0</x:v>
      </x:c>
      <x:c r="M61" s="39" t="n">
        <x:f>'Inputs_Trades'!A61</x:f>
        <x:v>45702</x:v>
      </x:c>
      <x:c r="N61" s="39" t="n">
        <x:f>'Inputs_Trades'!P61</x:f>
        <x:v>47075</x:v>
      </x:c>
      <x:c r="O61" s="39" t="n">
        <x:f>'Inputs_Trades'!Q61</x:f>
        <x:v>45025</x:v>
      </x:c>
      <x:c r="P61" s="39" t="n">
        <x:f>'Inputs_Trades'!R61</x:f>
        <x:v>47075</x:v>
      </x:c>
      <x:c r="Q61" s="40" t="n">
        <x:f>'Inputs_Trades'!U61</x:f>
        <x:v>58600000</x:v>
      </x:c>
      <x:c r="R61" s="40" t="n">
        <x:f>'Inputs_Trades'!S61</x:f>
        <x:v>55809523.81</x:v>
      </x:c>
      <x:c r="S61" s="40" t="n">
        <x:f>'Inputs_Trades'!T61</x:f>
        <x:v>58600000</x:v>
      </x:c>
      <x:c r="T61" s="27" t="str">
        <x:f>'Inputs_Trades'!V61</x:f>
        <x:v>U</x:v>
      </x:c>
      <x:c r="U61" s="27" t="str">
        <x:f>'Inputs_Trades'!W61</x:f>
        <x:v>N</x:v>
      </x:c>
      <x:c r="V61" s="27" t="n">
        <x:f>'Inputs_Trades'!X61</x:f>
        <x:v>0</x:v>
      </x:c>
      <x:c r="W61" s="27" t="str">
        <x:f>'Inputs_Trades'!Y61</x:f>
        <x:v>B</x:v>
      </x:c>
      <x:c r="X61" s="27" t="str">
        <x:f>'Inputs_Trades'!AA61</x:f>
        <x:v>P</x:v>
      </x:c>
      <x:c r="Y61" s="27" t="n">
        <x:f>'Inputs_Trades'!AB61</x:f>
        <x:v>1.14862</x:v>
      </x:c>
      <x:c r="Z61" s="27" t="n">
        <x:f>'Inputs_Trades'!AC61</x:f>
        <x:v>1.265</x:v>
      </x:c>
      <x:c r="AA61" s="39" t="n">
        <x:f>'Inputs_Trades'!Z61</x:f>
        <x:v>46731</x:v>
      </x:c>
      <x:c r="AB61" s="40" t="n">
        <x:f>'Inputs_Trades'!AD61</x:f>
        <x:v>271611</x:v>
      </x:c>
      <x:c r="AC61" s="27" t="n">
        <x:f>'Inputs_Trades'!K61</x:f>
        <x:v>0</x:v>
      </x:c>
      <x:c r="AD61" s="27" t="n">
        <x:f>N61-M61</x:f>
        <x:v>1373</x:v>
      </x:c>
      <x:c r="AE61" s="41" t="n">
        <x:f>AD61/365</x:f>
        <x:v>3.7616438356164386</x:v>
      </x:c>
      <x:c r="AF61" s="27" t="str">
        <x:f>IF(AE61&lt;1,"&lt;1Y",IF(AE61&lt;=5,"1Y-5Y","&gt;5Y"))</x:f>
        <x:v>1Y-5Y</x:v>
      </x:c>
      <x:c r="AG61" s="27" t="str">
        <x:f>IF(E61="Commodity",IFERROR(VLOOKUP(F61,Parameters!$P$4:$Q$12,2,FALSE),"Other"),"")</x:f>
      </x:c>
      <x:c r="AH61" s="27" t="str">
        <x:f>IF(F61="","Unknown",F61)</x:f>
        <x:v>Unknown</x:v>
      </x:c>
      <x:c r="AI61" s="27" t="str">
        <x:f>IF(E61="Interest Rate",G61&amp;IF(OR(LOWER(AC61)="basis",LOWER(AC61)="volatility"),"_"&amp;AC61,""),IF(E61="FX",IF(H61&lt;I61,H61&amp;"/"&amp;I61,I61&amp;"/"&amp;H61)&amp;IF(OR(LOWER(AC61)="basis",LOWER(AC61)="volatility"),"_"&amp;AC61,""),IF(OR(E61="Credit",E61="Equity"),J61&amp;IF(OR(LOWER(AC61)="basis",LOWER(AC61)="volatility"),"_"&amp;AC61,""),IF(E61="Commodity",AG61&amp;IF(OR(LOWER(AC61)="basis",LOWER(AC61)="volatility"),"_"&amp;AC61,""),"UNKNOWN"))))</x:f>
        <x:v>EUR/USD</x:v>
      </x:c>
      <x:c r="AJ61" s="27" t="str">
        <x:f>T61</x:f>
        <x:v>U</x:v>
      </x:c>
      <x:c r="AK61" s="41" t="n">
        <x:f>IF(E61="Interest Rate",VLOOKUP("Interest Rate",Parameters!$D$4:$E$12,2,FALSE),IF(E61="FX",VLOOKUP("FX",Parameters!$D$4:$E$12,2,FALSE),IF(E61="Credit",IFERROR(VLOOKUP(L61,Parameters!$G$4:$H$12,2,FALSE),VLOOKUP("BBB",Parameters!$G$4:$H$12,2,FALSE)),IF(E61="Equity",VLOOKUP(IF(LOWER(K61)="index","Equity Index","Equity Single Name"),Parameters!$D$4:$E$12,2,FALSE),IF(E61="Commodity",VLOOKUP(IFERROR(VLOOKUP(F61,Parameters!$S$4:$T$12,2,FALSE),"Commodity Other"),Parameters!$D$4:$E$12,2,FALSE),0)))))</x:f>
        <x:v>0.04</x:v>
      </x:c>
      <x:c r="AL61" s="42" t="n">
        <x:f>IF(LOWER(AC61)="basis",Parameters!$B$8,IF(LOWER(AC61)="volatility",Parameters!$B$9,1))</x:f>
        <x:v>1</x:v>
      </x:c>
      <x:c r="AM61" s="41" t="n">
        <x:f>AK61*AL61</x:f>
        <x:v>0.04</x:v>
      </x:c>
      <x:c r="AN61" s="42" t="str">
        <x:f>IF(E61="Credit",VLOOKUP(IF(LOWER(K61)="index","Credit Index","Credit Single Name"),Parameters!$J$4:$K$8,2,FALSE),IF(E61="Equity",VLOOKUP(IF(LOWER(K61)="index","Equity Index","Equity Single Name"),Parameters!$J$4:$K$8,2,FALSE),IF(E61="Commodity",VLOOKUP("Commodity",Parameters!$J$4:$K$8,2,FALSE),"")))</x:f>
      </x:c>
      <x:c r="AO61" s="27" t="n">
        <x:f>MAX((O61-M61)/365,0)</x:f>
        <x:v>0</x:v>
      </x:c>
      <x:c r="AP61" s="27" t="n">
        <x:f>MAX((P61-M61)/365,10/Parameters!$B$6)</x:f>
        <x:v>3.7616438356164386</x:v>
      </x:c>
      <x:c r="AQ61" s="27" t="n">
        <x:f>IF(AP61&lt;=AO61,AO61+10/Parameters!$B$6,AP61)</x:f>
        <x:v>3.7616438356164386</x:v>
      </x:c>
      <x:c r="AR61" s="41" t="n">
        <x:f>IF(OR(E61="Interest Rate",E61="Credit"),(EXP(-Parameters!$B$7*AO61)-EXP(-Parameters!$B$7*AQ61))/Parameters!$B$7,1)</x:f>
        <x:v>1</x:v>
      </x:c>
      <x:c r="AS61" s="40" t="n">
        <x:f>IF(OR(E61="Interest Rate",E61="Credit"),ABS(Q61)*AR61,IF(E61="FX",IF(Q61&gt;0,Q61,MAX(ABS(R61),ABS(S61),ABS(Q61))),ABS(Q61)))</x:f>
        <x:v>58600000</x:v>
      </x:c>
      <x:c r="AT61" s="42" t="n">
        <x:f>IF(OR(E61="Interest Rate",E61="FX"),VLOOKUP(E61,Parameters!$M$4:$N$11,2,FALSE),IF(E61="Credit",VLOOKUP(IF(LOWER(K61)="index","Credit Index","Credit Single Name"),Parameters!$M$4:$N$11,2,FALSE),IF(E61="Equity",VLOOKUP(IF(LOWER(K61)="index","Equity Index","Equity Single Name"),Parameters!$M$4:$N$11,2,FALSE),IF(E61="Commodity",VLOOKUP(IF(F61="Electricity","Commodity Electricity","Commodity Other"),Parameters!$M$4:$N$11,2,FALSE),1))))</x:f>
        <x:v>0.15</x:v>
      </x:c>
      <x:c r="AU61" s="27" t="n">
        <x:f>IF(W61="B",1,-1)</x:f>
        <x:v>1</x:v>
      </x:c>
      <x:c r="AV61" s="27" t="n">
        <x:f>IF(OR(AA61="",M61=""),MAX(AE61,1/365),MAX((AA61-M61)/365,1/365))</x:f>
        <x:v>2.819178082191781</x:v>
      </x:c>
      <x:c r="AW61" s="41" t="n">
        <x:f>IF(OR(Z61&lt;=0,Y61&lt;=0,AT61&lt;=0,AV61&lt;=0),"",(LN(Z61/Y61)+0.5*AT61^2*AV61)/(AT61*SQRT(AV61)))</x:f>
        <x:v>0.5091266081591062</x:v>
      </x:c>
      <x:c r="AX61" s="41" t="n">
        <x:f>IF(AND(X61&lt;&gt;"C",X61&lt;&gt;"P"),AU61,IF(AW61="",AU61,IF(X61="C",AU61*0.5*(1+ERF(AW61/SQRT(2))),-AU61*0.5*(1+ERF(-AW61/SQRT(2))))))</x:f>
        <x:v>-0.30533174107528316</x:v>
      </x:c>
      <x:c r="AY61" s="41" t="n">
        <x:f>IF(AJ61="M",1.5*SQRT(MAX(IF(U61="Y",5,10),IF(V61="",10,V61))/Parameters!$B$6),SQRT(MIN(MAX(AE61,10/Parameters!$B$6),1)))</x:f>
        <x:v>1</x:v>
      </x:c>
      <x:c r="AZ61" s="40" t="n">
        <x:f>AS61*AX61*AY61</x:f>
        <x:v>-17892440.027011592</x:v>
      </x:c>
      <x:c r="BA61" s="40" t="n">
        <x:f>'Python_Trade_Output'!AZ61</x:f>
        <x:v>-17892440.027011592</x:v>
      </x:c>
      <x:c r="BB61" s="43" t="n">
        <x:f>AZ61-BA61</x:f>
        <x:v>0</x:v>
      </x:c>
    </x:row>
    <x:row r="62">
      <x:c r="A62" s="27" t="str">
        <x:f>'Inputs_Trades'!D62</x:f>
        <x:v>IND-000059</x:v>
      </x:c>
      <x:c r="B62" s="27" t="str">
        <x:f>'Inputs_Trades'!B62</x:f>
        <x:v>IND_INSURER_001</x:v>
      </x:c>
      <x:c r="C62" s="27" t="n">
        <x:f>'Inputs_Trades'!C62</x:f>
        <x:v>3094</x:v>
      </x:c>
      <x:c r="D62" s="27" t="str">
        <x:f>'Inputs_Trades'!E62</x:f>
        <x:v>FX Option</x:v>
      </x:c>
      <x:c r="E62" s="27" t="str">
        <x:f>'Inputs_Trades'!F62</x:f>
        <x:v>FX</x:v>
      </x:c>
      <x:c r="F62" s="27" t="n">
        <x:f>'Inputs_Trades'!G62</x:f>
        <x:v>0</x:v>
      </x:c>
      <x:c r="G62" s="27" t="str">
        <x:f>'Inputs_Trades'!J62</x:f>
        <x:v>USD</x:v>
      </x:c>
      <x:c r="H62" s="27" t="str">
        <x:f>'Inputs_Trades'!H62</x:f>
        <x:v>USD</x:v>
      </x:c>
      <x:c r="I62" s="27" t="str">
        <x:f>'Inputs_Trades'!I62</x:f>
        <x:v>JPY</x:v>
      </x:c>
      <x:c r="J62" s="27" t="str">
        <x:f>'Inputs_Trades'!M62</x:f>
        <x:v>USD/JPY</x:v>
      </x:c>
      <x:c r="K62" s="27" t="n">
        <x:f>'Inputs_Trades'!N62</x:f>
        <x:v>0</x:v>
      </x:c>
      <x:c r="L62" s="27" t="n">
        <x:f>'Inputs_Trades'!O62</x:f>
        <x:v>0</x:v>
      </x:c>
      <x:c r="M62" s="39" t="n">
        <x:f>'Inputs_Trades'!A62</x:f>
        <x:v>45702</x:v>
      </x:c>
      <x:c r="N62" s="39" t="n">
        <x:f>'Inputs_Trades'!P62</x:f>
        <x:v>46539</x:v>
      </x:c>
      <x:c r="O62" s="39" t="n">
        <x:f>'Inputs_Trades'!Q62</x:f>
        <x:v>45611</x:v>
      </x:c>
      <x:c r="P62" s="39" t="n">
        <x:f>'Inputs_Trades'!R62</x:f>
        <x:v>46539</x:v>
      </x:c>
      <x:c r="Q62" s="40" t="n">
        <x:f>'Inputs_Trades'!U62</x:f>
        <x:v>71500000</x:v>
      </x:c>
      <x:c r="R62" s="40" t="n">
        <x:f>'Inputs_Trades'!S62</x:f>
        <x:v>71500000</x:v>
      </x:c>
      <x:c r="S62" s="40" t="n">
        <x:f>'Inputs_Trades'!T62</x:f>
        <x:v>10671641791.04</x:v>
      </x:c>
      <x:c r="T62" s="27" t="str">
        <x:f>'Inputs_Trades'!V62</x:f>
        <x:v>U</x:v>
      </x:c>
      <x:c r="U62" s="27" t="str">
        <x:f>'Inputs_Trades'!W62</x:f>
        <x:v>N</x:v>
      </x:c>
      <x:c r="V62" s="27" t="n">
        <x:f>'Inputs_Trades'!X62</x:f>
        <x:v>0</x:v>
      </x:c>
      <x:c r="W62" s="27" t="str">
        <x:f>'Inputs_Trades'!Y62</x:f>
        <x:v>B</x:v>
      </x:c>
      <x:c r="X62" s="27" t="str">
        <x:f>'Inputs_Trades'!AA62</x:f>
        <x:v>C</x:v>
      </x:c>
      <x:c r="Y62" s="27" t="n">
        <x:f>'Inputs_Trades'!AB62</x:f>
        <x:v>1.23435</x:v>
      </x:c>
      <x:c r="Z62" s="27" t="n">
        <x:f>'Inputs_Trades'!AC62</x:f>
        <x:v>1.266</x:v>
      </x:c>
      <x:c r="AA62" s="39" t="n">
        <x:f>'Inputs_Trades'!Z62</x:f>
        <x:v>46329</x:v>
      </x:c>
      <x:c r="AB62" s="40" t="n">
        <x:f>'Inputs_Trades'!AD62</x:f>
        <x:v>-2145</x:v>
      </x:c>
      <x:c r="AC62" s="27" t="n">
        <x:f>'Inputs_Trades'!K62</x:f>
        <x:v>0</x:v>
      </x:c>
      <x:c r="AD62" s="27" t="n">
        <x:f>N62-M62</x:f>
        <x:v>837</x:v>
      </x:c>
      <x:c r="AE62" s="41" t="n">
        <x:f>AD62/365</x:f>
        <x:v>2.293150684931507</x:v>
      </x:c>
      <x:c r="AF62" s="27" t="str">
        <x:f>IF(AE62&lt;1,"&lt;1Y",IF(AE62&lt;=5,"1Y-5Y","&gt;5Y"))</x:f>
        <x:v>1Y-5Y</x:v>
      </x:c>
      <x:c r="AG62" s="27" t="str">
        <x:f>IF(E62="Commodity",IFERROR(VLOOKUP(F62,Parameters!$P$4:$Q$12,2,FALSE),"Other"),"")</x:f>
      </x:c>
      <x:c r="AH62" s="27" t="str">
        <x:f>IF(F62="","Unknown",F62)</x:f>
        <x:v>Unknown</x:v>
      </x:c>
      <x:c r="AI62" s="27" t="str">
        <x:f>IF(E62="Interest Rate",G62&amp;IF(OR(LOWER(AC62)="basis",LOWER(AC62)="volatility"),"_"&amp;AC62,""),IF(E62="FX",IF(H62&lt;I62,H62&amp;"/"&amp;I62,I62&amp;"/"&amp;H62)&amp;IF(OR(LOWER(AC62)="basis",LOWER(AC62)="volatility"),"_"&amp;AC62,""),IF(OR(E62="Credit",E62="Equity"),J62&amp;IF(OR(LOWER(AC62)="basis",LOWER(AC62)="volatility"),"_"&amp;AC62,""),IF(E62="Commodity",AG62&amp;IF(OR(LOWER(AC62)="basis",LOWER(AC62)="volatility"),"_"&amp;AC62,""),"UNKNOWN"))))</x:f>
        <x:v>JPY/USD</x:v>
      </x:c>
      <x:c r="AJ62" s="27" t="str">
        <x:f>T62</x:f>
        <x:v>U</x:v>
      </x:c>
      <x:c r="AK62" s="41" t="n">
        <x:f>IF(E62="Interest Rate",VLOOKUP("Interest Rate",Parameters!$D$4:$E$12,2,FALSE),IF(E62="FX",VLOOKUP("FX",Parameters!$D$4:$E$12,2,FALSE),IF(E62="Credit",IFERROR(VLOOKUP(L62,Parameters!$G$4:$H$12,2,FALSE),VLOOKUP("BBB",Parameters!$G$4:$H$12,2,FALSE)),IF(E62="Equity",VLOOKUP(IF(LOWER(K62)="index","Equity Index","Equity Single Name"),Parameters!$D$4:$E$12,2,FALSE),IF(E62="Commodity",VLOOKUP(IFERROR(VLOOKUP(F62,Parameters!$S$4:$T$12,2,FALSE),"Commodity Other"),Parameters!$D$4:$E$12,2,FALSE),0)))))</x:f>
        <x:v>0.04</x:v>
      </x:c>
      <x:c r="AL62" s="42" t="n">
        <x:f>IF(LOWER(AC62)="basis",Parameters!$B$8,IF(LOWER(AC62)="volatility",Parameters!$B$9,1))</x:f>
        <x:v>1</x:v>
      </x:c>
      <x:c r="AM62" s="41" t="n">
        <x:f>AK62*AL62</x:f>
        <x:v>0.04</x:v>
      </x:c>
      <x:c r="AN62" s="42" t="str">
        <x:f>IF(E62="Credit",VLOOKUP(IF(LOWER(K62)="index","Credit Index","Credit Single Name"),Parameters!$J$4:$K$8,2,FALSE),IF(E62="Equity",VLOOKUP(IF(LOWER(K62)="index","Equity Index","Equity Single Name"),Parameters!$J$4:$K$8,2,FALSE),IF(E62="Commodity",VLOOKUP("Commodity",Parameters!$J$4:$K$8,2,FALSE),"")))</x:f>
      </x:c>
      <x:c r="AO62" s="27" t="n">
        <x:f>MAX((O62-M62)/365,0)</x:f>
        <x:v>0</x:v>
      </x:c>
      <x:c r="AP62" s="27" t="n">
        <x:f>MAX((P62-M62)/365,10/Parameters!$B$6)</x:f>
        <x:v>2.293150684931507</x:v>
      </x:c>
      <x:c r="AQ62" s="27" t="n">
        <x:f>IF(AP62&lt;=AO62,AO62+10/Parameters!$B$6,AP62)</x:f>
        <x:v>2.293150684931507</x:v>
      </x:c>
      <x:c r="AR62" s="41" t="n">
        <x:f>IF(OR(E62="Interest Rate",E62="Credit"),(EXP(-Parameters!$B$7*AO62)-EXP(-Parameters!$B$7*AQ62))/Parameters!$B$7,1)</x:f>
        <x:v>1</x:v>
      </x:c>
      <x:c r="AS62" s="40" t="n">
        <x:f>IF(OR(E62="Interest Rate",E62="Credit"),ABS(Q62)*AR62,IF(E62="FX",IF(Q62&gt;0,Q62,MAX(ABS(R62),ABS(S62),ABS(Q62))),ABS(Q62)))</x:f>
        <x:v>71500000</x:v>
      </x:c>
      <x:c r="AT62" s="42" t="n">
        <x:f>IF(OR(E62="Interest Rate",E62="FX"),VLOOKUP(E62,Parameters!$M$4:$N$11,2,FALSE),IF(E62="Credit",VLOOKUP(IF(LOWER(K62)="index","Credit Index","Credit Single Name"),Parameters!$M$4:$N$11,2,FALSE),IF(E62="Equity",VLOOKUP(IF(LOWER(K62)="index","Equity Index","Equity Single Name"),Parameters!$M$4:$N$11,2,FALSE),IF(E62="Commodity",VLOOKUP(IF(F62="Electricity","Commodity Electricity","Commodity Other"),Parameters!$M$4:$N$11,2,FALSE),1))))</x:f>
        <x:v>0.15</x:v>
      </x:c>
      <x:c r="AU62" s="27" t="n">
        <x:f>IF(W62="B",1,-1)</x:f>
        <x:v>1</x:v>
      </x:c>
      <x:c r="AV62" s="27" t="n">
        <x:f>IF(OR(AA62="",M62=""),MAX(AE62,1/365),MAX((AA62-M62)/365,1/365))</x:f>
        <x:v>1.7178082191780821</x:v>
      </x:c>
      <x:c r="AW62" s="41" t="n">
        <x:f>IF(OR(Z62&lt;=0,Y62&lt;=0,AT62&lt;=0,AV62&lt;=0),"",(LN(Z62/Y62)+0.5*AT62^2*AV62)/(AT62*SQRT(AV62)))</x:f>
        <x:v>0.22707861555165731</x:v>
      </x:c>
      <x:c r="AX62" s="41" t="n">
        <x:f>IF(AND(X62&lt;&gt;"C",X62&lt;&gt;"P"),AU62,IF(AW62="",AU62,IF(X62="C",AU62*0.5*(1+ERF(AW62/SQRT(2))),-AU62*0.5*(1+ERF(-AW62/SQRT(2))))))</x:f>
        <x:v>0.5898186939774146</x:v>
      </x:c>
      <x:c r="AY62" s="41" t="n">
        <x:f>IF(AJ62="M",1.5*SQRT(MAX(IF(U62="Y",5,10),IF(V62="",10,V62))/Parameters!$B$6),SQRT(MIN(MAX(AE62,10/Parameters!$B$6),1)))</x:f>
        <x:v>1</x:v>
      </x:c>
      <x:c r="AZ62" s="40" t="n">
        <x:f>AS62*AX62*AY62</x:f>
        <x:v>42172036.619385146</x:v>
      </x:c>
      <x:c r="BA62" s="40" t="n">
        <x:f>'Python_Trade_Output'!AZ62</x:f>
        <x:v>42172036.619385146</x:v>
      </x:c>
      <x:c r="BB62" s="43" t="n">
        <x:f>AZ62-BA62</x:f>
        <x:v>0</x:v>
      </x:c>
    </x:row>
    <x:row r="63">
      <x:c r="A63" s="27" t="str">
        <x:f>'Inputs_Trades'!D63</x:f>
        <x:v>IND-000060</x:v>
      </x:c>
      <x:c r="B63" s="27" t="str">
        <x:f>'Inputs_Trades'!B63</x:f>
        <x:v>IND_SOVEREIGN_001</x:v>
      </x:c>
      <x:c r="C63" s="27" t="n">
        <x:f>'Inputs_Trades'!C63</x:f>
        <x:v>3084</x:v>
      </x:c>
      <x:c r="D63" s="27" t="str">
        <x:f>'Inputs_Trades'!E63</x:f>
        <x:v>FX Option</x:v>
      </x:c>
      <x:c r="E63" s="27" t="str">
        <x:f>'Inputs_Trades'!F63</x:f>
        <x:v>FX</x:v>
      </x:c>
      <x:c r="F63" s="27" t="n">
        <x:f>'Inputs_Trades'!G63</x:f>
        <x:v>0</x:v>
      </x:c>
      <x:c r="G63" s="27" t="str">
        <x:f>'Inputs_Trades'!J63</x:f>
        <x:v>USD</x:v>
      </x:c>
      <x:c r="H63" s="27" t="str">
        <x:f>'Inputs_Trades'!H63</x:f>
        <x:v>USD</x:v>
      </x:c>
      <x:c r="I63" s="27" t="str">
        <x:f>'Inputs_Trades'!I63</x:f>
        <x:v>CNY</x:v>
      </x:c>
      <x:c r="J63" s="27" t="str">
        <x:f>'Inputs_Trades'!M63</x:f>
        <x:v>USD/CNY</x:v>
      </x:c>
      <x:c r="K63" s="27" t="n">
        <x:f>'Inputs_Trades'!N63</x:f>
        <x:v>0</x:v>
      </x:c>
      <x:c r="L63" s="27" t="n">
        <x:f>'Inputs_Trades'!O63</x:f>
        <x:v>0</x:v>
      </x:c>
      <x:c r="M63" s="39" t="n">
        <x:f>'Inputs_Trades'!A63</x:f>
        <x:v>45702</x:v>
      </x:c>
      <x:c r="N63" s="39" t="n">
        <x:f>'Inputs_Trades'!P63</x:f>
        <x:v>46541</x:v>
      </x:c>
      <x:c r="O63" s="39" t="n">
        <x:f>'Inputs_Trades'!Q63</x:f>
        <x:v>45205</x:v>
      </x:c>
      <x:c r="P63" s="39" t="n">
        <x:f>'Inputs_Trades'!R63</x:f>
        <x:v>46541</x:v>
      </x:c>
      <x:c r="Q63" s="40" t="n">
        <x:f>'Inputs_Trades'!U63</x:f>
        <x:v>6000000</x:v>
      </x:c>
      <x:c r="R63" s="40" t="n">
        <x:f>'Inputs_Trades'!S63</x:f>
        <x:v>6000000</x:v>
      </x:c>
      <x:c r="S63" s="40" t="n">
        <x:f>'Inputs_Trades'!T63</x:f>
        <x:v>42857142.86</x:v>
      </x:c>
      <x:c r="T63" s="27" t="str">
        <x:f>'Inputs_Trades'!V63</x:f>
        <x:v>U</x:v>
      </x:c>
      <x:c r="U63" s="27" t="str">
        <x:f>'Inputs_Trades'!W63</x:f>
        <x:v>N</x:v>
      </x:c>
      <x:c r="V63" s="27" t="n">
        <x:f>'Inputs_Trades'!X63</x:f>
        <x:v>0</x:v>
      </x:c>
      <x:c r="W63" s="27" t="str">
        <x:f>'Inputs_Trades'!Y63</x:f>
        <x:v>B</x:v>
      </x:c>
      <x:c r="X63" s="27" t="str">
        <x:f>'Inputs_Trades'!AA63</x:f>
        <x:v>C</x:v>
      </x:c>
      <x:c r="Y63" s="27" t="n">
        <x:f>'Inputs_Trades'!AB63</x:f>
        <x:v>7.2562</x:v>
      </x:c>
      <x:c r="Z63" s="27" t="n">
        <x:f>'Inputs_Trades'!AC63</x:f>
        <x:v>7.1</x:v>
      </x:c>
      <x:c r="AA63" s="39" t="n">
        <x:f>'Inputs_Trades'!Z63</x:f>
        <x:v>46331</x:v>
      </x:c>
      <x:c r="AB63" s="40" t="n">
        <x:f>'Inputs_Trades'!AD63</x:f>
        <x:v>67050</x:v>
      </x:c>
      <x:c r="AC63" s="27" t="n">
        <x:f>'Inputs_Trades'!K63</x:f>
        <x:v>0</x:v>
      </x:c>
      <x:c r="AD63" s="27" t="n">
        <x:f>N63-M63</x:f>
        <x:v>839</x:v>
      </x:c>
      <x:c r="AE63" s="41" t="n">
        <x:f>AD63/365</x:f>
        <x:v>2.2986301369863016</x:v>
      </x:c>
      <x:c r="AF63" s="27" t="str">
        <x:f>IF(AE63&lt;1,"&lt;1Y",IF(AE63&lt;=5,"1Y-5Y","&gt;5Y"))</x:f>
        <x:v>1Y-5Y</x:v>
      </x:c>
      <x:c r="AG63" s="27" t="str">
        <x:f>IF(E63="Commodity",IFERROR(VLOOKUP(F63,Parameters!$P$4:$Q$12,2,FALSE),"Other"),"")</x:f>
      </x:c>
      <x:c r="AH63" s="27" t="str">
        <x:f>IF(F63="","Unknown",F63)</x:f>
        <x:v>Unknown</x:v>
      </x:c>
      <x:c r="AI63" s="27" t="str">
        <x:f>IF(E63="Interest Rate",G63&amp;IF(OR(LOWER(AC63)="basis",LOWER(AC63)="volatility"),"_"&amp;AC63,""),IF(E63="FX",IF(H63&lt;I63,H63&amp;"/"&amp;I63,I63&amp;"/"&amp;H63)&amp;IF(OR(LOWER(AC63)="basis",LOWER(AC63)="volatility"),"_"&amp;AC63,""),IF(OR(E63="Credit",E63="Equity"),J63&amp;IF(OR(LOWER(AC63)="basis",LOWER(AC63)="volatility"),"_"&amp;AC63,""),IF(E63="Commodity",AG63&amp;IF(OR(LOWER(AC63)="basis",LOWER(AC63)="volatility"),"_"&amp;AC63,""),"UNKNOWN"))))</x:f>
        <x:v>CNY/USD</x:v>
      </x:c>
      <x:c r="AJ63" s="27" t="str">
        <x:f>T63</x:f>
        <x:v>U</x:v>
      </x:c>
      <x:c r="AK63" s="41" t="n">
        <x:f>IF(E63="Interest Rate",VLOOKUP("Interest Rate",Parameters!$D$4:$E$12,2,FALSE),IF(E63="FX",VLOOKUP("FX",Parameters!$D$4:$E$12,2,FALSE),IF(E63="Credit",IFERROR(VLOOKUP(L63,Parameters!$G$4:$H$12,2,FALSE),VLOOKUP("BBB",Parameters!$G$4:$H$12,2,FALSE)),IF(E63="Equity",VLOOKUP(IF(LOWER(K63)="index","Equity Index","Equity Single Name"),Parameters!$D$4:$E$12,2,FALSE),IF(E63="Commodity",VLOOKUP(IFERROR(VLOOKUP(F63,Parameters!$S$4:$T$12,2,FALSE),"Commodity Other"),Parameters!$D$4:$E$12,2,FALSE),0)))))</x:f>
        <x:v>0.04</x:v>
      </x:c>
      <x:c r="AL63" s="42" t="n">
        <x:f>IF(LOWER(AC63)="basis",Parameters!$B$8,IF(LOWER(AC63)="volatility",Parameters!$B$9,1))</x:f>
        <x:v>1</x:v>
      </x:c>
      <x:c r="AM63" s="41" t="n">
        <x:f>AK63*AL63</x:f>
        <x:v>0.04</x:v>
      </x:c>
      <x:c r="AN63" s="42" t="str">
        <x:f>IF(E63="Credit",VLOOKUP(IF(LOWER(K63)="index","Credit Index","Credit Single Name"),Parameters!$J$4:$K$8,2,FALSE),IF(E63="Equity",VLOOKUP(IF(LOWER(K63)="index","Equity Index","Equity Single Name"),Parameters!$J$4:$K$8,2,FALSE),IF(E63="Commodity",VLOOKUP("Commodity",Parameters!$J$4:$K$8,2,FALSE),"")))</x:f>
      </x:c>
      <x:c r="AO63" s="27" t="n">
        <x:f>MAX((O63-M63)/365,0)</x:f>
        <x:v>0</x:v>
      </x:c>
      <x:c r="AP63" s="27" t="n">
        <x:f>MAX((P63-M63)/365,10/Parameters!$B$6)</x:f>
        <x:v>2.2986301369863016</x:v>
      </x:c>
      <x:c r="AQ63" s="27" t="n">
        <x:f>IF(AP63&lt;=AO63,AO63+10/Parameters!$B$6,AP63)</x:f>
        <x:v>2.2986301369863016</x:v>
      </x:c>
      <x:c r="AR63" s="41" t="n">
        <x:f>IF(OR(E63="Interest Rate",E63="Credit"),(EXP(-Parameters!$B$7*AO63)-EXP(-Parameters!$B$7*AQ63))/Parameters!$B$7,1)</x:f>
        <x:v>1</x:v>
      </x:c>
      <x:c r="AS63" s="40" t="n">
        <x:f>IF(OR(E63="Interest Rate",E63="Credit"),ABS(Q63)*AR63,IF(E63="FX",IF(Q63&gt;0,Q63,MAX(ABS(R63),ABS(S63),ABS(Q63))),ABS(Q63)))</x:f>
        <x:v>6000000</x:v>
      </x:c>
      <x:c r="AT63" s="42" t="n">
        <x:f>IF(OR(E63="Interest Rate",E63="FX"),VLOOKUP(E63,Parameters!$M$4:$N$11,2,FALSE),IF(E63="Credit",VLOOKUP(IF(LOWER(K63)="index","Credit Index","Credit Single Name"),Parameters!$M$4:$N$11,2,FALSE),IF(E63="Equity",VLOOKUP(IF(LOWER(K63)="index","Equity Index","Equity Single Name"),Parameters!$M$4:$N$11,2,FALSE),IF(E63="Commodity",VLOOKUP(IF(F63="Electricity","Commodity Electricity","Commodity Other"),Parameters!$M$4:$N$11,2,FALSE),1))))</x:f>
        <x:v>0.15</x:v>
      </x:c>
      <x:c r="AU63" s="27" t="n">
        <x:f>IF(W63="B",1,-1)</x:f>
        <x:v>1</x:v>
      </x:c>
      <x:c r="AV63" s="27" t="n">
        <x:f>IF(OR(AA63="",M63=""),MAX(AE63,1/365),MAX((AA63-M63)/365,1/365))</x:f>
        <x:v>1.7232876712328766</x:v>
      </x:c>
      <x:c r="AW63" s="41" t="n">
        <x:f>IF(OR(Z63&lt;=0,Y63&lt;=0,AT63&lt;=0,AV63&lt;=0),"",(LN(Z63/Y63)+0.5*AT63^2*AV63)/(AT63*SQRT(AV63)))</x:f>
        <x:v>-0.012058770412383341</x:v>
      </x:c>
      <x:c r="AX63" s="41" t="n">
        <x:f>IF(AND(X63&lt;&gt;"C",X63&lt;&gt;"P"),AU63,IF(AW63="",AU63,IF(X63="C",AU63*0.5*(1+ERF(AW63/SQRT(2))),-AU63*0.5*(1+ERF(-AW63/SQRT(2))))))</x:f>
        <x:v>0.49518936322207324</x:v>
      </x:c>
      <x:c r="AY63" s="41" t="n">
        <x:f>IF(AJ63="M",1.5*SQRT(MAX(IF(U63="Y",5,10),IF(V63="",10,V63))/Parameters!$B$6),SQRT(MIN(MAX(AE63,10/Parameters!$B$6),1)))</x:f>
        <x:v>1</x:v>
      </x:c>
      <x:c r="AZ63" s="40" t="n">
        <x:f>AS63*AX63*AY63</x:f>
        <x:v>2971136.1793324393</x:v>
      </x:c>
      <x:c r="BA63" s="40" t="n">
        <x:f>'Python_Trade_Output'!AZ63</x:f>
        <x:v>2971136.1793324403</x:v>
      </x:c>
      <x:c r="BB63" s="43" t="n">
        <x:f>AZ63-BA63</x:f>
        <x:v>-9.313225746154785e-10</x:v>
      </x:c>
    </x:row>
    <x:row r="64">
      <x:c r="A64" s="27" t="str">
        <x:f>'Inputs_Trades'!D64</x:f>
        <x:v>IND-000061</x:v>
      </x:c>
      <x:c r="B64" s="27" t="str">
        <x:f>'Inputs_Trades'!B64</x:f>
        <x:v>IND_CORPORATE_002</x:v>
      </x:c>
      <x:c r="C64" s="27" t="n">
        <x:f>'Inputs_Trades'!C64</x:f>
        <x:v>3187</x:v>
      </x:c>
      <x:c r="D64" s="27" t="str">
        <x:f>'Inputs_Trades'!E64</x:f>
        <x:v>FX Option</x:v>
      </x:c>
      <x:c r="E64" s="27" t="str">
        <x:f>'Inputs_Trades'!F64</x:f>
        <x:v>FX</x:v>
      </x:c>
      <x:c r="F64" s="27" t="n">
        <x:f>'Inputs_Trades'!G64</x:f>
        <x:v>0</x:v>
      </x:c>
      <x:c r="G64" s="27" t="str">
        <x:f>'Inputs_Trades'!J64</x:f>
        <x:v>USD</x:v>
      </x:c>
      <x:c r="H64" s="27" t="str">
        <x:f>'Inputs_Trades'!H64</x:f>
        <x:v>GBP</x:v>
      </x:c>
      <x:c r="I64" s="27" t="str">
        <x:f>'Inputs_Trades'!I64</x:f>
        <x:v>USD</x:v>
      </x:c>
      <x:c r="J64" s="27" t="str">
        <x:f>'Inputs_Trades'!M64</x:f>
        <x:v>GBP/USD</x:v>
      </x:c>
      <x:c r="K64" s="27" t="n">
        <x:f>'Inputs_Trades'!N64</x:f>
        <x:v>0</x:v>
      </x:c>
      <x:c r="L64" s="27" t="n">
        <x:f>'Inputs_Trades'!O64</x:f>
        <x:v>0</x:v>
      </x:c>
      <x:c r="M64" s="39" t="n">
        <x:f>'Inputs_Trades'!A64</x:f>
        <x:v>45702</x:v>
      </x:c>
      <x:c r="N64" s="39" t="n">
        <x:f>'Inputs_Trades'!P64</x:f>
        <x:v>46629</x:v>
      </x:c>
      <x:c r="O64" s="39" t="n">
        <x:f>'Inputs_Trades'!Q64</x:f>
        <x:v>45065</x:v>
      </x:c>
      <x:c r="P64" s="39" t="n">
        <x:f>'Inputs_Trades'!R64</x:f>
        <x:v>46629</x:v>
      </x:c>
      <x:c r="Q64" s="40" t="n">
        <x:f>'Inputs_Trades'!U64</x:f>
        <x:v>74500000</x:v>
      </x:c>
      <x:c r="R64" s="40" t="n">
        <x:f>'Inputs_Trades'!S64</x:f>
        <x:v>59600000</x:v>
      </x:c>
      <x:c r="S64" s="40" t="n">
        <x:f>'Inputs_Trades'!T64</x:f>
        <x:v>74500000</x:v>
      </x:c>
      <x:c r="T64" s="27" t="str">
        <x:f>'Inputs_Trades'!V64</x:f>
        <x:v>U</x:v>
      </x:c>
      <x:c r="U64" s="27" t="str">
        <x:f>'Inputs_Trades'!W64</x:f>
        <x:v>N</x:v>
      </x:c>
      <x:c r="V64" s="27" t="n">
        <x:f>'Inputs_Trades'!X64</x:f>
        <x:v>0</x:v>
      </x:c>
      <x:c r="W64" s="27" t="str">
        <x:f>'Inputs_Trades'!Y64</x:f>
        <x:v>B</x:v>
      </x:c>
      <x:c r="X64" s="27" t="str">
        <x:f>'Inputs_Trades'!AA64</x:f>
        <x:v>P</x:v>
      </x:c>
      <x:c r="Y64" s="27" t="n">
        <x:f>'Inputs_Trades'!AB64</x:f>
        <x:v>1.23392</x:v>
      </x:c>
      <x:c r="Z64" s="27" t="n">
        <x:f>'Inputs_Trades'!AC64</x:f>
        <x:v>1.205</x:v>
      </x:c>
      <x:c r="AA64" s="39" t="n">
        <x:f>'Inputs_Trades'!Z64</x:f>
        <x:v>46397</x:v>
      </x:c>
      <x:c r="AB64" s="40" t="n">
        <x:f>'Inputs_Trades'!AD64</x:f>
        <x:v>-420180</x:v>
      </x:c>
      <x:c r="AC64" s="27" t="n">
        <x:f>'Inputs_Trades'!K64</x:f>
        <x:v>0</x:v>
      </x:c>
      <x:c r="AD64" s="27" t="n">
        <x:f>N64-M64</x:f>
        <x:v>927</x:v>
      </x:c>
      <x:c r="AE64" s="41" t="n">
        <x:f>AD64/365</x:f>
        <x:v>2.5397260273972604</x:v>
      </x:c>
      <x:c r="AF64" s="27" t="str">
        <x:f>IF(AE64&lt;1,"&lt;1Y",IF(AE64&lt;=5,"1Y-5Y","&gt;5Y"))</x:f>
        <x:v>1Y-5Y</x:v>
      </x:c>
      <x:c r="AG64" s="27" t="str">
        <x:f>IF(E64="Commodity",IFERROR(VLOOKUP(F64,Parameters!$P$4:$Q$12,2,FALSE),"Other"),"")</x:f>
      </x:c>
      <x:c r="AH64" s="27" t="str">
        <x:f>IF(F64="","Unknown",F64)</x:f>
        <x:v>Unknown</x:v>
      </x:c>
      <x:c r="AI64" s="27" t="str">
        <x:f>IF(E64="Interest Rate",G64&amp;IF(OR(LOWER(AC64)="basis",LOWER(AC64)="volatility"),"_"&amp;AC64,""),IF(E64="FX",IF(H64&lt;I64,H64&amp;"/"&amp;I64,I64&amp;"/"&amp;H64)&amp;IF(OR(LOWER(AC64)="basis",LOWER(AC64)="volatility"),"_"&amp;AC64,""),IF(OR(E64="Credit",E64="Equity"),J64&amp;IF(OR(LOWER(AC64)="basis",LOWER(AC64)="volatility"),"_"&amp;AC64,""),IF(E64="Commodity",AG64&amp;IF(OR(LOWER(AC64)="basis",LOWER(AC64)="volatility"),"_"&amp;AC64,""),"UNKNOWN"))))</x:f>
        <x:v>GBP/USD</x:v>
      </x:c>
      <x:c r="AJ64" s="27" t="str">
        <x:f>T64</x:f>
        <x:v>U</x:v>
      </x:c>
      <x:c r="AK64" s="41" t="n">
        <x:f>IF(E64="Interest Rate",VLOOKUP("Interest Rate",Parameters!$D$4:$E$12,2,FALSE),IF(E64="FX",VLOOKUP("FX",Parameters!$D$4:$E$12,2,FALSE),IF(E64="Credit",IFERROR(VLOOKUP(L64,Parameters!$G$4:$H$12,2,FALSE),VLOOKUP("BBB",Parameters!$G$4:$H$12,2,FALSE)),IF(E64="Equity",VLOOKUP(IF(LOWER(K64)="index","Equity Index","Equity Single Name"),Parameters!$D$4:$E$12,2,FALSE),IF(E64="Commodity",VLOOKUP(IFERROR(VLOOKUP(F64,Parameters!$S$4:$T$12,2,FALSE),"Commodity Other"),Parameters!$D$4:$E$12,2,FALSE),0)))))</x:f>
        <x:v>0.04</x:v>
      </x:c>
      <x:c r="AL64" s="42" t="n">
        <x:f>IF(LOWER(AC64)="basis",Parameters!$B$8,IF(LOWER(AC64)="volatility",Parameters!$B$9,1))</x:f>
        <x:v>1</x:v>
      </x:c>
      <x:c r="AM64" s="41" t="n">
        <x:f>AK64*AL64</x:f>
        <x:v>0.04</x:v>
      </x:c>
      <x:c r="AN64" s="42" t="str">
        <x:f>IF(E64="Credit",VLOOKUP(IF(LOWER(K64)="index","Credit Index","Credit Single Name"),Parameters!$J$4:$K$8,2,FALSE),IF(E64="Equity",VLOOKUP(IF(LOWER(K64)="index","Equity Index","Equity Single Name"),Parameters!$J$4:$K$8,2,FALSE),IF(E64="Commodity",VLOOKUP("Commodity",Parameters!$J$4:$K$8,2,FALSE),"")))</x:f>
      </x:c>
      <x:c r="AO64" s="27" t="n">
        <x:f>MAX((O64-M64)/365,0)</x:f>
        <x:v>0</x:v>
      </x:c>
      <x:c r="AP64" s="27" t="n">
        <x:f>MAX((P64-M64)/365,10/Parameters!$B$6)</x:f>
        <x:v>2.5397260273972604</x:v>
      </x:c>
      <x:c r="AQ64" s="27" t="n">
        <x:f>IF(AP64&lt;=AO64,AO64+10/Parameters!$B$6,AP64)</x:f>
        <x:v>2.5397260273972604</x:v>
      </x:c>
      <x:c r="AR64" s="41" t="n">
        <x:f>IF(OR(E64="Interest Rate",E64="Credit"),(EXP(-Parameters!$B$7*AO64)-EXP(-Parameters!$B$7*AQ64))/Parameters!$B$7,1)</x:f>
        <x:v>1</x:v>
      </x:c>
      <x:c r="AS64" s="40" t="n">
        <x:f>IF(OR(E64="Interest Rate",E64="Credit"),ABS(Q64)*AR64,IF(E64="FX",IF(Q64&gt;0,Q64,MAX(ABS(R64),ABS(S64),ABS(Q64))),ABS(Q64)))</x:f>
        <x:v>74500000</x:v>
      </x:c>
      <x:c r="AT64" s="42" t="n">
        <x:f>IF(OR(E64="Interest Rate",E64="FX"),VLOOKUP(E64,Parameters!$M$4:$N$11,2,FALSE),IF(E64="Credit",VLOOKUP(IF(LOWER(K64)="index","Credit Index","Credit Single Name"),Parameters!$M$4:$N$11,2,FALSE),IF(E64="Equity",VLOOKUP(IF(LOWER(K64)="index","Equity Index","Equity Single Name"),Parameters!$M$4:$N$11,2,FALSE),IF(E64="Commodity",VLOOKUP(IF(F64="Electricity","Commodity Electricity","Commodity Other"),Parameters!$M$4:$N$11,2,FALSE),1))))</x:f>
        <x:v>0.15</x:v>
      </x:c>
      <x:c r="AU64" s="27" t="n">
        <x:f>IF(W64="B",1,-1)</x:f>
        <x:v>1</x:v>
      </x:c>
      <x:c r="AV64" s="27" t="n">
        <x:f>IF(OR(AA64="",M64=""),MAX(AE64,1/365),MAX((AA64-M64)/365,1/365))</x:f>
        <x:v>1.904109589041096</x:v>
      </x:c>
      <x:c r="AW64" s="41" t="n">
        <x:f>IF(OR(Z64&lt;=0,Y64&lt;=0,AT64&lt;=0,AV64&lt;=0),"",(LN(Z64/Y64)+0.5*AT64^2*AV64)/(AT64*SQRT(AV64)))</x:f>
        <x:v>-0.011089221114584037</x:v>
      </x:c>
      <x:c r="AX64" s="41" t="n">
        <x:f>IF(AND(X64&lt;&gt;"C",X64&lt;&gt;"P"),AU64,IF(AW64="",AU64,IF(X64="C",AU64*0.5*(1+ERF(AW64/SQRT(2))),-AU64*0.5*(1+ERF(-AW64/SQRT(2))))))</x:f>
        <x:v>-0.5044238684913491</x:v>
      </x:c>
      <x:c r="AY64" s="41" t="n">
        <x:f>IF(AJ64="M",1.5*SQRT(MAX(IF(U64="Y",5,10),IF(V64="",10,V64))/Parameters!$B$6),SQRT(MIN(MAX(AE64,10/Parameters!$B$6),1)))</x:f>
        <x:v>1</x:v>
      </x:c>
      <x:c r="AZ64" s="40" t="n">
        <x:f>AS64*AX64*AY64</x:f>
        <x:v>-37579578.20260551</x:v>
      </x:c>
      <x:c r="BA64" s="40" t="n">
        <x:f>'Python_Trade_Output'!AZ64</x:f>
        <x:v>-37579578.20260551</x:v>
      </x:c>
      <x:c r="BB64" s="43" t="n">
        <x:f>AZ64-BA64</x:f>
        <x:v>0</x:v>
      </x:c>
    </x:row>
    <x:row r="65">
      <x:c r="A65" s="27" t="str">
        <x:f>'Inputs_Trades'!D65</x:f>
        <x:v>IND-000062</x:v>
      </x:c>
      <x:c r="B65" s="27" t="str">
        <x:f>'Inputs_Trades'!B65</x:f>
        <x:v>IND_SOVEREIGN_001</x:v>
      </x:c>
      <x:c r="C65" s="27" t="n">
        <x:f>'Inputs_Trades'!C65</x:f>
        <x:v>3390</x:v>
      </x:c>
      <x:c r="D65" s="27" t="str">
        <x:f>'Inputs_Trades'!E65</x:f>
        <x:v>FX Option</x:v>
      </x:c>
      <x:c r="E65" s="27" t="str">
        <x:f>'Inputs_Trades'!F65</x:f>
        <x:v>FX</x:v>
      </x:c>
      <x:c r="F65" s="27" t="n">
        <x:f>'Inputs_Trades'!G65</x:f>
        <x:v>0</x:v>
      </x:c>
      <x:c r="G65" s="27" t="str">
        <x:f>'Inputs_Trades'!J65</x:f>
        <x:v>USD</x:v>
      </x:c>
      <x:c r="H65" s="27" t="str">
        <x:f>'Inputs_Trades'!H65</x:f>
        <x:v>USD</x:v>
      </x:c>
      <x:c r="I65" s="27" t="str">
        <x:f>'Inputs_Trades'!I65</x:f>
        <x:v>CNY</x:v>
      </x:c>
      <x:c r="J65" s="27" t="str">
        <x:f>'Inputs_Trades'!M65</x:f>
        <x:v>USD/CNY</x:v>
      </x:c>
      <x:c r="K65" s="27" t="n">
        <x:f>'Inputs_Trades'!N65</x:f>
        <x:v>0</x:v>
      </x:c>
      <x:c r="L65" s="27" t="n">
        <x:f>'Inputs_Trades'!O65</x:f>
        <x:v>0</x:v>
      </x:c>
      <x:c r="M65" s="39" t="n">
        <x:f>'Inputs_Trades'!A65</x:f>
        <x:v>45702</x:v>
      </x:c>
      <x:c r="N65" s="39" t="n">
        <x:f>'Inputs_Trades'!P65</x:f>
        <x:v>46664</x:v>
      </x:c>
      <x:c r="O65" s="39" t="n">
        <x:f>'Inputs_Trades'!Q65</x:f>
        <x:v>45634</x:v>
      </x:c>
      <x:c r="P65" s="39" t="n">
        <x:f>'Inputs_Trades'!R65</x:f>
        <x:v>46664</x:v>
      </x:c>
      <x:c r="Q65" s="40" t="n">
        <x:f>'Inputs_Trades'!U65</x:f>
        <x:v>41900000</x:v>
      </x:c>
      <x:c r="R65" s="40" t="n">
        <x:f>'Inputs_Trades'!S65</x:f>
        <x:v>41900000</x:v>
      </x:c>
      <x:c r="S65" s="40" t="n">
        <x:f>'Inputs_Trades'!T65</x:f>
        <x:v>299285714.29</x:v>
      </x:c>
      <x:c r="T65" s="27" t="str">
        <x:f>'Inputs_Trades'!V65</x:f>
        <x:v>M</x:v>
      </x:c>
      <x:c r="U65" s="27" t="str">
        <x:f>'Inputs_Trades'!W65</x:f>
        <x:v>N</x:v>
      </x:c>
      <x:c r="V65" s="27" t="n">
        <x:f>'Inputs_Trades'!X65</x:f>
        <x:v>10</x:v>
      </x:c>
      <x:c r="W65" s="27" t="str">
        <x:f>'Inputs_Trades'!Y65</x:f>
        <x:v>B</x:v>
      </x:c>
      <x:c r="X65" s="27" t="str">
        <x:f>'Inputs_Trades'!AA65</x:f>
        <x:v>P</x:v>
      </x:c>
      <x:c r="Y65" s="27" t="n">
        <x:f>'Inputs_Trades'!AB65</x:f>
        <x:v>7.3698</x:v>
      </x:c>
      <x:c r="Z65" s="27" t="n">
        <x:f>'Inputs_Trades'!AC65</x:f>
        <x:v>7.1</x:v>
      </x:c>
      <x:c r="AA65" s="39" t="n">
        <x:f>'Inputs_Trades'!Z65</x:f>
        <x:v>46423</x:v>
      </x:c>
      <x:c r="AB65" s="40" t="n">
        <x:f>'Inputs_Trades'!AD65</x:f>
        <x:v>-549309</x:v>
      </x:c>
      <x:c r="AC65" s="27" t="n">
        <x:f>'Inputs_Trades'!K65</x:f>
        <x:v>0</x:v>
      </x:c>
      <x:c r="AD65" s="27" t="n">
        <x:f>N65-M65</x:f>
        <x:v>962</x:v>
      </x:c>
      <x:c r="AE65" s="41" t="n">
        <x:f>AD65/365</x:f>
        <x:v>2.6356164383561644</x:v>
      </x:c>
      <x:c r="AF65" s="27" t="str">
        <x:f>IF(AE65&lt;1,"&lt;1Y",IF(AE65&lt;=5,"1Y-5Y","&gt;5Y"))</x:f>
        <x:v>1Y-5Y</x:v>
      </x:c>
      <x:c r="AG65" s="27" t="str">
        <x:f>IF(E65="Commodity",IFERROR(VLOOKUP(F65,Parameters!$P$4:$Q$12,2,FALSE),"Other"),"")</x:f>
      </x:c>
      <x:c r="AH65" s="27" t="str">
        <x:f>IF(F65="","Unknown",F65)</x:f>
        <x:v>Unknown</x:v>
      </x:c>
      <x:c r="AI65" s="27" t="str">
        <x:f>IF(E65="Interest Rate",G65&amp;IF(OR(LOWER(AC65)="basis",LOWER(AC65)="volatility"),"_"&amp;AC65,""),IF(E65="FX",IF(H65&lt;I65,H65&amp;"/"&amp;I65,I65&amp;"/"&amp;H65)&amp;IF(OR(LOWER(AC65)="basis",LOWER(AC65)="volatility"),"_"&amp;AC65,""),IF(OR(E65="Credit",E65="Equity"),J65&amp;IF(OR(LOWER(AC65)="basis",LOWER(AC65)="volatility"),"_"&amp;AC65,""),IF(E65="Commodity",AG65&amp;IF(OR(LOWER(AC65)="basis",LOWER(AC65)="volatility"),"_"&amp;AC65,""),"UNKNOWN"))))</x:f>
        <x:v>CNY/USD</x:v>
      </x:c>
      <x:c r="AJ65" s="27" t="str">
        <x:f>T65</x:f>
        <x:v>M</x:v>
      </x:c>
      <x:c r="AK65" s="41" t="n">
        <x:f>IF(E65="Interest Rate",VLOOKUP("Interest Rate",Parameters!$D$4:$E$12,2,FALSE),IF(E65="FX",VLOOKUP("FX",Parameters!$D$4:$E$12,2,FALSE),IF(E65="Credit",IFERROR(VLOOKUP(L65,Parameters!$G$4:$H$12,2,FALSE),VLOOKUP("BBB",Parameters!$G$4:$H$12,2,FALSE)),IF(E65="Equity",VLOOKUP(IF(LOWER(K65)="index","Equity Index","Equity Single Name"),Parameters!$D$4:$E$12,2,FALSE),IF(E65="Commodity",VLOOKUP(IFERROR(VLOOKUP(F65,Parameters!$S$4:$T$12,2,FALSE),"Commodity Other"),Parameters!$D$4:$E$12,2,FALSE),0)))))</x:f>
        <x:v>0.04</x:v>
      </x:c>
      <x:c r="AL65" s="42" t="n">
        <x:f>IF(LOWER(AC65)="basis",Parameters!$B$8,IF(LOWER(AC65)="volatility",Parameters!$B$9,1))</x:f>
        <x:v>1</x:v>
      </x:c>
      <x:c r="AM65" s="41" t="n">
        <x:f>AK65*AL65</x:f>
        <x:v>0.04</x:v>
      </x:c>
      <x:c r="AN65" s="42" t="str">
        <x:f>IF(E65="Credit",VLOOKUP(IF(LOWER(K65)="index","Credit Index","Credit Single Name"),Parameters!$J$4:$K$8,2,FALSE),IF(E65="Equity",VLOOKUP(IF(LOWER(K65)="index","Equity Index","Equity Single Name"),Parameters!$J$4:$K$8,2,FALSE),IF(E65="Commodity",VLOOKUP("Commodity",Parameters!$J$4:$K$8,2,FALSE),"")))</x:f>
      </x:c>
      <x:c r="AO65" s="27" t="n">
        <x:f>MAX((O65-M65)/365,0)</x:f>
        <x:v>0</x:v>
      </x:c>
      <x:c r="AP65" s="27" t="n">
        <x:f>MAX((P65-M65)/365,10/Parameters!$B$6)</x:f>
        <x:v>2.6356164383561644</x:v>
      </x:c>
      <x:c r="AQ65" s="27" t="n">
        <x:f>IF(AP65&lt;=AO65,AO65+10/Parameters!$B$6,AP65)</x:f>
        <x:v>2.6356164383561644</x:v>
      </x:c>
      <x:c r="AR65" s="41" t="n">
        <x:f>IF(OR(E65="Interest Rate",E65="Credit"),(EXP(-Parameters!$B$7*AO65)-EXP(-Parameters!$B$7*AQ65))/Parameters!$B$7,1)</x:f>
        <x:v>1</x:v>
      </x:c>
      <x:c r="AS65" s="40" t="n">
        <x:f>IF(OR(E65="Interest Rate",E65="Credit"),ABS(Q65)*AR65,IF(E65="FX",IF(Q65&gt;0,Q65,MAX(ABS(R65),ABS(S65),ABS(Q65))),ABS(Q65)))</x:f>
        <x:v>41900000</x:v>
      </x:c>
      <x:c r="AT65" s="42" t="n">
        <x:f>IF(OR(E65="Interest Rate",E65="FX"),VLOOKUP(E65,Parameters!$M$4:$N$11,2,FALSE),IF(E65="Credit",VLOOKUP(IF(LOWER(K65)="index","Credit Index","Credit Single Name"),Parameters!$M$4:$N$11,2,FALSE),IF(E65="Equity",VLOOKUP(IF(LOWER(K65)="index","Equity Index","Equity Single Name"),Parameters!$M$4:$N$11,2,FALSE),IF(E65="Commodity",VLOOKUP(IF(F65="Electricity","Commodity Electricity","Commodity Other"),Parameters!$M$4:$N$11,2,FALSE),1))))</x:f>
        <x:v>0.15</x:v>
      </x:c>
      <x:c r="AU65" s="27" t="n">
        <x:f>IF(W65="B",1,-1)</x:f>
        <x:v>1</x:v>
      </x:c>
      <x:c r="AV65" s="27" t="n">
        <x:f>IF(OR(AA65="",M65=""),MAX(AE65,1/365),MAX((AA65-M65)/365,1/365))</x:f>
        <x:v>1.9753424657534246</x:v>
      </x:c>
      <x:c r="AW65" s="41" t="n">
        <x:f>IF(OR(Z65&lt;=0,Y65&lt;=0,AT65&lt;=0,AV65&lt;=0),"",(LN(Z65/Y65)+0.5*AT65^2*AV65)/(AT65*SQRT(AV65)))</x:f>
        <x:v>-0.07149776794240995</x:v>
      </x:c>
      <x:c r="AX65" s="41" t="n">
        <x:f>IF(AND(X65&lt;&gt;"C",X65&lt;&gt;"P"),AU65,IF(AW65="",AU65,IF(X65="C",AU65*0.5*(1+ERF(AW65/SQRT(2))),-AU65*0.5*(1+ERF(-AW65/SQRT(2))))))</x:f>
        <x:v>-0.528499199531206</x:v>
      </x:c>
      <x:c r="AY65" s="41" t="n">
        <x:f>IF(AJ65="M",1.5*SQRT(MAX(IF(U65="Y",5,10),IF(V65="",10,V65))/Parameters!$B$6),SQRT(MIN(MAX(AE65,10/Parameters!$B$6),1)))</x:f>
        <x:v>0.30000000000000004</x:v>
      </x:c>
      <x:c r="AZ65" s="40" t="n">
        <x:f>AS65*AX65*AY65</x:f>
        <x:v>-6643234.9381072605</x:v>
      </x:c>
      <x:c r="BA65" s="40" t="n">
        <x:f>'Python_Trade_Output'!AZ65</x:f>
        <x:v>-6643234.938107262</x:v>
      </x:c>
      <x:c r="BB65" s="43" t="n">
        <x:f>AZ65-BA65</x:f>
        <x:v>1.862645149230957e-9</x:v>
      </x:c>
    </x:row>
    <x:row r="66">
      <x:c r="A66" s="27" t="str">
        <x:f>'Inputs_Trades'!D66</x:f>
        <x:v>IND-000063</x:v>
      </x:c>
      <x:c r="B66" s="27" t="str">
        <x:f>'Inputs_Trades'!B66</x:f>
        <x:v>IND_CORPORATE_002</x:v>
      </x:c>
      <x:c r="C66" s="27" t="n">
        <x:f>'Inputs_Trades'!C66</x:f>
        <x:v>3346</x:v>
      </x:c>
      <x:c r="D66" s="27" t="str">
        <x:f>'Inputs_Trades'!E66</x:f>
        <x:v>FX Option</x:v>
      </x:c>
      <x:c r="E66" s="27" t="str">
        <x:f>'Inputs_Trades'!F66</x:f>
        <x:v>FX</x:v>
      </x:c>
      <x:c r="F66" s="27" t="n">
        <x:f>'Inputs_Trades'!G66</x:f>
        <x:v>0</x:v>
      </x:c>
      <x:c r="G66" s="27" t="str">
        <x:f>'Inputs_Trades'!J66</x:f>
        <x:v>USD</x:v>
      </x:c>
      <x:c r="H66" s="27" t="str">
        <x:f>'Inputs_Trades'!H66</x:f>
        <x:v>GBP</x:v>
      </x:c>
      <x:c r="I66" s="27" t="str">
        <x:f>'Inputs_Trades'!I66</x:f>
        <x:v>USD</x:v>
      </x:c>
      <x:c r="J66" s="27" t="str">
        <x:f>'Inputs_Trades'!M66</x:f>
        <x:v>GBP/USD</x:v>
      </x:c>
      <x:c r="K66" s="27" t="n">
        <x:f>'Inputs_Trades'!N66</x:f>
        <x:v>0</x:v>
      </x:c>
      <x:c r="L66" s="27" t="n">
        <x:f>'Inputs_Trades'!O66</x:f>
        <x:v>0</x:v>
      </x:c>
      <x:c r="M66" s="39" t="n">
        <x:f>'Inputs_Trades'!A66</x:f>
        <x:v>45702</x:v>
      </x:c>
      <x:c r="N66" s="39" t="n">
        <x:f>'Inputs_Trades'!P66</x:f>
        <x:v>47639</x:v>
      </x:c>
      <x:c r="O66" s="39" t="n">
        <x:f>'Inputs_Trades'!Q66</x:f>
        <x:v>45012</x:v>
      </x:c>
      <x:c r="P66" s="39" t="n">
        <x:f>'Inputs_Trades'!R66</x:f>
        <x:v>47639</x:v>
      </x:c>
      <x:c r="Q66" s="40" t="n">
        <x:f>'Inputs_Trades'!U66</x:f>
        <x:v>34000000</x:v>
      </x:c>
      <x:c r="R66" s="40" t="n">
        <x:f>'Inputs_Trades'!S66</x:f>
        <x:v>27200000</x:v>
      </x:c>
      <x:c r="S66" s="40" t="n">
        <x:f>'Inputs_Trades'!T66</x:f>
        <x:v>34000000</x:v>
      </x:c>
      <x:c r="T66" s="27" t="str">
        <x:f>'Inputs_Trades'!V66</x:f>
        <x:v>M</x:v>
      </x:c>
      <x:c r="U66" s="27" t="str">
        <x:f>'Inputs_Trades'!W66</x:f>
        <x:v>N</x:v>
      </x:c>
      <x:c r="V66" s="27" t="n">
        <x:f>'Inputs_Trades'!X66</x:f>
        <x:v>10</x:v>
      </x:c>
      <x:c r="W66" s="27" t="str">
        <x:f>'Inputs_Trades'!Y66</x:f>
        <x:v>S</x:v>
      </x:c>
      <x:c r="X66" s="27" t="str">
        <x:f>'Inputs_Trades'!AA66</x:f>
        <x:v>C</x:v>
      </x:c>
      <x:c r="Y66" s="27" t="n">
        <x:f>'Inputs_Trades'!AB66</x:f>
        <x:v>1.245624</x:v>
      </x:c>
      <x:c r="Z66" s="27" t="n">
        <x:f>'Inputs_Trades'!AC66</x:f>
        <x:v>1.207</x:v>
      </x:c>
      <x:c r="AA66" s="39" t="n">
        <x:f>'Inputs_Trades'!Z66</x:f>
        <x:v>47154</x:v>
      </x:c>
      <x:c r="AB66" s="40" t="n">
        <x:f>'Inputs_Trades'!AD66</x:f>
        <x:v>327930</x:v>
      </x:c>
      <x:c r="AC66" s="27" t="n">
        <x:f>'Inputs_Trades'!K66</x:f>
        <x:v>0</x:v>
      </x:c>
      <x:c r="AD66" s="27" t="n">
        <x:f>N66-M66</x:f>
        <x:v>1937</x:v>
      </x:c>
      <x:c r="AE66" s="41" t="n">
        <x:f>AD66/365</x:f>
        <x:v>5.306849315068493</x:v>
      </x:c>
      <x:c r="AF66" s="27" t="str">
        <x:f>IF(AE66&lt;1,"&lt;1Y",IF(AE66&lt;=5,"1Y-5Y","&gt;5Y"))</x:f>
        <x:v>&gt;5Y</x:v>
      </x:c>
      <x:c r="AG66" s="27" t="str">
        <x:f>IF(E66="Commodity",IFERROR(VLOOKUP(F66,Parameters!$P$4:$Q$12,2,FALSE),"Other"),"")</x:f>
      </x:c>
      <x:c r="AH66" s="27" t="str">
        <x:f>IF(F66="","Unknown",F66)</x:f>
        <x:v>Unknown</x:v>
      </x:c>
      <x:c r="AI66" s="27" t="str">
        <x:f>IF(E66="Interest Rate",G66&amp;IF(OR(LOWER(AC66)="basis",LOWER(AC66)="volatility"),"_"&amp;AC66,""),IF(E66="FX",IF(H66&lt;I66,H66&amp;"/"&amp;I66,I66&amp;"/"&amp;H66)&amp;IF(OR(LOWER(AC66)="basis",LOWER(AC66)="volatility"),"_"&amp;AC66,""),IF(OR(E66="Credit",E66="Equity"),J66&amp;IF(OR(LOWER(AC66)="basis",LOWER(AC66)="volatility"),"_"&amp;AC66,""),IF(E66="Commodity",AG66&amp;IF(OR(LOWER(AC66)="basis",LOWER(AC66)="volatility"),"_"&amp;AC66,""),"UNKNOWN"))))</x:f>
        <x:v>GBP/USD</x:v>
      </x:c>
      <x:c r="AJ66" s="27" t="str">
        <x:f>T66</x:f>
        <x:v>M</x:v>
      </x:c>
      <x:c r="AK66" s="41" t="n">
        <x:f>IF(E66="Interest Rate",VLOOKUP("Interest Rate",Parameters!$D$4:$E$12,2,FALSE),IF(E66="FX",VLOOKUP("FX",Parameters!$D$4:$E$12,2,FALSE),IF(E66="Credit",IFERROR(VLOOKUP(L66,Parameters!$G$4:$H$12,2,FALSE),VLOOKUP("BBB",Parameters!$G$4:$H$12,2,FALSE)),IF(E66="Equity",VLOOKUP(IF(LOWER(K66)="index","Equity Index","Equity Single Name"),Parameters!$D$4:$E$12,2,FALSE),IF(E66="Commodity",VLOOKUP(IFERROR(VLOOKUP(F66,Parameters!$S$4:$T$12,2,FALSE),"Commodity Other"),Parameters!$D$4:$E$12,2,FALSE),0)))))</x:f>
        <x:v>0.04</x:v>
      </x:c>
      <x:c r="AL66" s="42" t="n">
        <x:f>IF(LOWER(AC66)="basis",Parameters!$B$8,IF(LOWER(AC66)="volatility",Parameters!$B$9,1))</x:f>
        <x:v>1</x:v>
      </x:c>
      <x:c r="AM66" s="41" t="n">
        <x:f>AK66*AL66</x:f>
        <x:v>0.04</x:v>
      </x:c>
      <x:c r="AN66" s="42" t="str">
        <x:f>IF(E66="Credit",VLOOKUP(IF(LOWER(K66)="index","Credit Index","Credit Single Name"),Parameters!$J$4:$K$8,2,FALSE),IF(E66="Equity",VLOOKUP(IF(LOWER(K66)="index","Equity Index","Equity Single Name"),Parameters!$J$4:$K$8,2,FALSE),IF(E66="Commodity",VLOOKUP("Commodity",Parameters!$J$4:$K$8,2,FALSE),"")))</x:f>
      </x:c>
      <x:c r="AO66" s="27" t="n">
        <x:f>MAX((O66-M66)/365,0)</x:f>
        <x:v>0</x:v>
      </x:c>
      <x:c r="AP66" s="27" t="n">
        <x:f>MAX((P66-M66)/365,10/Parameters!$B$6)</x:f>
        <x:v>5.306849315068493</x:v>
      </x:c>
      <x:c r="AQ66" s="27" t="n">
        <x:f>IF(AP66&lt;=AO66,AO66+10/Parameters!$B$6,AP66)</x:f>
        <x:v>5.306849315068493</x:v>
      </x:c>
      <x:c r="AR66" s="41" t="n">
        <x:f>IF(OR(E66="Interest Rate",E66="Credit"),(EXP(-Parameters!$B$7*AO66)-EXP(-Parameters!$B$7*AQ66))/Parameters!$B$7,1)</x:f>
        <x:v>1</x:v>
      </x:c>
      <x:c r="AS66" s="40" t="n">
        <x:f>IF(OR(E66="Interest Rate",E66="Credit"),ABS(Q66)*AR66,IF(E66="FX",IF(Q66&gt;0,Q66,MAX(ABS(R66),ABS(S66),ABS(Q66))),ABS(Q66)))</x:f>
        <x:v>34000000</x:v>
      </x:c>
      <x:c r="AT66" s="42" t="n">
        <x:f>IF(OR(E66="Interest Rate",E66="FX"),VLOOKUP(E66,Parameters!$M$4:$N$11,2,FALSE),IF(E66="Credit",VLOOKUP(IF(LOWER(K66)="index","Credit Index","Credit Single Name"),Parameters!$M$4:$N$11,2,FALSE),IF(E66="Equity",VLOOKUP(IF(LOWER(K66)="index","Equity Index","Equity Single Name"),Parameters!$M$4:$N$11,2,FALSE),IF(E66="Commodity",VLOOKUP(IF(F66="Electricity","Commodity Electricity","Commodity Other"),Parameters!$M$4:$N$11,2,FALSE),1))))</x:f>
        <x:v>0.15</x:v>
      </x:c>
      <x:c r="AU66" s="27" t="n">
        <x:f>IF(W66="B",1,-1)</x:f>
        <x:v>-1</x:v>
      </x:c>
      <x:c r="AV66" s="27" t="n">
        <x:f>IF(OR(AA66="",M66=""),MAX(AE66,1/365),MAX((AA66-M66)/365,1/365))</x:f>
        <x:v>3.978082191780822</x:v>
      </x:c>
      <x:c r="AW66" s="41" t="n">
        <x:f>IF(OR(Z66&lt;=0,Y66&lt;=0,AT66&lt;=0,AV66&lt;=0),"",(LN(Z66/Y66)+0.5*AT66^2*AV66)/(AT66*SQRT(AV66)))</x:f>
        <x:v>0.04430407308184096</x:v>
      </x:c>
      <x:c r="AX66" s="41" t="n">
        <x:f>IF(AND(X66&lt;&gt;"C",X66&lt;&gt;"P"),AU66,IF(AW66="",AU66,IF(X66="C",AU66*0.5*(1+ERF(AW66/SQRT(2))),-AU66*0.5*(1+ERF(-AW66/SQRT(2))))))</x:f>
        <x:v>-0.5176689874926996</x:v>
      </x:c>
      <x:c r="AY66" s="41" t="n">
        <x:f>IF(AJ66="M",1.5*SQRT(MAX(IF(U66="Y",5,10),IF(V66="",10,V66))/Parameters!$B$6),SQRT(MIN(MAX(AE66,10/Parameters!$B$6),1)))</x:f>
        <x:v>0.30000000000000004</x:v>
      </x:c>
      <x:c r="AZ66" s="40" t="n">
        <x:f>AS66*AX66*AY66</x:f>
        <x:v>-5280223.672425536</x:v>
      </x:c>
      <x:c r="BA66" s="40" t="n">
        <x:f>'Python_Trade_Output'!AZ66</x:f>
        <x:v>-5280223.6724255355</x:v>
      </x:c>
      <x:c r="BB66" s="43" t="n">
        <x:f>AZ66-BA66</x:f>
        <x:v>-9.313225746154785e-10</x:v>
      </x:c>
    </x:row>
    <x:row r="67">
      <x:c r="A67" s="27" t="str">
        <x:f>'Inputs_Trades'!D67</x:f>
        <x:v>IND-000064</x:v>
      </x:c>
      <x:c r="B67" s="27" t="str">
        <x:f>'Inputs_Trades'!B67</x:f>
        <x:v>IND_BROKER_001</x:v>
      </x:c>
      <x:c r="C67" s="27" t="n">
        <x:f>'Inputs_Trades'!C67</x:f>
        <x:v>3384</x:v>
      </x:c>
      <x:c r="D67" s="27" t="str">
        <x:f>'Inputs_Trades'!E67</x:f>
        <x:v>FX Option</x:v>
      </x:c>
      <x:c r="E67" s="27" t="str">
        <x:f>'Inputs_Trades'!F67</x:f>
        <x:v>FX</x:v>
      </x:c>
      <x:c r="F67" s="27" t="n">
        <x:f>'Inputs_Trades'!G67</x:f>
        <x:v>0</x:v>
      </x:c>
      <x:c r="G67" s="27" t="str">
        <x:f>'Inputs_Trades'!J67</x:f>
        <x:v>USD</x:v>
      </x:c>
      <x:c r="H67" s="27" t="str">
        <x:f>'Inputs_Trades'!H67</x:f>
        <x:v>GBP</x:v>
      </x:c>
      <x:c r="I67" s="27" t="str">
        <x:f>'Inputs_Trades'!I67</x:f>
        <x:v>USD</x:v>
      </x:c>
      <x:c r="J67" s="27" t="str">
        <x:f>'Inputs_Trades'!M67</x:f>
        <x:v>GBP/USD</x:v>
      </x:c>
      <x:c r="K67" s="27" t="n">
        <x:f>'Inputs_Trades'!N67</x:f>
        <x:v>0</x:v>
      </x:c>
      <x:c r="L67" s="27" t="n">
        <x:f>'Inputs_Trades'!O67</x:f>
        <x:v>0</x:v>
      </x:c>
      <x:c r="M67" s="39" t="n">
        <x:f>'Inputs_Trades'!A67</x:f>
        <x:v>45702</x:v>
      </x:c>
      <x:c r="N67" s="39" t="n">
        <x:f>'Inputs_Trades'!P67</x:f>
        <x:v>46868</x:v>
      </x:c>
      <x:c r="O67" s="39" t="n">
        <x:f>'Inputs_Trades'!Q67</x:f>
        <x:v>44931</x:v>
      </x:c>
      <x:c r="P67" s="39" t="n">
        <x:f>'Inputs_Trades'!R67</x:f>
        <x:v>46868</x:v>
      </x:c>
      <x:c r="Q67" s="40" t="n">
        <x:f>'Inputs_Trades'!U67</x:f>
        <x:v>42100000</x:v>
      </x:c>
      <x:c r="R67" s="40" t="n">
        <x:f>'Inputs_Trades'!S67</x:f>
        <x:v>33680000</x:v>
      </x:c>
      <x:c r="S67" s="40" t="n">
        <x:f>'Inputs_Trades'!T67</x:f>
        <x:v>42100000</x:v>
      </x:c>
      <x:c r="T67" s="27" t="str">
        <x:f>'Inputs_Trades'!V67</x:f>
        <x:v>U</x:v>
      </x:c>
      <x:c r="U67" s="27" t="str">
        <x:f>'Inputs_Trades'!W67</x:f>
        <x:v>N</x:v>
      </x:c>
      <x:c r="V67" s="27" t="n">
        <x:f>'Inputs_Trades'!X67</x:f>
        <x:v>0</x:v>
      </x:c>
      <x:c r="W67" s="27" t="str">
        <x:f>'Inputs_Trades'!Y67</x:f>
        <x:v>B</x:v>
      </x:c>
      <x:c r="X67" s="27" t="str">
        <x:f>'Inputs_Trades'!AA67</x:f>
        <x:v>C</x:v>
      </x:c>
      <x:c r="Y67" s="27" t="n">
        <x:f>'Inputs_Trades'!AB67</x:f>
        <x:v>1.24362</x:v>
      </x:c>
      <x:c r="Z67" s="27" t="n">
        <x:f>'Inputs_Trades'!AC67</x:f>
        <x:v>1.316</x:v>
      </x:c>
      <x:c r="AA67" s="39" t="n">
        <x:f>'Inputs_Trades'!Z67</x:f>
        <x:v>46576</x:v>
      </x:c>
      <x:c r="AB67" s="40" t="n">
        <x:f>'Inputs_Trades'!AD67</x:f>
        <x:v>-615712.5</x:v>
      </x:c>
      <x:c r="AC67" s="27" t="n">
        <x:f>'Inputs_Trades'!K67</x:f>
        <x:v>0</x:v>
      </x:c>
      <x:c r="AD67" s="27" t="n">
        <x:f>N67-M67</x:f>
        <x:v>1166</x:v>
      </x:c>
      <x:c r="AE67" s="41" t="n">
        <x:f>AD67/365</x:f>
        <x:v>3.1945205479452055</x:v>
      </x:c>
      <x:c r="AF67" s="27" t="str">
        <x:f>IF(AE67&lt;1,"&lt;1Y",IF(AE67&lt;=5,"1Y-5Y","&gt;5Y"))</x:f>
        <x:v>1Y-5Y</x:v>
      </x:c>
      <x:c r="AG67" s="27" t="str">
        <x:f>IF(E67="Commodity",IFERROR(VLOOKUP(F67,Parameters!$P$4:$Q$12,2,FALSE),"Other"),"")</x:f>
      </x:c>
      <x:c r="AH67" s="27" t="str">
        <x:f>IF(F67="","Unknown",F67)</x:f>
        <x:v>Unknown</x:v>
      </x:c>
      <x:c r="AI67" s="27" t="str">
        <x:f>IF(E67="Interest Rate",G67&amp;IF(OR(LOWER(AC67)="basis",LOWER(AC67)="volatility"),"_"&amp;AC67,""),IF(E67="FX",IF(H67&lt;I67,H67&amp;"/"&amp;I67,I67&amp;"/"&amp;H67)&amp;IF(OR(LOWER(AC67)="basis",LOWER(AC67)="volatility"),"_"&amp;AC67,""),IF(OR(E67="Credit",E67="Equity"),J67&amp;IF(OR(LOWER(AC67)="basis",LOWER(AC67)="volatility"),"_"&amp;AC67,""),IF(E67="Commodity",AG67&amp;IF(OR(LOWER(AC67)="basis",LOWER(AC67)="volatility"),"_"&amp;AC67,""),"UNKNOWN"))))</x:f>
        <x:v>GBP/USD</x:v>
      </x:c>
      <x:c r="AJ67" s="27" t="str">
        <x:f>T67</x:f>
        <x:v>U</x:v>
      </x:c>
      <x:c r="AK67" s="41" t="n">
        <x:f>IF(E67="Interest Rate",VLOOKUP("Interest Rate",Parameters!$D$4:$E$12,2,FALSE),IF(E67="FX",VLOOKUP("FX",Parameters!$D$4:$E$12,2,FALSE),IF(E67="Credit",IFERROR(VLOOKUP(L67,Parameters!$G$4:$H$12,2,FALSE),VLOOKUP("BBB",Parameters!$G$4:$H$12,2,FALSE)),IF(E67="Equity",VLOOKUP(IF(LOWER(K67)="index","Equity Index","Equity Single Name"),Parameters!$D$4:$E$12,2,FALSE),IF(E67="Commodity",VLOOKUP(IFERROR(VLOOKUP(F67,Parameters!$S$4:$T$12,2,FALSE),"Commodity Other"),Parameters!$D$4:$E$12,2,FALSE),0)))))</x:f>
        <x:v>0.04</x:v>
      </x:c>
      <x:c r="AL67" s="42" t="n">
        <x:f>IF(LOWER(AC67)="basis",Parameters!$B$8,IF(LOWER(AC67)="volatility",Parameters!$B$9,1))</x:f>
        <x:v>1</x:v>
      </x:c>
      <x:c r="AM67" s="41" t="n">
        <x:f>AK67*AL67</x:f>
        <x:v>0.04</x:v>
      </x:c>
      <x:c r="AN67" s="42" t="str">
        <x:f>IF(E67="Credit",VLOOKUP(IF(LOWER(K67)="index","Credit Index","Credit Single Name"),Parameters!$J$4:$K$8,2,FALSE),IF(E67="Equity",VLOOKUP(IF(LOWER(K67)="index","Equity Index","Equity Single Name"),Parameters!$J$4:$K$8,2,FALSE),IF(E67="Commodity",VLOOKUP("Commodity",Parameters!$J$4:$K$8,2,FALSE),"")))</x:f>
      </x:c>
      <x:c r="AO67" s="27" t="n">
        <x:f>MAX((O67-M67)/365,0)</x:f>
        <x:v>0</x:v>
      </x:c>
      <x:c r="AP67" s="27" t="n">
        <x:f>MAX((P67-M67)/365,10/Parameters!$B$6)</x:f>
        <x:v>3.1945205479452055</x:v>
      </x:c>
      <x:c r="AQ67" s="27" t="n">
        <x:f>IF(AP67&lt;=AO67,AO67+10/Parameters!$B$6,AP67)</x:f>
        <x:v>3.1945205479452055</x:v>
      </x:c>
      <x:c r="AR67" s="41" t="n">
        <x:f>IF(OR(E67="Interest Rate",E67="Credit"),(EXP(-Parameters!$B$7*AO67)-EXP(-Parameters!$B$7*AQ67))/Parameters!$B$7,1)</x:f>
        <x:v>1</x:v>
      </x:c>
      <x:c r="AS67" s="40" t="n">
        <x:f>IF(OR(E67="Interest Rate",E67="Credit"),ABS(Q67)*AR67,IF(E67="FX",IF(Q67&gt;0,Q67,MAX(ABS(R67),ABS(S67),ABS(Q67))),ABS(Q67)))</x:f>
        <x:v>42100000</x:v>
      </x:c>
      <x:c r="AT67" s="42" t="n">
        <x:f>IF(OR(E67="Interest Rate",E67="FX"),VLOOKUP(E67,Parameters!$M$4:$N$11,2,FALSE),IF(E67="Credit",VLOOKUP(IF(LOWER(K67)="index","Credit Index","Credit Single Name"),Parameters!$M$4:$N$11,2,FALSE),IF(E67="Equity",VLOOKUP(IF(LOWER(K67)="index","Equity Index","Equity Single Name"),Parameters!$M$4:$N$11,2,FALSE),IF(E67="Commodity",VLOOKUP(IF(F67="Electricity","Commodity Electricity","Commodity Other"),Parameters!$M$4:$N$11,2,FALSE),1))))</x:f>
        <x:v>0.15</x:v>
      </x:c>
      <x:c r="AU67" s="27" t="n">
        <x:f>IF(W67="B",1,-1)</x:f>
        <x:v>1</x:v>
      </x:c>
      <x:c r="AV67" s="27" t="n">
        <x:f>IF(OR(AA67="",M67=""),MAX(AE67,1/365),MAX((AA67-M67)/365,1/365))</x:f>
        <x:v>2.3945205479452056</x:v>
      </x:c>
      <x:c r="AW67" s="41" t="n">
        <x:f>IF(OR(Z67&lt;=0,Y67&lt;=0,AT67&lt;=0,AV67&lt;=0),"",(LN(Z67/Y67)+0.5*AT67^2*AV67)/(AT67*SQRT(AV67)))</x:f>
        <x:v>0.35977519696953153</x:v>
      </x:c>
      <x:c r="AX67" s="41" t="n">
        <x:f>IF(AND(X67&lt;&gt;"C",X67&lt;&gt;"P"),AU67,IF(AW67="",AU67,IF(X67="C",AU67*0.5*(1+ERF(AW67/SQRT(2))),-AU67*0.5*(1+ERF(-AW67/SQRT(2))))))</x:f>
        <x:v>0.6404923735800979</x:v>
      </x:c>
      <x:c r="AY67" s="41" t="n">
        <x:f>IF(AJ67="M",1.5*SQRT(MAX(IF(U67="Y",5,10),IF(V67="",10,V67))/Parameters!$B$6),SQRT(MIN(MAX(AE67,10/Parameters!$B$6),1)))</x:f>
        <x:v>1</x:v>
      </x:c>
      <x:c r="AZ67" s="40" t="n">
        <x:f>AS67*AX67*AY67</x:f>
        <x:v>26964728.927722123</x:v>
      </x:c>
      <x:c r="BA67" s="40" t="n">
        <x:f>'Python_Trade_Output'!AZ67</x:f>
        <x:v>26964728.927722123</x:v>
      </x:c>
      <x:c r="BB67" s="43" t="n">
        <x:f>AZ67-BA67</x:f>
        <x:v>0</x:v>
      </x:c>
    </x:row>
    <x:row r="68">
      <x:c r="A68" s="27" t="str">
        <x:f>'Inputs_Trades'!D68</x:f>
        <x:v>IND-000065</x:v>
      </x:c>
      <x:c r="B68" s="27" t="str">
        <x:f>'Inputs_Trades'!B68</x:f>
        <x:v>IND_BROKER_001</x:v>
      </x:c>
      <x:c r="C68" s="27" t="n">
        <x:f>'Inputs_Trades'!C68</x:f>
        <x:v>3276</x:v>
      </x:c>
      <x:c r="D68" s="27" t="str">
        <x:f>'Inputs_Trades'!E68</x:f>
        <x:v>FX Option</x:v>
      </x:c>
      <x:c r="E68" s="27" t="str">
        <x:f>'Inputs_Trades'!F68</x:f>
        <x:v>FX</x:v>
      </x:c>
      <x:c r="F68" s="27" t="n">
        <x:f>'Inputs_Trades'!G68</x:f>
        <x:v>0</x:v>
      </x:c>
      <x:c r="G68" s="27" t="str">
        <x:f>'Inputs_Trades'!J68</x:f>
        <x:v>USD</x:v>
      </x:c>
      <x:c r="H68" s="27" t="str">
        <x:f>'Inputs_Trades'!H68</x:f>
        <x:v>GBP</x:v>
      </x:c>
      <x:c r="I68" s="27" t="str">
        <x:f>'Inputs_Trades'!I68</x:f>
        <x:v>USD</x:v>
      </x:c>
      <x:c r="J68" s="27" t="str">
        <x:f>'Inputs_Trades'!M68</x:f>
        <x:v>GBP/USD</x:v>
      </x:c>
      <x:c r="K68" s="27" t="n">
        <x:f>'Inputs_Trades'!N68</x:f>
        <x:v>0</x:v>
      </x:c>
      <x:c r="L68" s="27" t="n">
        <x:f>'Inputs_Trades'!O68</x:f>
        <x:v>0</x:v>
      </x:c>
      <x:c r="M68" s="39" t="n">
        <x:f>'Inputs_Trades'!A68</x:f>
        <x:v>45702</x:v>
      </x:c>
      <x:c r="N68" s="39" t="n">
        <x:f>'Inputs_Trades'!P68</x:f>
        <x:v>46453</x:v>
      </x:c>
      <x:c r="O68" s="39" t="n">
        <x:f>'Inputs_Trades'!Q68</x:f>
        <x:v>45435</x:v>
      </x:c>
      <x:c r="P68" s="39" t="n">
        <x:f>'Inputs_Trades'!R68</x:f>
        <x:v>46453</x:v>
      </x:c>
      <x:c r="Q68" s="40" t="n">
        <x:f>'Inputs_Trades'!U68</x:f>
        <x:v>3000000</x:v>
      </x:c>
      <x:c r="R68" s="40" t="n">
        <x:f>'Inputs_Trades'!S68</x:f>
        <x:v>2400000</x:v>
      </x:c>
      <x:c r="S68" s="40" t="n">
        <x:f>'Inputs_Trades'!T68</x:f>
        <x:v>3000000</x:v>
      </x:c>
      <x:c r="T68" s="27" t="str">
        <x:f>'Inputs_Trades'!V68</x:f>
        <x:v>M</x:v>
      </x:c>
      <x:c r="U68" s="27" t="str">
        <x:f>'Inputs_Trades'!W68</x:f>
        <x:v>N</x:v>
      </x:c>
      <x:c r="V68" s="27" t="n">
        <x:f>'Inputs_Trades'!X68</x:f>
        <x:v>10</x:v>
      </x:c>
      <x:c r="W68" s="27" t="str">
        <x:f>'Inputs_Trades'!Y68</x:f>
        <x:v>B</x:v>
      </x:c>
      <x:c r="X68" s="27" t="str">
        <x:f>'Inputs_Trades'!AA68</x:f>
        <x:v>P</x:v>
      </x:c>
      <x:c r="Y68" s="27" t="n">
        <x:f>'Inputs_Trades'!AB68</x:f>
        <x:v>1.124026</x:v>
      </x:c>
      <x:c r="Z68" s="27" t="n">
        <x:f>'Inputs_Trades'!AC68</x:f>
        <x:v>1.114</x:v>
      </x:c>
      <x:c r="AA68" s="39" t="n">
        <x:f>'Inputs_Trades'!Z68</x:f>
        <x:v>46265</x:v>
      </x:c>
      <x:c r="AB68" s="40" t="n">
        <x:f>'Inputs_Trades'!AD68</x:f>
        <x:v>-12825</x:v>
      </x:c>
      <x:c r="AC68" s="27" t="n">
        <x:f>'Inputs_Trades'!K68</x:f>
        <x:v>0</x:v>
      </x:c>
      <x:c r="AD68" s="27" t="n">
        <x:f>N68-M68</x:f>
        <x:v>751</x:v>
      </x:c>
      <x:c r="AE68" s="41" t="n">
        <x:f>AD68/365</x:f>
        <x:v>2.0575342465753423</x:v>
      </x:c>
      <x:c r="AF68" s="27" t="str">
        <x:f>IF(AE68&lt;1,"&lt;1Y",IF(AE68&lt;=5,"1Y-5Y","&gt;5Y"))</x:f>
        <x:v>1Y-5Y</x:v>
      </x:c>
      <x:c r="AG68" s="27" t="str">
        <x:f>IF(E68="Commodity",IFERROR(VLOOKUP(F68,Parameters!$P$4:$Q$12,2,FALSE),"Other"),"")</x:f>
      </x:c>
      <x:c r="AH68" s="27" t="str">
        <x:f>IF(F68="","Unknown",F68)</x:f>
        <x:v>Unknown</x:v>
      </x:c>
      <x:c r="AI68" s="27" t="str">
        <x:f>IF(E68="Interest Rate",G68&amp;IF(OR(LOWER(AC68)="basis",LOWER(AC68)="volatility"),"_"&amp;AC68,""),IF(E68="FX",IF(H68&lt;I68,H68&amp;"/"&amp;I68,I68&amp;"/"&amp;H68)&amp;IF(OR(LOWER(AC68)="basis",LOWER(AC68)="volatility"),"_"&amp;AC68,""),IF(OR(E68="Credit",E68="Equity"),J68&amp;IF(OR(LOWER(AC68)="basis",LOWER(AC68)="volatility"),"_"&amp;AC68,""),IF(E68="Commodity",AG68&amp;IF(OR(LOWER(AC68)="basis",LOWER(AC68)="volatility"),"_"&amp;AC68,""),"UNKNOWN"))))</x:f>
        <x:v>GBP/USD</x:v>
      </x:c>
      <x:c r="AJ68" s="27" t="str">
        <x:f>T68</x:f>
        <x:v>M</x:v>
      </x:c>
      <x:c r="AK68" s="41" t="n">
        <x:f>IF(E68="Interest Rate",VLOOKUP("Interest Rate",Parameters!$D$4:$E$12,2,FALSE),IF(E68="FX",VLOOKUP("FX",Parameters!$D$4:$E$12,2,FALSE),IF(E68="Credit",IFERROR(VLOOKUP(L68,Parameters!$G$4:$H$12,2,FALSE),VLOOKUP("BBB",Parameters!$G$4:$H$12,2,FALSE)),IF(E68="Equity",VLOOKUP(IF(LOWER(K68)="index","Equity Index","Equity Single Name"),Parameters!$D$4:$E$12,2,FALSE),IF(E68="Commodity",VLOOKUP(IFERROR(VLOOKUP(F68,Parameters!$S$4:$T$12,2,FALSE),"Commodity Other"),Parameters!$D$4:$E$12,2,FALSE),0)))))</x:f>
        <x:v>0.04</x:v>
      </x:c>
      <x:c r="AL68" s="42" t="n">
        <x:f>IF(LOWER(AC68)="basis",Parameters!$B$8,IF(LOWER(AC68)="volatility",Parameters!$B$9,1))</x:f>
        <x:v>1</x:v>
      </x:c>
      <x:c r="AM68" s="41" t="n">
        <x:f>AK68*AL68</x:f>
        <x:v>0.04</x:v>
      </x:c>
      <x:c r="AN68" s="42" t="str">
        <x:f>IF(E68="Credit",VLOOKUP(IF(LOWER(K68)="index","Credit Index","Credit Single Name"),Parameters!$J$4:$K$8,2,FALSE),IF(E68="Equity",VLOOKUP(IF(LOWER(K68)="index","Equity Index","Equity Single Name"),Parameters!$J$4:$K$8,2,FALSE),IF(E68="Commodity",VLOOKUP("Commodity",Parameters!$J$4:$K$8,2,FALSE),"")))</x:f>
      </x:c>
      <x:c r="AO68" s="27" t="n">
        <x:f>MAX((O68-M68)/365,0)</x:f>
        <x:v>0</x:v>
      </x:c>
      <x:c r="AP68" s="27" t="n">
        <x:f>MAX((P68-M68)/365,10/Parameters!$B$6)</x:f>
        <x:v>2.0575342465753423</x:v>
      </x:c>
      <x:c r="AQ68" s="27" t="n">
        <x:f>IF(AP68&lt;=AO68,AO68+10/Parameters!$B$6,AP68)</x:f>
        <x:v>2.0575342465753423</x:v>
      </x:c>
      <x:c r="AR68" s="41" t="n">
        <x:f>IF(OR(E68="Interest Rate",E68="Credit"),(EXP(-Parameters!$B$7*AO68)-EXP(-Parameters!$B$7*AQ68))/Parameters!$B$7,1)</x:f>
        <x:v>1</x:v>
      </x:c>
      <x:c r="AS68" s="40" t="n">
        <x:f>IF(OR(E68="Interest Rate",E68="Credit"),ABS(Q68)*AR68,IF(E68="FX",IF(Q68&gt;0,Q68,MAX(ABS(R68),ABS(S68),ABS(Q68))),ABS(Q68)))</x:f>
        <x:v>3000000</x:v>
      </x:c>
      <x:c r="AT68" s="42" t="n">
        <x:f>IF(OR(E68="Interest Rate",E68="FX"),VLOOKUP(E68,Parameters!$M$4:$N$11,2,FALSE),IF(E68="Credit",VLOOKUP(IF(LOWER(K68)="index","Credit Index","Credit Single Name"),Parameters!$M$4:$N$11,2,FALSE),IF(E68="Equity",VLOOKUP(IF(LOWER(K68)="index","Equity Index","Equity Single Name"),Parameters!$M$4:$N$11,2,FALSE),IF(E68="Commodity",VLOOKUP(IF(F68="Electricity","Commodity Electricity","Commodity Other"),Parameters!$M$4:$N$11,2,FALSE),1))))</x:f>
        <x:v>0.15</x:v>
      </x:c>
      <x:c r="AU68" s="27" t="n">
        <x:f>IF(W68="B",1,-1)</x:f>
        <x:v>1</x:v>
      </x:c>
      <x:c r="AV68" s="27" t="n">
        <x:f>IF(OR(AA68="",M68=""),MAX(AE68,1/365),MAX((AA68-M68)/365,1/365))</x:f>
        <x:v>1.5424657534246575</x:v>
      </x:c>
      <x:c r="AW68" s="41" t="n">
        <x:f>IF(OR(Z68&lt;=0,Y68&lt;=0,AT68&lt;=0,AV68&lt;=0),"",(LN(Z68/Y68)+0.5*AT68^2*AV68)/(AT68*SQRT(AV68)))</x:f>
        <x:v>0.045052418916748514</x:v>
      </x:c>
      <x:c r="AX68" s="41" t="n">
        <x:f>IF(AND(X68&lt;&gt;"C",X68&lt;&gt;"P"),AU68,IF(AW68="",AU68,IF(X68="C",AU68*0.5*(1+ERF(AW68/SQRT(2))),-AU68*0.5*(1+ERF(-AW68/SQRT(2))))))</x:f>
        <x:v>-0.48203276354313424</x:v>
      </x:c>
      <x:c r="AY68" s="41" t="n">
        <x:f>IF(AJ68="M",1.5*SQRT(MAX(IF(U68="Y",5,10),IF(V68="",10,V68))/Parameters!$B$6),SQRT(MIN(MAX(AE68,10/Parameters!$B$6),1)))</x:f>
        <x:v>0.30000000000000004</x:v>
      </x:c>
      <x:c r="AZ68" s="40" t="n">
        <x:f>AS68*AX68*AY68</x:f>
        <x:v>-433829.4871888209</x:v>
      </x:c>
      <x:c r="BA68" s="40" t="n">
        <x:f>'Python_Trade_Output'!AZ68</x:f>
        <x:v>-433829.4871888209</x:v>
      </x:c>
      <x:c r="BB68" s="43" t="n">
        <x:f>AZ68-BA68</x:f>
        <x:v>0</x:v>
      </x:c>
    </x:row>
    <x:row r="69">
      <x:c r="A69" s="27" t="str">
        <x:f>'Inputs_Trades'!D69</x:f>
        <x:v>IND-000066</x:v>
      </x:c>
      <x:c r="B69" s="27" t="str">
        <x:f>'Inputs_Trades'!B69</x:f>
        <x:v>IND_REGIONAL_BANK_001</x:v>
      </x:c>
      <x:c r="C69" s="27" t="n">
        <x:f>'Inputs_Trades'!C69</x:f>
        <x:v>3210</x:v>
      </x:c>
      <x:c r="D69" s="27" t="str">
        <x:f>'Inputs_Trades'!E69</x:f>
        <x:v>FX Option</x:v>
      </x:c>
      <x:c r="E69" s="27" t="str">
        <x:f>'Inputs_Trades'!F69</x:f>
        <x:v>FX</x:v>
      </x:c>
      <x:c r="F69" s="27" t="n">
        <x:f>'Inputs_Trades'!G69</x:f>
        <x:v>0</x:v>
      </x:c>
      <x:c r="G69" s="27" t="str">
        <x:f>'Inputs_Trades'!J69</x:f>
        <x:v>USD</x:v>
      </x:c>
      <x:c r="H69" s="27" t="str">
        <x:f>'Inputs_Trades'!H69</x:f>
        <x:v>USD</x:v>
      </x:c>
      <x:c r="I69" s="27" t="str">
        <x:f>'Inputs_Trades'!I69</x:f>
        <x:v>JPY</x:v>
      </x:c>
      <x:c r="J69" s="27" t="str">
        <x:f>'Inputs_Trades'!M69</x:f>
        <x:v>USD/JPY</x:v>
      </x:c>
      <x:c r="K69" s="27" t="n">
        <x:f>'Inputs_Trades'!N69</x:f>
        <x:v>0</x:v>
      </x:c>
      <x:c r="L69" s="27" t="n">
        <x:f>'Inputs_Trades'!O69</x:f>
        <x:v>0</x:v>
      </x:c>
      <x:c r="M69" s="39" t="n">
        <x:f>'Inputs_Trades'!A69</x:f>
        <x:v>45702</x:v>
      </x:c>
      <x:c r="N69" s="39" t="n">
        <x:f>'Inputs_Trades'!P69</x:f>
        <x:v>46535</x:v>
      </x:c>
      <x:c r="O69" s="39" t="n">
        <x:f>'Inputs_Trades'!Q69</x:f>
        <x:v>44857</x:v>
      </x:c>
      <x:c r="P69" s="39" t="n">
        <x:f>'Inputs_Trades'!R69</x:f>
        <x:v>46535</x:v>
      </x:c>
      <x:c r="Q69" s="40" t="n">
        <x:f>'Inputs_Trades'!U69</x:f>
        <x:v>122000000</x:v>
      </x:c>
      <x:c r="R69" s="40" t="n">
        <x:f>'Inputs_Trades'!S69</x:f>
        <x:v>122000000</x:v>
      </x:c>
      <x:c r="S69" s="40" t="n">
        <x:f>'Inputs_Trades'!T69</x:f>
        <x:v>18208955223.88</x:v>
      </x:c>
      <x:c r="T69" s="27" t="str">
        <x:f>'Inputs_Trades'!V69</x:f>
        <x:v>M</x:v>
      </x:c>
      <x:c r="U69" s="27" t="str">
        <x:f>'Inputs_Trades'!W69</x:f>
        <x:v>N</x:v>
      </x:c>
      <x:c r="V69" s="27" t="n">
        <x:f>'Inputs_Trades'!X69</x:f>
        <x:v>10</x:v>
      </x:c>
      <x:c r="W69" s="27" t="str">
        <x:f>'Inputs_Trades'!Y69</x:f>
        <x:v>S</x:v>
      </x:c>
      <x:c r="X69" s="27" t="str">
        <x:f>'Inputs_Trades'!AA69</x:f>
        <x:v>P</x:v>
      </x:c>
      <x:c r="Y69" s="27" t="n">
        <x:f>'Inputs_Trades'!AB69</x:f>
        <x:v>1.206252</x:v>
      </x:c>
      <x:c r="Z69" s="27" t="n">
        <x:f>'Inputs_Trades'!AC69</x:f>
        <x:v>1.314</x:v>
      </x:c>
      <x:c r="AA69" s="39" t="n">
        <x:f>'Inputs_Trades'!Z69</x:f>
        <x:v>46326</x:v>
      </x:c>
      <x:c r="AB69" s="40" t="n">
        <x:f>'Inputs_Trades'!AD69</x:f>
        <x:v>1560990</x:v>
      </x:c>
      <x:c r="AC69" s="27" t="n">
        <x:f>'Inputs_Trades'!K69</x:f>
        <x:v>0</x:v>
      </x:c>
      <x:c r="AD69" s="27" t="n">
        <x:f>N69-M69</x:f>
        <x:v>833</x:v>
      </x:c>
      <x:c r="AE69" s="41" t="n">
        <x:f>AD69/365</x:f>
        <x:v>2.282191780821918</x:v>
      </x:c>
      <x:c r="AF69" s="27" t="str">
        <x:f>IF(AE69&lt;1,"&lt;1Y",IF(AE69&lt;=5,"1Y-5Y","&gt;5Y"))</x:f>
        <x:v>1Y-5Y</x:v>
      </x:c>
      <x:c r="AG69" s="27" t="str">
        <x:f>IF(E69="Commodity",IFERROR(VLOOKUP(F69,Parameters!$P$4:$Q$12,2,FALSE),"Other"),"")</x:f>
      </x:c>
      <x:c r="AH69" s="27" t="str">
        <x:f>IF(F69="","Unknown",F69)</x:f>
        <x:v>Unknown</x:v>
      </x:c>
      <x:c r="AI69" s="27" t="str">
        <x:f>IF(E69="Interest Rate",G69&amp;IF(OR(LOWER(AC69)="basis",LOWER(AC69)="volatility"),"_"&amp;AC69,""),IF(E69="FX",IF(H69&lt;I69,H69&amp;"/"&amp;I69,I69&amp;"/"&amp;H69)&amp;IF(OR(LOWER(AC69)="basis",LOWER(AC69)="volatility"),"_"&amp;AC69,""),IF(OR(E69="Credit",E69="Equity"),J69&amp;IF(OR(LOWER(AC69)="basis",LOWER(AC69)="volatility"),"_"&amp;AC69,""),IF(E69="Commodity",AG69&amp;IF(OR(LOWER(AC69)="basis",LOWER(AC69)="volatility"),"_"&amp;AC69,""),"UNKNOWN"))))</x:f>
        <x:v>JPY/USD</x:v>
      </x:c>
      <x:c r="AJ69" s="27" t="str">
        <x:f>T69</x:f>
        <x:v>M</x:v>
      </x:c>
      <x:c r="AK69" s="41" t="n">
        <x:f>IF(E69="Interest Rate",VLOOKUP("Interest Rate",Parameters!$D$4:$E$12,2,FALSE),IF(E69="FX",VLOOKUP("FX",Parameters!$D$4:$E$12,2,FALSE),IF(E69="Credit",IFERROR(VLOOKUP(L69,Parameters!$G$4:$H$12,2,FALSE),VLOOKUP("BBB",Parameters!$G$4:$H$12,2,FALSE)),IF(E69="Equity",VLOOKUP(IF(LOWER(K69)="index","Equity Index","Equity Single Name"),Parameters!$D$4:$E$12,2,FALSE),IF(E69="Commodity",VLOOKUP(IFERROR(VLOOKUP(F69,Parameters!$S$4:$T$12,2,FALSE),"Commodity Other"),Parameters!$D$4:$E$12,2,FALSE),0)))))</x:f>
        <x:v>0.04</x:v>
      </x:c>
      <x:c r="AL69" s="42" t="n">
        <x:f>IF(LOWER(AC69)="basis",Parameters!$B$8,IF(LOWER(AC69)="volatility",Parameters!$B$9,1))</x:f>
        <x:v>1</x:v>
      </x:c>
      <x:c r="AM69" s="41" t="n">
        <x:f>AK69*AL69</x:f>
        <x:v>0.04</x:v>
      </x:c>
      <x:c r="AN69" s="42" t="str">
        <x:f>IF(E69="Credit",VLOOKUP(IF(LOWER(K69)="index","Credit Index","Credit Single Name"),Parameters!$J$4:$K$8,2,FALSE),IF(E69="Equity",VLOOKUP(IF(LOWER(K69)="index","Equity Index","Equity Single Name"),Parameters!$J$4:$K$8,2,FALSE),IF(E69="Commodity",VLOOKUP("Commodity",Parameters!$J$4:$K$8,2,FALSE),"")))</x:f>
      </x:c>
      <x:c r="AO69" s="27" t="n">
        <x:f>MAX((O69-M69)/365,0)</x:f>
        <x:v>0</x:v>
      </x:c>
      <x:c r="AP69" s="27" t="n">
        <x:f>MAX((P69-M69)/365,10/Parameters!$B$6)</x:f>
        <x:v>2.282191780821918</x:v>
      </x:c>
      <x:c r="AQ69" s="27" t="n">
        <x:f>IF(AP69&lt;=AO69,AO69+10/Parameters!$B$6,AP69)</x:f>
        <x:v>2.282191780821918</x:v>
      </x:c>
      <x:c r="AR69" s="41" t="n">
        <x:f>IF(OR(E69="Interest Rate",E69="Credit"),(EXP(-Parameters!$B$7*AO69)-EXP(-Parameters!$B$7*AQ69))/Parameters!$B$7,1)</x:f>
        <x:v>1</x:v>
      </x:c>
      <x:c r="AS69" s="40" t="n">
        <x:f>IF(OR(E69="Interest Rate",E69="Credit"),ABS(Q69)*AR69,IF(E69="FX",IF(Q69&gt;0,Q69,MAX(ABS(R69),ABS(S69),ABS(Q69))),ABS(Q69)))</x:f>
        <x:v>122000000</x:v>
      </x:c>
      <x:c r="AT69" s="42" t="n">
        <x:f>IF(OR(E69="Interest Rate",E69="FX"),VLOOKUP(E69,Parameters!$M$4:$N$11,2,FALSE),IF(E69="Credit",VLOOKUP(IF(LOWER(K69)="index","Credit Index","Credit Single Name"),Parameters!$M$4:$N$11,2,FALSE),IF(E69="Equity",VLOOKUP(IF(LOWER(K69)="index","Equity Index","Equity Single Name"),Parameters!$M$4:$N$11,2,FALSE),IF(E69="Commodity",VLOOKUP(IF(F69="Electricity","Commodity Electricity","Commodity Other"),Parameters!$M$4:$N$11,2,FALSE),1))))</x:f>
        <x:v>0.15</x:v>
      </x:c>
      <x:c r="AU69" s="27" t="n">
        <x:f>IF(W69="B",1,-1)</x:f>
        <x:v>-1</x:v>
      </x:c>
      <x:c r="AV69" s="27" t="n">
        <x:f>IF(OR(AA69="",M69=""),MAX(AE69,1/365),MAX((AA69-M69)/365,1/365))</x:f>
        <x:v>1.7095890410958905</x:v>
      </x:c>
      <x:c r="AW69" s="41" t="n">
        <x:f>IF(OR(Z69&lt;=0,Y69&lt;=0,AT69&lt;=0,AV69&lt;=0),"",(LN(Z69/Y69)+0.5*AT69^2*AV69)/(AT69*SQRT(AV69)))</x:f>
        <x:v>0.5343008799980288</x:v>
      </x:c>
      <x:c r="AX69" s="41" t="n">
        <x:f>IF(AND(X69&lt;&gt;"C",X69&lt;&gt;"P"),AU69,IF(AW69="",AU69,IF(X69="C",AU69*0.5*(1+ERF(AW69/SQRT(2))),-AU69*0.5*(1+ERF(-AW69/SQRT(2))))))</x:f>
        <x:v>0.2965666917396411</x:v>
      </x:c>
      <x:c r="AY69" s="41" t="n">
        <x:f>IF(AJ69="M",1.5*SQRT(MAX(IF(U69="Y",5,10),IF(V69="",10,V69))/Parameters!$B$6),SQRT(MIN(MAX(AE69,10/Parameters!$B$6),1)))</x:f>
        <x:v>0.30000000000000004</x:v>
      </x:c>
      <x:c r="AZ69" s="40" t="n">
        <x:f>AS69*AX69*AY69</x:f>
        <x:v>10854340.917670866</x:v>
      </x:c>
      <x:c r="BA69" s="40" t="n">
        <x:f>'Python_Trade_Output'!AZ69</x:f>
        <x:v>10854340.917670866</x:v>
      </x:c>
      <x:c r="BB69" s="43" t="n">
        <x:f>AZ69-BA69</x:f>
        <x:v>0</x:v>
      </x:c>
    </x:row>
    <x:row r="70">
      <x:c r="A70" s="27" t="str">
        <x:f>'Inputs_Trades'!D70</x:f>
        <x:v>IND-000067</x:v>
      </x:c>
      <x:c r="B70" s="27" t="str">
        <x:f>'Inputs_Trades'!B70</x:f>
        <x:v>IND_BANK_001</x:v>
      </x:c>
      <x:c r="C70" s="27" t="n">
        <x:f>'Inputs_Trades'!C70</x:f>
        <x:v>3142</x:v>
      </x:c>
      <x:c r="D70" s="27" t="str">
        <x:f>'Inputs_Trades'!E70</x:f>
        <x:v>FX Option</x:v>
      </x:c>
      <x:c r="E70" s="27" t="str">
        <x:f>'Inputs_Trades'!F70</x:f>
        <x:v>FX</x:v>
      </x:c>
      <x:c r="F70" s="27" t="n">
        <x:f>'Inputs_Trades'!G70</x:f>
        <x:v>0</x:v>
      </x:c>
      <x:c r="G70" s="27" t="str">
        <x:f>'Inputs_Trades'!J70</x:f>
        <x:v>USD</x:v>
      </x:c>
      <x:c r="H70" s="27" t="str">
        <x:f>'Inputs_Trades'!H70</x:f>
        <x:v>USD</x:v>
      </x:c>
      <x:c r="I70" s="27" t="str">
        <x:f>'Inputs_Trades'!I70</x:f>
        <x:v>CNY</x:v>
      </x:c>
      <x:c r="J70" s="27" t="str">
        <x:f>'Inputs_Trades'!M70</x:f>
        <x:v>USD/CNY</x:v>
      </x:c>
      <x:c r="K70" s="27" t="n">
        <x:f>'Inputs_Trades'!N70</x:f>
        <x:v>0</x:v>
      </x:c>
      <x:c r="L70" s="27" t="n">
        <x:f>'Inputs_Trades'!O70</x:f>
        <x:v>0</x:v>
      </x:c>
      <x:c r="M70" s="39" t="n">
        <x:f>'Inputs_Trades'!A70</x:f>
        <x:v>45702</x:v>
      </x:c>
      <x:c r="N70" s="39" t="n">
        <x:f>'Inputs_Trades'!P70</x:f>
        <x:v>46063</x:v>
      </x:c>
      <x:c r="O70" s="39" t="n">
        <x:f>'Inputs_Trades'!Q70</x:f>
        <x:v>45478</x:v>
      </x:c>
      <x:c r="P70" s="39" t="n">
        <x:f>'Inputs_Trades'!R70</x:f>
        <x:v>46063</x:v>
      </x:c>
      <x:c r="Q70" s="40" t="n">
        <x:f>'Inputs_Trades'!U70</x:f>
        <x:v>25500000</x:v>
      </x:c>
      <x:c r="R70" s="40" t="n">
        <x:f>'Inputs_Trades'!S70</x:f>
        <x:v>25500000</x:v>
      </x:c>
      <x:c r="S70" s="40" t="n">
        <x:f>'Inputs_Trades'!T70</x:f>
        <x:v>182142857.14</x:v>
      </x:c>
      <x:c r="T70" s="27" t="str">
        <x:f>'Inputs_Trades'!V70</x:f>
        <x:v>M</x:v>
      </x:c>
      <x:c r="U70" s="27" t="str">
        <x:f>'Inputs_Trades'!W70</x:f>
        <x:v>N</x:v>
      </x:c>
      <x:c r="V70" s="27" t="n">
        <x:f>'Inputs_Trades'!X70</x:f>
        <x:v>10</x:v>
      </x:c>
      <x:c r="W70" s="27" t="str">
        <x:f>'Inputs_Trades'!Y70</x:f>
        <x:v>B</x:v>
      </x:c>
      <x:c r="X70" s="27" t="str">
        <x:f>'Inputs_Trades'!AA70</x:f>
        <x:v>C</x:v>
      </x:c>
      <x:c r="Y70" s="27" t="n">
        <x:f>'Inputs_Trades'!AB70</x:f>
        <x:v>7.3272</x:v>
      </x:c>
      <x:c r="Z70" s="27" t="n">
        <x:f>'Inputs_Trades'!AC70</x:f>
        <x:v>7.1</x:v>
      </x:c>
      <x:c r="AA70" s="39" t="n">
        <x:f>'Inputs_Trades'!Z70</x:f>
        <x:v>45972</x:v>
      </x:c>
      <x:c r="AB70" s="40" t="n">
        <x:f>'Inputs_Trades'!AD70</x:f>
        <x:v>377527.5</x:v>
      </x:c>
      <x:c r="AC70" s="27" t="n">
        <x:f>'Inputs_Trades'!K70</x:f>
        <x:v>0</x:v>
      </x:c>
      <x:c r="AD70" s="27" t="n">
        <x:f>N70-M70</x:f>
        <x:v>361</x:v>
      </x:c>
      <x:c r="AE70" s="41" t="n">
        <x:f>AD70/365</x:f>
        <x:v>0.989041095890411</x:v>
      </x:c>
      <x:c r="AF70" s="27" t="str">
        <x:f>IF(AE70&lt;1,"&lt;1Y",IF(AE70&lt;=5,"1Y-5Y","&gt;5Y"))</x:f>
        <x:v>&lt;1Y</x:v>
      </x:c>
      <x:c r="AG70" s="27" t="str">
        <x:f>IF(E70="Commodity",IFERROR(VLOOKUP(F70,Parameters!$P$4:$Q$12,2,FALSE),"Other"),"")</x:f>
      </x:c>
      <x:c r="AH70" s="27" t="str">
        <x:f>IF(F70="","Unknown",F70)</x:f>
        <x:v>Unknown</x:v>
      </x:c>
      <x:c r="AI70" s="27" t="str">
        <x:f>IF(E70="Interest Rate",G70&amp;IF(OR(LOWER(AC70)="basis",LOWER(AC70)="volatility"),"_"&amp;AC70,""),IF(E70="FX",IF(H70&lt;I70,H70&amp;"/"&amp;I70,I70&amp;"/"&amp;H70)&amp;IF(OR(LOWER(AC70)="basis",LOWER(AC70)="volatility"),"_"&amp;AC70,""),IF(OR(E70="Credit",E70="Equity"),J70&amp;IF(OR(LOWER(AC70)="basis",LOWER(AC70)="volatility"),"_"&amp;AC70,""),IF(E70="Commodity",AG70&amp;IF(OR(LOWER(AC70)="basis",LOWER(AC70)="volatility"),"_"&amp;AC70,""),"UNKNOWN"))))</x:f>
        <x:v>CNY/USD</x:v>
      </x:c>
      <x:c r="AJ70" s="27" t="str">
        <x:f>T70</x:f>
        <x:v>M</x:v>
      </x:c>
      <x:c r="AK70" s="41" t="n">
        <x:f>IF(E70="Interest Rate",VLOOKUP("Interest Rate",Parameters!$D$4:$E$12,2,FALSE),IF(E70="FX",VLOOKUP("FX",Parameters!$D$4:$E$12,2,FALSE),IF(E70="Credit",IFERROR(VLOOKUP(L70,Parameters!$G$4:$H$12,2,FALSE),VLOOKUP("BBB",Parameters!$G$4:$H$12,2,FALSE)),IF(E70="Equity",VLOOKUP(IF(LOWER(K70)="index","Equity Index","Equity Single Name"),Parameters!$D$4:$E$12,2,FALSE),IF(E70="Commodity",VLOOKUP(IFERROR(VLOOKUP(F70,Parameters!$S$4:$T$12,2,FALSE),"Commodity Other"),Parameters!$D$4:$E$12,2,FALSE),0)))))</x:f>
        <x:v>0.04</x:v>
      </x:c>
      <x:c r="AL70" s="42" t="n">
        <x:f>IF(LOWER(AC70)="basis",Parameters!$B$8,IF(LOWER(AC70)="volatility",Parameters!$B$9,1))</x:f>
        <x:v>1</x:v>
      </x:c>
      <x:c r="AM70" s="41" t="n">
        <x:f>AK70*AL70</x:f>
        <x:v>0.04</x:v>
      </x:c>
      <x:c r="AN70" s="42" t="str">
        <x:f>IF(E70="Credit",VLOOKUP(IF(LOWER(K70)="index","Credit Index","Credit Single Name"),Parameters!$J$4:$K$8,2,FALSE),IF(E70="Equity",VLOOKUP(IF(LOWER(K70)="index","Equity Index","Equity Single Name"),Parameters!$J$4:$K$8,2,FALSE),IF(E70="Commodity",VLOOKUP("Commodity",Parameters!$J$4:$K$8,2,FALSE),"")))</x:f>
      </x:c>
      <x:c r="AO70" s="27" t="n">
        <x:f>MAX((O70-M70)/365,0)</x:f>
        <x:v>0</x:v>
      </x:c>
      <x:c r="AP70" s="27" t="n">
        <x:f>MAX((P70-M70)/365,10/Parameters!$B$6)</x:f>
        <x:v>0.989041095890411</x:v>
      </x:c>
      <x:c r="AQ70" s="27" t="n">
        <x:f>IF(AP70&lt;=AO70,AO70+10/Parameters!$B$6,AP70)</x:f>
        <x:v>0.989041095890411</x:v>
      </x:c>
      <x:c r="AR70" s="41" t="n">
        <x:f>IF(OR(E70="Interest Rate",E70="Credit"),(EXP(-Parameters!$B$7*AO70)-EXP(-Parameters!$B$7*AQ70))/Parameters!$B$7,1)</x:f>
        <x:v>1</x:v>
      </x:c>
      <x:c r="AS70" s="40" t="n">
        <x:f>IF(OR(E70="Interest Rate",E70="Credit"),ABS(Q70)*AR70,IF(E70="FX",IF(Q70&gt;0,Q70,MAX(ABS(R70),ABS(S70),ABS(Q70))),ABS(Q70)))</x:f>
        <x:v>25500000</x:v>
      </x:c>
      <x:c r="AT70" s="42" t="n">
        <x:f>IF(OR(E70="Interest Rate",E70="FX"),VLOOKUP(E70,Parameters!$M$4:$N$11,2,FALSE),IF(E70="Credit",VLOOKUP(IF(LOWER(K70)="index","Credit Index","Credit Single Name"),Parameters!$M$4:$N$11,2,FALSE),IF(E70="Equity",VLOOKUP(IF(LOWER(K70)="index","Equity Index","Equity Single Name"),Parameters!$M$4:$N$11,2,FALSE),IF(E70="Commodity",VLOOKUP(IF(F70="Electricity","Commodity Electricity","Commodity Other"),Parameters!$M$4:$N$11,2,FALSE),1))))</x:f>
        <x:v>0.15</x:v>
      </x:c>
      <x:c r="AU70" s="27" t="n">
        <x:f>IF(W70="B",1,-1)</x:f>
        <x:v>1</x:v>
      </x:c>
      <x:c r="AV70" s="27" t="n">
        <x:f>IF(OR(AA70="",M70=""),MAX(AE70,1/365),MAX((AA70-M70)/365,1/365))</x:f>
        <x:v>0.7397260273972602</x:v>
      </x:c>
      <x:c r="AW70" s="41" t="n">
        <x:f>IF(OR(Z70&lt;=0,Y70&lt;=0,AT70&lt;=0,AV70&lt;=0),"",(LN(Z70/Y70)+0.5*AT70^2*AV70)/(AT70*SQRT(AV70)))</x:f>
        <x:v>-0.1796494174525313</x:v>
      </x:c>
      <x:c r="AX70" s="41" t="n">
        <x:f>IF(AND(X70&lt;&gt;"C",X70&lt;&gt;"P"),AU70,IF(AW70="",AU70,IF(X70="C",AU70*0.5*(1+ERF(AW70/SQRT(2))),-AU70*0.5*(1+ERF(-AW70/SQRT(2))))))</x:f>
        <x:v>0.4287139031257633</x:v>
      </x:c>
      <x:c r="AY70" s="41" t="n">
        <x:f>IF(AJ70="M",1.5*SQRT(MAX(IF(U70="Y",5,10),IF(V70="",10,V70))/Parameters!$B$6),SQRT(MIN(MAX(AE70,10/Parameters!$B$6),1)))</x:f>
        <x:v>0.30000000000000004</x:v>
      </x:c>
      <x:c r="AZ70" s="40" t="n">
        <x:f>AS70*AX70*AY70</x:f>
        <x:v>3279661.35891209</x:v>
      </x:c>
      <x:c r="BA70" s="40" t="n">
        <x:f>'Python_Trade_Output'!AZ70</x:f>
        <x:v>3279661.3589120884</x:v>
      </x:c>
      <x:c r="BB70" s="43" t="n">
        <x:f>AZ70-BA70</x:f>
        <x:v>1.3969838619232178e-9</x:v>
      </x:c>
    </x:row>
    <x:row r="71">
      <x:c r="A71" s="27" t="str">
        <x:f>'Inputs_Trades'!D71</x:f>
        <x:v>IND-000068</x:v>
      </x:c>
      <x:c r="B71" s="27" t="str">
        <x:f>'Inputs_Trades'!B71</x:f>
        <x:v>IND_BANK_002</x:v>
      </x:c>
      <x:c r="C71" s="27" t="n">
        <x:f>'Inputs_Trades'!C71</x:f>
        <x:v>3331</x:v>
      </x:c>
      <x:c r="D71" s="27" t="str">
        <x:f>'Inputs_Trades'!E71</x:f>
        <x:v>FX Option</x:v>
      </x:c>
      <x:c r="E71" s="27" t="str">
        <x:f>'Inputs_Trades'!F71</x:f>
        <x:v>FX</x:v>
      </x:c>
      <x:c r="F71" s="27" t="n">
        <x:f>'Inputs_Trades'!G71</x:f>
        <x:v>0</x:v>
      </x:c>
      <x:c r="G71" s="27" t="str">
        <x:f>'Inputs_Trades'!J71</x:f>
        <x:v>USD</x:v>
      </x:c>
      <x:c r="H71" s="27" t="str">
        <x:f>'Inputs_Trades'!H71</x:f>
        <x:v>EUR</x:v>
      </x:c>
      <x:c r="I71" s="27" t="str">
        <x:f>'Inputs_Trades'!I71</x:f>
        <x:v>USD</x:v>
      </x:c>
      <x:c r="J71" s="27" t="str">
        <x:f>'Inputs_Trades'!M71</x:f>
        <x:v>EUR/USD</x:v>
      </x:c>
      <x:c r="K71" s="27" t="n">
        <x:f>'Inputs_Trades'!N71</x:f>
        <x:v>0</x:v>
      </x:c>
      <x:c r="L71" s="27" t="n">
        <x:f>'Inputs_Trades'!O71</x:f>
        <x:v>0</x:v>
      </x:c>
      <x:c r="M71" s="39" t="n">
        <x:f>'Inputs_Trades'!A71</x:f>
        <x:v>45702</x:v>
      </x:c>
      <x:c r="N71" s="39" t="n">
        <x:f>'Inputs_Trades'!P71</x:f>
        <x:v>46920</x:v>
      </x:c>
      <x:c r="O71" s="39" t="n">
        <x:f>'Inputs_Trades'!Q71</x:f>
        <x:v>45413</x:v>
      </x:c>
      <x:c r="P71" s="39" t="n">
        <x:f>'Inputs_Trades'!R71</x:f>
        <x:v>46920</x:v>
      </x:c>
      <x:c r="Q71" s="40" t="n">
        <x:f>'Inputs_Trades'!U71</x:f>
        <x:v>39600000</x:v>
      </x:c>
      <x:c r="R71" s="40" t="n">
        <x:f>'Inputs_Trades'!S71</x:f>
        <x:v>37714285.71</x:v>
      </x:c>
      <x:c r="S71" s="40" t="n">
        <x:f>'Inputs_Trades'!T71</x:f>
        <x:v>39600000</x:v>
      </x:c>
      <x:c r="T71" s="27" t="str">
        <x:f>'Inputs_Trades'!V71</x:f>
        <x:v>M</x:v>
      </x:c>
      <x:c r="U71" s="27" t="str">
        <x:f>'Inputs_Trades'!W71</x:f>
        <x:v>N</x:v>
      </x:c>
      <x:c r="V71" s="27" t="n">
        <x:f>'Inputs_Trades'!X71</x:f>
        <x:v>10</x:v>
      </x:c>
      <x:c r="W71" s="27" t="str">
        <x:f>'Inputs_Trades'!Y71</x:f>
        <x:v>S</x:v>
      </x:c>
      <x:c r="X71" s="27" t="str">
        <x:f>'Inputs_Trades'!AA71</x:f>
        <x:v>C</x:v>
      </x:c>
      <x:c r="Y71" s="27" t="n">
        <x:f>'Inputs_Trades'!AB71</x:f>
        <x:v>1.265805</x:v>
      </x:c>
      <x:c r="Z71" s="27" t="n">
        <x:f>'Inputs_Trades'!AC71</x:f>
        <x:v>1.223</x:v>
      </x:c>
      <x:c r="AA71" s="39" t="n">
        <x:f>'Inputs_Trades'!Z71</x:f>
        <x:v>46615</x:v>
      </x:c>
      <x:c r="AB71" s="40" t="n">
        <x:f>'Inputs_Trades'!AD71</x:f>
        <x:v>335610</x:v>
      </x:c>
      <x:c r="AC71" s="27" t="n">
        <x:f>'Inputs_Trades'!K71</x:f>
        <x:v>0</x:v>
      </x:c>
      <x:c r="AD71" s="27" t="n">
        <x:f>N71-M71</x:f>
        <x:v>1218</x:v>
      </x:c>
      <x:c r="AE71" s="41" t="n">
        <x:f>AD71/365</x:f>
        <x:v>3.336986301369863</x:v>
      </x:c>
      <x:c r="AF71" s="27" t="str">
        <x:f>IF(AE71&lt;1,"&lt;1Y",IF(AE71&lt;=5,"1Y-5Y","&gt;5Y"))</x:f>
        <x:v>1Y-5Y</x:v>
      </x:c>
      <x:c r="AG71" s="27" t="str">
        <x:f>IF(E71="Commodity",IFERROR(VLOOKUP(F71,Parameters!$P$4:$Q$12,2,FALSE),"Other"),"")</x:f>
      </x:c>
      <x:c r="AH71" s="27" t="str">
        <x:f>IF(F71="","Unknown",F71)</x:f>
        <x:v>Unknown</x:v>
      </x:c>
      <x:c r="AI71" s="27" t="str">
        <x:f>IF(E71="Interest Rate",G71&amp;IF(OR(LOWER(AC71)="basis",LOWER(AC71)="volatility"),"_"&amp;AC71,""),IF(E71="FX",IF(H71&lt;I71,H71&amp;"/"&amp;I71,I71&amp;"/"&amp;H71)&amp;IF(OR(LOWER(AC71)="basis",LOWER(AC71)="volatility"),"_"&amp;AC71,""),IF(OR(E71="Credit",E71="Equity"),J71&amp;IF(OR(LOWER(AC71)="basis",LOWER(AC71)="volatility"),"_"&amp;AC71,""),IF(E71="Commodity",AG71&amp;IF(OR(LOWER(AC71)="basis",LOWER(AC71)="volatility"),"_"&amp;AC71,""),"UNKNOWN"))))</x:f>
        <x:v>EUR/USD</x:v>
      </x:c>
      <x:c r="AJ71" s="27" t="str">
        <x:f>T71</x:f>
        <x:v>M</x:v>
      </x:c>
      <x:c r="AK71" s="41" t="n">
        <x:f>IF(E71="Interest Rate",VLOOKUP("Interest Rate",Parameters!$D$4:$E$12,2,FALSE),IF(E71="FX",VLOOKUP("FX",Parameters!$D$4:$E$12,2,FALSE),IF(E71="Credit",IFERROR(VLOOKUP(L71,Parameters!$G$4:$H$12,2,FALSE),VLOOKUP("BBB",Parameters!$G$4:$H$12,2,FALSE)),IF(E71="Equity",VLOOKUP(IF(LOWER(K71)="index","Equity Index","Equity Single Name"),Parameters!$D$4:$E$12,2,FALSE),IF(E71="Commodity",VLOOKUP(IFERROR(VLOOKUP(F71,Parameters!$S$4:$T$12,2,FALSE),"Commodity Other"),Parameters!$D$4:$E$12,2,FALSE),0)))))</x:f>
        <x:v>0.04</x:v>
      </x:c>
      <x:c r="AL71" s="42" t="n">
        <x:f>IF(LOWER(AC71)="basis",Parameters!$B$8,IF(LOWER(AC71)="volatility",Parameters!$B$9,1))</x:f>
        <x:v>1</x:v>
      </x:c>
      <x:c r="AM71" s="41" t="n">
        <x:f>AK71*AL71</x:f>
        <x:v>0.04</x:v>
      </x:c>
      <x:c r="AN71" s="42" t="str">
        <x:f>IF(E71="Credit",VLOOKUP(IF(LOWER(K71)="index","Credit Index","Credit Single Name"),Parameters!$J$4:$K$8,2,FALSE),IF(E71="Equity",VLOOKUP(IF(LOWER(K71)="index","Equity Index","Equity Single Name"),Parameters!$J$4:$K$8,2,FALSE),IF(E71="Commodity",VLOOKUP("Commodity",Parameters!$J$4:$K$8,2,FALSE),"")))</x:f>
      </x:c>
      <x:c r="AO71" s="27" t="n">
        <x:f>MAX((O71-M71)/365,0)</x:f>
        <x:v>0</x:v>
      </x:c>
      <x:c r="AP71" s="27" t="n">
        <x:f>MAX((P71-M71)/365,10/Parameters!$B$6)</x:f>
        <x:v>3.336986301369863</x:v>
      </x:c>
      <x:c r="AQ71" s="27" t="n">
        <x:f>IF(AP71&lt;=AO71,AO71+10/Parameters!$B$6,AP71)</x:f>
        <x:v>3.336986301369863</x:v>
      </x:c>
      <x:c r="AR71" s="41" t="n">
        <x:f>IF(OR(E71="Interest Rate",E71="Credit"),(EXP(-Parameters!$B$7*AO71)-EXP(-Parameters!$B$7*AQ71))/Parameters!$B$7,1)</x:f>
        <x:v>1</x:v>
      </x:c>
      <x:c r="AS71" s="40" t="n">
        <x:f>IF(OR(E71="Interest Rate",E71="Credit"),ABS(Q71)*AR71,IF(E71="FX",IF(Q71&gt;0,Q71,MAX(ABS(R71),ABS(S71),ABS(Q71))),ABS(Q71)))</x:f>
        <x:v>39600000</x:v>
      </x:c>
      <x:c r="AT71" s="42" t="n">
        <x:f>IF(OR(E71="Interest Rate",E71="FX"),VLOOKUP(E71,Parameters!$M$4:$N$11,2,FALSE),IF(E71="Credit",VLOOKUP(IF(LOWER(K71)="index","Credit Index","Credit Single Name"),Parameters!$M$4:$N$11,2,FALSE),IF(E71="Equity",VLOOKUP(IF(LOWER(K71)="index","Equity Index","Equity Single Name"),Parameters!$M$4:$N$11,2,FALSE),IF(E71="Commodity",VLOOKUP(IF(F71="Electricity","Commodity Electricity","Commodity Other"),Parameters!$M$4:$N$11,2,FALSE),1))))</x:f>
        <x:v>0.15</x:v>
      </x:c>
      <x:c r="AU71" s="27" t="n">
        <x:f>IF(W71="B",1,-1)</x:f>
        <x:v>-1</x:v>
      </x:c>
      <x:c r="AV71" s="27" t="n">
        <x:f>IF(OR(AA71="",M71=""),MAX(AE71,1/365),MAX((AA71-M71)/365,1/365))</x:f>
        <x:v>2.5013698630136987</x:v>
      </x:c>
      <x:c r="AW71" s="41" t="n">
        <x:f>IF(OR(Z71&lt;=0,Y71&lt;=0,AT71&lt;=0,AV71&lt;=0),"",(LN(Z71/Y71)+0.5*AT71^2*AV71)/(AT71*SQRT(AV71)))</x:f>
        <x:v>-0.02639153078429008</x:v>
      </x:c>
      <x:c r="AX71" s="41" t="n">
        <x:f>IF(AND(X71&lt;&gt;"C",X71&lt;&gt;"P"),AU71,IF(AW71="",AU71,IF(X71="C",AU71*0.5*(1+ERF(AW71/SQRT(2))),-AU71*0.5*(1+ERF(-AW71/SQRT(2))))))</x:f>
        <x:v>-0.4894725246268766</x:v>
      </x:c>
      <x:c r="AY71" s="41" t="n">
        <x:f>IF(AJ71="M",1.5*SQRT(MAX(IF(U71="Y",5,10),IF(V71="",10,V71))/Parameters!$B$6),SQRT(MIN(MAX(AE71,10/Parameters!$B$6),1)))</x:f>
        <x:v>0.30000000000000004</x:v>
      </x:c>
      <x:c r="AZ71" s="40" t="n">
        <x:f>AS71*AX71*AY71</x:f>
        <x:v>-5814933.592567296</x:v>
      </x:c>
      <x:c r="BA71" s="40" t="n">
        <x:f>'Python_Trade_Output'!AZ71</x:f>
        <x:v>-5814933.592567297</x:v>
      </x:c>
      <x:c r="BB71" s="43" t="n">
        <x:f>AZ71-BA71</x:f>
        <x:v>9.313225746154785e-10</x:v>
      </x:c>
    </x:row>
    <x:row r="72">
      <x:c r="A72" s="27" t="str">
        <x:f>'Inputs_Trades'!D72</x:f>
        <x:v>IND-000069</x:v>
      </x:c>
      <x:c r="B72" s="27" t="str">
        <x:f>'Inputs_Trades'!B72</x:f>
        <x:v>IND_CORPORATE_001</x:v>
      </x:c>
      <x:c r="C72" s="27" t="n">
        <x:f>'Inputs_Trades'!C72</x:f>
        <x:v>3040</x:v>
      </x:c>
      <x:c r="D72" s="27" t="str">
        <x:f>'Inputs_Trades'!E72</x:f>
        <x:v>FX Option</x:v>
      </x:c>
      <x:c r="E72" s="27" t="str">
        <x:f>'Inputs_Trades'!F72</x:f>
        <x:v>FX</x:v>
      </x:c>
      <x:c r="F72" s="27" t="n">
        <x:f>'Inputs_Trades'!G72</x:f>
        <x:v>0</x:v>
      </x:c>
      <x:c r="G72" s="27" t="str">
        <x:f>'Inputs_Trades'!J72</x:f>
        <x:v>USD</x:v>
      </x:c>
      <x:c r="H72" s="27" t="str">
        <x:f>'Inputs_Trades'!H72</x:f>
        <x:v>EUR</x:v>
      </x:c>
      <x:c r="I72" s="27" t="str">
        <x:f>'Inputs_Trades'!I72</x:f>
        <x:v>USD</x:v>
      </x:c>
      <x:c r="J72" s="27" t="str">
        <x:f>'Inputs_Trades'!M72</x:f>
        <x:v>EUR/USD</x:v>
      </x:c>
      <x:c r="K72" s="27" t="n">
        <x:f>'Inputs_Trades'!N72</x:f>
        <x:v>0</x:v>
      </x:c>
      <x:c r="L72" s="27" t="n">
        <x:f>'Inputs_Trades'!O72</x:f>
        <x:v>0</x:v>
      </x:c>
      <x:c r="M72" s="39" t="n">
        <x:f>'Inputs_Trades'!A72</x:f>
        <x:v>45702</x:v>
      </x:c>
      <x:c r="N72" s="39" t="n">
        <x:f>'Inputs_Trades'!P72</x:f>
        <x:v>45938</x:v>
      </x:c>
      <x:c r="O72" s="39" t="n">
        <x:f>'Inputs_Trades'!Q72</x:f>
        <x:v>45531</x:v>
      </x:c>
      <x:c r="P72" s="39" t="n">
        <x:f>'Inputs_Trades'!R72</x:f>
        <x:v>45938</x:v>
      </x:c>
      <x:c r="Q72" s="40" t="n">
        <x:f>'Inputs_Trades'!U72</x:f>
        <x:v>16900000</x:v>
      </x:c>
      <x:c r="R72" s="40" t="n">
        <x:f>'Inputs_Trades'!S72</x:f>
        <x:v>16095238.1</x:v>
      </x:c>
      <x:c r="S72" s="40" t="n">
        <x:f>'Inputs_Trades'!T72</x:f>
        <x:v>16900000</x:v>
      </x:c>
      <x:c r="T72" s="27" t="str">
        <x:f>'Inputs_Trades'!V72</x:f>
        <x:v>M</x:v>
      </x:c>
      <x:c r="U72" s="27" t="str">
        <x:f>'Inputs_Trades'!W72</x:f>
        <x:v>N</x:v>
      </x:c>
      <x:c r="V72" s="27" t="n">
        <x:f>'Inputs_Trades'!X72</x:f>
        <x:v>10</x:v>
      </x:c>
      <x:c r="W72" s="27" t="str">
        <x:f>'Inputs_Trades'!Y72</x:f>
        <x:v>S</x:v>
      </x:c>
      <x:c r="X72" s="27" t="str">
        <x:f>'Inputs_Trades'!AA72</x:f>
        <x:v>C</x:v>
      </x:c>
      <x:c r="Y72" s="27" t="n">
        <x:f>'Inputs_Trades'!AB72</x:f>
        <x:v>1.159674</x:v>
      </x:c>
      <x:c r="Z72" s="27" t="n">
        <x:f>'Inputs_Trades'!AC72</x:f>
        <x:v>1.114</x:v>
      </x:c>
      <x:c r="AA72" s="39" t="n">
        <x:f>'Inputs_Trades'!Z72</x:f>
        <x:v>45879</x:v>
      </x:c>
      <x:c r="AB72" s="40" t="n">
        <x:f>'Inputs_Trades'!AD72</x:f>
        <x:v>120666</x:v>
      </x:c>
      <x:c r="AC72" s="27" t="n">
        <x:f>'Inputs_Trades'!K72</x:f>
        <x:v>0</x:v>
      </x:c>
      <x:c r="AD72" s="27" t="n">
        <x:f>N72-M72</x:f>
        <x:v>236</x:v>
      </x:c>
      <x:c r="AE72" s="41" t="n">
        <x:f>AD72/365</x:f>
        <x:v>0.6465753424657534</x:v>
      </x:c>
      <x:c r="AF72" s="27" t="str">
        <x:f>IF(AE72&lt;1,"&lt;1Y",IF(AE72&lt;=5,"1Y-5Y","&gt;5Y"))</x:f>
        <x:v>&lt;1Y</x:v>
      </x:c>
      <x:c r="AG72" s="27" t="str">
        <x:f>IF(E72="Commodity",IFERROR(VLOOKUP(F72,Parameters!$P$4:$Q$12,2,FALSE),"Other"),"")</x:f>
      </x:c>
      <x:c r="AH72" s="27" t="str">
        <x:f>IF(F72="","Unknown",F72)</x:f>
        <x:v>Unknown</x:v>
      </x:c>
      <x:c r="AI72" s="27" t="str">
        <x:f>IF(E72="Interest Rate",G72&amp;IF(OR(LOWER(AC72)="basis",LOWER(AC72)="volatility"),"_"&amp;AC72,""),IF(E72="FX",IF(H72&lt;I72,H72&amp;"/"&amp;I72,I72&amp;"/"&amp;H72)&amp;IF(OR(LOWER(AC72)="basis",LOWER(AC72)="volatility"),"_"&amp;AC72,""),IF(OR(E72="Credit",E72="Equity"),J72&amp;IF(OR(LOWER(AC72)="basis",LOWER(AC72)="volatility"),"_"&amp;AC72,""),IF(E72="Commodity",AG72&amp;IF(OR(LOWER(AC72)="basis",LOWER(AC72)="volatility"),"_"&amp;AC72,""),"UNKNOWN"))))</x:f>
        <x:v>EUR/USD</x:v>
      </x:c>
      <x:c r="AJ72" s="27" t="str">
        <x:f>T72</x:f>
        <x:v>M</x:v>
      </x:c>
      <x:c r="AK72" s="41" t="n">
        <x:f>IF(E72="Interest Rate",VLOOKUP("Interest Rate",Parameters!$D$4:$E$12,2,FALSE),IF(E72="FX",VLOOKUP("FX",Parameters!$D$4:$E$12,2,FALSE),IF(E72="Credit",IFERROR(VLOOKUP(L72,Parameters!$G$4:$H$12,2,FALSE),VLOOKUP("BBB",Parameters!$G$4:$H$12,2,FALSE)),IF(E72="Equity",VLOOKUP(IF(LOWER(K72)="index","Equity Index","Equity Single Name"),Parameters!$D$4:$E$12,2,FALSE),IF(E72="Commodity",VLOOKUP(IFERROR(VLOOKUP(F72,Parameters!$S$4:$T$12,2,FALSE),"Commodity Other"),Parameters!$D$4:$E$12,2,FALSE),0)))))</x:f>
        <x:v>0.04</x:v>
      </x:c>
      <x:c r="AL72" s="42" t="n">
        <x:f>IF(LOWER(AC72)="basis",Parameters!$B$8,IF(LOWER(AC72)="volatility",Parameters!$B$9,1))</x:f>
        <x:v>1</x:v>
      </x:c>
      <x:c r="AM72" s="41" t="n">
        <x:f>AK72*AL72</x:f>
        <x:v>0.04</x:v>
      </x:c>
      <x:c r="AN72" s="42" t="str">
        <x:f>IF(E72="Credit",VLOOKUP(IF(LOWER(K72)="index","Credit Index","Credit Single Name"),Parameters!$J$4:$K$8,2,FALSE),IF(E72="Equity",VLOOKUP(IF(LOWER(K72)="index","Equity Index","Equity Single Name"),Parameters!$J$4:$K$8,2,FALSE),IF(E72="Commodity",VLOOKUP("Commodity",Parameters!$J$4:$K$8,2,FALSE),"")))</x:f>
      </x:c>
      <x:c r="AO72" s="27" t="n">
        <x:f>MAX((O72-M72)/365,0)</x:f>
        <x:v>0</x:v>
      </x:c>
      <x:c r="AP72" s="27" t="n">
        <x:f>MAX((P72-M72)/365,10/Parameters!$B$6)</x:f>
        <x:v>0.6465753424657534</x:v>
      </x:c>
      <x:c r="AQ72" s="27" t="n">
        <x:f>IF(AP72&lt;=AO72,AO72+10/Parameters!$B$6,AP72)</x:f>
        <x:v>0.6465753424657534</x:v>
      </x:c>
      <x:c r="AR72" s="41" t="n">
        <x:f>IF(OR(E72="Interest Rate",E72="Credit"),(EXP(-Parameters!$B$7*AO72)-EXP(-Parameters!$B$7*AQ72))/Parameters!$B$7,1)</x:f>
        <x:v>1</x:v>
      </x:c>
      <x:c r="AS72" s="40" t="n">
        <x:f>IF(OR(E72="Interest Rate",E72="Credit"),ABS(Q72)*AR72,IF(E72="FX",IF(Q72&gt;0,Q72,MAX(ABS(R72),ABS(S72),ABS(Q72))),ABS(Q72)))</x:f>
        <x:v>16900000</x:v>
      </x:c>
      <x:c r="AT72" s="42" t="n">
        <x:f>IF(OR(E72="Interest Rate",E72="FX"),VLOOKUP(E72,Parameters!$M$4:$N$11,2,FALSE),IF(E72="Credit",VLOOKUP(IF(LOWER(K72)="index","Credit Index","Credit Single Name"),Parameters!$M$4:$N$11,2,FALSE),IF(E72="Equity",VLOOKUP(IF(LOWER(K72)="index","Equity Index","Equity Single Name"),Parameters!$M$4:$N$11,2,FALSE),IF(E72="Commodity",VLOOKUP(IF(F72="Electricity","Commodity Electricity","Commodity Other"),Parameters!$M$4:$N$11,2,FALSE),1))))</x:f>
        <x:v>0.15</x:v>
      </x:c>
      <x:c r="AU72" s="27" t="n">
        <x:f>IF(W72="B",1,-1)</x:f>
        <x:v>-1</x:v>
      </x:c>
      <x:c r="AV72" s="27" t="n">
        <x:f>IF(OR(AA72="",M72=""),MAX(AE72,1/365),MAX((AA72-M72)/365,1/365))</x:f>
        <x:v>0.4849315068493151</x:v>
      </x:c>
      <x:c r="AW72" s="41" t="n">
        <x:f>IF(OR(Z72&lt;=0,Y72&lt;=0,AT72&lt;=0,AV72&lt;=0),"",(LN(Z72/Y72)+0.5*AT72^2*AV72)/(AT72*SQRT(AV72)))</x:f>
        <x:v>-0.33245064517249573</x:v>
      </x:c>
      <x:c r="AX72" s="41" t="n">
        <x:f>IF(AND(X72&lt;&gt;"C",X72&lt;&gt;"P"),AU72,IF(AW72="",AU72,IF(X72="C",AU72*0.5*(1+ERF(AW72/SQRT(2))),-AU72*0.5*(1+ERF(-AW72/SQRT(2))))))</x:f>
        <x:v>-0.369774500856114</x:v>
      </x:c>
      <x:c r="AY72" s="41" t="n">
        <x:f>IF(AJ72="M",1.5*SQRT(MAX(IF(U72="Y",5,10),IF(V72="",10,V72))/Parameters!$B$6),SQRT(MIN(MAX(AE72,10/Parameters!$B$6),1)))</x:f>
        <x:v>0.30000000000000004</x:v>
      </x:c>
      <x:c r="AZ72" s="40" t="n">
        <x:f>AS72*AX72*AY72</x:f>
        <x:v>-1874756.7193404983</x:v>
      </x:c>
      <x:c r="BA72" s="40" t="n">
        <x:f>'Python_Trade_Output'!AZ72</x:f>
        <x:v>-1874756.7193404986</x:v>
      </x:c>
      <x:c r="BB72" s="43" t="n">
        <x:f>AZ72-BA72</x:f>
        <x:v>2.3283064365386963e-10</x:v>
      </x:c>
    </x:row>
    <x:row r="73">
      <x:c r="A73" s="27" t="str">
        <x:f>'Inputs_Trades'!D73</x:f>
        <x:v>IND-000070</x:v>
      </x:c>
      <x:c r="B73" s="27" t="str">
        <x:f>'Inputs_Trades'!B73</x:f>
        <x:v>IND_HEDGE_FUND_001</x:v>
      </x:c>
      <x:c r="C73" s="27" t="n">
        <x:f>'Inputs_Trades'!C73</x:f>
        <x:v>3205</x:v>
      </x:c>
      <x:c r="D73" s="27" t="str">
        <x:f>'Inputs_Trades'!E73</x:f>
        <x:v>FX Option</x:v>
      </x:c>
      <x:c r="E73" s="27" t="str">
        <x:f>'Inputs_Trades'!F73</x:f>
        <x:v>FX</x:v>
      </x:c>
      <x:c r="F73" s="27" t="n">
        <x:f>'Inputs_Trades'!G73</x:f>
        <x:v>0</x:v>
      </x:c>
      <x:c r="G73" s="27" t="str">
        <x:f>'Inputs_Trades'!J73</x:f>
        <x:v>USD</x:v>
      </x:c>
      <x:c r="H73" s="27" t="str">
        <x:f>'Inputs_Trades'!H73</x:f>
        <x:v>USD</x:v>
      </x:c>
      <x:c r="I73" s="27" t="str">
        <x:f>'Inputs_Trades'!I73</x:f>
        <x:v>CNY</x:v>
      </x:c>
      <x:c r="J73" s="27" t="str">
        <x:f>'Inputs_Trades'!M73</x:f>
        <x:v>USD/CNY</x:v>
      </x:c>
      <x:c r="K73" s="27" t="n">
        <x:f>'Inputs_Trades'!N73</x:f>
        <x:v>0</x:v>
      </x:c>
      <x:c r="L73" s="27" t="n">
        <x:f>'Inputs_Trades'!O73</x:f>
        <x:v>0</x:v>
      </x:c>
      <x:c r="M73" s="39" t="n">
        <x:f>'Inputs_Trades'!A73</x:f>
        <x:v>45702</x:v>
      </x:c>
      <x:c r="N73" s="39" t="n">
        <x:f>'Inputs_Trades'!P73</x:f>
        <x:v>46404</x:v>
      </x:c>
      <x:c r="O73" s="39" t="n">
        <x:f>'Inputs_Trades'!Q73</x:f>
        <x:v>45350</x:v>
      </x:c>
      <x:c r="P73" s="39" t="n">
        <x:f>'Inputs_Trades'!R73</x:f>
        <x:v>46404</x:v>
      </x:c>
      <x:c r="Q73" s="40" t="n">
        <x:f>'Inputs_Trades'!U73</x:f>
        <x:v>50800000</x:v>
      </x:c>
      <x:c r="R73" s="40" t="n">
        <x:f>'Inputs_Trades'!S73</x:f>
        <x:v>50800000</x:v>
      </x:c>
      <x:c r="S73" s="40" t="n">
        <x:f>'Inputs_Trades'!T73</x:f>
        <x:v>362857142.86</x:v>
      </x:c>
      <x:c r="T73" s="27" t="str">
        <x:f>'Inputs_Trades'!V73</x:f>
        <x:v>M</x:v>
      </x:c>
      <x:c r="U73" s="27" t="str">
        <x:f>'Inputs_Trades'!W73</x:f>
        <x:v>N</x:v>
      </x:c>
      <x:c r="V73" s="27" t="n">
        <x:f>'Inputs_Trades'!X73</x:f>
        <x:v>10</x:v>
      </x:c>
      <x:c r="W73" s="27" t="str">
        <x:f>'Inputs_Trades'!Y73</x:f>
        <x:v>S</x:v>
      </x:c>
      <x:c r="X73" s="27" t="str">
        <x:f>'Inputs_Trades'!AA73</x:f>
        <x:v>P</x:v>
      </x:c>
      <x:c r="Y73" s="27" t="n">
        <x:f>'Inputs_Trades'!AB73</x:f>
        <x:v>6.8231</x:v>
      </x:c>
      <x:c r="Z73" s="27" t="n">
        <x:f>'Inputs_Trades'!AC73</x:f>
        <x:v>7.1</x:v>
      </x:c>
      <x:c r="AA73" s="39" t="n">
        <x:f>'Inputs_Trades'!Z73</x:f>
        <x:v>46228</x:v>
      </x:c>
      <x:c r="AB73" s="40" t="n">
        <x:f>'Inputs_Trades'!AD73</x:f>
        <x:v>58674</x:v>
      </x:c>
      <x:c r="AC73" s="27" t="n">
        <x:f>'Inputs_Trades'!K73</x:f>
        <x:v>0</x:v>
      </x:c>
      <x:c r="AD73" s="27" t="n">
        <x:f>N73-M73</x:f>
        <x:v>702</x:v>
      </x:c>
      <x:c r="AE73" s="41" t="n">
        <x:f>AD73/365</x:f>
        <x:v>1.9232876712328768</x:v>
      </x:c>
      <x:c r="AF73" s="27" t="str">
        <x:f>IF(AE73&lt;1,"&lt;1Y",IF(AE73&lt;=5,"1Y-5Y","&gt;5Y"))</x:f>
        <x:v>1Y-5Y</x:v>
      </x:c>
      <x:c r="AG73" s="27" t="str">
        <x:f>IF(E73="Commodity",IFERROR(VLOOKUP(F73,Parameters!$P$4:$Q$12,2,FALSE),"Other"),"")</x:f>
      </x:c>
      <x:c r="AH73" s="27" t="str">
        <x:f>IF(F73="","Unknown",F73)</x:f>
        <x:v>Unknown</x:v>
      </x:c>
      <x:c r="AI73" s="27" t="str">
        <x:f>IF(E73="Interest Rate",G73&amp;IF(OR(LOWER(AC73)="basis",LOWER(AC73)="volatility"),"_"&amp;AC73,""),IF(E73="FX",IF(H73&lt;I73,H73&amp;"/"&amp;I73,I73&amp;"/"&amp;H73)&amp;IF(OR(LOWER(AC73)="basis",LOWER(AC73)="volatility"),"_"&amp;AC73,""),IF(OR(E73="Credit",E73="Equity"),J73&amp;IF(OR(LOWER(AC73)="basis",LOWER(AC73)="volatility"),"_"&amp;AC73,""),IF(E73="Commodity",AG73&amp;IF(OR(LOWER(AC73)="basis",LOWER(AC73)="volatility"),"_"&amp;AC73,""),"UNKNOWN"))))</x:f>
        <x:v>CNY/USD</x:v>
      </x:c>
      <x:c r="AJ73" s="27" t="str">
        <x:f>T73</x:f>
        <x:v>M</x:v>
      </x:c>
      <x:c r="AK73" s="41" t="n">
        <x:f>IF(E73="Interest Rate",VLOOKUP("Interest Rate",Parameters!$D$4:$E$12,2,FALSE),IF(E73="FX",VLOOKUP("FX",Parameters!$D$4:$E$12,2,FALSE),IF(E73="Credit",IFERROR(VLOOKUP(L73,Parameters!$G$4:$H$12,2,FALSE),VLOOKUP("BBB",Parameters!$G$4:$H$12,2,FALSE)),IF(E73="Equity",VLOOKUP(IF(LOWER(K73)="index","Equity Index","Equity Single Name"),Parameters!$D$4:$E$12,2,FALSE),IF(E73="Commodity",VLOOKUP(IFERROR(VLOOKUP(F73,Parameters!$S$4:$T$12,2,FALSE),"Commodity Other"),Parameters!$D$4:$E$12,2,FALSE),0)))))</x:f>
        <x:v>0.04</x:v>
      </x:c>
      <x:c r="AL73" s="42" t="n">
        <x:f>IF(LOWER(AC73)="basis",Parameters!$B$8,IF(LOWER(AC73)="volatility",Parameters!$B$9,1))</x:f>
        <x:v>1</x:v>
      </x:c>
      <x:c r="AM73" s="41" t="n">
        <x:f>AK73*AL73</x:f>
        <x:v>0.04</x:v>
      </x:c>
      <x:c r="AN73" s="42" t="str">
        <x:f>IF(E73="Credit",VLOOKUP(IF(LOWER(K73)="index","Credit Index","Credit Single Name"),Parameters!$J$4:$K$8,2,FALSE),IF(E73="Equity",VLOOKUP(IF(LOWER(K73)="index","Equity Index","Equity Single Name"),Parameters!$J$4:$K$8,2,FALSE),IF(E73="Commodity",VLOOKUP("Commodity",Parameters!$J$4:$K$8,2,FALSE),"")))</x:f>
      </x:c>
      <x:c r="AO73" s="27" t="n">
        <x:f>MAX((O73-M73)/365,0)</x:f>
        <x:v>0</x:v>
      </x:c>
      <x:c r="AP73" s="27" t="n">
        <x:f>MAX((P73-M73)/365,10/Parameters!$B$6)</x:f>
        <x:v>1.9232876712328768</x:v>
      </x:c>
      <x:c r="AQ73" s="27" t="n">
        <x:f>IF(AP73&lt;=AO73,AO73+10/Parameters!$B$6,AP73)</x:f>
        <x:v>1.9232876712328768</x:v>
      </x:c>
      <x:c r="AR73" s="41" t="n">
        <x:f>IF(OR(E73="Interest Rate",E73="Credit"),(EXP(-Parameters!$B$7*AO73)-EXP(-Parameters!$B$7*AQ73))/Parameters!$B$7,1)</x:f>
        <x:v>1</x:v>
      </x:c>
      <x:c r="AS73" s="40" t="n">
        <x:f>IF(OR(E73="Interest Rate",E73="Credit"),ABS(Q73)*AR73,IF(E73="FX",IF(Q73&gt;0,Q73,MAX(ABS(R73),ABS(S73),ABS(Q73))),ABS(Q73)))</x:f>
        <x:v>50800000</x:v>
      </x:c>
      <x:c r="AT73" s="42" t="n">
        <x:f>IF(OR(E73="Interest Rate",E73="FX"),VLOOKUP(E73,Parameters!$M$4:$N$11,2,FALSE),IF(E73="Credit",VLOOKUP(IF(LOWER(K73)="index","Credit Index","Credit Single Name"),Parameters!$M$4:$N$11,2,FALSE),IF(E73="Equity",VLOOKUP(IF(LOWER(K73)="index","Equity Index","Equity Single Name"),Parameters!$M$4:$N$11,2,FALSE),IF(E73="Commodity",VLOOKUP(IF(F73="Electricity","Commodity Electricity","Commodity Other"),Parameters!$M$4:$N$11,2,FALSE),1))))</x:f>
        <x:v>0.15</x:v>
      </x:c>
      <x:c r="AU73" s="27" t="n">
        <x:f>IF(W73="B",1,-1)</x:f>
        <x:v>-1</x:v>
      </x:c>
      <x:c r="AV73" s="27" t="n">
        <x:f>IF(OR(AA73="",M73=""),MAX(AE73,1/365),MAX((AA73-M73)/365,1/365))</x:f>
        <x:v>1.441095890410959</x:v>
      </x:c>
      <x:c r="AW73" s="41" t="n">
        <x:f>IF(OR(Z73&lt;=0,Y73&lt;=0,AT73&lt;=0,AV73&lt;=0),"",(LN(Z73/Y73)+0.5*AT73^2*AV73)/(AT73*SQRT(AV73)))</x:f>
        <x:v>0.3109550252234092</x:v>
      </x:c>
      <x:c r="AX73" s="41" t="n">
        <x:f>IF(AND(X73&lt;&gt;"C",X73&lt;&gt;"P"),AU73,IF(AW73="",AU73,IF(X73="C",AU73*0.5*(1+ERF(AW73/SQRT(2))),-AU73*0.5*(1+ERF(-AW73/SQRT(2))))))</x:f>
        <x:v>0.3779174062215815</x:v>
      </x:c>
      <x:c r="AY73" s="41" t="n">
        <x:f>IF(AJ73="M",1.5*SQRT(MAX(IF(U73="Y",5,10),IF(V73="",10,V73))/Parameters!$B$6),SQRT(MIN(MAX(AE73,10/Parameters!$B$6),1)))</x:f>
        <x:v>0.30000000000000004</x:v>
      </x:c>
      <x:c r="AZ73" s="40" t="n">
        <x:f>AS73*AX73*AY73</x:f>
        <x:v>5759461.270816903</x:v>
      </x:c>
      <x:c r="BA73" s="40" t="n">
        <x:f>'Python_Trade_Output'!AZ73</x:f>
        <x:v>5759461.270816904</x:v>
      </x:c>
      <x:c r="BB73" s="43" t="n">
        <x:f>AZ73-BA73</x:f>
        <x:v>-9.313225746154785e-10</x:v>
      </x:c>
    </x:row>
    <x:row r="74">
      <x:c r="A74" s="27" t="str">
        <x:f>'Inputs_Trades'!D74</x:f>
        <x:v>IND-000071</x:v>
      </x:c>
      <x:c r="B74" s="27" t="str">
        <x:f>'Inputs_Trades'!B74</x:f>
        <x:v>IND_CLEARING_MEMBER_001</x:v>
      </x:c>
      <x:c r="C74" s="27" t="n">
        <x:f>'Inputs_Trades'!C74</x:f>
        <x:v>3206</x:v>
      </x:c>
      <x:c r="D74" s="27" t="str">
        <x:f>'Inputs_Trades'!E74</x:f>
        <x:v>FX Option</x:v>
      </x:c>
      <x:c r="E74" s="27" t="str">
        <x:f>'Inputs_Trades'!F74</x:f>
        <x:v>FX</x:v>
      </x:c>
      <x:c r="F74" s="27" t="n">
        <x:f>'Inputs_Trades'!G74</x:f>
        <x:v>0</x:v>
      </x:c>
      <x:c r="G74" s="27" t="str">
        <x:f>'Inputs_Trades'!J74</x:f>
        <x:v>USD</x:v>
      </x:c>
      <x:c r="H74" s="27" t="str">
        <x:f>'Inputs_Trades'!H74</x:f>
        <x:v>GBP</x:v>
      </x:c>
      <x:c r="I74" s="27" t="str">
        <x:f>'Inputs_Trades'!I74</x:f>
        <x:v>USD</x:v>
      </x:c>
      <x:c r="J74" s="27" t="str">
        <x:f>'Inputs_Trades'!M74</x:f>
        <x:v>GBP/USD</x:v>
      </x:c>
      <x:c r="K74" s="27" t="n">
        <x:f>'Inputs_Trades'!N74</x:f>
        <x:v>0</x:v>
      </x:c>
      <x:c r="L74" s="27" t="n">
        <x:f>'Inputs_Trades'!O74</x:f>
        <x:v>0</x:v>
      </x:c>
      <x:c r="M74" s="39" t="n">
        <x:f>'Inputs_Trades'!A74</x:f>
        <x:v>45702</x:v>
      </x:c>
      <x:c r="N74" s="39" t="n">
        <x:f>'Inputs_Trades'!P74</x:f>
        <x:v>47082</x:v>
      </x:c>
      <x:c r="O74" s="39" t="n">
        <x:f>'Inputs_Trades'!Q74</x:f>
        <x:v>45577</x:v>
      </x:c>
      <x:c r="P74" s="39" t="n">
        <x:f>'Inputs_Trades'!R74</x:f>
        <x:v>47082</x:v>
      </x:c>
      <x:c r="Q74" s="40" t="n">
        <x:f>'Inputs_Trades'!U74</x:f>
        <x:v>106000000</x:v>
      </x:c>
      <x:c r="R74" s="40" t="n">
        <x:f>'Inputs_Trades'!S74</x:f>
        <x:v>84800000</x:v>
      </x:c>
      <x:c r="S74" s="40" t="n">
        <x:f>'Inputs_Trades'!T74</x:f>
        <x:v>106000000</x:v>
      </x:c>
      <x:c r="T74" s="27" t="str">
        <x:f>'Inputs_Trades'!V74</x:f>
        <x:v>M</x:v>
      </x:c>
      <x:c r="U74" s="27" t="str">
        <x:f>'Inputs_Trades'!W74</x:f>
        <x:v>N</x:v>
      </x:c>
      <x:c r="V74" s="27" t="n">
        <x:f>'Inputs_Trades'!X74</x:f>
        <x:v>10</x:v>
      </x:c>
      <x:c r="W74" s="27" t="str">
        <x:f>'Inputs_Trades'!Y74</x:f>
        <x:v>S</x:v>
      </x:c>
      <x:c r="X74" s="27" t="str">
        <x:f>'Inputs_Trades'!AA74</x:f>
        <x:v>P</x:v>
      </x:c>
      <x:c r="Y74" s="27" t="n">
        <x:f>'Inputs_Trades'!AB74</x:f>
        <x:v>1.271159</x:v>
      </x:c>
      <x:c r="Z74" s="27" t="n">
        <x:f>'Inputs_Trades'!AC74</x:f>
        <x:v>1.163</x:v>
      </x:c>
      <x:c r="AA74" s="39" t="n">
        <x:f>'Inputs_Trades'!Z74</x:f>
        <x:v>46737</x:v>
      </x:c>
      <x:c r="AB74" s="40" t="n">
        <x:f>'Inputs_Trades'!AD74</x:f>
        <x:v>-147870</x:v>
      </x:c>
      <x:c r="AC74" s="27" t="n">
        <x:f>'Inputs_Trades'!K74</x:f>
        <x:v>0</x:v>
      </x:c>
      <x:c r="AD74" s="27" t="n">
        <x:f>N74-M74</x:f>
        <x:v>1380</x:v>
      </x:c>
      <x:c r="AE74" s="41" t="n">
        <x:f>AD74/365</x:f>
        <x:v>3.780821917808219</x:v>
      </x:c>
      <x:c r="AF74" s="27" t="str">
        <x:f>IF(AE74&lt;1,"&lt;1Y",IF(AE74&lt;=5,"1Y-5Y","&gt;5Y"))</x:f>
        <x:v>1Y-5Y</x:v>
      </x:c>
      <x:c r="AG74" s="27" t="str">
        <x:f>IF(E74="Commodity",IFERROR(VLOOKUP(F74,Parameters!$P$4:$Q$12,2,FALSE),"Other"),"")</x:f>
      </x:c>
      <x:c r="AH74" s="27" t="str">
        <x:f>IF(F74="","Unknown",F74)</x:f>
        <x:v>Unknown</x:v>
      </x:c>
      <x:c r="AI74" s="27" t="str">
        <x:f>IF(E74="Interest Rate",G74&amp;IF(OR(LOWER(AC74)="basis",LOWER(AC74)="volatility"),"_"&amp;AC74,""),IF(E74="FX",IF(H74&lt;I74,H74&amp;"/"&amp;I74,I74&amp;"/"&amp;H74)&amp;IF(OR(LOWER(AC74)="basis",LOWER(AC74)="volatility"),"_"&amp;AC74,""),IF(OR(E74="Credit",E74="Equity"),J74&amp;IF(OR(LOWER(AC74)="basis",LOWER(AC74)="volatility"),"_"&amp;AC74,""),IF(E74="Commodity",AG74&amp;IF(OR(LOWER(AC74)="basis",LOWER(AC74)="volatility"),"_"&amp;AC74,""),"UNKNOWN"))))</x:f>
        <x:v>GBP/USD</x:v>
      </x:c>
      <x:c r="AJ74" s="27" t="str">
        <x:f>T74</x:f>
        <x:v>M</x:v>
      </x:c>
      <x:c r="AK74" s="41" t="n">
        <x:f>IF(E74="Interest Rate",VLOOKUP("Interest Rate",Parameters!$D$4:$E$12,2,FALSE),IF(E74="FX",VLOOKUP("FX",Parameters!$D$4:$E$12,2,FALSE),IF(E74="Credit",IFERROR(VLOOKUP(L74,Parameters!$G$4:$H$12,2,FALSE),VLOOKUP("BBB",Parameters!$G$4:$H$12,2,FALSE)),IF(E74="Equity",VLOOKUP(IF(LOWER(K74)="index","Equity Index","Equity Single Name"),Parameters!$D$4:$E$12,2,FALSE),IF(E74="Commodity",VLOOKUP(IFERROR(VLOOKUP(F74,Parameters!$S$4:$T$12,2,FALSE),"Commodity Other"),Parameters!$D$4:$E$12,2,FALSE),0)))))</x:f>
        <x:v>0.04</x:v>
      </x:c>
      <x:c r="AL74" s="42" t="n">
        <x:f>IF(LOWER(AC74)="basis",Parameters!$B$8,IF(LOWER(AC74)="volatility",Parameters!$B$9,1))</x:f>
        <x:v>1</x:v>
      </x:c>
      <x:c r="AM74" s="41" t="n">
        <x:f>AK74*AL74</x:f>
        <x:v>0.04</x:v>
      </x:c>
      <x:c r="AN74" s="42" t="str">
        <x:f>IF(E74="Credit",VLOOKUP(IF(LOWER(K74)="index","Credit Index","Credit Single Name"),Parameters!$J$4:$K$8,2,FALSE),IF(E74="Equity",VLOOKUP(IF(LOWER(K74)="index","Equity Index","Equity Single Name"),Parameters!$J$4:$K$8,2,FALSE),IF(E74="Commodity",VLOOKUP("Commodity",Parameters!$J$4:$K$8,2,FALSE),"")))</x:f>
      </x:c>
      <x:c r="AO74" s="27" t="n">
        <x:f>MAX((O74-M74)/365,0)</x:f>
        <x:v>0</x:v>
      </x:c>
      <x:c r="AP74" s="27" t="n">
        <x:f>MAX((P74-M74)/365,10/Parameters!$B$6)</x:f>
        <x:v>3.780821917808219</x:v>
      </x:c>
      <x:c r="AQ74" s="27" t="n">
        <x:f>IF(AP74&lt;=AO74,AO74+10/Parameters!$B$6,AP74)</x:f>
        <x:v>3.780821917808219</x:v>
      </x:c>
      <x:c r="AR74" s="41" t="n">
        <x:f>IF(OR(E74="Interest Rate",E74="Credit"),(EXP(-Parameters!$B$7*AO74)-EXP(-Parameters!$B$7*AQ74))/Parameters!$B$7,1)</x:f>
        <x:v>1</x:v>
      </x:c>
      <x:c r="AS74" s="40" t="n">
        <x:f>IF(OR(E74="Interest Rate",E74="Credit"),ABS(Q74)*AR74,IF(E74="FX",IF(Q74&gt;0,Q74,MAX(ABS(R74),ABS(S74),ABS(Q74))),ABS(Q74)))</x:f>
        <x:v>106000000</x:v>
      </x:c>
      <x:c r="AT74" s="42" t="n">
        <x:f>IF(OR(E74="Interest Rate",E74="FX"),VLOOKUP(E74,Parameters!$M$4:$N$11,2,FALSE),IF(E74="Credit",VLOOKUP(IF(LOWER(K74)="index","Credit Index","Credit Single Name"),Parameters!$M$4:$N$11,2,FALSE),IF(E74="Equity",VLOOKUP(IF(LOWER(K74)="index","Equity Index","Equity Single Name"),Parameters!$M$4:$N$11,2,FALSE),IF(E74="Commodity",VLOOKUP(IF(F74="Electricity","Commodity Electricity","Commodity Other"),Parameters!$M$4:$N$11,2,FALSE),1))))</x:f>
        <x:v>0.15</x:v>
      </x:c>
      <x:c r="AU74" s="27" t="n">
        <x:f>IF(W74="B",1,-1)</x:f>
        <x:v>-1</x:v>
      </x:c>
      <x:c r="AV74" s="27" t="n">
        <x:f>IF(OR(AA74="",M74=""),MAX(AE74,1/365),MAX((AA74-M74)/365,1/365))</x:f>
        <x:v>2.835616438356164</x:v>
      </x:c>
      <x:c r="AW74" s="41" t="n">
        <x:f>IF(OR(Z74&lt;=0,Y74&lt;=0,AT74&lt;=0,AV74&lt;=0),"",(LN(Z74/Y74)+0.5*AT74^2*AV74)/(AT74*SQRT(AV74)))</x:f>
        <x:v>-0.2257637888294549</x:v>
      </x:c>
      <x:c r="AX74" s="41" t="n">
        <x:f>IF(AND(X74&lt;&gt;"C",X74&lt;&gt;"P"),AU74,IF(AW74="",AU74,IF(X74="C",AU74*0.5*(1+ERF(AW74/SQRT(2))),-AU74*0.5*(1+ERF(-AW74/SQRT(2))))))</x:f>
        <x:v>0.5893074288562363</x:v>
      </x:c>
      <x:c r="AY74" s="41" t="n">
        <x:f>IF(AJ74="M",1.5*SQRT(MAX(IF(U74="Y",5,10),IF(V74="",10,V74))/Parameters!$B$6),SQRT(MIN(MAX(AE74,10/Parameters!$B$6),1)))</x:f>
        <x:v>0.30000000000000004</x:v>
      </x:c>
      <x:c r="AZ74" s="40" t="n">
        <x:f>AS74*AX74*AY74</x:f>
        <x:v>18739976.23762832</x:v>
      </x:c>
      <x:c r="BA74" s="40" t="n">
        <x:f>'Python_Trade_Output'!AZ74</x:f>
        <x:v>18739976.23762832</x:v>
      </x:c>
      <x:c r="BB74" s="43" t="n">
        <x:f>AZ74-BA74</x:f>
        <x:v>0</x:v>
      </x:c>
    </x:row>
    <x:row r="75">
      <x:c r="A75" s="27" t="str">
        <x:f>'Inputs_Trades'!D75</x:f>
        <x:v>IND-000072</x:v>
      </x:c>
      <x:c r="B75" s="27" t="str">
        <x:f>'Inputs_Trades'!B75</x:f>
        <x:v>IND_BANK_002</x:v>
      </x:c>
      <x:c r="C75" s="27" t="n">
        <x:f>'Inputs_Trades'!C75</x:f>
        <x:v>3318</x:v>
      </x:c>
      <x:c r="D75" s="27" t="str">
        <x:f>'Inputs_Trades'!E75</x:f>
        <x:v>FX Option</x:v>
      </x:c>
      <x:c r="E75" s="27" t="str">
        <x:f>'Inputs_Trades'!F75</x:f>
        <x:v>FX</x:v>
      </x:c>
      <x:c r="F75" s="27" t="n">
        <x:f>'Inputs_Trades'!G75</x:f>
        <x:v>0</x:v>
      </x:c>
      <x:c r="G75" s="27" t="str">
        <x:f>'Inputs_Trades'!J75</x:f>
        <x:v>USD</x:v>
      </x:c>
      <x:c r="H75" s="27" t="str">
        <x:f>'Inputs_Trades'!H75</x:f>
        <x:v>EUR</x:v>
      </x:c>
      <x:c r="I75" s="27" t="str">
        <x:f>'Inputs_Trades'!I75</x:f>
        <x:v>USD</x:v>
      </x:c>
      <x:c r="J75" s="27" t="str">
        <x:f>'Inputs_Trades'!M75</x:f>
        <x:v>EUR/USD</x:v>
      </x:c>
      <x:c r="K75" s="27" t="n">
        <x:f>'Inputs_Trades'!N75</x:f>
        <x:v>0</x:v>
      </x:c>
      <x:c r="L75" s="27" t="n">
        <x:f>'Inputs_Trades'!O75</x:f>
        <x:v>0</x:v>
      </x:c>
      <x:c r="M75" s="39" t="n">
        <x:f>'Inputs_Trades'!A75</x:f>
        <x:v>45702</x:v>
      </x:c>
      <x:c r="N75" s="39" t="n">
        <x:f>'Inputs_Trades'!P75</x:f>
        <x:v>46721</x:v>
      </x:c>
      <x:c r="O75" s="39" t="n">
        <x:f>'Inputs_Trades'!Q75</x:f>
        <x:v>45662</x:v>
      </x:c>
      <x:c r="P75" s="39" t="n">
        <x:f>'Inputs_Trades'!R75</x:f>
        <x:v>46721</x:v>
      </x:c>
      <x:c r="Q75" s="40" t="n">
        <x:f>'Inputs_Trades'!U75</x:f>
        <x:v>120000000</x:v>
      </x:c>
      <x:c r="R75" s="40" t="n">
        <x:f>'Inputs_Trades'!S75</x:f>
        <x:v>114285714.29</x:v>
      </x:c>
      <x:c r="S75" s="40" t="n">
        <x:f>'Inputs_Trades'!T75</x:f>
        <x:v>120000000</x:v>
      </x:c>
      <x:c r="T75" s="27" t="str">
        <x:f>'Inputs_Trades'!V75</x:f>
        <x:v>U</x:v>
      </x:c>
      <x:c r="U75" s="27" t="str">
        <x:f>'Inputs_Trades'!W75</x:f>
        <x:v>N</x:v>
      </x:c>
      <x:c r="V75" s="27" t="n">
        <x:f>'Inputs_Trades'!X75</x:f>
        <x:v>0</x:v>
      </x:c>
      <x:c r="W75" s="27" t="str">
        <x:f>'Inputs_Trades'!Y75</x:f>
        <x:v>B</x:v>
      </x:c>
      <x:c r="X75" s="27" t="str">
        <x:f>'Inputs_Trades'!AA75</x:f>
        <x:v>C</x:v>
      </x:c>
      <x:c r="Y75" s="27" t="n">
        <x:f>'Inputs_Trades'!AB75</x:f>
        <x:v>1.205824</x:v>
      </x:c>
      <x:c r="Z75" s="27" t="n">
        <x:f>'Inputs_Trades'!AC75</x:f>
        <x:v>1.328</x:v>
      </x:c>
      <x:c r="AA75" s="39" t="n">
        <x:f>'Inputs_Trades'!Z75</x:f>
        <x:v>46466</x:v>
      </x:c>
      <x:c r="AB75" s="40" t="n">
        <x:f>'Inputs_Trades'!AD75</x:f>
        <x:v>1512000</x:v>
      </x:c>
      <x:c r="AC75" s="27" t="n">
        <x:f>'Inputs_Trades'!K75</x:f>
        <x:v>0</x:v>
      </x:c>
      <x:c r="AD75" s="27" t="n">
        <x:f>N75-M75</x:f>
        <x:v>1019</x:v>
      </x:c>
      <x:c r="AE75" s="41" t="n">
        <x:f>AD75/365</x:f>
        <x:v>2.791780821917808</x:v>
      </x:c>
      <x:c r="AF75" s="27" t="str">
        <x:f>IF(AE75&lt;1,"&lt;1Y",IF(AE75&lt;=5,"1Y-5Y","&gt;5Y"))</x:f>
        <x:v>1Y-5Y</x:v>
      </x:c>
      <x:c r="AG75" s="27" t="str">
        <x:f>IF(E75="Commodity",IFERROR(VLOOKUP(F75,Parameters!$P$4:$Q$12,2,FALSE),"Other"),"")</x:f>
      </x:c>
      <x:c r="AH75" s="27" t="str">
        <x:f>IF(F75="","Unknown",F75)</x:f>
        <x:v>Unknown</x:v>
      </x:c>
      <x:c r="AI75" s="27" t="str">
        <x:f>IF(E75="Interest Rate",G75&amp;IF(OR(LOWER(AC75)="basis",LOWER(AC75)="volatility"),"_"&amp;AC75,""),IF(E75="FX",IF(H75&lt;I75,H75&amp;"/"&amp;I75,I75&amp;"/"&amp;H75)&amp;IF(OR(LOWER(AC75)="basis",LOWER(AC75)="volatility"),"_"&amp;AC75,""),IF(OR(E75="Credit",E75="Equity"),J75&amp;IF(OR(LOWER(AC75)="basis",LOWER(AC75)="volatility"),"_"&amp;AC75,""),IF(E75="Commodity",AG75&amp;IF(OR(LOWER(AC75)="basis",LOWER(AC75)="volatility"),"_"&amp;AC75,""),"UNKNOWN"))))</x:f>
        <x:v>EUR/USD</x:v>
      </x:c>
      <x:c r="AJ75" s="27" t="str">
        <x:f>T75</x:f>
        <x:v>U</x:v>
      </x:c>
      <x:c r="AK75" s="41" t="n">
        <x:f>IF(E75="Interest Rate",VLOOKUP("Interest Rate",Parameters!$D$4:$E$12,2,FALSE),IF(E75="FX",VLOOKUP("FX",Parameters!$D$4:$E$12,2,FALSE),IF(E75="Credit",IFERROR(VLOOKUP(L75,Parameters!$G$4:$H$12,2,FALSE),VLOOKUP("BBB",Parameters!$G$4:$H$12,2,FALSE)),IF(E75="Equity",VLOOKUP(IF(LOWER(K75)="index","Equity Index","Equity Single Name"),Parameters!$D$4:$E$12,2,FALSE),IF(E75="Commodity",VLOOKUP(IFERROR(VLOOKUP(F75,Parameters!$S$4:$T$12,2,FALSE),"Commodity Other"),Parameters!$D$4:$E$12,2,FALSE),0)))))</x:f>
        <x:v>0.04</x:v>
      </x:c>
      <x:c r="AL75" s="42" t="n">
        <x:f>IF(LOWER(AC75)="basis",Parameters!$B$8,IF(LOWER(AC75)="volatility",Parameters!$B$9,1))</x:f>
        <x:v>1</x:v>
      </x:c>
      <x:c r="AM75" s="41" t="n">
        <x:f>AK75*AL75</x:f>
        <x:v>0.04</x:v>
      </x:c>
      <x:c r="AN75" s="42" t="str">
        <x:f>IF(E75="Credit",VLOOKUP(IF(LOWER(K75)="index","Credit Index","Credit Single Name"),Parameters!$J$4:$K$8,2,FALSE),IF(E75="Equity",VLOOKUP(IF(LOWER(K75)="index","Equity Index","Equity Single Name"),Parameters!$J$4:$K$8,2,FALSE),IF(E75="Commodity",VLOOKUP("Commodity",Parameters!$J$4:$K$8,2,FALSE),"")))</x:f>
      </x:c>
      <x:c r="AO75" s="27" t="n">
        <x:f>MAX((O75-M75)/365,0)</x:f>
        <x:v>0</x:v>
      </x:c>
      <x:c r="AP75" s="27" t="n">
        <x:f>MAX((P75-M75)/365,10/Parameters!$B$6)</x:f>
        <x:v>2.791780821917808</x:v>
      </x:c>
      <x:c r="AQ75" s="27" t="n">
        <x:f>IF(AP75&lt;=AO75,AO75+10/Parameters!$B$6,AP75)</x:f>
        <x:v>2.791780821917808</x:v>
      </x:c>
      <x:c r="AR75" s="41" t="n">
        <x:f>IF(OR(E75="Interest Rate",E75="Credit"),(EXP(-Parameters!$B$7*AO75)-EXP(-Parameters!$B$7*AQ75))/Parameters!$B$7,1)</x:f>
        <x:v>1</x:v>
      </x:c>
      <x:c r="AS75" s="40" t="n">
        <x:f>IF(OR(E75="Interest Rate",E75="Credit"),ABS(Q75)*AR75,IF(E75="FX",IF(Q75&gt;0,Q75,MAX(ABS(R75),ABS(S75),ABS(Q75))),ABS(Q75)))</x:f>
        <x:v>120000000</x:v>
      </x:c>
      <x:c r="AT75" s="42" t="n">
        <x:f>IF(OR(E75="Interest Rate",E75="FX"),VLOOKUP(E75,Parameters!$M$4:$N$11,2,FALSE),IF(E75="Credit",VLOOKUP(IF(LOWER(K75)="index","Credit Index","Credit Single Name"),Parameters!$M$4:$N$11,2,FALSE),IF(E75="Equity",VLOOKUP(IF(LOWER(K75)="index","Equity Index","Equity Single Name"),Parameters!$M$4:$N$11,2,FALSE),IF(E75="Commodity",VLOOKUP(IF(F75="Electricity","Commodity Electricity","Commodity Other"),Parameters!$M$4:$N$11,2,FALSE),1))))</x:f>
        <x:v>0.15</x:v>
      </x:c>
      <x:c r="AU75" s="27" t="n">
        <x:f>IF(W75="B",1,-1)</x:f>
        <x:v>1</x:v>
      </x:c>
      <x:c r="AV75" s="27" t="n">
        <x:f>IF(OR(AA75="",M75=""),MAX(AE75,1/365),MAX((AA75-M75)/365,1/365))</x:f>
        <x:v>2.0931506849315067</x:v>
      </x:c>
      <x:c r="AW75" s="41" t="n">
        <x:f>IF(OR(Z75&lt;=0,Y75&lt;=0,AT75&lt;=0,AV75&lt;=0),"",(LN(Z75/Y75)+0.5*AT75^2*AV75)/(AT75*SQRT(AV75)))</x:f>
        <x:v>0.5532260949346473</x:v>
      </x:c>
      <x:c r="AX75" s="41" t="n">
        <x:f>IF(AND(X75&lt;&gt;"C",X75&lt;&gt;"P"),AU75,IF(AW75="",AU75,IF(X75="C",AU75*0.5*(1+ERF(AW75/SQRT(2))),-AU75*0.5*(1+ERF(-AW75/SQRT(2))))))</x:f>
        <x:v>0.7099456997643812</x:v>
      </x:c>
      <x:c r="AY75" s="41" t="n">
        <x:f>IF(AJ75="M",1.5*SQRT(MAX(IF(U75="Y",5,10),IF(V75="",10,V75))/Parameters!$B$6),SQRT(MIN(MAX(AE75,10/Parameters!$B$6),1)))</x:f>
        <x:v>1</x:v>
      </x:c>
      <x:c r="AZ75" s="40" t="n">
        <x:f>AS75*AX75*AY75</x:f>
        <x:v>85193483.97172573</x:v>
      </x:c>
      <x:c r="BA75" s="40" t="n">
        <x:f>'Python_Trade_Output'!AZ75</x:f>
        <x:v>85193483.97172573</x:v>
      </x:c>
      <x:c r="BB75" s="43" t="n">
        <x:f>AZ75-BA75</x:f>
        <x:v>0</x:v>
      </x:c>
    </x:row>
    <x:row r="76">
      <x:c r="A76" s="27" t="str">
        <x:f>'Inputs_Trades'!D76</x:f>
        <x:v>IND-000073</x:v>
      </x:c>
      <x:c r="B76" s="27" t="str">
        <x:f>'Inputs_Trades'!B76</x:f>
        <x:v>IND_BANK_002</x:v>
      </x:c>
      <x:c r="C76" s="27" t="n">
        <x:f>'Inputs_Trades'!C76</x:f>
        <x:v>3331</x:v>
      </x:c>
      <x:c r="D76" s="27" t="str">
        <x:f>'Inputs_Trades'!E76</x:f>
        <x:v>FX Option</x:v>
      </x:c>
      <x:c r="E76" s="27" t="str">
        <x:f>'Inputs_Trades'!F76</x:f>
        <x:v>FX</x:v>
      </x:c>
      <x:c r="F76" s="27" t="n">
        <x:f>'Inputs_Trades'!G76</x:f>
        <x:v>0</x:v>
      </x:c>
      <x:c r="G76" s="27" t="str">
        <x:f>'Inputs_Trades'!J76</x:f>
        <x:v>USD</x:v>
      </x:c>
      <x:c r="H76" s="27" t="str">
        <x:f>'Inputs_Trades'!H76</x:f>
        <x:v>EUR</x:v>
      </x:c>
      <x:c r="I76" s="27" t="str">
        <x:f>'Inputs_Trades'!I76</x:f>
        <x:v>USD</x:v>
      </x:c>
      <x:c r="J76" s="27" t="str">
        <x:f>'Inputs_Trades'!M76</x:f>
        <x:v>EUR/USD</x:v>
      </x:c>
      <x:c r="K76" s="27" t="n">
        <x:f>'Inputs_Trades'!N76</x:f>
        <x:v>0</x:v>
      </x:c>
      <x:c r="L76" s="27" t="n">
        <x:f>'Inputs_Trades'!O76</x:f>
        <x:v>0</x:v>
      </x:c>
      <x:c r="M76" s="39" t="n">
        <x:f>'Inputs_Trades'!A76</x:f>
        <x:v>45702</x:v>
      </x:c>
      <x:c r="N76" s="39" t="n">
        <x:f>'Inputs_Trades'!P76</x:f>
        <x:v>47314</x:v>
      </x:c>
      <x:c r="O76" s="39" t="n">
        <x:f>'Inputs_Trades'!Q76</x:f>
        <x:v>45107</x:v>
      </x:c>
      <x:c r="P76" s="39" t="n">
        <x:f>'Inputs_Trades'!R76</x:f>
        <x:v>47314</x:v>
      </x:c>
      <x:c r="Q76" s="40" t="n">
        <x:f>'Inputs_Trades'!U76</x:f>
        <x:v>31600000</x:v>
      </x:c>
      <x:c r="R76" s="40" t="n">
        <x:f>'Inputs_Trades'!S76</x:f>
        <x:v>30095238.1</x:v>
      </x:c>
      <x:c r="S76" s="40" t="n">
        <x:f>'Inputs_Trades'!T76</x:f>
        <x:v>31600000</x:v>
      </x:c>
      <x:c r="T76" s="27" t="str">
        <x:f>'Inputs_Trades'!V76</x:f>
        <x:v>M</x:v>
      </x:c>
      <x:c r="U76" s="27" t="str">
        <x:f>'Inputs_Trades'!W76</x:f>
        <x:v>N</x:v>
      </x:c>
      <x:c r="V76" s="27" t="n">
        <x:f>'Inputs_Trades'!X76</x:f>
        <x:v>10</x:v>
      </x:c>
      <x:c r="W76" s="27" t="str">
        <x:f>'Inputs_Trades'!Y76</x:f>
        <x:v>S</x:v>
      </x:c>
      <x:c r="X76" s="27" t="str">
        <x:f>'Inputs_Trades'!AA76</x:f>
        <x:v>C</x:v>
      </x:c>
      <x:c r="Y76" s="27" t="n">
        <x:f>'Inputs_Trades'!AB76</x:f>
        <x:v>1.205145</x:v>
      </x:c>
      <x:c r="Z76" s="27" t="n">
        <x:f>'Inputs_Trades'!AC76</x:f>
        <x:v>1.185</x:v>
      </x:c>
      <x:c r="AA76" s="39" t="n">
        <x:f>'Inputs_Trades'!Z76</x:f>
        <x:v>46911</x:v>
      </x:c>
      <x:c r="AB76" s="40" t="n">
        <x:f>'Inputs_Trades'!AD76</x:f>
        <x:v>-301464</x:v>
      </x:c>
      <x:c r="AC76" s="27" t="n">
        <x:f>'Inputs_Trades'!K76</x:f>
        <x:v>0</x:v>
      </x:c>
      <x:c r="AD76" s="27" t="n">
        <x:f>N76-M76</x:f>
        <x:v>1612</x:v>
      </x:c>
      <x:c r="AE76" s="41" t="n">
        <x:f>AD76/365</x:f>
        <x:v>4.416438356164384</x:v>
      </x:c>
      <x:c r="AF76" s="27" t="str">
        <x:f>IF(AE76&lt;1,"&lt;1Y",IF(AE76&lt;=5,"1Y-5Y","&gt;5Y"))</x:f>
        <x:v>1Y-5Y</x:v>
      </x:c>
      <x:c r="AG76" s="27" t="str">
        <x:f>IF(E76="Commodity",IFERROR(VLOOKUP(F76,Parameters!$P$4:$Q$12,2,FALSE),"Other"),"")</x:f>
      </x:c>
      <x:c r="AH76" s="27" t="str">
        <x:f>IF(F76="","Unknown",F76)</x:f>
        <x:v>Unknown</x:v>
      </x:c>
      <x:c r="AI76" s="27" t="str">
        <x:f>IF(E76="Interest Rate",G76&amp;IF(OR(LOWER(AC76)="basis",LOWER(AC76)="volatility"),"_"&amp;AC76,""),IF(E76="FX",IF(H76&lt;I76,H76&amp;"/"&amp;I76,I76&amp;"/"&amp;H76)&amp;IF(OR(LOWER(AC76)="basis",LOWER(AC76)="volatility"),"_"&amp;AC76,""),IF(OR(E76="Credit",E76="Equity"),J76&amp;IF(OR(LOWER(AC76)="basis",LOWER(AC76)="volatility"),"_"&amp;AC76,""),IF(E76="Commodity",AG76&amp;IF(OR(LOWER(AC76)="basis",LOWER(AC76)="volatility"),"_"&amp;AC76,""),"UNKNOWN"))))</x:f>
        <x:v>EUR/USD</x:v>
      </x:c>
      <x:c r="AJ76" s="27" t="str">
        <x:f>T76</x:f>
        <x:v>M</x:v>
      </x:c>
      <x:c r="AK76" s="41" t="n">
        <x:f>IF(E76="Interest Rate",VLOOKUP("Interest Rate",Parameters!$D$4:$E$12,2,FALSE),IF(E76="FX",VLOOKUP("FX",Parameters!$D$4:$E$12,2,FALSE),IF(E76="Credit",IFERROR(VLOOKUP(L76,Parameters!$G$4:$H$12,2,FALSE),VLOOKUP("BBB",Parameters!$G$4:$H$12,2,FALSE)),IF(E76="Equity",VLOOKUP(IF(LOWER(K76)="index","Equity Index","Equity Single Name"),Parameters!$D$4:$E$12,2,FALSE),IF(E76="Commodity",VLOOKUP(IFERROR(VLOOKUP(F76,Parameters!$S$4:$T$12,2,FALSE),"Commodity Other"),Parameters!$D$4:$E$12,2,FALSE),0)))))</x:f>
        <x:v>0.04</x:v>
      </x:c>
      <x:c r="AL76" s="42" t="n">
        <x:f>IF(LOWER(AC76)="basis",Parameters!$B$8,IF(LOWER(AC76)="volatility",Parameters!$B$9,1))</x:f>
        <x:v>1</x:v>
      </x:c>
      <x:c r="AM76" s="41" t="n">
        <x:f>AK76*AL76</x:f>
        <x:v>0.04</x:v>
      </x:c>
      <x:c r="AN76" s="42" t="str">
        <x:f>IF(E76="Credit",VLOOKUP(IF(LOWER(K76)="index","Credit Index","Credit Single Name"),Parameters!$J$4:$K$8,2,FALSE),IF(E76="Equity",VLOOKUP(IF(LOWER(K76)="index","Equity Index","Equity Single Name"),Parameters!$J$4:$K$8,2,FALSE),IF(E76="Commodity",VLOOKUP("Commodity",Parameters!$J$4:$K$8,2,FALSE),"")))</x:f>
      </x:c>
      <x:c r="AO76" s="27" t="n">
        <x:f>MAX((O76-M76)/365,0)</x:f>
        <x:v>0</x:v>
      </x:c>
      <x:c r="AP76" s="27" t="n">
        <x:f>MAX((P76-M76)/365,10/Parameters!$B$6)</x:f>
        <x:v>4.416438356164384</x:v>
      </x:c>
      <x:c r="AQ76" s="27" t="n">
        <x:f>IF(AP76&lt;=AO76,AO76+10/Parameters!$B$6,AP76)</x:f>
        <x:v>4.416438356164384</x:v>
      </x:c>
      <x:c r="AR76" s="41" t="n">
        <x:f>IF(OR(E76="Interest Rate",E76="Credit"),(EXP(-Parameters!$B$7*AO76)-EXP(-Parameters!$B$7*AQ76))/Parameters!$B$7,1)</x:f>
        <x:v>1</x:v>
      </x:c>
      <x:c r="AS76" s="40" t="n">
        <x:f>IF(OR(E76="Interest Rate",E76="Credit"),ABS(Q76)*AR76,IF(E76="FX",IF(Q76&gt;0,Q76,MAX(ABS(R76),ABS(S76),ABS(Q76))),ABS(Q76)))</x:f>
        <x:v>31600000</x:v>
      </x:c>
      <x:c r="AT76" s="42" t="n">
        <x:f>IF(OR(E76="Interest Rate",E76="FX"),VLOOKUP(E76,Parameters!$M$4:$N$11,2,FALSE),IF(E76="Credit",VLOOKUP(IF(LOWER(K76)="index","Credit Index","Credit Single Name"),Parameters!$M$4:$N$11,2,FALSE),IF(E76="Equity",VLOOKUP(IF(LOWER(K76)="index","Equity Index","Equity Single Name"),Parameters!$M$4:$N$11,2,FALSE),IF(E76="Commodity",VLOOKUP(IF(F76="Electricity","Commodity Electricity","Commodity Other"),Parameters!$M$4:$N$11,2,FALSE),1))))</x:f>
        <x:v>0.15</x:v>
      </x:c>
      <x:c r="AU76" s="27" t="n">
        <x:f>IF(W76="B",1,-1)</x:f>
        <x:v>-1</x:v>
      </x:c>
      <x:c r="AV76" s="27" t="n">
        <x:f>IF(OR(AA76="",M76=""),MAX(AE76,1/365),MAX((AA76-M76)/365,1/365))</x:f>
        <x:v>3.3123287671232875</x:v>
      </x:c>
      <x:c r="AW76" s="41" t="n">
        <x:f>IF(OR(Z76&lt;=0,Y76&lt;=0,AT76&lt;=0,AV76&lt;=0),"",(LN(Z76/Y76)+0.5*AT76^2*AV76)/(AT76*SQRT(AV76)))</x:f>
        <x:v>0.07475018676975376</x:v>
      </x:c>
      <x:c r="AX76" s="41" t="n">
        <x:f>IF(AND(X76&lt;&gt;"C",X76&lt;&gt;"P"),AU76,IF(AW76="",AU76,IF(X76="C",AU76*0.5*(1+ERF(AW76/SQRT(2))),-AU76*0.5*(1+ERF(-AW76/SQRT(2))))))</x:f>
        <x:v>-0.5297932619661039</x:v>
      </x:c>
      <x:c r="AY76" s="41" t="n">
        <x:f>IF(AJ76="M",1.5*SQRT(MAX(IF(U76="Y",5,10),IF(V76="",10,V76))/Parameters!$B$6),SQRT(MIN(MAX(AE76,10/Parameters!$B$6),1)))</x:f>
        <x:v>0.30000000000000004</x:v>
      </x:c>
      <x:c r="AZ76" s="40" t="n">
        <x:f>AS76*AX76*AY76</x:f>
        <x:v>-5022440.123438666</x:v>
      </x:c>
      <x:c r="BA76" s="40" t="n">
        <x:f>'Python_Trade_Output'!AZ76</x:f>
        <x:v>-5022440.123438667</x:v>
      </x:c>
      <x:c r="BB76" s="43" t="n">
        <x:f>AZ76-BA76</x:f>
        <x:v>9.313225746154785e-10</x:v>
      </x:c>
    </x:row>
    <x:row r="77">
      <x:c r="A77" s="27" t="str">
        <x:f>'Inputs_Trades'!D77</x:f>
        <x:v>IND-000074</x:v>
      </x:c>
      <x:c r="B77" s="27" t="str">
        <x:f>'Inputs_Trades'!B77</x:f>
        <x:v>IND_HEDGE_FUND_001</x:v>
      </x:c>
      <x:c r="C77" s="27" t="n">
        <x:f>'Inputs_Trades'!C77</x:f>
        <x:v>3040</x:v>
      </x:c>
      <x:c r="D77" s="27" t="str">
        <x:f>'Inputs_Trades'!E77</x:f>
        <x:v>FX Option</x:v>
      </x:c>
      <x:c r="E77" s="27" t="str">
        <x:f>'Inputs_Trades'!F77</x:f>
        <x:v>FX</x:v>
      </x:c>
      <x:c r="F77" s="27" t="n">
        <x:f>'Inputs_Trades'!G77</x:f>
        <x:v>0</x:v>
      </x:c>
      <x:c r="G77" s="27" t="str">
        <x:f>'Inputs_Trades'!J77</x:f>
        <x:v>USD</x:v>
      </x:c>
      <x:c r="H77" s="27" t="str">
        <x:f>'Inputs_Trades'!H77</x:f>
        <x:v>USD</x:v>
      </x:c>
      <x:c r="I77" s="27" t="str">
        <x:f>'Inputs_Trades'!I77</x:f>
        <x:v>CNY</x:v>
      </x:c>
      <x:c r="J77" s="27" t="str">
        <x:f>'Inputs_Trades'!M77</x:f>
        <x:v>USD/CNY</x:v>
      </x:c>
      <x:c r="K77" s="27" t="n">
        <x:f>'Inputs_Trades'!N77</x:f>
        <x:v>0</x:v>
      </x:c>
      <x:c r="L77" s="27" t="n">
        <x:f>'Inputs_Trades'!O77</x:f>
        <x:v>0</x:v>
      </x:c>
      <x:c r="M77" s="39" t="n">
        <x:f>'Inputs_Trades'!A77</x:f>
        <x:v>45702</x:v>
      </x:c>
      <x:c r="N77" s="39" t="n">
        <x:f>'Inputs_Trades'!P77</x:f>
        <x:v>46983</x:v>
      </x:c>
      <x:c r="O77" s="39" t="n">
        <x:f>'Inputs_Trades'!Q77</x:f>
        <x:v>45303</x:v>
      </x:c>
      <x:c r="P77" s="39" t="n">
        <x:f>'Inputs_Trades'!R77</x:f>
        <x:v>46983</x:v>
      </x:c>
      <x:c r="Q77" s="40" t="n">
        <x:f>'Inputs_Trades'!U77</x:f>
        <x:v>72100000</x:v>
      </x:c>
      <x:c r="R77" s="40" t="n">
        <x:f>'Inputs_Trades'!S77</x:f>
        <x:v>72100000</x:v>
      </x:c>
      <x:c r="S77" s="40" t="n">
        <x:f>'Inputs_Trades'!T77</x:f>
        <x:v>515000000</x:v>
      </x:c>
      <x:c r="T77" s="27" t="str">
        <x:f>'Inputs_Trades'!V77</x:f>
        <x:v>U</x:v>
      </x:c>
      <x:c r="U77" s="27" t="str">
        <x:f>'Inputs_Trades'!W77</x:f>
        <x:v>N</x:v>
      </x:c>
      <x:c r="V77" s="27" t="n">
        <x:f>'Inputs_Trades'!X77</x:f>
        <x:v>0</x:v>
      </x:c>
      <x:c r="W77" s="27" t="str">
        <x:f>'Inputs_Trades'!Y77</x:f>
        <x:v>B</x:v>
      </x:c>
      <x:c r="X77" s="27" t="str">
        <x:f>'Inputs_Trades'!AA77</x:f>
        <x:v>P</x:v>
      </x:c>
      <x:c r="Y77" s="27" t="n">
        <x:f>'Inputs_Trades'!AB77</x:f>
        <x:v>7.1213</x:v>
      </x:c>
      <x:c r="Z77" s="27" t="n">
        <x:f>'Inputs_Trades'!AC77</x:f>
        <x:v>7.1</x:v>
      </x:c>
      <x:c r="AA77" s="39" t="n">
        <x:f>'Inputs_Trades'!Z77</x:f>
        <x:v>46662</x:v>
      </x:c>
      <x:c r="AB77" s="40" t="n">
        <x:f>'Inputs_Trades'!AD77</x:f>
        <x:v>1047973.5</x:v>
      </x:c>
      <x:c r="AC77" s="27" t="n">
        <x:f>'Inputs_Trades'!K77</x:f>
        <x:v>0</x:v>
      </x:c>
      <x:c r="AD77" s="27" t="n">
        <x:f>N77-M77</x:f>
        <x:v>1281</x:v>
      </x:c>
      <x:c r="AE77" s="41" t="n">
        <x:f>AD77/365</x:f>
        <x:v>3.5095890410958903</x:v>
      </x:c>
      <x:c r="AF77" s="27" t="str">
        <x:f>IF(AE77&lt;1,"&lt;1Y",IF(AE77&lt;=5,"1Y-5Y","&gt;5Y"))</x:f>
        <x:v>1Y-5Y</x:v>
      </x:c>
      <x:c r="AG77" s="27" t="str">
        <x:f>IF(E77="Commodity",IFERROR(VLOOKUP(F77,Parameters!$P$4:$Q$12,2,FALSE),"Other"),"")</x:f>
      </x:c>
      <x:c r="AH77" s="27" t="str">
        <x:f>IF(F77="","Unknown",F77)</x:f>
        <x:v>Unknown</x:v>
      </x:c>
      <x:c r="AI77" s="27" t="str">
        <x:f>IF(E77="Interest Rate",G77&amp;IF(OR(LOWER(AC77)="basis",LOWER(AC77)="volatility"),"_"&amp;AC77,""),IF(E77="FX",IF(H77&lt;I77,H77&amp;"/"&amp;I77,I77&amp;"/"&amp;H77)&amp;IF(OR(LOWER(AC77)="basis",LOWER(AC77)="volatility"),"_"&amp;AC77,""),IF(OR(E77="Credit",E77="Equity"),J77&amp;IF(OR(LOWER(AC77)="basis",LOWER(AC77)="volatility"),"_"&amp;AC77,""),IF(E77="Commodity",AG77&amp;IF(OR(LOWER(AC77)="basis",LOWER(AC77)="volatility"),"_"&amp;AC77,""),"UNKNOWN"))))</x:f>
        <x:v>CNY/USD</x:v>
      </x:c>
      <x:c r="AJ77" s="27" t="str">
        <x:f>T77</x:f>
        <x:v>U</x:v>
      </x:c>
      <x:c r="AK77" s="41" t="n">
        <x:f>IF(E77="Interest Rate",VLOOKUP("Interest Rate",Parameters!$D$4:$E$12,2,FALSE),IF(E77="FX",VLOOKUP("FX",Parameters!$D$4:$E$12,2,FALSE),IF(E77="Credit",IFERROR(VLOOKUP(L77,Parameters!$G$4:$H$12,2,FALSE),VLOOKUP("BBB",Parameters!$G$4:$H$12,2,FALSE)),IF(E77="Equity",VLOOKUP(IF(LOWER(K77)="index","Equity Index","Equity Single Name"),Parameters!$D$4:$E$12,2,FALSE),IF(E77="Commodity",VLOOKUP(IFERROR(VLOOKUP(F77,Parameters!$S$4:$T$12,2,FALSE),"Commodity Other"),Parameters!$D$4:$E$12,2,FALSE),0)))))</x:f>
        <x:v>0.04</x:v>
      </x:c>
      <x:c r="AL77" s="42" t="n">
        <x:f>IF(LOWER(AC77)="basis",Parameters!$B$8,IF(LOWER(AC77)="volatility",Parameters!$B$9,1))</x:f>
        <x:v>1</x:v>
      </x:c>
      <x:c r="AM77" s="41" t="n">
        <x:f>AK77*AL77</x:f>
        <x:v>0.04</x:v>
      </x:c>
      <x:c r="AN77" s="42" t="str">
        <x:f>IF(E77="Credit",VLOOKUP(IF(LOWER(K77)="index","Credit Index","Credit Single Name"),Parameters!$J$4:$K$8,2,FALSE),IF(E77="Equity",VLOOKUP(IF(LOWER(K77)="index","Equity Index","Equity Single Name"),Parameters!$J$4:$K$8,2,FALSE),IF(E77="Commodity",VLOOKUP("Commodity",Parameters!$J$4:$K$8,2,FALSE),"")))</x:f>
      </x:c>
      <x:c r="AO77" s="27" t="n">
        <x:f>MAX((O77-M77)/365,0)</x:f>
        <x:v>0</x:v>
      </x:c>
      <x:c r="AP77" s="27" t="n">
        <x:f>MAX((P77-M77)/365,10/Parameters!$B$6)</x:f>
        <x:v>3.5095890410958903</x:v>
      </x:c>
      <x:c r="AQ77" s="27" t="n">
        <x:f>IF(AP77&lt;=AO77,AO77+10/Parameters!$B$6,AP77)</x:f>
        <x:v>3.5095890410958903</x:v>
      </x:c>
      <x:c r="AR77" s="41" t="n">
        <x:f>IF(OR(E77="Interest Rate",E77="Credit"),(EXP(-Parameters!$B$7*AO77)-EXP(-Parameters!$B$7*AQ77))/Parameters!$B$7,1)</x:f>
        <x:v>1</x:v>
      </x:c>
      <x:c r="AS77" s="40" t="n">
        <x:f>IF(OR(E77="Interest Rate",E77="Credit"),ABS(Q77)*AR77,IF(E77="FX",IF(Q77&gt;0,Q77,MAX(ABS(R77),ABS(S77),ABS(Q77))),ABS(Q77)))</x:f>
        <x:v>72100000</x:v>
      </x:c>
      <x:c r="AT77" s="42" t="n">
        <x:f>IF(OR(E77="Interest Rate",E77="FX"),VLOOKUP(E77,Parameters!$M$4:$N$11,2,FALSE),IF(E77="Credit",VLOOKUP(IF(LOWER(K77)="index","Credit Index","Credit Single Name"),Parameters!$M$4:$N$11,2,FALSE),IF(E77="Equity",VLOOKUP(IF(LOWER(K77)="index","Equity Index","Equity Single Name"),Parameters!$M$4:$N$11,2,FALSE),IF(E77="Commodity",VLOOKUP(IF(F77="Electricity","Commodity Electricity","Commodity Other"),Parameters!$M$4:$N$11,2,FALSE),1))))</x:f>
        <x:v>0.15</x:v>
      </x:c>
      <x:c r="AU77" s="27" t="n">
        <x:f>IF(W77="B",1,-1)</x:f>
        <x:v>1</x:v>
      </x:c>
      <x:c r="AV77" s="27" t="n">
        <x:f>IF(OR(AA77="",M77=""),MAX(AE77,1/365),MAX((AA77-M77)/365,1/365))</x:f>
        <x:v>2.6301369863013697</x:v>
      </x:c>
      <x:c r="AW77" s="41" t="n">
        <x:f>IF(OR(Z77&lt;=0,Y77&lt;=0,AT77&lt;=0,AV77&lt;=0),"",(LN(Z77/Y77)+0.5*AT77^2*AV77)/(AT77*SQRT(AV77)))</x:f>
        <x:v>0.10931898235327228</x:v>
      </x:c>
      <x:c r="AX77" s="41" t="n">
        <x:f>IF(AND(X77&lt;&gt;"C",X77&lt;&gt;"P"),AU77,IF(AW77="",AU77,IF(X77="C",AU77*0.5*(1+ERF(AW77/SQRT(2))),-AU77*0.5*(1+ERF(-AW77/SQRT(2))))))</x:f>
        <x:v>-0.45647474554240947</x:v>
      </x:c>
      <x:c r="AY77" s="41" t="n">
        <x:f>IF(AJ77="M",1.5*SQRT(MAX(IF(U77="Y",5,10),IF(V77="",10,V77))/Parameters!$B$6),SQRT(MIN(MAX(AE77,10/Parameters!$B$6),1)))</x:f>
        <x:v>1</x:v>
      </x:c>
      <x:c r="AZ77" s="40" t="n">
        <x:f>AS77*AX77*AY77</x:f>
        <x:v>-32911829.153607722</x:v>
      </x:c>
      <x:c r="BA77" s="40" t="n">
        <x:f>'Python_Trade_Output'!AZ77</x:f>
        <x:v>-32911829.153607726</x:v>
      </x:c>
      <x:c r="BB77" s="43" t="n">
        <x:f>AZ77-BA77</x:f>
        <x:v>3.725290298461914e-9</x:v>
      </x:c>
    </x:row>
    <x:row r="78">
      <x:c r="A78" s="27" t="str">
        <x:f>'Inputs_Trades'!D78</x:f>
        <x:v>IND-000075</x:v>
      </x:c>
      <x:c r="B78" s="27" t="str">
        <x:f>'Inputs_Trades'!B78</x:f>
        <x:v>IND_BANK_002</x:v>
      </x:c>
      <x:c r="C78" s="27" t="n">
        <x:f>'Inputs_Trades'!C78</x:f>
        <x:v>3318</x:v>
      </x:c>
      <x:c r="D78" s="27" t="str">
        <x:f>'Inputs_Trades'!E78</x:f>
        <x:v>FX Option</x:v>
      </x:c>
      <x:c r="E78" s="27" t="str">
        <x:f>'Inputs_Trades'!F78</x:f>
        <x:v>FX</x:v>
      </x:c>
      <x:c r="F78" s="27" t="n">
        <x:f>'Inputs_Trades'!G78</x:f>
        <x:v>0</x:v>
      </x:c>
      <x:c r="G78" s="27" t="str">
        <x:f>'Inputs_Trades'!J78</x:f>
        <x:v>USD</x:v>
      </x:c>
      <x:c r="H78" s="27" t="str">
        <x:f>'Inputs_Trades'!H78</x:f>
        <x:v>EUR</x:v>
      </x:c>
      <x:c r="I78" s="27" t="str">
        <x:f>'Inputs_Trades'!I78</x:f>
        <x:v>USD</x:v>
      </x:c>
      <x:c r="J78" s="27" t="str">
        <x:f>'Inputs_Trades'!M78</x:f>
        <x:v>EUR/USD</x:v>
      </x:c>
      <x:c r="K78" s="27" t="n">
        <x:f>'Inputs_Trades'!N78</x:f>
        <x:v>0</x:v>
      </x:c>
      <x:c r="L78" s="27" t="n">
        <x:f>'Inputs_Trades'!O78</x:f>
        <x:v>0</x:v>
      </x:c>
      <x:c r="M78" s="39" t="n">
        <x:f>'Inputs_Trades'!A78</x:f>
        <x:v>45702</x:v>
      </x:c>
      <x:c r="N78" s="39" t="n">
        <x:f>'Inputs_Trades'!P78</x:f>
        <x:v>46221</x:v>
      </x:c>
      <x:c r="O78" s="39" t="n">
        <x:f>'Inputs_Trades'!Q78</x:f>
        <x:v>45134</x:v>
      </x:c>
      <x:c r="P78" s="39" t="n">
        <x:f>'Inputs_Trades'!R78</x:f>
        <x:v>46221</x:v>
      </x:c>
      <x:c r="Q78" s="40" t="n">
        <x:f>'Inputs_Trades'!U78</x:f>
        <x:v>105000000</x:v>
      </x:c>
      <x:c r="R78" s="40" t="n">
        <x:f>'Inputs_Trades'!S78</x:f>
        <x:v>100000000</x:v>
      </x:c>
      <x:c r="S78" s="40" t="n">
        <x:f>'Inputs_Trades'!T78</x:f>
        <x:v>105000000</x:v>
      </x:c>
      <x:c r="T78" s="27" t="str">
        <x:f>'Inputs_Trades'!V78</x:f>
        <x:v>U</x:v>
      </x:c>
      <x:c r="U78" s="27" t="str">
        <x:f>'Inputs_Trades'!W78</x:f>
        <x:v>N</x:v>
      </x:c>
      <x:c r="V78" s="27" t="n">
        <x:f>'Inputs_Trades'!X78</x:f>
        <x:v>0</x:v>
      </x:c>
      <x:c r="W78" s="27" t="str">
        <x:f>'Inputs_Trades'!Y78</x:f>
        <x:v>B</x:v>
      </x:c>
      <x:c r="X78" s="27" t="str">
        <x:f>'Inputs_Trades'!AA78</x:f>
        <x:v>C</x:v>
      </x:c>
      <x:c r="Y78" s="27" t="n">
        <x:f>'Inputs_Trades'!AB78</x:f>
        <x:v>1.394972</x:v>
      </x:c>
      <x:c r="Z78" s="27" t="n">
        <x:f>'Inputs_Trades'!AC78</x:f>
        <x:v>1.259</x:v>
      </x:c>
      <x:c r="AA78" s="39" t="n">
        <x:f>'Inputs_Trades'!Z78</x:f>
        <x:v>46091</x:v>
      </x:c>
      <x:c r="AB78" s="40" t="n">
        <x:f>'Inputs_Trades'!AD78</x:f>
        <x:v>1370250</x:v>
      </x:c>
      <x:c r="AC78" s="27" t="n">
        <x:f>'Inputs_Trades'!K78</x:f>
        <x:v>0</x:v>
      </x:c>
      <x:c r="AD78" s="27" t="n">
        <x:f>N78-M78</x:f>
        <x:v>519</x:v>
      </x:c>
      <x:c r="AE78" s="41" t="n">
        <x:f>AD78/365</x:f>
        <x:v>1.4219178082191781</x:v>
      </x:c>
      <x:c r="AF78" s="27" t="str">
        <x:f>IF(AE78&lt;1,"&lt;1Y",IF(AE78&lt;=5,"1Y-5Y","&gt;5Y"))</x:f>
        <x:v>1Y-5Y</x:v>
      </x:c>
      <x:c r="AG78" s="27" t="str">
        <x:f>IF(E78="Commodity",IFERROR(VLOOKUP(F78,Parameters!$P$4:$Q$12,2,FALSE),"Other"),"")</x:f>
      </x:c>
      <x:c r="AH78" s="27" t="str">
        <x:f>IF(F78="","Unknown",F78)</x:f>
        <x:v>Unknown</x:v>
      </x:c>
      <x:c r="AI78" s="27" t="str">
        <x:f>IF(E78="Interest Rate",G78&amp;IF(OR(LOWER(AC78)="basis",LOWER(AC78)="volatility"),"_"&amp;AC78,""),IF(E78="FX",IF(H78&lt;I78,H78&amp;"/"&amp;I78,I78&amp;"/"&amp;H78)&amp;IF(OR(LOWER(AC78)="basis",LOWER(AC78)="volatility"),"_"&amp;AC78,""),IF(OR(E78="Credit",E78="Equity"),J78&amp;IF(OR(LOWER(AC78)="basis",LOWER(AC78)="volatility"),"_"&amp;AC78,""),IF(E78="Commodity",AG78&amp;IF(OR(LOWER(AC78)="basis",LOWER(AC78)="volatility"),"_"&amp;AC78,""),"UNKNOWN"))))</x:f>
        <x:v>EUR/USD</x:v>
      </x:c>
      <x:c r="AJ78" s="27" t="str">
        <x:f>T78</x:f>
        <x:v>U</x:v>
      </x:c>
      <x:c r="AK78" s="41" t="n">
        <x:f>IF(E78="Interest Rate",VLOOKUP("Interest Rate",Parameters!$D$4:$E$12,2,FALSE),IF(E78="FX",VLOOKUP("FX",Parameters!$D$4:$E$12,2,FALSE),IF(E78="Credit",IFERROR(VLOOKUP(L78,Parameters!$G$4:$H$12,2,FALSE),VLOOKUP("BBB",Parameters!$G$4:$H$12,2,FALSE)),IF(E78="Equity",VLOOKUP(IF(LOWER(K78)="index","Equity Index","Equity Single Name"),Parameters!$D$4:$E$12,2,FALSE),IF(E78="Commodity",VLOOKUP(IFERROR(VLOOKUP(F78,Parameters!$S$4:$T$12,2,FALSE),"Commodity Other"),Parameters!$D$4:$E$12,2,FALSE),0)))))</x:f>
        <x:v>0.04</x:v>
      </x:c>
      <x:c r="AL78" s="42" t="n">
        <x:f>IF(LOWER(AC78)="basis",Parameters!$B$8,IF(LOWER(AC78)="volatility",Parameters!$B$9,1))</x:f>
        <x:v>1</x:v>
      </x:c>
      <x:c r="AM78" s="41" t="n">
        <x:f>AK78*AL78</x:f>
        <x:v>0.04</x:v>
      </x:c>
      <x:c r="AN78" s="42" t="str">
        <x:f>IF(E78="Credit",VLOOKUP(IF(LOWER(K78)="index","Credit Index","Credit Single Name"),Parameters!$J$4:$K$8,2,FALSE),IF(E78="Equity",VLOOKUP(IF(LOWER(K78)="index","Equity Index","Equity Single Name"),Parameters!$J$4:$K$8,2,FALSE),IF(E78="Commodity",VLOOKUP("Commodity",Parameters!$J$4:$K$8,2,FALSE),"")))</x:f>
      </x:c>
      <x:c r="AO78" s="27" t="n">
        <x:f>MAX((O78-M78)/365,0)</x:f>
        <x:v>0</x:v>
      </x:c>
      <x:c r="AP78" s="27" t="n">
        <x:f>MAX((P78-M78)/365,10/Parameters!$B$6)</x:f>
        <x:v>1.4219178082191781</x:v>
      </x:c>
      <x:c r="AQ78" s="27" t="n">
        <x:f>IF(AP78&lt;=AO78,AO78+10/Parameters!$B$6,AP78)</x:f>
        <x:v>1.4219178082191781</x:v>
      </x:c>
      <x:c r="AR78" s="41" t="n">
        <x:f>IF(OR(E78="Interest Rate",E78="Credit"),(EXP(-Parameters!$B$7*AO78)-EXP(-Parameters!$B$7*AQ78))/Parameters!$B$7,1)</x:f>
        <x:v>1</x:v>
      </x:c>
      <x:c r="AS78" s="40" t="n">
        <x:f>IF(OR(E78="Interest Rate",E78="Credit"),ABS(Q78)*AR78,IF(E78="FX",IF(Q78&gt;0,Q78,MAX(ABS(R78),ABS(S78),ABS(Q78))),ABS(Q78)))</x:f>
        <x:v>105000000</x:v>
      </x:c>
      <x:c r="AT78" s="42" t="n">
        <x:f>IF(OR(E78="Interest Rate",E78="FX"),VLOOKUP(E78,Parameters!$M$4:$N$11,2,FALSE),IF(E78="Credit",VLOOKUP(IF(LOWER(K78)="index","Credit Index","Credit Single Name"),Parameters!$M$4:$N$11,2,FALSE),IF(E78="Equity",VLOOKUP(IF(LOWER(K78)="index","Equity Index","Equity Single Name"),Parameters!$M$4:$N$11,2,FALSE),IF(E78="Commodity",VLOOKUP(IF(F78="Electricity","Commodity Electricity","Commodity Other"),Parameters!$M$4:$N$11,2,FALSE),1))))</x:f>
        <x:v>0.15</x:v>
      </x:c>
      <x:c r="AU78" s="27" t="n">
        <x:f>IF(W78="B",1,-1)</x:f>
        <x:v>1</x:v>
      </x:c>
      <x:c r="AV78" s="27" t="n">
        <x:f>IF(OR(AA78="",M78=""),MAX(AE78,1/365),MAX((AA78-M78)/365,1/365))</x:f>
        <x:v>1.0657534246575342</x:v>
      </x:c>
      <x:c r="AW78" s="41" t="n">
        <x:f>IF(OR(Z78&lt;=0,Y78&lt;=0,AT78&lt;=0,AV78&lt;=0),"",(LN(Z78/Y78)+0.5*AT78^2*AV78)/(AT78*SQRT(AV78)))</x:f>
        <x:v>-0.5848570028081137</x:v>
      </x:c>
      <x:c r="AX78" s="41" t="n">
        <x:f>IF(AND(X78&lt;&gt;"C",X78&lt;&gt;"P"),AU78,IF(AW78="",AU78,IF(X78="C",AU78*0.5*(1+ERF(AW78/SQRT(2))),-AU78*0.5*(1+ERF(-AW78/SQRT(2))))))</x:f>
        <x:v>0.27932193595366966</x:v>
      </x:c>
      <x:c r="AY78" s="41" t="n">
        <x:f>IF(AJ78="M",1.5*SQRT(MAX(IF(U78="Y",5,10),IF(V78="",10,V78))/Parameters!$B$6),SQRT(MIN(MAX(AE78,10/Parameters!$B$6),1)))</x:f>
        <x:v>1</x:v>
      </x:c>
      <x:c r="AZ78" s="40" t="n">
        <x:f>AS78*AX78*AY78</x:f>
        <x:v>29328803.275135316</x:v>
      </x:c>
      <x:c r="BA78" s="40" t="n">
        <x:f>'Python_Trade_Output'!AZ78</x:f>
        <x:v>29328803.275135316</x:v>
      </x:c>
      <x:c r="BB78" s="43" t="n">
        <x:f>AZ78-BA78</x:f>
        <x:v>0</x:v>
      </x:c>
    </x:row>
    <x:row r="79">
      <x:c r="A79" s="27" t="str">
        <x:f>'Inputs_Trades'!D79</x:f>
        <x:v>IND-000076</x:v>
      </x:c>
      <x:c r="B79" s="27" t="str">
        <x:f>'Inputs_Trades'!B79</x:f>
        <x:v>IND_ASSET_MANAGER_001</x:v>
      </x:c>
      <x:c r="C79" s="27" t="n">
        <x:f>'Inputs_Trades'!C79</x:f>
        <x:v>3127</x:v>
      </x:c>
      <x:c r="D79" s="27" t="str">
        <x:f>'Inputs_Trades'!E79</x:f>
        <x:v>FX Option</x:v>
      </x:c>
      <x:c r="E79" s="27" t="str">
        <x:f>'Inputs_Trades'!F79</x:f>
        <x:v>FX</x:v>
      </x:c>
      <x:c r="F79" s="27" t="n">
        <x:f>'Inputs_Trades'!G79</x:f>
        <x:v>0</x:v>
      </x:c>
      <x:c r="G79" s="27" t="str">
        <x:f>'Inputs_Trades'!J79</x:f>
        <x:v>USD</x:v>
      </x:c>
      <x:c r="H79" s="27" t="str">
        <x:f>'Inputs_Trades'!H79</x:f>
        <x:v>USD</x:v>
      </x:c>
      <x:c r="I79" s="27" t="str">
        <x:f>'Inputs_Trades'!I79</x:f>
        <x:v>JPY</x:v>
      </x:c>
      <x:c r="J79" s="27" t="str">
        <x:f>'Inputs_Trades'!M79</x:f>
        <x:v>USD/JPY</x:v>
      </x:c>
      <x:c r="K79" s="27" t="n">
        <x:f>'Inputs_Trades'!N79</x:f>
        <x:v>0</x:v>
      </x:c>
      <x:c r="L79" s="27" t="n">
        <x:f>'Inputs_Trades'!O79</x:f>
        <x:v>0</x:v>
      </x:c>
      <x:c r="M79" s="39" t="n">
        <x:f>'Inputs_Trades'!A79</x:f>
        <x:v>45702</x:v>
      </x:c>
      <x:c r="N79" s="39" t="n">
        <x:f>'Inputs_Trades'!P79</x:f>
        <x:v>47464</x:v>
      </x:c>
      <x:c r="O79" s="39" t="n">
        <x:f>'Inputs_Trades'!Q79</x:f>
        <x:v>45060</x:v>
      </x:c>
      <x:c r="P79" s="39" t="n">
        <x:f>'Inputs_Trades'!R79</x:f>
        <x:v>47464</x:v>
      </x:c>
      <x:c r="Q79" s="40" t="n">
        <x:f>'Inputs_Trades'!U79</x:f>
        <x:v>2800000</x:v>
      </x:c>
      <x:c r="R79" s="40" t="n">
        <x:f>'Inputs_Trades'!S79</x:f>
        <x:v>2800000</x:v>
      </x:c>
      <x:c r="S79" s="40" t="n">
        <x:f>'Inputs_Trades'!T79</x:f>
        <x:v>417910447.76</x:v>
      </x:c>
      <x:c r="T79" s="27" t="str">
        <x:f>'Inputs_Trades'!V79</x:f>
        <x:v>M</x:v>
      </x:c>
      <x:c r="U79" s="27" t="str">
        <x:f>'Inputs_Trades'!W79</x:f>
        <x:v>N</x:v>
      </x:c>
      <x:c r="V79" s="27" t="n">
        <x:f>'Inputs_Trades'!X79</x:f>
        <x:v>10</x:v>
      </x:c>
      <x:c r="W79" s="27" t="str">
        <x:f>'Inputs_Trades'!Y79</x:f>
        <x:v>B</x:v>
      </x:c>
      <x:c r="X79" s="27" t="str">
        <x:f>'Inputs_Trades'!AA79</x:f>
        <x:v>C</x:v>
      </x:c>
      <x:c r="Y79" s="27" t="n">
        <x:f>'Inputs_Trades'!AB79</x:f>
        <x:v>1.335495</x:v>
      </x:c>
      <x:c r="Z79" s="27" t="n">
        <x:f>'Inputs_Trades'!AC79</x:f>
        <x:v>1.185</x:v>
      </x:c>
      <x:c r="AA79" s="39" t="n">
        <x:f>'Inputs_Trades'!Z79</x:f>
        <x:v>47023</x:v>
      </x:c>
      <x:c r="AB79" s="40" t="n">
        <x:f>'Inputs_Trades'!AD79</x:f>
        <x:v>15288</x:v>
      </x:c>
      <x:c r="AC79" s="27" t="n">
        <x:f>'Inputs_Trades'!K79</x:f>
        <x:v>0</x:v>
      </x:c>
      <x:c r="AD79" s="27" t="n">
        <x:f>N79-M79</x:f>
        <x:v>1762</x:v>
      </x:c>
      <x:c r="AE79" s="41" t="n">
        <x:f>AD79/365</x:f>
        <x:v>4.8273972602739725</x:v>
      </x:c>
      <x:c r="AF79" s="27" t="str">
        <x:f>IF(AE79&lt;1,"&lt;1Y",IF(AE79&lt;=5,"1Y-5Y","&gt;5Y"))</x:f>
        <x:v>1Y-5Y</x:v>
      </x:c>
      <x:c r="AG79" s="27" t="str">
        <x:f>IF(E79="Commodity",IFERROR(VLOOKUP(F79,Parameters!$P$4:$Q$12,2,FALSE),"Other"),"")</x:f>
      </x:c>
      <x:c r="AH79" s="27" t="str">
        <x:f>IF(F79="","Unknown",F79)</x:f>
        <x:v>Unknown</x:v>
      </x:c>
      <x:c r="AI79" s="27" t="str">
        <x:f>IF(E79="Interest Rate",G79&amp;IF(OR(LOWER(AC79)="basis",LOWER(AC79)="volatility"),"_"&amp;AC79,""),IF(E79="FX",IF(H79&lt;I79,H79&amp;"/"&amp;I79,I79&amp;"/"&amp;H79)&amp;IF(OR(LOWER(AC79)="basis",LOWER(AC79)="volatility"),"_"&amp;AC79,""),IF(OR(E79="Credit",E79="Equity"),J79&amp;IF(OR(LOWER(AC79)="basis",LOWER(AC79)="volatility"),"_"&amp;AC79,""),IF(E79="Commodity",AG79&amp;IF(OR(LOWER(AC79)="basis",LOWER(AC79)="volatility"),"_"&amp;AC79,""),"UNKNOWN"))))</x:f>
        <x:v>JPY/USD</x:v>
      </x:c>
      <x:c r="AJ79" s="27" t="str">
        <x:f>T79</x:f>
        <x:v>M</x:v>
      </x:c>
      <x:c r="AK79" s="41" t="n">
        <x:f>IF(E79="Interest Rate",VLOOKUP("Interest Rate",Parameters!$D$4:$E$12,2,FALSE),IF(E79="FX",VLOOKUP("FX",Parameters!$D$4:$E$12,2,FALSE),IF(E79="Credit",IFERROR(VLOOKUP(L79,Parameters!$G$4:$H$12,2,FALSE),VLOOKUP("BBB",Parameters!$G$4:$H$12,2,FALSE)),IF(E79="Equity",VLOOKUP(IF(LOWER(K79)="index","Equity Index","Equity Single Name"),Parameters!$D$4:$E$12,2,FALSE),IF(E79="Commodity",VLOOKUP(IFERROR(VLOOKUP(F79,Parameters!$S$4:$T$12,2,FALSE),"Commodity Other"),Parameters!$D$4:$E$12,2,FALSE),0)))))</x:f>
        <x:v>0.04</x:v>
      </x:c>
      <x:c r="AL79" s="42" t="n">
        <x:f>IF(LOWER(AC79)="basis",Parameters!$B$8,IF(LOWER(AC79)="volatility",Parameters!$B$9,1))</x:f>
        <x:v>1</x:v>
      </x:c>
      <x:c r="AM79" s="41" t="n">
        <x:f>AK79*AL79</x:f>
        <x:v>0.04</x:v>
      </x:c>
      <x:c r="AN79" s="42" t="str">
        <x:f>IF(E79="Credit",VLOOKUP(IF(LOWER(K79)="index","Credit Index","Credit Single Name"),Parameters!$J$4:$K$8,2,FALSE),IF(E79="Equity",VLOOKUP(IF(LOWER(K79)="index","Equity Index","Equity Single Name"),Parameters!$J$4:$K$8,2,FALSE),IF(E79="Commodity",VLOOKUP("Commodity",Parameters!$J$4:$K$8,2,FALSE),"")))</x:f>
      </x:c>
      <x:c r="AO79" s="27" t="n">
        <x:f>MAX((O79-M79)/365,0)</x:f>
        <x:v>0</x:v>
      </x:c>
      <x:c r="AP79" s="27" t="n">
        <x:f>MAX((P79-M79)/365,10/Parameters!$B$6)</x:f>
        <x:v>4.8273972602739725</x:v>
      </x:c>
      <x:c r="AQ79" s="27" t="n">
        <x:f>IF(AP79&lt;=AO79,AO79+10/Parameters!$B$6,AP79)</x:f>
        <x:v>4.8273972602739725</x:v>
      </x:c>
      <x:c r="AR79" s="41" t="n">
        <x:f>IF(OR(E79="Interest Rate",E79="Credit"),(EXP(-Parameters!$B$7*AO79)-EXP(-Parameters!$B$7*AQ79))/Parameters!$B$7,1)</x:f>
        <x:v>1</x:v>
      </x:c>
      <x:c r="AS79" s="40" t="n">
        <x:f>IF(OR(E79="Interest Rate",E79="Credit"),ABS(Q79)*AR79,IF(E79="FX",IF(Q79&gt;0,Q79,MAX(ABS(R79),ABS(S79),ABS(Q79))),ABS(Q79)))</x:f>
        <x:v>2800000</x:v>
      </x:c>
      <x:c r="AT79" s="42" t="n">
        <x:f>IF(OR(E79="Interest Rate",E79="FX"),VLOOKUP(E79,Parameters!$M$4:$N$11,2,FALSE),IF(E79="Credit",VLOOKUP(IF(LOWER(K79)="index","Credit Index","Credit Single Name"),Parameters!$M$4:$N$11,2,FALSE),IF(E79="Equity",VLOOKUP(IF(LOWER(K79)="index","Equity Index","Equity Single Name"),Parameters!$M$4:$N$11,2,FALSE),IF(E79="Commodity",VLOOKUP(IF(F79="Electricity","Commodity Electricity","Commodity Other"),Parameters!$M$4:$N$11,2,FALSE),1))))</x:f>
        <x:v>0.15</x:v>
      </x:c>
      <x:c r="AU79" s="27" t="n">
        <x:f>IF(W79="B",1,-1)</x:f>
        <x:v>1</x:v>
      </x:c>
      <x:c r="AV79" s="27" t="n">
        <x:f>IF(OR(AA79="",M79=""),MAX(AE79,1/365),MAX((AA79-M79)/365,1/365))</x:f>
        <x:v>3.6191780821917807</x:v>
      </x:c>
      <x:c r="AW79" s="41" t="n">
        <x:f>IF(OR(Z79&lt;=0,Y79&lt;=0,AT79&lt;=0,AV79&lt;=0),"",(LN(Z79/Y79)+0.5*AT79^2*AV79)/(AT79*SQRT(AV79)))</x:f>
        <x:v>-0.27629279406262147</x:v>
      </x:c>
      <x:c r="AX79" s="41" t="n">
        <x:f>IF(AND(X79&lt;&gt;"C",X79&lt;&gt;"P"),AU79,IF(AW79="",AU79,IF(X79="C",AU79*0.5*(1+ERF(AW79/SQRT(2))),-AU79*0.5*(1+ERF(-AW79/SQRT(2))))))</x:f>
        <x:v>0.3911615950499456</x:v>
      </x:c>
      <x:c r="AY79" s="41" t="n">
        <x:f>IF(AJ79="M",1.5*SQRT(MAX(IF(U79="Y",5,10),IF(V79="",10,V79))/Parameters!$B$6),SQRT(MIN(MAX(AE79,10/Parameters!$B$6),1)))</x:f>
        <x:v>0.30000000000000004</x:v>
      </x:c>
      <x:c r="AZ79" s="40" t="n">
        <x:f>AS79*AX79*AY79</x:f>
        <x:v>328575.7398419543</x:v>
      </x:c>
      <x:c r="BA79" s="40" t="n">
        <x:f>'Python_Trade_Output'!AZ79</x:f>
        <x:v>328575.73984195443</x:v>
      </x:c>
      <x:c r="BB79" s="43" t="n">
        <x:f>AZ79-BA79</x:f>
        <x:v>-1.1641532182693481e-10</x:v>
      </x:c>
    </x:row>
    <x:row r="80">
      <x:c r="A80" s="27" t="str">
        <x:f>'Inputs_Trades'!D80</x:f>
        <x:v>IND-000077</x:v>
      </x:c>
      <x:c r="B80" s="27" t="str">
        <x:f>'Inputs_Trades'!B80</x:f>
        <x:v>IND_CLEARING_MEMBER_001</x:v>
      </x:c>
      <x:c r="C80" s="27" t="n">
        <x:f>'Inputs_Trades'!C80</x:f>
        <x:v>3288</x:v>
      </x:c>
      <x:c r="D80" s="27" t="str">
        <x:f>'Inputs_Trades'!E80</x:f>
        <x:v>FX Option</x:v>
      </x:c>
      <x:c r="E80" s="27" t="str">
        <x:f>'Inputs_Trades'!F80</x:f>
        <x:v>FX</x:v>
      </x:c>
      <x:c r="F80" s="27" t="n">
        <x:f>'Inputs_Trades'!G80</x:f>
        <x:v>0</x:v>
      </x:c>
      <x:c r="G80" s="27" t="str">
        <x:f>'Inputs_Trades'!J80</x:f>
        <x:v>USD</x:v>
      </x:c>
      <x:c r="H80" s="27" t="str">
        <x:f>'Inputs_Trades'!H80</x:f>
        <x:v>GBP</x:v>
      </x:c>
      <x:c r="I80" s="27" t="str">
        <x:f>'Inputs_Trades'!I80</x:f>
        <x:v>USD</x:v>
      </x:c>
      <x:c r="J80" s="27" t="str">
        <x:f>'Inputs_Trades'!M80</x:f>
        <x:v>GBP/USD</x:v>
      </x:c>
      <x:c r="K80" s="27" t="n">
        <x:f>'Inputs_Trades'!N80</x:f>
        <x:v>0</x:v>
      </x:c>
      <x:c r="L80" s="27" t="n">
        <x:f>'Inputs_Trades'!O80</x:f>
        <x:v>0</x:v>
      </x:c>
      <x:c r="M80" s="39" t="n">
        <x:f>'Inputs_Trades'!A80</x:f>
        <x:v>45702</x:v>
      </x:c>
      <x:c r="N80" s="39" t="n">
        <x:f>'Inputs_Trades'!P80</x:f>
        <x:v>46811</x:v>
      </x:c>
      <x:c r="O80" s="39" t="n">
        <x:f>'Inputs_Trades'!Q80</x:f>
        <x:v>44847</x:v>
      </x:c>
      <x:c r="P80" s="39" t="n">
        <x:f>'Inputs_Trades'!R80</x:f>
        <x:v>46811</x:v>
      </x:c>
      <x:c r="Q80" s="40" t="n">
        <x:f>'Inputs_Trades'!U80</x:f>
        <x:v>40900000</x:v>
      </x:c>
      <x:c r="R80" s="40" t="n">
        <x:f>'Inputs_Trades'!S80</x:f>
        <x:v>32720000</x:v>
      </x:c>
      <x:c r="S80" s="40" t="n">
        <x:f>'Inputs_Trades'!T80</x:f>
        <x:v>40900000</x:v>
      </x:c>
      <x:c r="T80" s="27" t="str">
        <x:f>'Inputs_Trades'!V80</x:f>
        <x:v>U</x:v>
      </x:c>
      <x:c r="U80" s="27" t="str">
        <x:f>'Inputs_Trades'!W80</x:f>
        <x:v>N</x:v>
      </x:c>
      <x:c r="V80" s="27" t="n">
        <x:f>'Inputs_Trades'!X80</x:f>
        <x:v>0</x:v>
      </x:c>
      <x:c r="W80" s="27" t="str">
        <x:f>'Inputs_Trades'!Y80</x:f>
        <x:v>B</x:v>
      </x:c>
      <x:c r="X80" s="27" t="str">
        <x:f>'Inputs_Trades'!AA80</x:f>
        <x:v>C</x:v>
      </x:c>
      <x:c r="Y80" s="27" t="n">
        <x:f>'Inputs_Trades'!AB80</x:f>
        <x:v>1.11163</x:v>
      </x:c>
      <x:c r="Z80" s="27" t="n">
        <x:f>'Inputs_Trades'!AC80</x:f>
        <x:v>1.105</x:v>
      </x:c>
      <x:c r="AA80" s="39" t="n">
        <x:f>'Inputs_Trades'!Z80</x:f>
        <x:v>46533</x:v>
      </x:c>
      <x:c r="AB80" s="40" t="n">
        <x:f>'Inputs_Trades'!AD80</x:f>
        <x:v>-480984</x:v>
      </x:c>
      <x:c r="AC80" s="27" t="n">
        <x:f>'Inputs_Trades'!K80</x:f>
        <x:v>0</x:v>
      </x:c>
      <x:c r="AD80" s="27" t="n">
        <x:f>N80-M80</x:f>
        <x:v>1109</x:v>
      </x:c>
      <x:c r="AE80" s="41" t="n">
        <x:f>AD80/365</x:f>
        <x:v>3.0383561643835617</x:v>
      </x:c>
      <x:c r="AF80" s="27" t="str">
        <x:f>IF(AE80&lt;1,"&lt;1Y",IF(AE80&lt;=5,"1Y-5Y","&gt;5Y"))</x:f>
        <x:v>1Y-5Y</x:v>
      </x:c>
      <x:c r="AG80" s="27" t="str">
        <x:f>IF(E80="Commodity",IFERROR(VLOOKUP(F80,Parameters!$P$4:$Q$12,2,FALSE),"Other"),"")</x:f>
      </x:c>
      <x:c r="AH80" s="27" t="str">
        <x:f>IF(F80="","Unknown",F80)</x:f>
        <x:v>Unknown</x:v>
      </x:c>
      <x:c r="AI80" s="27" t="str">
        <x:f>IF(E80="Interest Rate",G80&amp;IF(OR(LOWER(AC80)="basis",LOWER(AC80)="volatility"),"_"&amp;AC80,""),IF(E80="FX",IF(H80&lt;I80,H80&amp;"/"&amp;I80,I80&amp;"/"&amp;H80)&amp;IF(OR(LOWER(AC80)="basis",LOWER(AC80)="volatility"),"_"&amp;AC80,""),IF(OR(E80="Credit",E80="Equity"),J80&amp;IF(OR(LOWER(AC80)="basis",LOWER(AC80)="volatility"),"_"&amp;AC80,""),IF(E80="Commodity",AG80&amp;IF(OR(LOWER(AC80)="basis",LOWER(AC80)="volatility"),"_"&amp;AC80,""),"UNKNOWN"))))</x:f>
        <x:v>GBP/USD</x:v>
      </x:c>
      <x:c r="AJ80" s="27" t="str">
        <x:f>T80</x:f>
        <x:v>U</x:v>
      </x:c>
      <x:c r="AK80" s="41" t="n">
        <x:f>IF(E80="Interest Rate",VLOOKUP("Interest Rate",Parameters!$D$4:$E$12,2,FALSE),IF(E80="FX",VLOOKUP("FX",Parameters!$D$4:$E$12,2,FALSE),IF(E80="Credit",IFERROR(VLOOKUP(L80,Parameters!$G$4:$H$12,2,FALSE),VLOOKUP("BBB",Parameters!$G$4:$H$12,2,FALSE)),IF(E80="Equity",VLOOKUP(IF(LOWER(K80)="index","Equity Index","Equity Single Name"),Parameters!$D$4:$E$12,2,FALSE),IF(E80="Commodity",VLOOKUP(IFERROR(VLOOKUP(F80,Parameters!$S$4:$T$12,2,FALSE),"Commodity Other"),Parameters!$D$4:$E$12,2,FALSE),0)))))</x:f>
        <x:v>0.04</x:v>
      </x:c>
      <x:c r="AL80" s="42" t="n">
        <x:f>IF(LOWER(AC80)="basis",Parameters!$B$8,IF(LOWER(AC80)="volatility",Parameters!$B$9,1))</x:f>
        <x:v>1</x:v>
      </x:c>
      <x:c r="AM80" s="41" t="n">
        <x:f>AK80*AL80</x:f>
        <x:v>0.04</x:v>
      </x:c>
      <x:c r="AN80" s="42" t="str">
        <x:f>IF(E80="Credit",VLOOKUP(IF(LOWER(K80)="index","Credit Index","Credit Single Name"),Parameters!$J$4:$K$8,2,FALSE),IF(E80="Equity",VLOOKUP(IF(LOWER(K80)="index","Equity Index","Equity Single Name"),Parameters!$J$4:$K$8,2,FALSE),IF(E80="Commodity",VLOOKUP("Commodity",Parameters!$J$4:$K$8,2,FALSE),"")))</x:f>
      </x:c>
      <x:c r="AO80" s="27" t="n">
        <x:f>MAX((O80-M80)/365,0)</x:f>
        <x:v>0</x:v>
      </x:c>
      <x:c r="AP80" s="27" t="n">
        <x:f>MAX((P80-M80)/365,10/Parameters!$B$6)</x:f>
        <x:v>3.0383561643835617</x:v>
      </x:c>
      <x:c r="AQ80" s="27" t="n">
        <x:f>IF(AP80&lt;=AO80,AO80+10/Parameters!$B$6,AP80)</x:f>
        <x:v>3.0383561643835617</x:v>
      </x:c>
      <x:c r="AR80" s="41" t="n">
        <x:f>IF(OR(E80="Interest Rate",E80="Credit"),(EXP(-Parameters!$B$7*AO80)-EXP(-Parameters!$B$7*AQ80))/Parameters!$B$7,1)</x:f>
        <x:v>1</x:v>
      </x:c>
      <x:c r="AS80" s="40" t="n">
        <x:f>IF(OR(E80="Interest Rate",E80="Credit"),ABS(Q80)*AR80,IF(E80="FX",IF(Q80&gt;0,Q80,MAX(ABS(R80),ABS(S80),ABS(Q80))),ABS(Q80)))</x:f>
        <x:v>40900000</x:v>
      </x:c>
      <x:c r="AT80" s="42" t="n">
        <x:f>IF(OR(E80="Interest Rate",E80="FX"),VLOOKUP(E80,Parameters!$M$4:$N$11,2,FALSE),IF(E80="Credit",VLOOKUP(IF(LOWER(K80)="index","Credit Index","Credit Single Name"),Parameters!$M$4:$N$11,2,FALSE),IF(E80="Equity",VLOOKUP(IF(LOWER(K80)="index","Equity Index","Equity Single Name"),Parameters!$M$4:$N$11,2,FALSE),IF(E80="Commodity",VLOOKUP(IF(F80="Electricity","Commodity Electricity","Commodity Other"),Parameters!$M$4:$N$11,2,FALSE),1))))</x:f>
        <x:v>0.15</x:v>
      </x:c>
      <x:c r="AU80" s="27" t="n">
        <x:f>IF(W80="B",1,-1)</x:f>
        <x:v>1</x:v>
      </x:c>
      <x:c r="AV80" s="27" t="n">
        <x:f>IF(OR(AA80="",M80=""),MAX(AE80,1/365),MAX((AA80-M80)/365,1/365))</x:f>
        <x:v>2.276712328767123</x:v>
      </x:c>
      <x:c r="AW80" s="41" t="n">
        <x:f>IF(OR(Z80&lt;=0,Y80&lt;=0,AT80&lt;=0,AV80&lt;=0),"",(LN(Z80/Y80)+0.5*AT80^2*AV80)/(AT80*SQRT(AV80)))</x:f>
        <x:v>0.08673528336551131</x:v>
      </x:c>
      <x:c r="AX80" s="41" t="n">
        <x:f>IF(AND(X80&lt;&gt;"C",X80&lt;&gt;"P"),AU80,IF(AW80="",AU80,IF(X80="C",AU80*0.5*(1+ERF(AW80/SQRT(2))),-AU80*0.5*(1+ERF(-AW80/SQRT(2))))))</x:f>
        <x:v>0.5345590349907028</x:v>
      </x:c>
      <x:c r="AY80" s="41" t="n">
        <x:f>IF(AJ80="M",1.5*SQRT(MAX(IF(U80="Y",5,10),IF(V80="",10,V80))/Parameters!$B$6),SQRT(MIN(MAX(AE80,10/Parameters!$B$6),1)))</x:f>
        <x:v>1</x:v>
      </x:c>
      <x:c r="AZ80" s="40" t="n">
        <x:f>AS80*AX80*AY80</x:f>
        <x:v>21863464.531119745</x:v>
      </x:c>
      <x:c r="BA80" s="40" t="n">
        <x:f>'Python_Trade_Output'!AZ80</x:f>
        <x:v>21863464.531119734</x:v>
      </x:c>
      <x:c r="BB80" s="43" t="n">
        <x:f>AZ80-BA80</x:f>
        <x:v>1.1175870895385742e-8</x:v>
      </x:c>
    </x:row>
    <x:row r="81">
      <x:c r="A81" s="27" t="str">
        <x:f>'Inputs_Trades'!D81</x:f>
        <x:v>IND-000078</x:v>
      </x:c>
      <x:c r="B81" s="27" t="str">
        <x:f>'Inputs_Trades'!B81</x:f>
        <x:v>IND_HEDGE_FUND_001</x:v>
      </x:c>
      <x:c r="C81" s="27" t="n">
        <x:f>'Inputs_Trades'!C81</x:f>
        <x:v>3040</x:v>
      </x:c>
      <x:c r="D81" s="27" t="str">
        <x:f>'Inputs_Trades'!E81</x:f>
        <x:v>FX Option</x:v>
      </x:c>
      <x:c r="E81" s="27" t="str">
        <x:f>'Inputs_Trades'!F81</x:f>
        <x:v>FX</x:v>
      </x:c>
      <x:c r="F81" s="27" t="n">
        <x:f>'Inputs_Trades'!G81</x:f>
        <x:v>0</x:v>
      </x:c>
      <x:c r="G81" s="27" t="str">
        <x:f>'Inputs_Trades'!J81</x:f>
        <x:v>USD</x:v>
      </x:c>
      <x:c r="H81" s="27" t="str">
        <x:f>'Inputs_Trades'!H81</x:f>
        <x:v>USD</x:v>
      </x:c>
      <x:c r="I81" s="27" t="str">
        <x:f>'Inputs_Trades'!I81</x:f>
        <x:v>CNY</x:v>
      </x:c>
      <x:c r="J81" s="27" t="str">
        <x:f>'Inputs_Trades'!M81</x:f>
        <x:v>USD/CNY</x:v>
      </x:c>
      <x:c r="K81" s="27" t="n">
        <x:f>'Inputs_Trades'!N81</x:f>
        <x:v>0</x:v>
      </x:c>
      <x:c r="L81" s="27" t="n">
        <x:f>'Inputs_Trades'!O81</x:f>
        <x:v>0</x:v>
      </x:c>
      <x:c r="M81" s="39" t="n">
        <x:f>'Inputs_Trades'!A81</x:f>
        <x:v>45702</x:v>
      </x:c>
      <x:c r="N81" s="39" t="n">
        <x:f>'Inputs_Trades'!P81</x:f>
        <x:v>47172</x:v>
      </x:c>
      <x:c r="O81" s="39" t="n">
        <x:f>'Inputs_Trades'!Q81</x:f>
        <x:v>45363</x:v>
      </x:c>
      <x:c r="P81" s="39" t="n">
        <x:f>'Inputs_Trades'!R81</x:f>
        <x:v>47172</x:v>
      </x:c>
      <x:c r="Q81" s="40" t="n">
        <x:f>'Inputs_Trades'!U81</x:f>
        <x:v>73300000</x:v>
      </x:c>
      <x:c r="R81" s="40" t="n">
        <x:f>'Inputs_Trades'!S81</x:f>
        <x:v>73300000</x:v>
      </x:c>
      <x:c r="S81" s="40" t="n">
        <x:f>'Inputs_Trades'!T81</x:f>
        <x:v>523571428.57</x:v>
      </x:c>
      <x:c r="T81" s="27" t="str">
        <x:f>'Inputs_Trades'!V81</x:f>
        <x:v>U</x:v>
      </x:c>
      <x:c r="U81" s="27" t="str">
        <x:f>'Inputs_Trades'!W81</x:f>
        <x:v>N</x:v>
      </x:c>
      <x:c r="V81" s="27" t="n">
        <x:f>'Inputs_Trades'!X81</x:f>
        <x:v>0</x:v>
      </x:c>
      <x:c r="W81" s="27" t="str">
        <x:f>'Inputs_Trades'!Y81</x:f>
        <x:v>S</x:v>
      </x:c>
      <x:c r="X81" s="27" t="str">
        <x:f>'Inputs_Trades'!AA81</x:f>
        <x:v>C</x:v>
      </x:c>
      <x:c r="Y81" s="27" t="n">
        <x:f>'Inputs_Trades'!AB81</x:f>
        <x:v>6.7734</x:v>
      </x:c>
      <x:c r="Z81" s="27" t="n">
        <x:f>'Inputs_Trades'!AC81</x:f>
        <x:v>7.1</x:v>
      </x:c>
      <x:c r="AA81" s="39" t="n">
        <x:f>'Inputs_Trades'!Z81</x:f>
        <x:v>46804</x:v>
      </x:c>
      <x:c r="AB81" s="40" t="n">
        <x:f>'Inputs_Trades'!AD81</x:f>
        <x:v>-570640.5</x:v>
      </x:c>
      <x:c r="AC81" s="27" t="n">
        <x:f>'Inputs_Trades'!K81</x:f>
        <x:v>0</x:v>
      </x:c>
      <x:c r="AD81" s="27" t="n">
        <x:f>N81-M81</x:f>
        <x:v>1470</x:v>
      </x:c>
      <x:c r="AE81" s="41" t="n">
        <x:f>AD81/365</x:f>
        <x:v>4.027397260273973</x:v>
      </x:c>
      <x:c r="AF81" s="27" t="str">
        <x:f>IF(AE81&lt;1,"&lt;1Y",IF(AE81&lt;=5,"1Y-5Y","&gt;5Y"))</x:f>
        <x:v>1Y-5Y</x:v>
      </x:c>
      <x:c r="AG81" s="27" t="str">
        <x:f>IF(E81="Commodity",IFERROR(VLOOKUP(F81,Parameters!$P$4:$Q$12,2,FALSE),"Other"),"")</x:f>
      </x:c>
      <x:c r="AH81" s="27" t="str">
        <x:f>IF(F81="","Unknown",F81)</x:f>
        <x:v>Unknown</x:v>
      </x:c>
      <x:c r="AI81" s="27" t="str">
        <x:f>IF(E81="Interest Rate",G81&amp;IF(OR(LOWER(AC81)="basis",LOWER(AC81)="volatility"),"_"&amp;AC81,""),IF(E81="FX",IF(H81&lt;I81,H81&amp;"/"&amp;I81,I81&amp;"/"&amp;H81)&amp;IF(OR(LOWER(AC81)="basis",LOWER(AC81)="volatility"),"_"&amp;AC81,""),IF(OR(E81="Credit",E81="Equity"),J81&amp;IF(OR(LOWER(AC81)="basis",LOWER(AC81)="volatility"),"_"&amp;AC81,""),IF(E81="Commodity",AG81&amp;IF(OR(LOWER(AC81)="basis",LOWER(AC81)="volatility"),"_"&amp;AC81,""),"UNKNOWN"))))</x:f>
        <x:v>CNY/USD</x:v>
      </x:c>
      <x:c r="AJ81" s="27" t="str">
        <x:f>T81</x:f>
        <x:v>U</x:v>
      </x:c>
      <x:c r="AK81" s="41" t="n">
        <x:f>IF(E81="Interest Rate",VLOOKUP("Interest Rate",Parameters!$D$4:$E$12,2,FALSE),IF(E81="FX",VLOOKUP("FX",Parameters!$D$4:$E$12,2,FALSE),IF(E81="Credit",IFERROR(VLOOKUP(L81,Parameters!$G$4:$H$12,2,FALSE),VLOOKUP("BBB",Parameters!$G$4:$H$12,2,FALSE)),IF(E81="Equity",VLOOKUP(IF(LOWER(K81)="index","Equity Index","Equity Single Name"),Parameters!$D$4:$E$12,2,FALSE),IF(E81="Commodity",VLOOKUP(IFERROR(VLOOKUP(F81,Parameters!$S$4:$T$12,2,FALSE),"Commodity Other"),Parameters!$D$4:$E$12,2,FALSE),0)))))</x:f>
        <x:v>0.04</x:v>
      </x:c>
      <x:c r="AL81" s="42" t="n">
        <x:f>IF(LOWER(AC81)="basis",Parameters!$B$8,IF(LOWER(AC81)="volatility",Parameters!$B$9,1))</x:f>
        <x:v>1</x:v>
      </x:c>
      <x:c r="AM81" s="41" t="n">
        <x:f>AK81*AL81</x:f>
        <x:v>0.04</x:v>
      </x:c>
      <x:c r="AN81" s="42" t="str">
        <x:f>IF(E81="Credit",VLOOKUP(IF(LOWER(K81)="index","Credit Index","Credit Single Name"),Parameters!$J$4:$K$8,2,FALSE),IF(E81="Equity",VLOOKUP(IF(LOWER(K81)="index","Equity Index","Equity Single Name"),Parameters!$J$4:$K$8,2,FALSE),IF(E81="Commodity",VLOOKUP("Commodity",Parameters!$J$4:$K$8,2,FALSE),"")))</x:f>
      </x:c>
      <x:c r="AO81" s="27" t="n">
        <x:f>MAX((O81-M81)/365,0)</x:f>
        <x:v>0</x:v>
      </x:c>
      <x:c r="AP81" s="27" t="n">
        <x:f>MAX((P81-M81)/365,10/Parameters!$B$6)</x:f>
        <x:v>4.027397260273973</x:v>
      </x:c>
      <x:c r="AQ81" s="27" t="n">
        <x:f>IF(AP81&lt;=AO81,AO81+10/Parameters!$B$6,AP81)</x:f>
        <x:v>4.027397260273973</x:v>
      </x:c>
      <x:c r="AR81" s="41" t="n">
        <x:f>IF(OR(E81="Interest Rate",E81="Credit"),(EXP(-Parameters!$B$7*AO81)-EXP(-Parameters!$B$7*AQ81))/Parameters!$B$7,1)</x:f>
        <x:v>1</x:v>
      </x:c>
      <x:c r="AS81" s="40" t="n">
        <x:f>IF(OR(E81="Interest Rate",E81="Credit"),ABS(Q81)*AR81,IF(E81="FX",IF(Q81&gt;0,Q81,MAX(ABS(R81),ABS(S81),ABS(Q81))),ABS(Q81)))</x:f>
        <x:v>73300000</x:v>
      </x:c>
      <x:c r="AT81" s="42" t="n">
        <x:f>IF(OR(E81="Interest Rate",E81="FX"),VLOOKUP(E81,Parameters!$M$4:$N$11,2,FALSE),IF(E81="Credit",VLOOKUP(IF(LOWER(K81)="index","Credit Index","Credit Single Name"),Parameters!$M$4:$N$11,2,FALSE),IF(E81="Equity",VLOOKUP(IF(LOWER(K81)="index","Equity Index","Equity Single Name"),Parameters!$M$4:$N$11,2,FALSE),IF(E81="Commodity",VLOOKUP(IF(F81="Electricity","Commodity Electricity","Commodity Other"),Parameters!$M$4:$N$11,2,FALSE),1))))</x:f>
        <x:v>0.15</x:v>
      </x:c>
      <x:c r="AU81" s="27" t="n">
        <x:f>IF(W81="B",1,-1)</x:f>
        <x:v>-1</x:v>
      </x:c>
      <x:c r="AV81" s="27" t="n">
        <x:f>IF(OR(AA81="",M81=""),MAX(AE81,1/365),MAX((AA81-M81)/365,1/365))</x:f>
        <x:v>3.0191780821917806</x:v>
      </x:c>
      <x:c r="AW81" s="41" t="n">
        <x:f>IF(OR(Z81&lt;=0,Y81&lt;=0,AT81&lt;=0,AV81&lt;=0),"",(LN(Z81/Y81)+0.5*AT81^2*AV81)/(AT81*SQRT(AV81)))</x:f>
        <x:v>0.31099745561631786</x:v>
      </x:c>
      <x:c r="AX81" s="41" t="n">
        <x:f>IF(AND(X81&lt;&gt;"C",X81&lt;&gt;"P"),AU81,IF(AW81="",AU81,IF(X81="C",AU81*0.5*(1+ERF(AW81/SQRT(2))),-AU81*0.5*(1+ERF(-AW81/SQRT(2))))))</x:f>
        <x:v>-0.6220987220426476</x:v>
      </x:c>
      <x:c r="AY81" s="41" t="n">
        <x:f>IF(AJ81="M",1.5*SQRT(MAX(IF(U81="Y",5,10),IF(V81="",10,V81))/Parameters!$B$6),SQRT(MIN(MAX(AE81,10/Parameters!$B$6),1)))</x:f>
        <x:v>1</x:v>
      </x:c>
      <x:c r="AZ81" s="40" t="n">
        <x:f>AS81*AX81*AY81</x:f>
        <x:v>-45599836.32572607</x:v>
      </x:c>
      <x:c r="BA81" s="40" t="n">
        <x:f>'Python_Trade_Output'!AZ81</x:f>
        <x:v>-45599836.32572607</x:v>
      </x:c>
      <x:c r="BB81" s="43" t="n">
        <x:f>AZ81-BA81</x:f>
        <x:v>0</x:v>
      </x:c>
    </x:row>
    <x:row r="82">
      <x:c r="A82" s="27" t="str">
        <x:f>'Inputs_Trades'!D82</x:f>
        <x:v>IND-000079</x:v>
      </x:c>
      <x:c r="B82" s="27" t="str">
        <x:f>'Inputs_Trades'!B82</x:f>
        <x:v>IND_CORPORATE_002</x:v>
      </x:c>
      <x:c r="C82" s="27" t="n">
        <x:f>'Inputs_Trades'!C82</x:f>
        <x:v>3187</x:v>
      </x:c>
      <x:c r="D82" s="27" t="str">
        <x:f>'Inputs_Trades'!E82</x:f>
        <x:v>FX Option</x:v>
      </x:c>
      <x:c r="E82" s="27" t="str">
        <x:f>'Inputs_Trades'!F82</x:f>
        <x:v>FX</x:v>
      </x:c>
      <x:c r="F82" s="27" t="n">
        <x:f>'Inputs_Trades'!G82</x:f>
        <x:v>0</x:v>
      </x:c>
      <x:c r="G82" s="27" t="str">
        <x:f>'Inputs_Trades'!J82</x:f>
        <x:v>USD</x:v>
      </x:c>
      <x:c r="H82" s="27" t="str">
        <x:f>'Inputs_Trades'!H82</x:f>
        <x:v>GBP</x:v>
      </x:c>
      <x:c r="I82" s="27" t="str">
        <x:f>'Inputs_Trades'!I82</x:f>
        <x:v>USD</x:v>
      </x:c>
      <x:c r="J82" s="27" t="str">
        <x:f>'Inputs_Trades'!M82</x:f>
        <x:v>GBP/USD</x:v>
      </x:c>
      <x:c r="K82" s="27" t="n">
        <x:f>'Inputs_Trades'!N82</x:f>
        <x:v>0</x:v>
      </x:c>
      <x:c r="L82" s="27" t="n">
        <x:f>'Inputs_Trades'!O82</x:f>
        <x:v>0</x:v>
      </x:c>
      <x:c r="M82" s="39" t="n">
        <x:f>'Inputs_Trades'!A82</x:f>
        <x:v>45702</x:v>
      </x:c>
      <x:c r="N82" s="39" t="n">
        <x:f>'Inputs_Trades'!P82</x:f>
        <x:v>47186</x:v>
      </x:c>
      <x:c r="O82" s="39" t="n">
        <x:f>'Inputs_Trades'!Q82</x:f>
        <x:v>45314</x:v>
      </x:c>
      <x:c r="P82" s="39" t="n">
        <x:f>'Inputs_Trades'!R82</x:f>
        <x:v>47186</x:v>
      </x:c>
      <x:c r="Q82" s="40" t="n">
        <x:f>'Inputs_Trades'!U82</x:f>
        <x:v>44600000</x:v>
      </x:c>
      <x:c r="R82" s="40" t="n">
        <x:f>'Inputs_Trades'!S82</x:f>
        <x:v>35680000</x:v>
      </x:c>
      <x:c r="S82" s="40" t="n">
        <x:f>'Inputs_Trades'!T82</x:f>
        <x:v>44600000</x:v>
      </x:c>
      <x:c r="T82" s="27" t="str">
        <x:f>'Inputs_Trades'!V82</x:f>
        <x:v>U</x:v>
      </x:c>
      <x:c r="U82" s="27" t="str">
        <x:f>'Inputs_Trades'!W82</x:f>
        <x:v>N</x:v>
      </x:c>
      <x:c r="V82" s="27" t="n">
        <x:f>'Inputs_Trades'!X82</x:f>
        <x:v>0</x:v>
      </x:c>
      <x:c r="W82" s="27" t="str">
        <x:f>'Inputs_Trades'!Y82</x:f>
        <x:v>B</x:v>
      </x:c>
      <x:c r="X82" s="27" t="str">
        <x:f>'Inputs_Trades'!AA82</x:f>
        <x:v>C</x:v>
      </x:c>
      <x:c r="Y82" s="27" t="n">
        <x:f>'Inputs_Trades'!AB82</x:f>
        <x:v>1.17876</x:v>
      </x:c>
      <x:c r="Z82" s="27" t="n">
        <x:f>'Inputs_Trades'!AC82</x:f>
        <x:v>1.254</x:v>
      </x:c>
      <x:c r="AA82" s="39" t="n">
        <x:f>'Inputs_Trades'!Z82</x:f>
        <x:v>46815</x:v>
      </x:c>
      <x:c r="AB82" s="40" t="n">
        <x:f>'Inputs_Trades'!AD82</x:f>
        <x:v>339183</x:v>
      </x:c>
      <x:c r="AC82" s="27" t="n">
        <x:f>'Inputs_Trades'!K82</x:f>
        <x:v>0</x:v>
      </x:c>
      <x:c r="AD82" s="27" t="n">
        <x:f>N82-M82</x:f>
        <x:v>1484</x:v>
      </x:c>
      <x:c r="AE82" s="41" t="n">
        <x:f>AD82/365</x:f>
        <x:v>4.065753424657534</x:v>
      </x:c>
      <x:c r="AF82" s="27" t="str">
        <x:f>IF(AE82&lt;1,"&lt;1Y",IF(AE82&lt;=5,"1Y-5Y","&gt;5Y"))</x:f>
        <x:v>1Y-5Y</x:v>
      </x:c>
      <x:c r="AG82" s="27" t="str">
        <x:f>IF(E82="Commodity",IFERROR(VLOOKUP(F82,Parameters!$P$4:$Q$12,2,FALSE),"Other"),"")</x:f>
      </x:c>
      <x:c r="AH82" s="27" t="str">
        <x:f>IF(F82="","Unknown",F82)</x:f>
        <x:v>Unknown</x:v>
      </x:c>
      <x:c r="AI82" s="27" t="str">
        <x:f>IF(E82="Interest Rate",G82&amp;IF(OR(LOWER(AC82)="basis",LOWER(AC82)="volatility"),"_"&amp;AC82,""),IF(E82="FX",IF(H82&lt;I82,H82&amp;"/"&amp;I82,I82&amp;"/"&amp;H82)&amp;IF(OR(LOWER(AC82)="basis",LOWER(AC82)="volatility"),"_"&amp;AC82,""),IF(OR(E82="Credit",E82="Equity"),J82&amp;IF(OR(LOWER(AC82)="basis",LOWER(AC82)="volatility"),"_"&amp;AC82,""),IF(E82="Commodity",AG82&amp;IF(OR(LOWER(AC82)="basis",LOWER(AC82)="volatility"),"_"&amp;AC82,""),"UNKNOWN"))))</x:f>
        <x:v>GBP/USD</x:v>
      </x:c>
      <x:c r="AJ82" s="27" t="str">
        <x:f>T82</x:f>
        <x:v>U</x:v>
      </x:c>
      <x:c r="AK82" s="41" t="n">
        <x:f>IF(E82="Interest Rate",VLOOKUP("Interest Rate",Parameters!$D$4:$E$12,2,FALSE),IF(E82="FX",VLOOKUP("FX",Parameters!$D$4:$E$12,2,FALSE),IF(E82="Credit",IFERROR(VLOOKUP(L82,Parameters!$G$4:$H$12,2,FALSE),VLOOKUP("BBB",Parameters!$G$4:$H$12,2,FALSE)),IF(E82="Equity",VLOOKUP(IF(LOWER(K82)="index","Equity Index","Equity Single Name"),Parameters!$D$4:$E$12,2,FALSE),IF(E82="Commodity",VLOOKUP(IFERROR(VLOOKUP(F82,Parameters!$S$4:$T$12,2,FALSE),"Commodity Other"),Parameters!$D$4:$E$12,2,FALSE),0)))))</x:f>
        <x:v>0.04</x:v>
      </x:c>
      <x:c r="AL82" s="42" t="n">
        <x:f>IF(LOWER(AC82)="basis",Parameters!$B$8,IF(LOWER(AC82)="volatility",Parameters!$B$9,1))</x:f>
        <x:v>1</x:v>
      </x:c>
      <x:c r="AM82" s="41" t="n">
        <x:f>AK82*AL82</x:f>
        <x:v>0.04</x:v>
      </x:c>
      <x:c r="AN82" s="42" t="str">
        <x:f>IF(E82="Credit",VLOOKUP(IF(LOWER(K82)="index","Credit Index","Credit Single Name"),Parameters!$J$4:$K$8,2,FALSE),IF(E82="Equity",VLOOKUP(IF(LOWER(K82)="index","Equity Index","Equity Single Name"),Parameters!$J$4:$K$8,2,FALSE),IF(E82="Commodity",VLOOKUP("Commodity",Parameters!$J$4:$K$8,2,FALSE),"")))</x:f>
      </x:c>
      <x:c r="AO82" s="27" t="n">
        <x:f>MAX((O82-M82)/365,0)</x:f>
        <x:v>0</x:v>
      </x:c>
      <x:c r="AP82" s="27" t="n">
        <x:f>MAX((P82-M82)/365,10/Parameters!$B$6)</x:f>
        <x:v>4.065753424657534</x:v>
      </x:c>
      <x:c r="AQ82" s="27" t="n">
        <x:f>IF(AP82&lt;=AO82,AO82+10/Parameters!$B$6,AP82)</x:f>
        <x:v>4.065753424657534</x:v>
      </x:c>
      <x:c r="AR82" s="41" t="n">
        <x:f>IF(OR(E82="Interest Rate",E82="Credit"),(EXP(-Parameters!$B$7*AO82)-EXP(-Parameters!$B$7*AQ82))/Parameters!$B$7,1)</x:f>
        <x:v>1</x:v>
      </x:c>
      <x:c r="AS82" s="40" t="n">
        <x:f>IF(OR(E82="Interest Rate",E82="Credit"),ABS(Q82)*AR82,IF(E82="FX",IF(Q82&gt;0,Q82,MAX(ABS(R82),ABS(S82),ABS(Q82))),ABS(Q82)))</x:f>
        <x:v>44600000</x:v>
      </x:c>
      <x:c r="AT82" s="42" t="n">
        <x:f>IF(OR(E82="Interest Rate",E82="FX"),VLOOKUP(E82,Parameters!$M$4:$N$11,2,FALSE),IF(E82="Credit",VLOOKUP(IF(LOWER(K82)="index","Credit Index","Credit Single Name"),Parameters!$M$4:$N$11,2,FALSE),IF(E82="Equity",VLOOKUP(IF(LOWER(K82)="index","Equity Index","Equity Single Name"),Parameters!$M$4:$N$11,2,FALSE),IF(E82="Commodity",VLOOKUP(IF(F82="Electricity","Commodity Electricity","Commodity Other"),Parameters!$M$4:$N$11,2,FALSE),1))))</x:f>
        <x:v>0.15</x:v>
      </x:c>
      <x:c r="AU82" s="27" t="n">
        <x:f>IF(W82="B",1,-1)</x:f>
        <x:v>1</x:v>
      </x:c>
      <x:c r="AV82" s="27" t="n">
        <x:f>IF(OR(AA82="",M82=""),MAX(AE82,1/365),MAX((AA82-M82)/365,1/365))</x:f>
        <x:v>3.0493150684931507</x:v>
      </x:c>
      <x:c r="AW82" s="41" t="n">
        <x:f>IF(OR(Z82&lt;=0,Y82&lt;=0,AT82&lt;=0,AV82&lt;=0),"",(LN(Z82/Y82)+0.5*AT82^2*AV82)/(AT82*SQRT(AV82)))</x:f>
        <x:v>0.3671920407551192</x:v>
      </x:c>
      <x:c r="AX82" s="41" t="n">
        <x:f>IF(AND(X82&lt;&gt;"C",X82&lt;&gt;"P"),AU82,IF(AW82="",AU82,IF(X82="C",AU82*0.5*(1+ERF(AW82/SQRT(2))),-AU82*0.5*(1+ERF(-AW82/SQRT(2))))))</x:f>
        <x:v>0.643262112070183</x:v>
      </x:c>
      <x:c r="AY82" s="41" t="n">
        <x:f>IF(AJ82="M",1.5*SQRT(MAX(IF(U82="Y",5,10),IF(V82="",10,V82))/Parameters!$B$6),SQRT(MIN(MAX(AE82,10/Parameters!$B$6),1)))</x:f>
        <x:v>1</x:v>
      </x:c>
      <x:c r="AZ82" s="40" t="n">
        <x:f>AS82*AX82*AY82</x:f>
        <x:v>28689490.198330164</x:v>
      </x:c>
      <x:c r="BA82" s="40" t="n">
        <x:f>'Python_Trade_Output'!AZ82</x:f>
        <x:v>28689490.198330164</x:v>
      </x:c>
      <x:c r="BB82" s="43" t="n">
        <x:f>AZ82-BA82</x:f>
        <x:v>0</x:v>
      </x:c>
    </x:row>
    <x:row r="83">
      <x:c r="A83" s="27" t="str">
        <x:f>'Inputs_Trades'!D83</x:f>
        <x:v>IND-000080</x:v>
      </x:c>
      <x:c r="B83" s="27" t="str">
        <x:f>'Inputs_Trades'!B83</x:f>
        <x:v>IND_INSURER_001</x:v>
      </x:c>
      <x:c r="C83" s="27" t="n">
        <x:f>'Inputs_Trades'!C83</x:f>
        <x:v>3094</x:v>
      </x:c>
      <x:c r="D83" s="27" t="str">
        <x:f>'Inputs_Trades'!E83</x:f>
        <x:v>FX Option</x:v>
      </x:c>
      <x:c r="E83" s="27" t="str">
        <x:f>'Inputs_Trades'!F83</x:f>
        <x:v>FX</x:v>
      </x:c>
      <x:c r="F83" s="27" t="n">
        <x:f>'Inputs_Trades'!G83</x:f>
        <x:v>0</x:v>
      </x:c>
      <x:c r="G83" s="27" t="str">
        <x:f>'Inputs_Trades'!J83</x:f>
        <x:v>USD</x:v>
      </x:c>
      <x:c r="H83" s="27" t="str">
        <x:f>'Inputs_Trades'!H83</x:f>
        <x:v>USD</x:v>
      </x:c>
      <x:c r="I83" s="27" t="str">
        <x:f>'Inputs_Trades'!I83</x:f>
        <x:v>JPY</x:v>
      </x:c>
      <x:c r="J83" s="27" t="str">
        <x:f>'Inputs_Trades'!M83</x:f>
        <x:v>USD/JPY</x:v>
      </x:c>
      <x:c r="K83" s="27" t="n">
        <x:f>'Inputs_Trades'!N83</x:f>
        <x:v>0</x:v>
      </x:c>
      <x:c r="L83" s="27" t="n">
        <x:f>'Inputs_Trades'!O83</x:f>
        <x:v>0</x:v>
      </x:c>
      <x:c r="M83" s="39" t="n">
        <x:f>'Inputs_Trades'!A83</x:f>
        <x:v>45702</x:v>
      </x:c>
      <x:c r="N83" s="39" t="n">
        <x:f>'Inputs_Trades'!P83</x:f>
        <x:v>47490</x:v>
      </x:c>
      <x:c r="O83" s="39" t="n">
        <x:f>'Inputs_Trades'!Q83</x:f>
        <x:v>45056</x:v>
      </x:c>
      <x:c r="P83" s="39" t="n">
        <x:f>'Inputs_Trades'!R83</x:f>
        <x:v>47490</x:v>
      </x:c>
      <x:c r="Q83" s="40" t="n">
        <x:f>'Inputs_Trades'!U83</x:f>
        <x:v>135000000</x:v>
      </x:c>
      <x:c r="R83" s="40" t="n">
        <x:f>'Inputs_Trades'!S83</x:f>
        <x:v>135000000</x:v>
      </x:c>
      <x:c r="S83" s="40" t="n">
        <x:f>'Inputs_Trades'!T83</x:f>
        <x:v>20149253731.34</x:v>
      </x:c>
      <x:c r="T83" s="27" t="str">
        <x:f>'Inputs_Trades'!V83</x:f>
        <x:v>U</x:v>
      </x:c>
      <x:c r="U83" s="27" t="str">
        <x:f>'Inputs_Trades'!W83</x:f>
        <x:v>N</x:v>
      </x:c>
      <x:c r="V83" s="27" t="n">
        <x:f>'Inputs_Trades'!X83</x:f>
        <x:v>0</x:v>
      </x:c>
      <x:c r="W83" s="27" t="str">
        <x:f>'Inputs_Trades'!Y83</x:f>
        <x:v>S</x:v>
      </x:c>
      <x:c r="X83" s="27" t="str">
        <x:f>'Inputs_Trades'!AA83</x:f>
        <x:v>C</x:v>
      </x:c>
      <x:c r="Y83" s="27" t="n">
        <x:f>'Inputs_Trades'!AB83</x:f>
        <x:v>1.33052</x:v>
      </x:c>
      <x:c r="Z83" s="27" t="n">
        <x:f>'Inputs_Trades'!AC83</x:f>
        <x:v>1.24</x:v>
      </x:c>
      <x:c r="AA83" s="39" t="n">
        <x:f>'Inputs_Trades'!Z83</x:f>
        <x:v>47043</x:v>
      </x:c>
      <x:c r="AB83" s="40" t="n">
        <x:f>'Inputs_Trades'!AD83</x:f>
        <x:v>121500</x:v>
      </x:c>
      <x:c r="AC83" s="27" t="n">
        <x:f>'Inputs_Trades'!K83</x:f>
        <x:v>0</x:v>
      </x:c>
      <x:c r="AD83" s="27" t="n">
        <x:f>N83-M83</x:f>
        <x:v>1788</x:v>
      </x:c>
      <x:c r="AE83" s="41" t="n">
        <x:f>AD83/365</x:f>
        <x:v>4.898630136986301</x:v>
      </x:c>
      <x:c r="AF83" s="27" t="str">
        <x:f>IF(AE83&lt;1,"&lt;1Y",IF(AE83&lt;=5,"1Y-5Y","&gt;5Y"))</x:f>
        <x:v>1Y-5Y</x:v>
      </x:c>
      <x:c r="AG83" s="27" t="str">
        <x:f>IF(E83="Commodity",IFERROR(VLOOKUP(F83,Parameters!$P$4:$Q$12,2,FALSE),"Other"),"")</x:f>
      </x:c>
      <x:c r="AH83" s="27" t="str">
        <x:f>IF(F83="","Unknown",F83)</x:f>
        <x:v>Unknown</x:v>
      </x:c>
      <x:c r="AI83" s="27" t="str">
        <x:f>IF(E83="Interest Rate",G83&amp;IF(OR(LOWER(AC83)="basis",LOWER(AC83)="volatility"),"_"&amp;AC83,""),IF(E83="FX",IF(H83&lt;I83,H83&amp;"/"&amp;I83,I83&amp;"/"&amp;H83)&amp;IF(OR(LOWER(AC83)="basis",LOWER(AC83)="volatility"),"_"&amp;AC83,""),IF(OR(E83="Credit",E83="Equity"),J83&amp;IF(OR(LOWER(AC83)="basis",LOWER(AC83)="volatility"),"_"&amp;AC83,""),IF(E83="Commodity",AG83&amp;IF(OR(LOWER(AC83)="basis",LOWER(AC83)="volatility"),"_"&amp;AC83,""),"UNKNOWN"))))</x:f>
        <x:v>JPY/USD</x:v>
      </x:c>
      <x:c r="AJ83" s="27" t="str">
        <x:f>T83</x:f>
        <x:v>U</x:v>
      </x:c>
      <x:c r="AK83" s="41" t="n">
        <x:f>IF(E83="Interest Rate",VLOOKUP("Interest Rate",Parameters!$D$4:$E$12,2,FALSE),IF(E83="FX",VLOOKUP("FX",Parameters!$D$4:$E$12,2,FALSE),IF(E83="Credit",IFERROR(VLOOKUP(L83,Parameters!$G$4:$H$12,2,FALSE),VLOOKUP("BBB",Parameters!$G$4:$H$12,2,FALSE)),IF(E83="Equity",VLOOKUP(IF(LOWER(K83)="index","Equity Index","Equity Single Name"),Parameters!$D$4:$E$12,2,FALSE),IF(E83="Commodity",VLOOKUP(IFERROR(VLOOKUP(F83,Parameters!$S$4:$T$12,2,FALSE),"Commodity Other"),Parameters!$D$4:$E$12,2,FALSE),0)))))</x:f>
        <x:v>0.04</x:v>
      </x:c>
      <x:c r="AL83" s="42" t="n">
        <x:f>IF(LOWER(AC83)="basis",Parameters!$B$8,IF(LOWER(AC83)="volatility",Parameters!$B$9,1))</x:f>
        <x:v>1</x:v>
      </x:c>
      <x:c r="AM83" s="41" t="n">
        <x:f>AK83*AL83</x:f>
        <x:v>0.04</x:v>
      </x:c>
      <x:c r="AN83" s="42" t="str">
        <x:f>IF(E83="Credit",VLOOKUP(IF(LOWER(K83)="index","Credit Index","Credit Single Name"),Parameters!$J$4:$K$8,2,FALSE),IF(E83="Equity",VLOOKUP(IF(LOWER(K83)="index","Equity Index","Equity Single Name"),Parameters!$J$4:$K$8,2,FALSE),IF(E83="Commodity",VLOOKUP("Commodity",Parameters!$J$4:$K$8,2,FALSE),"")))</x:f>
      </x:c>
      <x:c r="AO83" s="27" t="n">
        <x:f>MAX((O83-M83)/365,0)</x:f>
        <x:v>0</x:v>
      </x:c>
      <x:c r="AP83" s="27" t="n">
        <x:f>MAX((P83-M83)/365,10/Parameters!$B$6)</x:f>
        <x:v>4.898630136986301</x:v>
      </x:c>
      <x:c r="AQ83" s="27" t="n">
        <x:f>IF(AP83&lt;=AO83,AO83+10/Parameters!$B$6,AP83)</x:f>
        <x:v>4.898630136986301</x:v>
      </x:c>
      <x:c r="AR83" s="41" t="n">
        <x:f>IF(OR(E83="Interest Rate",E83="Credit"),(EXP(-Parameters!$B$7*AO83)-EXP(-Parameters!$B$7*AQ83))/Parameters!$B$7,1)</x:f>
        <x:v>1</x:v>
      </x:c>
      <x:c r="AS83" s="40" t="n">
        <x:f>IF(OR(E83="Interest Rate",E83="Credit"),ABS(Q83)*AR83,IF(E83="FX",IF(Q83&gt;0,Q83,MAX(ABS(R83),ABS(S83),ABS(Q83))),ABS(Q83)))</x:f>
        <x:v>135000000</x:v>
      </x:c>
      <x:c r="AT83" s="42" t="n">
        <x:f>IF(OR(E83="Interest Rate",E83="FX"),VLOOKUP(E83,Parameters!$M$4:$N$11,2,FALSE),IF(E83="Credit",VLOOKUP(IF(LOWER(K83)="index","Credit Index","Credit Single Name"),Parameters!$M$4:$N$11,2,FALSE),IF(E83="Equity",VLOOKUP(IF(LOWER(K83)="index","Equity Index","Equity Single Name"),Parameters!$M$4:$N$11,2,FALSE),IF(E83="Commodity",VLOOKUP(IF(F83="Electricity","Commodity Electricity","Commodity Other"),Parameters!$M$4:$N$11,2,FALSE),1))))</x:f>
        <x:v>0.15</x:v>
      </x:c>
      <x:c r="AU83" s="27" t="n">
        <x:f>IF(W83="B",1,-1)</x:f>
        <x:v>-1</x:v>
      </x:c>
      <x:c r="AV83" s="27" t="n">
        <x:f>IF(OR(AA83="",M83=""),MAX(AE83,1/365),MAX((AA83-M83)/365,1/365))</x:f>
        <x:v>3.673972602739726</x:v>
      </x:c>
      <x:c r="AW83" s="41" t="n">
        <x:f>IF(OR(Z83&lt;=0,Y83&lt;=0,AT83&lt;=0,AV83&lt;=0),"",(LN(Z83/Y83)+0.5*AT83^2*AV83)/(AT83*SQRT(AV83)))</x:f>
        <x:v>-0.10130378757576156</x:v>
      </x:c>
      <x:c r="AX83" s="41" t="n">
        <x:f>IF(AND(X83&lt;&gt;"C",X83&lt;&gt;"P"),AU83,IF(AW83="",AU83,IF(X83="C",AU83*0.5*(1+ERF(AW83/SQRT(2))),-AU83*0.5*(1+ERF(-AW83/SQRT(2))))))</x:f>
        <x:v>-0.4596546548067764</x:v>
      </x:c>
      <x:c r="AY83" s="41" t="n">
        <x:f>IF(AJ83="M",1.5*SQRT(MAX(IF(U83="Y",5,10),IF(V83="",10,V83))/Parameters!$B$6),SQRT(MIN(MAX(AE83,10/Parameters!$B$6),1)))</x:f>
        <x:v>1</x:v>
      </x:c>
      <x:c r="AZ83" s="40" t="n">
        <x:f>AS83*AX83*AY83</x:f>
        <x:v>-62053378.398914814</x:v>
      </x:c>
      <x:c r="BA83" s="40" t="n">
        <x:f>'Python_Trade_Output'!AZ83</x:f>
        <x:v>-62053378.39891481</x:v>
      </x:c>
      <x:c r="BB83" s="43" t="n">
        <x:f>AZ83-BA83</x:f>
        <x:v>-7.450580596923828e-9</x:v>
      </x:c>
    </x:row>
    <x:row r="84">
      <x:c r="A84" s="27" t="str">
        <x:f>'Inputs_Trades'!D84</x:f>
        <x:v>IND-000081</x:v>
      </x:c>
      <x:c r="B84" s="27" t="str">
        <x:f>'Inputs_Trades'!B84</x:f>
        <x:v>IND_BANK_001</x:v>
      </x:c>
      <x:c r="C84" s="27" t="n">
        <x:f>'Inputs_Trades'!C84</x:f>
        <x:v>3214</x:v>
      </x:c>
      <x:c r="D84" s="27" t="str">
        <x:f>'Inputs_Trades'!E84</x:f>
        <x:v>FX Option</x:v>
      </x:c>
      <x:c r="E84" s="27" t="str">
        <x:f>'Inputs_Trades'!F84</x:f>
        <x:v>FX</x:v>
      </x:c>
      <x:c r="F84" s="27" t="n">
        <x:f>'Inputs_Trades'!G84</x:f>
        <x:v>0</x:v>
      </x:c>
      <x:c r="G84" s="27" t="str">
        <x:f>'Inputs_Trades'!J84</x:f>
        <x:v>USD</x:v>
      </x:c>
      <x:c r="H84" s="27" t="str">
        <x:f>'Inputs_Trades'!H84</x:f>
        <x:v>USD</x:v>
      </x:c>
      <x:c r="I84" s="27" t="str">
        <x:f>'Inputs_Trades'!I84</x:f>
        <x:v>CNY</x:v>
      </x:c>
      <x:c r="J84" s="27" t="str">
        <x:f>'Inputs_Trades'!M84</x:f>
        <x:v>USD/CNY</x:v>
      </x:c>
      <x:c r="K84" s="27" t="n">
        <x:f>'Inputs_Trades'!N84</x:f>
        <x:v>0</x:v>
      </x:c>
      <x:c r="L84" s="27" t="n">
        <x:f>'Inputs_Trades'!O84</x:f>
        <x:v>0</x:v>
      </x:c>
      <x:c r="M84" s="39" t="n">
        <x:f>'Inputs_Trades'!A84</x:f>
        <x:v>45702</x:v>
      </x:c>
      <x:c r="N84" s="39" t="n">
        <x:f>'Inputs_Trades'!P84</x:f>
        <x:v>46378</x:v>
      </x:c>
      <x:c r="O84" s="39" t="n">
        <x:f>'Inputs_Trades'!Q84</x:f>
        <x:v>45127</x:v>
      </x:c>
      <x:c r="P84" s="39" t="n">
        <x:f>'Inputs_Trades'!R84</x:f>
        <x:v>46378</x:v>
      </x:c>
      <x:c r="Q84" s="40" t="n">
        <x:f>'Inputs_Trades'!U84</x:f>
        <x:v>1000000</x:v>
      </x:c>
      <x:c r="R84" s="40" t="n">
        <x:f>'Inputs_Trades'!S84</x:f>
        <x:v>1000000</x:v>
      </x:c>
      <x:c r="S84" s="40" t="n">
        <x:f>'Inputs_Trades'!T84</x:f>
        <x:v>7142857.14</x:v>
      </x:c>
      <x:c r="T84" s="27" t="str">
        <x:f>'Inputs_Trades'!V84</x:f>
        <x:v>U</x:v>
      </x:c>
      <x:c r="U84" s="27" t="str">
        <x:f>'Inputs_Trades'!W84</x:f>
        <x:v>N</x:v>
      </x:c>
      <x:c r="V84" s="27" t="n">
        <x:f>'Inputs_Trades'!X84</x:f>
        <x:v>0</x:v>
      </x:c>
      <x:c r="W84" s="27" t="str">
        <x:f>'Inputs_Trades'!Y84</x:f>
        <x:v>B</x:v>
      </x:c>
      <x:c r="X84" s="27" t="str">
        <x:f>'Inputs_Trades'!AA84</x:f>
        <x:v>C</x:v>
      </x:c>
      <x:c r="Y84" s="27" t="n">
        <x:f>'Inputs_Trades'!AB84</x:f>
        <x:v>7.5544</x:v>
      </x:c>
      <x:c r="Z84" s="27" t="n">
        <x:f>'Inputs_Trades'!AC84</x:f>
        <x:v>7.1</x:v>
      </x:c>
      <x:c r="AA84" s="39" t="n">
        <x:f>'Inputs_Trades'!Z84</x:f>
        <x:v>46209</x:v>
      </x:c>
      <x:c r="AB84" s="40" t="n">
        <x:f>'Inputs_Trades'!AD84</x:f>
        <x:v>-8235</x:v>
      </x:c>
      <x:c r="AC84" s="27" t="n">
        <x:f>'Inputs_Trades'!K84</x:f>
        <x:v>0</x:v>
      </x:c>
      <x:c r="AD84" s="27" t="n">
        <x:f>N84-M84</x:f>
        <x:v>676</x:v>
      </x:c>
      <x:c r="AE84" s="41" t="n">
        <x:f>AD84/365</x:f>
        <x:v>1.8520547945205479</x:v>
      </x:c>
      <x:c r="AF84" s="27" t="str">
        <x:f>IF(AE84&lt;1,"&lt;1Y",IF(AE84&lt;=5,"1Y-5Y","&gt;5Y"))</x:f>
        <x:v>1Y-5Y</x:v>
      </x:c>
      <x:c r="AG84" s="27" t="str">
        <x:f>IF(E84="Commodity",IFERROR(VLOOKUP(F84,Parameters!$P$4:$Q$12,2,FALSE),"Other"),"")</x:f>
      </x:c>
      <x:c r="AH84" s="27" t="str">
        <x:f>IF(F84="","Unknown",F84)</x:f>
        <x:v>Unknown</x:v>
      </x:c>
      <x:c r="AI84" s="27" t="str">
        <x:f>IF(E84="Interest Rate",G84&amp;IF(OR(LOWER(AC84)="basis",LOWER(AC84)="volatility"),"_"&amp;AC84,""),IF(E84="FX",IF(H84&lt;I84,H84&amp;"/"&amp;I84,I84&amp;"/"&amp;H84)&amp;IF(OR(LOWER(AC84)="basis",LOWER(AC84)="volatility"),"_"&amp;AC84,""),IF(OR(E84="Credit",E84="Equity"),J84&amp;IF(OR(LOWER(AC84)="basis",LOWER(AC84)="volatility"),"_"&amp;AC84,""),IF(E84="Commodity",AG84&amp;IF(OR(LOWER(AC84)="basis",LOWER(AC84)="volatility"),"_"&amp;AC84,""),"UNKNOWN"))))</x:f>
        <x:v>CNY/USD</x:v>
      </x:c>
      <x:c r="AJ84" s="27" t="str">
        <x:f>T84</x:f>
        <x:v>U</x:v>
      </x:c>
      <x:c r="AK84" s="41" t="n">
        <x:f>IF(E84="Interest Rate",VLOOKUP("Interest Rate",Parameters!$D$4:$E$12,2,FALSE),IF(E84="FX",VLOOKUP("FX",Parameters!$D$4:$E$12,2,FALSE),IF(E84="Credit",IFERROR(VLOOKUP(L84,Parameters!$G$4:$H$12,2,FALSE),VLOOKUP("BBB",Parameters!$G$4:$H$12,2,FALSE)),IF(E84="Equity",VLOOKUP(IF(LOWER(K84)="index","Equity Index","Equity Single Name"),Parameters!$D$4:$E$12,2,FALSE),IF(E84="Commodity",VLOOKUP(IFERROR(VLOOKUP(F84,Parameters!$S$4:$T$12,2,FALSE),"Commodity Other"),Parameters!$D$4:$E$12,2,FALSE),0)))))</x:f>
        <x:v>0.04</x:v>
      </x:c>
      <x:c r="AL84" s="42" t="n">
        <x:f>IF(LOWER(AC84)="basis",Parameters!$B$8,IF(LOWER(AC84)="volatility",Parameters!$B$9,1))</x:f>
        <x:v>1</x:v>
      </x:c>
      <x:c r="AM84" s="41" t="n">
        <x:f>AK84*AL84</x:f>
        <x:v>0.04</x:v>
      </x:c>
      <x:c r="AN84" s="42" t="str">
        <x:f>IF(E84="Credit",VLOOKUP(IF(LOWER(K84)="index","Credit Index","Credit Single Name"),Parameters!$J$4:$K$8,2,FALSE),IF(E84="Equity",VLOOKUP(IF(LOWER(K84)="index","Equity Index","Equity Single Name"),Parameters!$J$4:$K$8,2,FALSE),IF(E84="Commodity",VLOOKUP("Commodity",Parameters!$J$4:$K$8,2,FALSE),"")))</x:f>
      </x:c>
      <x:c r="AO84" s="27" t="n">
        <x:f>MAX((O84-M84)/365,0)</x:f>
        <x:v>0</x:v>
      </x:c>
      <x:c r="AP84" s="27" t="n">
        <x:f>MAX((P84-M84)/365,10/Parameters!$B$6)</x:f>
        <x:v>1.8520547945205479</x:v>
      </x:c>
      <x:c r="AQ84" s="27" t="n">
        <x:f>IF(AP84&lt;=AO84,AO84+10/Parameters!$B$6,AP84)</x:f>
        <x:v>1.8520547945205479</x:v>
      </x:c>
      <x:c r="AR84" s="41" t="n">
        <x:f>IF(OR(E84="Interest Rate",E84="Credit"),(EXP(-Parameters!$B$7*AO84)-EXP(-Parameters!$B$7*AQ84))/Parameters!$B$7,1)</x:f>
        <x:v>1</x:v>
      </x:c>
      <x:c r="AS84" s="40" t="n">
        <x:f>IF(OR(E84="Interest Rate",E84="Credit"),ABS(Q84)*AR84,IF(E84="FX",IF(Q84&gt;0,Q84,MAX(ABS(R84),ABS(S84),ABS(Q84))),ABS(Q84)))</x:f>
        <x:v>1000000</x:v>
      </x:c>
      <x:c r="AT84" s="42" t="n">
        <x:f>IF(OR(E84="Interest Rate",E84="FX"),VLOOKUP(E84,Parameters!$M$4:$N$11,2,FALSE),IF(E84="Credit",VLOOKUP(IF(LOWER(K84)="index","Credit Index","Credit Single Name"),Parameters!$M$4:$N$11,2,FALSE),IF(E84="Equity",VLOOKUP(IF(LOWER(K84)="index","Equity Index","Equity Single Name"),Parameters!$M$4:$N$11,2,FALSE),IF(E84="Commodity",VLOOKUP(IF(F84="Electricity","Commodity Electricity","Commodity Other"),Parameters!$M$4:$N$11,2,FALSE),1))))</x:f>
        <x:v>0.15</x:v>
      </x:c>
      <x:c r="AU84" s="27" t="n">
        <x:f>IF(W84="B",1,-1)</x:f>
        <x:v>1</x:v>
      </x:c>
      <x:c r="AV84" s="27" t="n">
        <x:f>IF(OR(AA84="",M84=""),MAX(AE84,1/365),MAX((AA84-M84)/365,1/365))</x:f>
        <x:v>1.389041095890411</x:v>
      </x:c>
      <x:c r="AW84" s="41" t="n">
        <x:f>IF(OR(Z84&lt;=0,Y84&lt;=0,AT84&lt;=0,AV84&lt;=0),"",(LN(Z84/Y84)+0.5*AT84^2*AV84)/(AT84*SQRT(AV84)))</x:f>
        <x:v>-0.2625127468330134</x:v>
      </x:c>
      <x:c r="AX84" s="41" t="n">
        <x:f>IF(AND(X84&lt;&gt;"C",X84&lt;&gt;"P"),AU84,IF(AW84="",AU84,IF(X84="C",AU84*0.5*(1+ERF(AW84/SQRT(2))),-AU84*0.5*(1+ERF(-AW84/SQRT(2))))))</x:f>
        <x:v>0.39646307965559385</x:v>
      </x:c>
      <x:c r="AY84" s="41" t="n">
        <x:f>IF(AJ84="M",1.5*SQRT(MAX(IF(U84="Y",5,10),IF(V84="",10,V84))/Parameters!$B$6),SQRT(MIN(MAX(AE84,10/Parameters!$B$6),1)))</x:f>
        <x:v>1</x:v>
      </x:c>
      <x:c r="AZ84" s="40" t="n">
        <x:f>AS84*AX84*AY84</x:f>
        <x:v>396463.07965559384</x:v>
      </x:c>
      <x:c r="BA84" s="40" t="n">
        <x:f>'Python_Trade_Output'!AZ84</x:f>
        <x:v>396463.07965559396</x:v>
      </x:c>
      <x:c r="BB84" s="43" t="n">
        <x:f>AZ84-BA84</x:f>
        <x:v>-1.1641532182693481e-10</x:v>
      </x:c>
    </x:row>
    <x:row r="85">
      <x:c r="A85" s="27" t="str">
        <x:f>'Inputs_Trades'!D85</x:f>
        <x:v>IND-000082</x:v>
      </x:c>
      <x:c r="B85" s="27" t="str">
        <x:f>'Inputs_Trades'!B85</x:f>
        <x:v>IND_BROKER_001</x:v>
      </x:c>
      <x:c r="C85" s="27" t="n">
        <x:f>'Inputs_Trades'!C85</x:f>
        <x:v>3276</x:v>
      </x:c>
      <x:c r="D85" s="27" t="str">
        <x:f>'Inputs_Trades'!E85</x:f>
        <x:v>FX Option</x:v>
      </x:c>
      <x:c r="E85" s="27" t="str">
        <x:f>'Inputs_Trades'!F85</x:f>
        <x:v>FX</x:v>
      </x:c>
      <x:c r="F85" s="27" t="n">
        <x:f>'Inputs_Trades'!G85</x:f>
        <x:v>0</x:v>
      </x:c>
      <x:c r="G85" s="27" t="str">
        <x:f>'Inputs_Trades'!J85</x:f>
        <x:v>USD</x:v>
      </x:c>
      <x:c r="H85" s="27" t="str">
        <x:f>'Inputs_Trades'!H85</x:f>
        <x:v>GBP</x:v>
      </x:c>
      <x:c r="I85" s="27" t="str">
        <x:f>'Inputs_Trades'!I85</x:f>
        <x:v>USD</x:v>
      </x:c>
      <x:c r="J85" s="27" t="str">
        <x:f>'Inputs_Trades'!M85</x:f>
        <x:v>GBP/USD</x:v>
      </x:c>
      <x:c r="K85" s="27" t="n">
        <x:f>'Inputs_Trades'!N85</x:f>
        <x:v>0</x:v>
      </x:c>
      <x:c r="L85" s="27" t="n">
        <x:f>'Inputs_Trades'!O85</x:f>
        <x:v>0</x:v>
      </x:c>
      <x:c r="M85" s="39" t="n">
        <x:f>'Inputs_Trades'!A85</x:f>
        <x:v>45702</x:v>
      </x:c>
      <x:c r="N85" s="39" t="n">
        <x:f>'Inputs_Trades'!P85</x:f>
        <x:v>47464</x:v>
      </x:c>
      <x:c r="O85" s="39" t="n">
        <x:f>'Inputs_Trades'!Q85</x:f>
        <x:v>45069</x:v>
      </x:c>
      <x:c r="P85" s="39" t="n">
        <x:f>'Inputs_Trades'!R85</x:f>
        <x:v>47464</x:v>
      </x:c>
      <x:c r="Q85" s="40" t="n">
        <x:f>'Inputs_Trades'!U85</x:f>
        <x:v>132000000</x:v>
      </x:c>
      <x:c r="R85" s="40" t="n">
        <x:f>'Inputs_Trades'!S85</x:f>
        <x:v>105600000</x:v>
      </x:c>
      <x:c r="S85" s="40" t="n">
        <x:f>'Inputs_Trades'!T85</x:f>
        <x:v>132000000</x:v>
      </x:c>
      <x:c r="T85" s="27" t="str">
        <x:f>'Inputs_Trades'!V85</x:f>
        <x:v>M</x:v>
      </x:c>
      <x:c r="U85" s="27" t="str">
        <x:f>'Inputs_Trades'!W85</x:f>
        <x:v>N</x:v>
      </x:c>
      <x:c r="V85" s="27" t="n">
        <x:f>'Inputs_Trades'!X85</x:f>
        <x:v>10</x:v>
      </x:c>
      <x:c r="W85" s="27" t="str">
        <x:f>'Inputs_Trades'!Y85</x:f>
        <x:v>S</x:v>
      </x:c>
      <x:c r="X85" s="27" t="str">
        <x:f>'Inputs_Trades'!AA85</x:f>
        <x:v>C</x:v>
      </x:c>
      <x:c r="Y85" s="27" t="n">
        <x:f>'Inputs_Trades'!AB85</x:f>
        <x:v>1.05569</x:v>
      </x:c>
      <x:c r="Z85" s="27" t="n">
        <x:f>'Inputs_Trades'!AC85</x:f>
        <x:v>1.145</x:v>
      </x:c>
      <x:c r="AA85" s="39" t="n">
        <x:f>'Inputs_Trades'!Z85</x:f>
        <x:v>47023</x:v>
      </x:c>
      <x:c r="AB85" s="40" t="n">
        <x:f>'Inputs_Trades'!AD85</x:f>
        <x:v>1732500</x:v>
      </x:c>
      <x:c r="AC85" s="27" t="n">
        <x:f>'Inputs_Trades'!K85</x:f>
        <x:v>0</x:v>
      </x:c>
      <x:c r="AD85" s="27" t="n">
        <x:f>N85-M85</x:f>
        <x:v>1762</x:v>
      </x:c>
      <x:c r="AE85" s="41" t="n">
        <x:f>AD85/365</x:f>
        <x:v>4.8273972602739725</x:v>
      </x:c>
      <x:c r="AF85" s="27" t="str">
        <x:f>IF(AE85&lt;1,"&lt;1Y",IF(AE85&lt;=5,"1Y-5Y","&gt;5Y"))</x:f>
        <x:v>1Y-5Y</x:v>
      </x:c>
      <x:c r="AG85" s="27" t="str">
        <x:f>IF(E85="Commodity",IFERROR(VLOOKUP(F85,Parameters!$P$4:$Q$12,2,FALSE),"Other"),"")</x:f>
      </x:c>
      <x:c r="AH85" s="27" t="str">
        <x:f>IF(F85="","Unknown",F85)</x:f>
        <x:v>Unknown</x:v>
      </x:c>
      <x:c r="AI85" s="27" t="str">
        <x:f>IF(E85="Interest Rate",G85&amp;IF(OR(LOWER(AC85)="basis",LOWER(AC85)="volatility"),"_"&amp;AC85,""),IF(E85="FX",IF(H85&lt;I85,H85&amp;"/"&amp;I85,I85&amp;"/"&amp;H85)&amp;IF(OR(LOWER(AC85)="basis",LOWER(AC85)="volatility"),"_"&amp;AC85,""),IF(OR(E85="Credit",E85="Equity"),J85&amp;IF(OR(LOWER(AC85)="basis",LOWER(AC85)="volatility"),"_"&amp;AC85,""),IF(E85="Commodity",AG85&amp;IF(OR(LOWER(AC85)="basis",LOWER(AC85)="volatility"),"_"&amp;AC85,""),"UNKNOWN"))))</x:f>
        <x:v>GBP/USD</x:v>
      </x:c>
      <x:c r="AJ85" s="27" t="str">
        <x:f>T85</x:f>
        <x:v>M</x:v>
      </x:c>
      <x:c r="AK85" s="41" t="n">
        <x:f>IF(E85="Interest Rate",VLOOKUP("Interest Rate",Parameters!$D$4:$E$12,2,FALSE),IF(E85="FX",VLOOKUP("FX",Parameters!$D$4:$E$12,2,FALSE),IF(E85="Credit",IFERROR(VLOOKUP(L85,Parameters!$G$4:$H$12,2,FALSE),VLOOKUP("BBB",Parameters!$G$4:$H$12,2,FALSE)),IF(E85="Equity",VLOOKUP(IF(LOWER(K85)="index","Equity Index","Equity Single Name"),Parameters!$D$4:$E$12,2,FALSE),IF(E85="Commodity",VLOOKUP(IFERROR(VLOOKUP(F85,Parameters!$S$4:$T$12,2,FALSE),"Commodity Other"),Parameters!$D$4:$E$12,2,FALSE),0)))))</x:f>
        <x:v>0.04</x:v>
      </x:c>
      <x:c r="AL85" s="42" t="n">
        <x:f>IF(LOWER(AC85)="basis",Parameters!$B$8,IF(LOWER(AC85)="volatility",Parameters!$B$9,1))</x:f>
        <x:v>1</x:v>
      </x:c>
      <x:c r="AM85" s="41" t="n">
        <x:f>AK85*AL85</x:f>
        <x:v>0.04</x:v>
      </x:c>
      <x:c r="AN85" s="42" t="str">
        <x:f>IF(E85="Credit",VLOOKUP(IF(LOWER(K85)="index","Credit Index","Credit Single Name"),Parameters!$J$4:$K$8,2,FALSE),IF(E85="Equity",VLOOKUP(IF(LOWER(K85)="index","Equity Index","Equity Single Name"),Parameters!$J$4:$K$8,2,FALSE),IF(E85="Commodity",VLOOKUP("Commodity",Parameters!$J$4:$K$8,2,FALSE),"")))</x:f>
      </x:c>
      <x:c r="AO85" s="27" t="n">
        <x:f>MAX((O85-M85)/365,0)</x:f>
        <x:v>0</x:v>
      </x:c>
      <x:c r="AP85" s="27" t="n">
        <x:f>MAX((P85-M85)/365,10/Parameters!$B$6)</x:f>
        <x:v>4.8273972602739725</x:v>
      </x:c>
      <x:c r="AQ85" s="27" t="n">
        <x:f>IF(AP85&lt;=AO85,AO85+10/Parameters!$B$6,AP85)</x:f>
        <x:v>4.8273972602739725</x:v>
      </x:c>
      <x:c r="AR85" s="41" t="n">
        <x:f>IF(OR(E85="Interest Rate",E85="Credit"),(EXP(-Parameters!$B$7*AO85)-EXP(-Parameters!$B$7*AQ85))/Parameters!$B$7,1)</x:f>
        <x:v>1</x:v>
      </x:c>
      <x:c r="AS85" s="40" t="n">
        <x:f>IF(OR(E85="Interest Rate",E85="Credit"),ABS(Q85)*AR85,IF(E85="FX",IF(Q85&gt;0,Q85,MAX(ABS(R85),ABS(S85),ABS(Q85))),ABS(Q85)))</x:f>
        <x:v>132000000</x:v>
      </x:c>
      <x:c r="AT85" s="42" t="n">
        <x:f>IF(OR(E85="Interest Rate",E85="FX"),VLOOKUP(E85,Parameters!$M$4:$N$11,2,FALSE),IF(E85="Credit",VLOOKUP(IF(LOWER(K85)="index","Credit Index","Credit Single Name"),Parameters!$M$4:$N$11,2,FALSE),IF(E85="Equity",VLOOKUP(IF(LOWER(K85)="index","Equity Index","Equity Single Name"),Parameters!$M$4:$N$11,2,FALSE),IF(E85="Commodity",VLOOKUP(IF(F85="Electricity","Commodity Electricity","Commodity Other"),Parameters!$M$4:$N$11,2,FALSE),1))))</x:f>
        <x:v>0.15</x:v>
      </x:c>
      <x:c r="AU85" s="27" t="n">
        <x:f>IF(W85="B",1,-1)</x:f>
        <x:v>-1</x:v>
      </x:c>
      <x:c r="AV85" s="27" t="n">
        <x:f>IF(OR(AA85="",M85=""),MAX(AE85,1/365),MAX((AA85-M85)/365,1/365))</x:f>
        <x:v>3.6191780821917807</x:v>
      </x:c>
      <x:c r="AW85" s="41" t="n">
        <x:f>IF(OR(Z85&lt;=0,Y85&lt;=0,AT85&lt;=0,AV85&lt;=0),"",(LN(Z85/Y85)+0.5*AT85^2*AV85)/(AT85*SQRT(AV85)))</x:f>
        <x:v>0.4272670574389634</x:v>
      </x:c>
      <x:c r="AX85" s="41" t="n">
        <x:f>IF(AND(X85&lt;&gt;"C",X85&lt;&gt;"P"),AU85,IF(AW85="",AU85,IF(X85="C",AU85*0.5*(1+ERF(AW85/SQRT(2))),-AU85*0.5*(1+ERF(-AW85/SQRT(2))))))</x:f>
        <x:v>-0.6654075879735786</x:v>
      </x:c>
      <x:c r="AY85" s="41" t="n">
        <x:f>IF(AJ85="M",1.5*SQRT(MAX(IF(U85="Y",5,10),IF(V85="",10,V85))/Parameters!$B$6),SQRT(MIN(MAX(AE85,10/Parameters!$B$6),1)))</x:f>
        <x:v>0.30000000000000004</x:v>
      </x:c>
      <x:c r="AZ85" s="40" t="n">
        <x:f>AS85*AX85*AY85</x:f>
        <x:v>-26350140.483753715</x:v>
      </x:c>
      <x:c r="BA85" s="40" t="n">
        <x:f>'Python_Trade_Output'!AZ85</x:f>
        <x:v>-26350140.48375372</x:v>
      </x:c>
      <x:c r="BB85" s="43" t="n">
        <x:f>AZ85-BA85</x:f>
        <x:v>3.725290298461914e-9</x:v>
      </x:c>
    </x:row>
    <x:row r="86">
      <x:c r="A86" s="27" t="str">
        <x:f>'Inputs_Trades'!D86</x:f>
        <x:v>IND-000083</x:v>
      </x:c>
      <x:c r="B86" s="27" t="str">
        <x:f>'Inputs_Trades'!B86</x:f>
        <x:v>IND_HEDGE_FUND_001</x:v>
      </x:c>
      <x:c r="C86" s="27" t="n">
        <x:f>'Inputs_Trades'!C86</x:f>
        <x:v>3205</x:v>
      </x:c>
      <x:c r="D86" s="27" t="str">
        <x:f>'Inputs_Trades'!E86</x:f>
        <x:v>FX Option</x:v>
      </x:c>
      <x:c r="E86" s="27" t="str">
        <x:f>'Inputs_Trades'!F86</x:f>
        <x:v>FX</x:v>
      </x:c>
      <x:c r="F86" s="27" t="n">
        <x:f>'Inputs_Trades'!G86</x:f>
        <x:v>0</x:v>
      </x:c>
      <x:c r="G86" s="27" t="str">
        <x:f>'Inputs_Trades'!J86</x:f>
        <x:v>USD</x:v>
      </x:c>
      <x:c r="H86" s="27" t="str">
        <x:f>'Inputs_Trades'!H86</x:f>
        <x:v>USD</x:v>
      </x:c>
      <x:c r="I86" s="27" t="str">
        <x:f>'Inputs_Trades'!I86</x:f>
        <x:v>CNY</x:v>
      </x:c>
      <x:c r="J86" s="27" t="str">
        <x:f>'Inputs_Trades'!M86</x:f>
        <x:v>USD/CNY</x:v>
      </x:c>
      <x:c r="K86" s="27" t="n">
        <x:f>'Inputs_Trades'!N86</x:f>
        <x:v>0</x:v>
      </x:c>
      <x:c r="L86" s="27" t="n">
        <x:f>'Inputs_Trades'!O86</x:f>
        <x:v>0</x:v>
      </x:c>
      <x:c r="M86" s="39" t="n">
        <x:f>'Inputs_Trades'!A86</x:f>
        <x:v>45702</x:v>
      </x:c>
      <x:c r="N86" s="39" t="n">
        <x:f>'Inputs_Trades'!P86</x:f>
        <x:v>46058</x:v>
      </x:c>
      <x:c r="O86" s="39" t="n">
        <x:f>'Inputs_Trades'!Q86</x:f>
        <x:v>44927</x:v>
      </x:c>
      <x:c r="P86" s="39" t="n">
        <x:f>'Inputs_Trades'!R86</x:f>
        <x:v>46058</x:v>
      </x:c>
      <x:c r="Q86" s="40" t="n">
        <x:f>'Inputs_Trades'!U86</x:f>
        <x:v>44100000</x:v>
      </x:c>
      <x:c r="R86" s="40" t="n">
        <x:f>'Inputs_Trades'!S86</x:f>
        <x:v>44100000</x:v>
      </x:c>
      <x:c r="S86" s="40" t="n">
        <x:f>'Inputs_Trades'!T86</x:f>
        <x:v>315000000</x:v>
      </x:c>
      <x:c r="T86" s="27" t="str">
        <x:f>'Inputs_Trades'!V86</x:f>
        <x:v>M</x:v>
      </x:c>
      <x:c r="U86" s="27" t="str">
        <x:f>'Inputs_Trades'!W86</x:f>
        <x:v>N</x:v>
      </x:c>
      <x:c r="V86" s="27" t="n">
        <x:f>'Inputs_Trades'!X86</x:f>
        <x:v>10</x:v>
      </x:c>
      <x:c r="W86" s="27" t="str">
        <x:f>'Inputs_Trades'!Y86</x:f>
        <x:v>B</x:v>
      </x:c>
      <x:c r="X86" s="27" t="str">
        <x:f>'Inputs_Trades'!AA86</x:f>
        <x:v>C</x:v>
      </x:c>
      <x:c r="Y86" s="27" t="n">
        <x:f>'Inputs_Trades'!AB86</x:f>
        <x:v>7.5615</x:v>
      </x:c>
      <x:c r="Z86" s="27" t="n">
        <x:f>'Inputs_Trades'!AC86</x:f>
        <x:v>7.1</x:v>
      </x:c>
      <x:c r="AA86" s="39" t="n">
        <x:f>'Inputs_Trades'!Z86</x:f>
        <x:v>45969</x:v>
      </x:c>
      <x:c r="AB86" s="40" t="n">
        <x:f>'Inputs_Trades'!AD86</x:f>
        <x:v>5292</x:v>
      </x:c>
      <x:c r="AC86" s="27" t="n">
        <x:f>'Inputs_Trades'!K86</x:f>
        <x:v>0</x:v>
      </x:c>
      <x:c r="AD86" s="27" t="n">
        <x:f>N86-M86</x:f>
        <x:v>356</x:v>
      </x:c>
      <x:c r="AE86" s="41" t="n">
        <x:f>AD86/365</x:f>
        <x:v>0.9753424657534246</x:v>
      </x:c>
      <x:c r="AF86" s="27" t="str">
        <x:f>IF(AE86&lt;1,"&lt;1Y",IF(AE86&lt;=5,"1Y-5Y","&gt;5Y"))</x:f>
        <x:v>&lt;1Y</x:v>
      </x:c>
      <x:c r="AG86" s="27" t="str">
        <x:f>IF(E86="Commodity",IFERROR(VLOOKUP(F86,Parameters!$P$4:$Q$12,2,FALSE),"Other"),"")</x:f>
      </x:c>
      <x:c r="AH86" s="27" t="str">
        <x:f>IF(F86="","Unknown",F86)</x:f>
        <x:v>Unknown</x:v>
      </x:c>
      <x:c r="AI86" s="27" t="str">
        <x:f>IF(E86="Interest Rate",G86&amp;IF(OR(LOWER(AC86)="basis",LOWER(AC86)="volatility"),"_"&amp;AC86,""),IF(E86="FX",IF(H86&lt;I86,H86&amp;"/"&amp;I86,I86&amp;"/"&amp;H86)&amp;IF(OR(LOWER(AC86)="basis",LOWER(AC86)="volatility"),"_"&amp;AC86,""),IF(OR(E86="Credit",E86="Equity"),J86&amp;IF(OR(LOWER(AC86)="basis",LOWER(AC86)="volatility"),"_"&amp;AC86,""),IF(E86="Commodity",AG86&amp;IF(OR(LOWER(AC86)="basis",LOWER(AC86)="volatility"),"_"&amp;AC86,""),"UNKNOWN"))))</x:f>
        <x:v>CNY/USD</x:v>
      </x:c>
      <x:c r="AJ86" s="27" t="str">
        <x:f>T86</x:f>
        <x:v>M</x:v>
      </x:c>
      <x:c r="AK86" s="41" t="n">
        <x:f>IF(E86="Interest Rate",VLOOKUP("Interest Rate",Parameters!$D$4:$E$12,2,FALSE),IF(E86="FX",VLOOKUP("FX",Parameters!$D$4:$E$12,2,FALSE),IF(E86="Credit",IFERROR(VLOOKUP(L86,Parameters!$G$4:$H$12,2,FALSE),VLOOKUP("BBB",Parameters!$G$4:$H$12,2,FALSE)),IF(E86="Equity",VLOOKUP(IF(LOWER(K86)="index","Equity Index","Equity Single Name"),Parameters!$D$4:$E$12,2,FALSE),IF(E86="Commodity",VLOOKUP(IFERROR(VLOOKUP(F86,Parameters!$S$4:$T$12,2,FALSE),"Commodity Other"),Parameters!$D$4:$E$12,2,FALSE),0)))))</x:f>
        <x:v>0.04</x:v>
      </x:c>
      <x:c r="AL86" s="42" t="n">
        <x:f>IF(LOWER(AC86)="basis",Parameters!$B$8,IF(LOWER(AC86)="volatility",Parameters!$B$9,1))</x:f>
        <x:v>1</x:v>
      </x:c>
      <x:c r="AM86" s="41" t="n">
        <x:f>AK86*AL86</x:f>
        <x:v>0.04</x:v>
      </x:c>
      <x:c r="AN86" s="42" t="str">
        <x:f>IF(E86="Credit",VLOOKUP(IF(LOWER(K86)="index","Credit Index","Credit Single Name"),Parameters!$J$4:$K$8,2,FALSE),IF(E86="Equity",VLOOKUP(IF(LOWER(K86)="index","Equity Index","Equity Single Name"),Parameters!$J$4:$K$8,2,FALSE),IF(E86="Commodity",VLOOKUP("Commodity",Parameters!$J$4:$K$8,2,FALSE),"")))</x:f>
      </x:c>
      <x:c r="AO86" s="27" t="n">
        <x:f>MAX((O86-M86)/365,0)</x:f>
        <x:v>0</x:v>
      </x:c>
      <x:c r="AP86" s="27" t="n">
        <x:f>MAX((P86-M86)/365,10/Parameters!$B$6)</x:f>
        <x:v>0.9753424657534246</x:v>
      </x:c>
      <x:c r="AQ86" s="27" t="n">
        <x:f>IF(AP86&lt;=AO86,AO86+10/Parameters!$B$6,AP86)</x:f>
        <x:v>0.9753424657534246</x:v>
      </x:c>
      <x:c r="AR86" s="41" t="n">
        <x:f>IF(OR(E86="Interest Rate",E86="Credit"),(EXP(-Parameters!$B$7*AO86)-EXP(-Parameters!$B$7*AQ86))/Parameters!$B$7,1)</x:f>
        <x:v>1</x:v>
      </x:c>
      <x:c r="AS86" s="40" t="n">
        <x:f>IF(OR(E86="Interest Rate",E86="Credit"),ABS(Q86)*AR86,IF(E86="FX",IF(Q86&gt;0,Q86,MAX(ABS(R86),ABS(S86),ABS(Q86))),ABS(Q86)))</x:f>
        <x:v>44100000</x:v>
      </x:c>
      <x:c r="AT86" s="42" t="n">
        <x:f>IF(OR(E86="Interest Rate",E86="FX"),VLOOKUP(E86,Parameters!$M$4:$N$11,2,FALSE),IF(E86="Credit",VLOOKUP(IF(LOWER(K86)="index","Credit Index","Credit Single Name"),Parameters!$M$4:$N$11,2,FALSE),IF(E86="Equity",VLOOKUP(IF(LOWER(K86)="index","Equity Index","Equity Single Name"),Parameters!$M$4:$N$11,2,FALSE),IF(E86="Commodity",VLOOKUP(IF(F86="Electricity","Commodity Electricity","Commodity Other"),Parameters!$M$4:$N$11,2,FALSE),1))))</x:f>
        <x:v>0.15</x:v>
      </x:c>
      <x:c r="AU86" s="27" t="n">
        <x:f>IF(W86="B",1,-1)</x:f>
        <x:v>1</x:v>
      </x:c>
      <x:c r="AV86" s="27" t="n">
        <x:f>IF(OR(AA86="",M86=""),MAX(AE86,1/365),MAX((AA86-M86)/365,1/365))</x:f>
        <x:v>0.7315068493150685</x:v>
      </x:c>
      <x:c r="AW86" s="41" t="n">
        <x:f>IF(OR(Z86&lt;=0,Y86&lt;=0,AT86&lt;=0,AV86&lt;=0),"",(LN(Z86/Y86)+0.5*AT86^2*AV86)/(AT86*SQRT(AV86)))</x:f>
        <x:v>-0.4267236923277317</x:v>
      </x:c>
      <x:c r="AX86" s="41" t="n">
        <x:f>IF(AND(X86&lt;&gt;"C",X86&lt;&gt;"P"),AU86,IF(AW86="",AU86,IF(X86="C",AU86*0.5*(1+ERF(AW86/SQRT(2))),-AU86*0.5*(1+ERF(-AW86/SQRT(2))))))</x:f>
        <x:v>0.3347902959119606</x:v>
      </x:c>
      <x:c r="AY86" s="41" t="n">
        <x:f>IF(AJ86="M",1.5*SQRT(MAX(IF(U86="Y",5,10),IF(V86="",10,V86))/Parameters!$B$6),SQRT(MIN(MAX(AE86,10/Parameters!$B$6),1)))</x:f>
        <x:v>0.30000000000000004</x:v>
      </x:c>
      <x:c r="AZ86" s="40" t="n">
        <x:f>AS86*AX86*AY86</x:f>
        <x:v>4429275.61491524</x:v>
      </x:c>
      <x:c r="BA86" s="40" t="n">
        <x:f>'Python_Trade_Output'!AZ86</x:f>
        <x:v>4429275.614915239</x:v>
      </x:c>
      <x:c r="BB86" s="43" t="n">
        <x:f>AZ86-BA86</x:f>
        <x:v>9.313225746154785e-10</x:v>
      </x:c>
    </x:row>
    <x:row r="87">
      <x:c r="A87" s="27" t="str">
        <x:f>'Inputs_Trades'!D87</x:f>
        <x:v>IND-000084</x:v>
      </x:c>
      <x:c r="B87" s="27" t="str">
        <x:f>'Inputs_Trades'!B87</x:f>
        <x:v>IND_SOVEREIGN_001</x:v>
      </x:c>
      <x:c r="C87" s="27" t="n">
        <x:f>'Inputs_Trades'!C87</x:f>
        <x:v>3390</x:v>
      </x:c>
      <x:c r="D87" s="27" t="str">
        <x:f>'Inputs_Trades'!E87</x:f>
        <x:v>FX Option</x:v>
      </x:c>
      <x:c r="E87" s="27" t="str">
        <x:f>'Inputs_Trades'!F87</x:f>
        <x:v>FX</x:v>
      </x:c>
      <x:c r="F87" s="27" t="n">
        <x:f>'Inputs_Trades'!G87</x:f>
        <x:v>0</x:v>
      </x:c>
      <x:c r="G87" s="27" t="str">
        <x:f>'Inputs_Trades'!J87</x:f>
        <x:v>USD</x:v>
      </x:c>
      <x:c r="H87" s="27" t="str">
        <x:f>'Inputs_Trades'!H87</x:f>
        <x:v>USD</x:v>
      </x:c>
      <x:c r="I87" s="27" t="str">
        <x:f>'Inputs_Trades'!I87</x:f>
        <x:v>CNY</x:v>
      </x:c>
      <x:c r="J87" s="27" t="str">
        <x:f>'Inputs_Trades'!M87</x:f>
        <x:v>USD/CNY</x:v>
      </x:c>
      <x:c r="K87" s="27" t="n">
        <x:f>'Inputs_Trades'!N87</x:f>
        <x:v>0</x:v>
      </x:c>
      <x:c r="L87" s="27" t="n">
        <x:f>'Inputs_Trades'!O87</x:f>
        <x:v>0</x:v>
      </x:c>
      <x:c r="M87" s="39" t="n">
        <x:f>'Inputs_Trades'!A87</x:f>
        <x:v>45702</x:v>
      </x:c>
      <x:c r="N87" s="39" t="n">
        <x:f>'Inputs_Trades'!P87</x:f>
        <x:v>46868</x:v>
      </x:c>
      <x:c r="O87" s="39" t="n">
        <x:f>'Inputs_Trades'!Q87</x:f>
        <x:v>45521</x:v>
      </x:c>
      <x:c r="P87" s="39" t="n">
        <x:f>'Inputs_Trades'!R87</x:f>
        <x:v>46868</x:v>
      </x:c>
      <x:c r="Q87" s="40" t="n">
        <x:f>'Inputs_Trades'!U87</x:f>
        <x:v>50500000</x:v>
      </x:c>
      <x:c r="R87" s="40" t="n">
        <x:f>'Inputs_Trades'!S87</x:f>
        <x:v>50500000</x:v>
      </x:c>
      <x:c r="S87" s="40" t="n">
        <x:f>'Inputs_Trades'!T87</x:f>
        <x:v>360714285.71</x:v>
      </x:c>
      <x:c r="T87" s="27" t="str">
        <x:f>'Inputs_Trades'!V87</x:f>
        <x:v>M</x:v>
      </x:c>
      <x:c r="U87" s="27" t="str">
        <x:f>'Inputs_Trades'!W87</x:f>
        <x:v>N</x:v>
      </x:c>
      <x:c r="V87" s="27" t="n">
        <x:f>'Inputs_Trades'!X87</x:f>
        <x:v>10</x:v>
      </x:c>
      <x:c r="W87" s="27" t="str">
        <x:f>'Inputs_Trades'!Y87</x:f>
        <x:v>S</x:v>
      </x:c>
      <x:c r="X87" s="27" t="str">
        <x:f>'Inputs_Trades'!AA87</x:f>
        <x:v>C</x:v>
      </x:c>
      <x:c r="Y87" s="27" t="n">
        <x:f>'Inputs_Trades'!AB87</x:f>
        <x:v>7.5189</x:v>
      </x:c>
      <x:c r="Z87" s="27" t="n">
        <x:f>'Inputs_Trades'!AC87</x:f>
        <x:v>7.1</x:v>
      </x:c>
      <x:c r="AA87" s="39" t="n">
        <x:f>'Inputs_Trades'!Z87</x:f>
        <x:v>46576</x:v>
      </x:c>
      <x:c r="AB87" s="40" t="n">
        <x:f>'Inputs_Trades'!AD87</x:f>
        <x:v>679477.5</x:v>
      </x:c>
      <x:c r="AC87" s="27" t="n">
        <x:f>'Inputs_Trades'!K87</x:f>
        <x:v>0</x:v>
      </x:c>
      <x:c r="AD87" s="27" t="n">
        <x:f>N87-M87</x:f>
        <x:v>1166</x:v>
      </x:c>
      <x:c r="AE87" s="41" t="n">
        <x:f>AD87/365</x:f>
        <x:v>3.1945205479452055</x:v>
      </x:c>
      <x:c r="AF87" s="27" t="str">
        <x:f>IF(AE87&lt;1,"&lt;1Y",IF(AE87&lt;=5,"1Y-5Y","&gt;5Y"))</x:f>
        <x:v>1Y-5Y</x:v>
      </x:c>
      <x:c r="AG87" s="27" t="str">
        <x:f>IF(E87="Commodity",IFERROR(VLOOKUP(F87,Parameters!$P$4:$Q$12,2,FALSE),"Other"),"")</x:f>
      </x:c>
      <x:c r="AH87" s="27" t="str">
        <x:f>IF(F87="","Unknown",F87)</x:f>
        <x:v>Unknown</x:v>
      </x:c>
      <x:c r="AI87" s="27" t="str">
        <x:f>IF(E87="Interest Rate",G87&amp;IF(OR(LOWER(AC87)="basis",LOWER(AC87)="volatility"),"_"&amp;AC87,""),IF(E87="FX",IF(H87&lt;I87,H87&amp;"/"&amp;I87,I87&amp;"/"&amp;H87)&amp;IF(OR(LOWER(AC87)="basis",LOWER(AC87)="volatility"),"_"&amp;AC87,""),IF(OR(E87="Credit",E87="Equity"),J87&amp;IF(OR(LOWER(AC87)="basis",LOWER(AC87)="volatility"),"_"&amp;AC87,""),IF(E87="Commodity",AG87&amp;IF(OR(LOWER(AC87)="basis",LOWER(AC87)="volatility"),"_"&amp;AC87,""),"UNKNOWN"))))</x:f>
        <x:v>CNY/USD</x:v>
      </x:c>
      <x:c r="AJ87" s="27" t="str">
        <x:f>T87</x:f>
        <x:v>M</x:v>
      </x:c>
      <x:c r="AK87" s="41" t="n">
        <x:f>IF(E87="Interest Rate",VLOOKUP("Interest Rate",Parameters!$D$4:$E$12,2,FALSE),IF(E87="FX",VLOOKUP("FX",Parameters!$D$4:$E$12,2,FALSE),IF(E87="Credit",IFERROR(VLOOKUP(L87,Parameters!$G$4:$H$12,2,FALSE),VLOOKUP("BBB",Parameters!$G$4:$H$12,2,FALSE)),IF(E87="Equity",VLOOKUP(IF(LOWER(K87)="index","Equity Index","Equity Single Name"),Parameters!$D$4:$E$12,2,FALSE),IF(E87="Commodity",VLOOKUP(IFERROR(VLOOKUP(F87,Parameters!$S$4:$T$12,2,FALSE),"Commodity Other"),Parameters!$D$4:$E$12,2,FALSE),0)))))</x:f>
        <x:v>0.04</x:v>
      </x:c>
      <x:c r="AL87" s="42" t="n">
        <x:f>IF(LOWER(AC87)="basis",Parameters!$B$8,IF(LOWER(AC87)="volatility",Parameters!$B$9,1))</x:f>
        <x:v>1</x:v>
      </x:c>
      <x:c r="AM87" s="41" t="n">
        <x:f>AK87*AL87</x:f>
        <x:v>0.04</x:v>
      </x:c>
      <x:c r="AN87" s="42" t="str">
        <x:f>IF(E87="Credit",VLOOKUP(IF(LOWER(K87)="index","Credit Index","Credit Single Name"),Parameters!$J$4:$K$8,2,FALSE),IF(E87="Equity",VLOOKUP(IF(LOWER(K87)="index","Equity Index","Equity Single Name"),Parameters!$J$4:$K$8,2,FALSE),IF(E87="Commodity",VLOOKUP("Commodity",Parameters!$J$4:$K$8,2,FALSE),"")))</x:f>
      </x:c>
      <x:c r="AO87" s="27" t="n">
        <x:f>MAX((O87-M87)/365,0)</x:f>
        <x:v>0</x:v>
      </x:c>
      <x:c r="AP87" s="27" t="n">
        <x:f>MAX((P87-M87)/365,10/Parameters!$B$6)</x:f>
        <x:v>3.1945205479452055</x:v>
      </x:c>
      <x:c r="AQ87" s="27" t="n">
        <x:f>IF(AP87&lt;=AO87,AO87+10/Parameters!$B$6,AP87)</x:f>
        <x:v>3.1945205479452055</x:v>
      </x:c>
      <x:c r="AR87" s="41" t="n">
        <x:f>IF(OR(E87="Interest Rate",E87="Credit"),(EXP(-Parameters!$B$7*AO87)-EXP(-Parameters!$B$7*AQ87))/Parameters!$B$7,1)</x:f>
        <x:v>1</x:v>
      </x:c>
      <x:c r="AS87" s="40" t="n">
        <x:f>IF(OR(E87="Interest Rate",E87="Credit"),ABS(Q87)*AR87,IF(E87="FX",IF(Q87&gt;0,Q87,MAX(ABS(R87),ABS(S87),ABS(Q87))),ABS(Q87)))</x:f>
        <x:v>50500000</x:v>
      </x:c>
      <x:c r="AT87" s="42" t="n">
        <x:f>IF(OR(E87="Interest Rate",E87="FX"),VLOOKUP(E87,Parameters!$M$4:$N$11,2,FALSE),IF(E87="Credit",VLOOKUP(IF(LOWER(K87)="index","Credit Index","Credit Single Name"),Parameters!$M$4:$N$11,2,FALSE),IF(E87="Equity",VLOOKUP(IF(LOWER(K87)="index","Equity Index","Equity Single Name"),Parameters!$M$4:$N$11,2,FALSE),IF(E87="Commodity",VLOOKUP(IF(F87="Electricity","Commodity Electricity","Commodity Other"),Parameters!$M$4:$N$11,2,FALSE),1))))</x:f>
        <x:v>0.15</x:v>
      </x:c>
      <x:c r="AU87" s="27" t="n">
        <x:f>IF(W87="B",1,-1)</x:f>
        <x:v>-1</x:v>
      </x:c>
      <x:c r="AV87" s="27" t="n">
        <x:f>IF(OR(AA87="",M87=""),MAX(AE87,1/365),MAX((AA87-M87)/365,1/365))</x:f>
        <x:v>2.3945205479452056</x:v>
      </x:c>
      <x:c r="AW87" s="41" t="n">
        <x:f>IF(OR(Z87&lt;=0,Y87&lt;=0,AT87&lt;=0,AV87&lt;=0),"",(LN(Z87/Y87)+0.5*AT87^2*AV87)/(AT87*SQRT(AV87)))</x:f>
        <x:v>-0.13091311129635294</x:v>
      </x:c>
      <x:c r="AX87" s="41" t="n">
        <x:f>IF(AND(X87&lt;&gt;"C",X87&lt;&gt;"P"),AU87,IF(AW87="",AU87,IF(X87="C",AU87*0.5*(1+ERF(AW87/SQRT(2))),-AU87*0.5*(1+ERF(-AW87/SQRT(2))))))</x:f>
        <x:v>-0.44792202131717096</x:v>
      </x:c>
      <x:c r="AY87" s="41" t="n">
        <x:f>IF(AJ87="M",1.5*SQRT(MAX(IF(U87="Y",5,10),IF(V87="",10,V87))/Parameters!$B$6),SQRT(MIN(MAX(AE87,10/Parameters!$B$6),1)))</x:f>
        <x:v>0.30000000000000004</x:v>
      </x:c>
      <x:c r="AZ87" s="40" t="n">
        <x:f>AS87*AX87*AY87</x:f>
        <x:v>-6786018.622955142</x:v>
      </x:c>
      <x:c r="BA87" s="40" t="n">
        <x:f>'Python_Trade_Output'!AZ87</x:f>
        <x:v>-6786018.622955141</x:v>
      </x:c>
      <x:c r="BB87" s="43" t="n">
        <x:f>AZ87-BA87</x:f>
        <x:v>-9.313225746154785e-10</x:v>
      </x:c>
    </x:row>
    <x:row r="88">
      <x:c r="A88" s="27" t="str">
        <x:f>'Inputs_Trades'!D88</x:f>
        <x:v>IND-000085</x:v>
      </x:c>
      <x:c r="B88" s="27" t="str">
        <x:f>'Inputs_Trades'!B88</x:f>
        <x:v>IND_HEDGE_FUND_001</x:v>
      </x:c>
      <x:c r="C88" s="27" t="n">
        <x:f>'Inputs_Trades'!C88</x:f>
        <x:v>3012</x:v>
      </x:c>
      <x:c r="D88" s="27" t="str">
        <x:f>'Inputs_Trades'!E88</x:f>
        <x:v>Interest Rate Swap</x:v>
      </x:c>
      <x:c r="E88" s="27" t="str">
        <x:f>'Inputs_Trades'!F88</x:f>
        <x:v>Interest Rate</x:v>
      </x:c>
      <x:c r="F88" s="27" t="n">
        <x:f>'Inputs_Trades'!G88</x:f>
        <x:v>0</x:v>
      </x:c>
      <x:c r="G88" s="27" t="str">
        <x:f>'Inputs_Trades'!J88</x:f>
        <x:v>CNY</x:v>
      </x:c>
      <x:c r="H88" s="27" t="str">
        <x:f>'Inputs_Trades'!H88</x:f>
        <x:v>CNY</x:v>
      </x:c>
      <x:c r="I88" s="27" t="str">
        <x:f>'Inputs_Trades'!I88</x:f>
        <x:v>CNY</x:v>
      </x:c>
      <x:c r="J88" s="27" t="str">
        <x:f>'Inputs_Trades'!M88</x:f>
        <x:v>CNY</x:v>
      </x:c>
      <x:c r="K88" s="27" t="n">
        <x:f>'Inputs_Trades'!N88</x:f>
        <x:v>0</x:v>
      </x:c>
      <x:c r="L88" s="27" t="n">
        <x:f>'Inputs_Trades'!O88</x:f>
        <x:v>0</x:v>
      </x:c>
      <x:c r="M88" s="39" t="n">
        <x:f>'Inputs_Trades'!A88</x:f>
        <x:v>45702</x:v>
      </x:c>
      <x:c r="N88" s="39" t="n">
        <x:f>'Inputs_Trades'!P88</x:f>
        <x:v>49570</x:v>
      </x:c>
      <x:c r="O88" s="39" t="n">
        <x:f>'Inputs_Trades'!Q88</x:f>
        <x:v>45161</x:v>
      </x:c>
      <x:c r="P88" s="39" t="n">
        <x:f>'Inputs_Trades'!R88</x:f>
        <x:v>49570</x:v>
      </x:c>
      <x:c r="Q88" s="40" t="n">
        <x:f>'Inputs_Trades'!U88</x:f>
        <x:v>881000000</x:v>
      </x:c>
      <x:c r="R88" s="40" t="n">
        <x:f>'Inputs_Trades'!S88</x:f>
        <x:v>6292857142.86</x:v>
      </x:c>
      <x:c r="S88" s="40" t="n">
        <x:f>'Inputs_Trades'!T88</x:f>
        <x:v>6292857142.86</x:v>
      </x:c>
      <x:c r="T88" s="27" t="str">
        <x:f>'Inputs_Trades'!V88</x:f>
        <x:v>U</x:v>
      </x:c>
      <x:c r="U88" s="27" t="str">
        <x:f>'Inputs_Trades'!W88</x:f>
        <x:v>N</x:v>
      </x:c>
      <x:c r="V88" s="27" t="n">
        <x:f>'Inputs_Trades'!X88</x:f>
        <x:v>0</x:v>
      </x:c>
      <x:c r="W88" s="27" t="str">
        <x:f>'Inputs_Trades'!Y88</x:f>
        <x:v>S</x:v>
      </x:c>
      <x:c r="X88" s="27" t="n">
        <x:f>'Inputs_Trades'!AA88</x:f>
        <x:v>0</x:v>
      </x:c>
      <x:c r="Y88" s="27" t="n">
        <x:f>'Inputs_Trades'!AB88</x:f>
        <x:v>0</x:v>
      </x:c>
      <x:c r="Z88" s="27" t="n">
        <x:f>'Inputs_Trades'!AC88</x:f>
        <x:v>0</x:v>
      </x:c>
      <x:c r="AA88" s="39" t="n">
        <x:f>'Inputs_Trades'!Z88</x:f>
        <x:v>0</x:v>
      </x:c>
      <x:c r="AB88" s="40" t="n">
        <x:f>'Inputs_Trades'!AD88</x:f>
        <x:v>512742</x:v>
      </x:c>
      <x:c r="AC88" s="27" t="n">
        <x:f>'Inputs_Trades'!K88</x:f>
        <x:v>0</x:v>
      </x:c>
      <x:c r="AD88" s="27" t="n">
        <x:f>N88-M88</x:f>
        <x:v>3868</x:v>
      </x:c>
      <x:c r="AE88" s="41" t="n">
        <x:f>AD88/365</x:f>
        <x:v>10.597260273972603</x:v>
      </x:c>
      <x:c r="AF88" s="27" t="str">
        <x:f>IF(AE88&lt;1,"&lt;1Y",IF(AE88&lt;=5,"1Y-5Y","&gt;5Y"))</x:f>
        <x:v>&gt;5Y</x:v>
      </x:c>
      <x:c r="AG88" s="27" t="str">
        <x:f>IF(E88="Commodity",IFERROR(VLOOKUP(F88,Parameters!$P$4:$Q$12,2,FALSE),"Other"),"")</x:f>
      </x:c>
      <x:c r="AH88" s="27" t="str">
        <x:f>IF(F88="","Unknown",F88)</x:f>
        <x:v>Unknown</x:v>
      </x:c>
      <x:c r="AI88" s="27" t="str">
        <x:f>IF(E88="Interest Rate",G88&amp;IF(OR(LOWER(AC88)="basis",LOWER(AC88)="volatility"),"_"&amp;AC88,""),IF(E88="FX",IF(H88&lt;I88,H88&amp;"/"&amp;I88,I88&amp;"/"&amp;H88)&amp;IF(OR(LOWER(AC88)="basis",LOWER(AC88)="volatility"),"_"&amp;AC88,""),IF(OR(E88="Credit",E88="Equity"),J88&amp;IF(OR(LOWER(AC88)="basis",LOWER(AC88)="volatility"),"_"&amp;AC88,""),IF(E88="Commodity",AG88&amp;IF(OR(LOWER(AC88)="basis",LOWER(AC88)="volatility"),"_"&amp;AC88,""),"UNKNOWN"))))</x:f>
        <x:v>CNY</x:v>
      </x:c>
      <x:c r="AJ88" s="27" t="str">
        <x:f>T88</x:f>
        <x:v>U</x:v>
      </x:c>
      <x:c r="AK88" s="41" t="n">
        <x:f>IF(E88="Interest Rate",VLOOKUP("Interest Rate",Parameters!$D$4:$E$12,2,FALSE),IF(E88="FX",VLOOKUP("FX",Parameters!$D$4:$E$12,2,FALSE),IF(E88="Credit",IFERROR(VLOOKUP(L88,Parameters!$G$4:$H$12,2,FALSE),VLOOKUP("BBB",Parameters!$G$4:$H$12,2,FALSE)),IF(E88="Equity",VLOOKUP(IF(LOWER(K88)="index","Equity Index","Equity Single Name"),Parameters!$D$4:$E$12,2,FALSE),IF(E88="Commodity",VLOOKUP(IFERROR(VLOOKUP(F88,Parameters!$S$4:$T$12,2,FALSE),"Commodity Other"),Parameters!$D$4:$E$12,2,FALSE),0)))))</x:f>
        <x:v>0.005</x:v>
      </x:c>
      <x:c r="AL88" s="42" t="n">
        <x:f>IF(LOWER(AC88)="basis",Parameters!$B$8,IF(LOWER(AC88)="volatility",Parameters!$B$9,1))</x:f>
        <x:v>1</x:v>
      </x:c>
      <x:c r="AM88" s="41" t="n">
        <x:f>AK88*AL88</x:f>
        <x:v>0.005</x:v>
      </x:c>
      <x:c r="AN88" s="42" t="str">
        <x:f>IF(E88="Credit",VLOOKUP(IF(LOWER(K88)="index","Credit Index","Credit Single Name"),Parameters!$J$4:$K$8,2,FALSE),IF(E88="Equity",VLOOKUP(IF(LOWER(K88)="index","Equity Index","Equity Single Name"),Parameters!$J$4:$K$8,2,FALSE),IF(E88="Commodity",VLOOKUP("Commodity",Parameters!$J$4:$K$8,2,FALSE),"")))</x:f>
      </x:c>
      <x:c r="AO88" s="27" t="n">
        <x:f>MAX((O88-M88)/365,0)</x:f>
        <x:v>0</x:v>
      </x:c>
      <x:c r="AP88" s="27" t="n">
        <x:f>MAX((P88-M88)/365,10/Parameters!$B$6)</x:f>
        <x:v>10.597260273972603</x:v>
      </x:c>
      <x:c r="AQ88" s="27" t="n">
        <x:f>IF(AP88&lt;=AO88,AO88+10/Parameters!$B$6,AP88)</x:f>
        <x:v>10.597260273972603</x:v>
      </x:c>
      <x:c r="AR88" s="41" t="n">
        <x:f>IF(OR(E88="Interest Rate",E88="Credit"),(EXP(-Parameters!$B$7*AO88)-EXP(-Parameters!$B$7*AQ88))/Parameters!$B$7,1)</x:f>
        <x:v>8.226287879619395</x:v>
      </x:c>
      <x:c r="AS88" s="40" t="n">
        <x:f>IF(OR(E88="Interest Rate",E88="Credit"),ABS(Q88)*AR88,IF(E88="FX",IF(Q88&gt;0,Q88,MAX(ABS(R88),ABS(S88),ABS(Q88))),ABS(Q88)))</x:f>
        <x:v>7247359621.944687</x:v>
      </x:c>
      <x:c r="AT88" s="42" t="n">
        <x:f>IF(OR(E88="Interest Rate",E88="FX"),VLOOKUP(E88,Parameters!$M$4:$N$11,2,FALSE),IF(E88="Credit",VLOOKUP(IF(LOWER(K88)="index","Credit Index","Credit Single Name"),Parameters!$M$4:$N$11,2,FALSE),IF(E88="Equity",VLOOKUP(IF(LOWER(K88)="index","Equity Index","Equity Single Name"),Parameters!$M$4:$N$11,2,FALSE),IF(E88="Commodity",VLOOKUP(IF(F88="Electricity","Commodity Electricity","Commodity Other"),Parameters!$M$4:$N$11,2,FALSE),1))))</x:f>
        <x:v>0.5</x:v>
      </x:c>
      <x:c r="AU88" s="27" t="n">
        <x:f>IF(W88="B",1,-1)</x:f>
        <x:v>-1</x:v>
      </x:c>
      <x:c r="AV88" s="27" t="n">
        <x:f>IF(OR(AA88="",M88=""),MAX(AE88,1/365),MAX((AA88-M88)/365,1/365))</x:f>
        <x:v>10.597260273972603</x:v>
      </x:c>
      <x:c r="AW88" s="41" t="str">
        <x:f>IF(OR(Z88&lt;=0,Y88&lt;=0,AT88&lt;=0,AV88&lt;=0),"",(LN(Z88/Y88)+0.5*AT88^2*AV88)/(AT88*SQRT(AV88)))</x:f>
      </x:c>
      <x:c r="AX88" s="41" t="n">
        <x:f>IF(AND(X88&lt;&gt;"C",X88&lt;&gt;"P"),AU88,IF(AW88="",AU88,IF(X88="C",AU88*0.5*(1+ERF(AW88/SQRT(2))),-AU88*0.5*(1+ERF(-AW88/SQRT(2))))))</x:f>
        <x:v>-1</x:v>
      </x:c>
      <x:c r="AY88" s="41" t="n">
        <x:f>IF(AJ88="M",1.5*SQRT(MAX(IF(U88="Y",5,10),IF(V88="",10,V88))/Parameters!$B$6),SQRT(MIN(MAX(AE88,10/Parameters!$B$6),1)))</x:f>
        <x:v>1</x:v>
      </x:c>
      <x:c r="AZ88" s="40" t="n">
        <x:f>AS88*AX88*AY88</x:f>
        <x:v>-7247359621.944687</x:v>
      </x:c>
      <x:c r="BA88" s="40" t="n">
        <x:f>'Python_Trade_Output'!AZ88</x:f>
        <x:v>-7247359621.944686</x:v>
      </x:c>
      <x:c r="BB88" s="43" t="n">
        <x:f>AZ88-BA88</x:f>
        <x:v>-9.5367431640625e-7</x:v>
      </x:c>
    </x:row>
    <x:row r="89">
      <x:c r="A89" s="27" t="str">
        <x:f>'Inputs_Trades'!D89</x:f>
        <x:v>IND-000086</x:v>
      </x:c>
      <x:c r="B89" s="27" t="str">
        <x:f>'Inputs_Trades'!B89</x:f>
        <x:v>IND_BANK_002</x:v>
      </x:c>
      <x:c r="C89" s="27" t="n">
        <x:f>'Inputs_Trades'!C89</x:f>
        <x:v>3132</x:v>
      </x:c>
      <x:c r="D89" s="27" t="str">
        <x:f>'Inputs_Trades'!E89</x:f>
        <x:v>Interest Rate Swap</x:v>
      </x:c>
      <x:c r="E89" s="27" t="str">
        <x:f>'Inputs_Trades'!F89</x:f>
        <x:v>Interest Rate</x:v>
      </x:c>
      <x:c r="F89" s="27" t="n">
        <x:f>'Inputs_Trades'!G89</x:f>
        <x:v>0</x:v>
      </x:c>
      <x:c r="G89" s="27" t="str">
        <x:f>'Inputs_Trades'!J89</x:f>
        <x:v>USD</x:v>
      </x:c>
      <x:c r="H89" s="27" t="str">
        <x:f>'Inputs_Trades'!H89</x:f>
        <x:v>USD</x:v>
      </x:c>
      <x:c r="I89" s="27" t="str">
        <x:f>'Inputs_Trades'!I89</x:f>
        <x:v>USD</x:v>
      </x:c>
      <x:c r="J89" s="27" t="str">
        <x:f>'Inputs_Trades'!M89</x:f>
        <x:v>USD</x:v>
      </x:c>
      <x:c r="K89" s="27" t="n">
        <x:f>'Inputs_Trades'!N89</x:f>
        <x:v>0</x:v>
      </x:c>
      <x:c r="L89" s="27" t="n">
        <x:f>'Inputs_Trades'!O89</x:f>
        <x:v>0</x:v>
      </x:c>
      <x:c r="M89" s="39" t="n">
        <x:f>'Inputs_Trades'!A89</x:f>
        <x:v>45702</x:v>
      </x:c>
      <x:c r="N89" s="39" t="n">
        <x:f>'Inputs_Trades'!P89</x:f>
        <x:v>48669</x:v>
      </x:c>
      <x:c r="O89" s="39" t="n">
        <x:f>'Inputs_Trades'!Q89</x:f>
        <x:v>45316</x:v>
      </x:c>
      <x:c r="P89" s="39" t="n">
        <x:f>'Inputs_Trades'!R89</x:f>
        <x:v>48669</x:v>
      </x:c>
      <x:c r="Q89" s="40" t="n">
        <x:f>'Inputs_Trades'!U89</x:f>
        <x:v>81200000</x:v>
      </x:c>
      <x:c r="R89" s="40" t="n">
        <x:f>'Inputs_Trades'!S89</x:f>
        <x:v>81200000</x:v>
      </x:c>
      <x:c r="S89" s="40" t="n">
        <x:f>'Inputs_Trades'!T89</x:f>
        <x:v>81200000</x:v>
      </x:c>
      <x:c r="T89" s="27" t="str">
        <x:f>'Inputs_Trades'!V89</x:f>
        <x:v>U</x:v>
      </x:c>
      <x:c r="U89" s="27" t="str">
        <x:f>'Inputs_Trades'!W89</x:f>
        <x:v>N</x:v>
      </x:c>
      <x:c r="V89" s="27" t="n">
        <x:f>'Inputs_Trades'!X89</x:f>
        <x:v>0</x:v>
      </x:c>
      <x:c r="W89" s="27" t="str">
        <x:f>'Inputs_Trades'!Y89</x:f>
        <x:v>B</x:v>
      </x:c>
      <x:c r="X89" s="27" t="n">
        <x:f>'Inputs_Trades'!AA89</x:f>
        <x:v>0</x:v>
      </x:c>
      <x:c r="Y89" s="27" t="n">
        <x:f>'Inputs_Trades'!AB89</x:f>
        <x:v>0</x:v>
      </x:c>
      <x:c r="Z89" s="27" t="n">
        <x:f>'Inputs_Trades'!AC89</x:f>
        <x:v>0</x:v>
      </x:c>
      <x:c r="AA89" s="39" t="n">
        <x:f>'Inputs_Trades'!Z89</x:f>
        <x:v>0</x:v>
      </x:c>
      <x:c r="AB89" s="40" t="n">
        <x:f>'Inputs_Trades'!AD89</x:f>
        <x:v>-214855.2</x:v>
      </x:c>
      <x:c r="AC89" s="27" t="n">
        <x:f>'Inputs_Trades'!K89</x:f>
        <x:v>0</x:v>
      </x:c>
      <x:c r="AD89" s="27" t="n">
        <x:f>N89-M89</x:f>
        <x:v>2967</x:v>
      </x:c>
      <x:c r="AE89" s="41" t="n">
        <x:f>AD89/365</x:f>
        <x:v>8.128767123287671</x:v>
      </x:c>
      <x:c r="AF89" s="27" t="str">
        <x:f>IF(AE89&lt;1,"&lt;1Y",IF(AE89&lt;=5,"1Y-5Y","&gt;5Y"))</x:f>
        <x:v>&gt;5Y</x:v>
      </x:c>
      <x:c r="AG89" s="27" t="str">
        <x:f>IF(E89="Commodity",IFERROR(VLOOKUP(F89,Parameters!$P$4:$Q$12,2,FALSE),"Other"),"")</x:f>
      </x:c>
      <x:c r="AH89" s="27" t="str">
        <x:f>IF(F89="","Unknown",F89)</x:f>
        <x:v>Unknown</x:v>
      </x:c>
      <x:c r="AI89" s="27" t="str">
        <x:f>IF(E89="Interest Rate",G89&amp;IF(OR(LOWER(AC89)="basis",LOWER(AC89)="volatility"),"_"&amp;AC89,""),IF(E89="FX",IF(H89&lt;I89,H89&amp;"/"&amp;I89,I89&amp;"/"&amp;H89)&amp;IF(OR(LOWER(AC89)="basis",LOWER(AC89)="volatility"),"_"&amp;AC89,""),IF(OR(E89="Credit",E89="Equity"),J89&amp;IF(OR(LOWER(AC89)="basis",LOWER(AC89)="volatility"),"_"&amp;AC89,""),IF(E89="Commodity",AG89&amp;IF(OR(LOWER(AC89)="basis",LOWER(AC89)="volatility"),"_"&amp;AC89,""),"UNKNOWN"))))</x:f>
        <x:v>USD</x:v>
      </x:c>
      <x:c r="AJ89" s="27" t="str">
        <x:f>T89</x:f>
        <x:v>U</x:v>
      </x:c>
      <x:c r="AK89" s="41" t="n">
        <x:f>IF(E89="Interest Rate",VLOOKUP("Interest Rate",Parameters!$D$4:$E$12,2,FALSE),IF(E89="FX",VLOOKUP("FX",Parameters!$D$4:$E$12,2,FALSE),IF(E89="Credit",IFERROR(VLOOKUP(L89,Parameters!$G$4:$H$12,2,FALSE),VLOOKUP("BBB",Parameters!$G$4:$H$12,2,FALSE)),IF(E89="Equity",VLOOKUP(IF(LOWER(K89)="index","Equity Index","Equity Single Name"),Parameters!$D$4:$E$12,2,FALSE),IF(E89="Commodity",VLOOKUP(IFERROR(VLOOKUP(F89,Parameters!$S$4:$T$12,2,FALSE),"Commodity Other"),Parameters!$D$4:$E$12,2,FALSE),0)))))</x:f>
        <x:v>0.005</x:v>
      </x:c>
      <x:c r="AL89" s="42" t="n">
        <x:f>IF(LOWER(AC89)="basis",Parameters!$B$8,IF(LOWER(AC89)="volatility",Parameters!$B$9,1))</x:f>
        <x:v>1</x:v>
      </x:c>
      <x:c r="AM89" s="41" t="n">
        <x:f>AK89*AL89</x:f>
        <x:v>0.005</x:v>
      </x:c>
      <x:c r="AN89" s="42" t="str">
        <x:f>IF(E89="Credit",VLOOKUP(IF(LOWER(K89)="index","Credit Index","Credit Single Name"),Parameters!$J$4:$K$8,2,FALSE),IF(E89="Equity",VLOOKUP(IF(LOWER(K89)="index","Equity Index","Equity Single Name"),Parameters!$J$4:$K$8,2,FALSE),IF(E89="Commodity",VLOOKUP("Commodity",Parameters!$J$4:$K$8,2,FALSE),"")))</x:f>
      </x:c>
      <x:c r="AO89" s="27" t="n">
        <x:f>MAX((O89-M89)/365,0)</x:f>
        <x:v>0</x:v>
      </x:c>
      <x:c r="AP89" s="27" t="n">
        <x:f>MAX((P89-M89)/365,10/Parameters!$B$6)</x:f>
        <x:v>8.128767123287671</x:v>
      </x:c>
      <x:c r="AQ89" s="27" t="n">
        <x:f>IF(AP89&lt;=AO89,AO89+10/Parameters!$B$6,AP89)</x:f>
        <x:v>8.128767123287671</x:v>
      </x:c>
      <x:c r="AR89" s="41" t="n">
        <x:f>IF(OR(E89="Interest Rate",E89="Credit"),(EXP(-Parameters!$B$7*AO89)-EXP(-Parameters!$B$7*AQ89))/Parameters!$B$7,1)</x:f>
        <x:v>6.679636994719169</x:v>
      </x:c>
      <x:c r="AS89" s="40" t="n">
        <x:f>IF(OR(E89="Interest Rate",E89="Credit"),ABS(Q89)*AR89,IF(E89="FX",IF(Q89&gt;0,Q89,MAX(ABS(R89),ABS(S89),ABS(Q89))),ABS(Q89)))</x:f>
        <x:v>542386523.9711965</x:v>
      </x:c>
      <x:c r="AT89" s="42" t="n">
        <x:f>IF(OR(E89="Interest Rate",E89="FX"),VLOOKUP(E89,Parameters!$M$4:$N$11,2,FALSE),IF(E89="Credit",VLOOKUP(IF(LOWER(K89)="index","Credit Index","Credit Single Name"),Parameters!$M$4:$N$11,2,FALSE),IF(E89="Equity",VLOOKUP(IF(LOWER(K89)="index","Equity Index","Equity Single Name"),Parameters!$M$4:$N$11,2,FALSE),IF(E89="Commodity",VLOOKUP(IF(F89="Electricity","Commodity Electricity","Commodity Other"),Parameters!$M$4:$N$11,2,FALSE),1))))</x:f>
        <x:v>0.5</x:v>
      </x:c>
      <x:c r="AU89" s="27" t="n">
        <x:f>IF(W89="B",1,-1)</x:f>
        <x:v>1</x:v>
      </x:c>
      <x:c r="AV89" s="27" t="n">
        <x:f>IF(OR(AA89="",M89=""),MAX(AE89,1/365),MAX((AA89-M89)/365,1/365))</x:f>
        <x:v>8.128767123287671</x:v>
      </x:c>
      <x:c r="AW89" s="41" t="str">
        <x:f>IF(OR(Z89&lt;=0,Y89&lt;=0,AT89&lt;=0,AV89&lt;=0),"",(LN(Z89/Y89)+0.5*AT89^2*AV89)/(AT89*SQRT(AV89)))</x:f>
      </x:c>
      <x:c r="AX89" s="41" t="n">
        <x:f>IF(AND(X89&lt;&gt;"C",X89&lt;&gt;"P"),AU89,IF(AW89="",AU89,IF(X89="C",AU89*0.5*(1+ERF(AW89/SQRT(2))),-AU89*0.5*(1+ERF(-AW89/SQRT(2))))))</x:f>
        <x:v>1</x:v>
      </x:c>
      <x:c r="AY89" s="41" t="n">
        <x:f>IF(AJ89="M",1.5*SQRT(MAX(IF(U89="Y",5,10),IF(V89="",10,V89))/Parameters!$B$6),SQRT(MIN(MAX(AE89,10/Parameters!$B$6),1)))</x:f>
        <x:v>1</x:v>
      </x:c>
      <x:c r="AZ89" s="40" t="n">
        <x:f>AS89*AX89*AY89</x:f>
        <x:v>542386523.9711965</x:v>
      </x:c>
      <x:c r="BA89" s="40" t="n">
        <x:f>'Python_Trade_Output'!AZ89</x:f>
        <x:v>542386523.9711965</x:v>
      </x:c>
      <x:c r="BB89" s="43" t="n">
        <x:f>AZ89-BA89</x:f>
        <x:v>0</x:v>
      </x:c>
    </x:row>
    <x:row r="90">
      <x:c r="A90" s="27" t="str">
        <x:f>'Inputs_Trades'!D90</x:f>
        <x:v>IND-000087</x:v>
      </x:c>
      <x:c r="B90" s="27" t="str">
        <x:f>'Inputs_Trades'!B90</x:f>
        <x:v>IND_ASSET_MANAGER_001</x:v>
      </x:c>
      <x:c r="C90" s="27" t="n">
        <x:f>'Inputs_Trades'!C90</x:f>
        <x:v>3222</x:v>
      </x:c>
      <x:c r="D90" s="27" t="str">
        <x:f>'Inputs_Trades'!E90</x:f>
        <x:v>Interest Rate Swap</x:v>
      </x:c>
      <x:c r="E90" s="27" t="str">
        <x:f>'Inputs_Trades'!F90</x:f>
        <x:v>Interest Rate</x:v>
      </x:c>
      <x:c r="F90" s="27" t="n">
        <x:f>'Inputs_Trades'!G90</x:f>
        <x:v>0</x:v>
      </x:c>
      <x:c r="G90" s="27" t="str">
        <x:f>'Inputs_Trades'!J90</x:f>
        <x:v>JPY</x:v>
      </x:c>
      <x:c r="H90" s="27" t="str">
        <x:f>'Inputs_Trades'!H90</x:f>
        <x:v>JPY</x:v>
      </x:c>
      <x:c r="I90" s="27" t="str">
        <x:f>'Inputs_Trades'!I90</x:f>
        <x:v>JPY</x:v>
      </x:c>
      <x:c r="J90" s="27" t="str">
        <x:f>'Inputs_Trades'!M90</x:f>
        <x:v>JPY</x:v>
      </x:c>
      <x:c r="K90" s="27" t="n">
        <x:f>'Inputs_Trades'!N90</x:f>
        <x:v>0</x:v>
      </x:c>
      <x:c r="L90" s="27" t="n">
        <x:f>'Inputs_Trades'!O90</x:f>
        <x:v>0</x:v>
      </x:c>
      <x:c r="M90" s="39" t="n">
        <x:f>'Inputs_Trades'!A90</x:f>
        <x:v>45702</x:v>
      </x:c>
      <x:c r="N90" s="39" t="n">
        <x:f>'Inputs_Trades'!P90</x:f>
        <x:v>46756</x:v>
      </x:c>
      <x:c r="O90" s="39" t="n">
        <x:f>'Inputs_Trades'!Q90</x:f>
        <x:v>45197</x:v>
      </x:c>
      <x:c r="P90" s="39" t="n">
        <x:f>'Inputs_Trades'!R90</x:f>
        <x:v>46756</x:v>
      </x:c>
      <x:c r="Q90" s="40" t="n">
        <x:f>'Inputs_Trades'!U90</x:f>
        <x:v>49200000</x:v>
      </x:c>
      <x:c r="R90" s="40" t="n">
        <x:f>'Inputs_Trades'!S90</x:f>
        <x:v>7343283582.09</x:v>
      </x:c>
      <x:c r="S90" s="40" t="n">
        <x:f>'Inputs_Trades'!T90</x:f>
        <x:v>7343283582.09</x:v>
      </x:c>
      <x:c r="T90" s="27" t="str">
        <x:f>'Inputs_Trades'!V90</x:f>
        <x:v>U</x:v>
      </x:c>
      <x:c r="U90" s="27" t="str">
        <x:f>'Inputs_Trades'!W90</x:f>
        <x:v>Y</x:v>
      </x:c>
      <x:c r="V90" s="27" t="n">
        <x:f>'Inputs_Trades'!X90</x:f>
        <x:v>5</x:v>
      </x:c>
      <x:c r="W90" s="27" t="str">
        <x:f>'Inputs_Trades'!Y90</x:f>
        <x:v>S</x:v>
      </x:c>
      <x:c r="X90" s="27" t="n">
        <x:f>'Inputs_Trades'!AA90</x:f>
        <x:v>0</x:v>
      </x:c>
      <x:c r="Y90" s="27" t="n">
        <x:f>'Inputs_Trades'!AB90</x:f>
        <x:v>0</x:v>
      </x:c>
      <x:c r="Z90" s="27" t="n">
        <x:f>'Inputs_Trades'!AC90</x:f>
        <x:v>0</x:v>
      </x:c>
      <x:c r="AA90" s="39" t="n">
        <x:f>'Inputs_Trades'!Z90</x:f>
        <x:v>0</x:v>
      </x:c>
      <x:c r="AB90" s="40" t="n">
        <x:f>'Inputs_Trades'!AD90</x:f>
        <x:v>-111290.4</x:v>
      </x:c>
      <x:c r="AC90" s="27" t="n">
        <x:f>'Inputs_Trades'!K90</x:f>
        <x:v>0</x:v>
      </x:c>
      <x:c r="AD90" s="27" t="n">
        <x:f>N90-M90</x:f>
        <x:v>1054</x:v>
      </x:c>
      <x:c r="AE90" s="41" t="n">
        <x:f>AD90/365</x:f>
        <x:v>2.8876712328767122</x:v>
      </x:c>
      <x:c r="AF90" s="27" t="str">
        <x:f>IF(AE90&lt;1,"&lt;1Y",IF(AE90&lt;=5,"1Y-5Y","&gt;5Y"))</x:f>
        <x:v>1Y-5Y</x:v>
      </x:c>
      <x:c r="AG90" s="27" t="str">
        <x:f>IF(E90="Commodity",IFERROR(VLOOKUP(F90,Parameters!$P$4:$Q$12,2,FALSE),"Other"),"")</x:f>
      </x:c>
      <x:c r="AH90" s="27" t="str">
        <x:f>IF(F90="","Unknown",F90)</x:f>
        <x:v>Unknown</x:v>
      </x:c>
      <x:c r="AI90" s="27" t="str">
        <x:f>IF(E90="Interest Rate",G90&amp;IF(OR(LOWER(AC90)="basis",LOWER(AC90)="volatility"),"_"&amp;AC90,""),IF(E90="FX",IF(H90&lt;I90,H90&amp;"/"&amp;I90,I90&amp;"/"&amp;H90)&amp;IF(OR(LOWER(AC90)="basis",LOWER(AC90)="volatility"),"_"&amp;AC90,""),IF(OR(E90="Credit",E90="Equity"),J90&amp;IF(OR(LOWER(AC90)="basis",LOWER(AC90)="volatility"),"_"&amp;AC90,""),IF(E90="Commodity",AG90&amp;IF(OR(LOWER(AC90)="basis",LOWER(AC90)="volatility"),"_"&amp;AC90,""),"UNKNOWN"))))</x:f>
        <x:v>JPY</x:v>
      </x:c>
      <x:c r="AJ90" s="27" t="str">
        <x:f>T90</x:f>
        <x:v>U</x:v>
      </x:c>
      <x:c r="AK90" s="41" t="n">
        <x:f>IF(E90="Interest Rate",VLOOKUP("Interest Rate",Parameters!$D$4:$E$12,2,FALSE),IF(E90="FX",VLOOKUP("FX",Parameters!$D$4:$E$12,2,FALSE),IF(E90="Credit",IFERROR(VLOOKUP(L90,Parameters!$G$4:$H$12,2,FALSE),VLOOKUP("BBB",Parameters!$G$4:$H$12,2,FALSE)),IF(E90="Equity",VLOOKUP(IF(LOWER(K90)="index","Equity Index","Equity Single Name"),Parameters!$D$4:$E$12,2,FALSE),IF(E90="Commodity",VLOOKUP(IFERROR(VLOOKUP(F90,Parameters!$S$4:$T$12,2,FALSE),"Commodity Other"),Parameters!$D$4:$E$12,2,FALSE),0)))))</x:f>
        <x:v>0.005</x:v>
      </x:c>
      <x:c r="AL90" s="42" t="n">
        <x:f>IF(LOWER(AC90)="basis",Parameters!$B$8,IF(LOWER(AC90)="volatility",Parameters!$B$9,1))</x:f>
        <x:v>1</x:v>
      </x:c>
      <x:c r="AM90" s="41" t="n">
        <x:f>AK90*AL90</x:f>
        <x:v>0.005</x:v>
      </x:c>
      <x:c r="AN90" s="42" t="str">
        <x:f>IF(E90="Credit",VLOOKUP(IF(LOWER(K90)="index","Credit Index","Credit Single Name"),Parameters!$J$4:$K$8,2,FALSE),IF(E90="Equity",VLOOKUP(IF(LOWER(K90)="index","Equity Index","Equity Single Name"),Parameters!$J$4:$K$8,2,FALSE),IF(E90="Commodity",VLOOKUP("Commodity",Parameters!$J$4:$K$8,2,FALSE),"")))</x:f>
      </x:c>
      <x:c r="AO90" s="27" t="n">
        <x:f>MAX((O90-M90)/365,0)</x:f>
        <x:v>0</x:v>
      </x:c>
      <x:c r="AP90" s="27" t="n">
        <x:f>MAX((P90-M90)/365,10/Parameters!$B$6)</x:f>
        <x:v>2.8876712328767122</x:v>
      </x:c>
      <x:c r="AQ90" s="27" t="n">
        <x:f>IF(AP90&lt;=AO90,AO90+10/Parameters!$B$6,AP90)</x:f>
        <x:v>2.8876712328767122</x:v>
      </x:c>
      <x:c r="AR90" s="41" t="n">
        <x:f>IF(OR(E90="Interest Rate",E90="Credit"),(EXP(-Parameters!$B$7*AO90)-EXP(-Parameters!$B$7*AQ90))/Parameters!$B$7,1)</x:f>
        <x:v>2.6888861916491846</x:v>
      </x:c>
      <x:c r="AS90" s="40" t="n">
        <x:f>IF(OR(E90="Interest Rate",E90="Credit"),ABS(Q90)*AR90,IF(E90="FX",IF(Q90&gt;0,Q90,MAX(ABS(R90),ABS(S90),ABS(Q90))),ABS(Q90)))</x:f>
        <x:v>132293200.62913989</x:v>
      </x:c>
      <x:c r="AT90" s="42" t="n">
        <x:f>IF(OR(E90="Interest Rate",E90="FX"),VLOOKUP(E90,Parameters!$M$4:$N$11,2,FALSE),IF(E90="Credit",VLOOKUP(IF(LOWER(K90)="index","Credit Index","Credit Single Name"),Parameters!$M$4:$N$11,2,FALSE),IF(E90="Equity",VLOOKUP(IF(LOWER(K90)="index","Equity Index","Equity Single Name"),Parameters!$M$4:$N$11,2,FALSE),IF(E90="Commodity",VLOOKUP(IF(F90="Electricity","Commodity Electricity","Commodity Other"),Parameters!$M$4:$N$11,2,FALSE),1))))</x:f>
        <x:v>0.5</x:v>
      </x:c>
      <x:c r="AU90" s="27" t="n">
        <x:f>IF(W90="B",1,-1)</x:f>
        <x:v>-1</x:v>
      </x:c>
      <x:c r="AV90" s="27" t="n">
        <x:f>IF(OR(AA90="",M90=""),MAX(AE90,1/365),MAX((AA90-M90)/365,1/365))</x:f>
        <x:v>2.8876712328767122</x:v>
      </x:c>
      <x:c r="AW90" s="41" t="str">
        <x:f>IF(OR(Z90&lt;=0,Y90&lt;=0,AT90&lt;=0,AV90&lt;=0),"",(LN(Z90/Y90)+0.5*AT90^2*AV90)/(AT90*SQRT(AV90)))</x:f>
      </x:c>
      <x:c r="AX90" s="41" t="n">
        <x:f>IF(AND(X90&lt;&gt;"C",X90&lt;&gt;"P"),AU90,IF(AW90="",AU90,IF(X90="C",AU90*0.5*(1+ERF(AW90/SQRT(2))),-AU90*0.5*(1+ERF(-AW90/SQRT(2))))))</x:f>
        <x:v>-1</x:v>
      </x:c>
      <x:c r="AY90" s="41" t="n">
        <x:f>IF(AJ90="M",1.5*SQRT(MAX(IF(U90="Y",5,10),IF(V90="",10,V90))/Parameters!$B$6),SQRT(MIN(MAX(AE90,10/Parameters!$B$6),1)))</x:f>
        <x:v>1</x:v>
      </x:c>
      <x:c r="AZ90" s="40" t="n">
        <x:f>AS90*AX90*AY90</x:f>
        <x:v>-132293200.62913989</x:v>
      </x:c>
      <x:c r="BA90" s="40" t="n">
        <x:f>'Python_Trade_Output'!AZ90</x:f>
        <x:v>-132293200.62913989</x:v>
      </x:c>
      <x:c r="BB90" s="43" t="n">
        <x:f>AZ90-BA90</x:f>
        <x:v>0</x:v>
      </x:c>
    </x:row>
    <x:row r="91">
      <x:c r="A91" s="27" t="str">
        <x:f>'Inputs_Trades'!D91</x:f>
        <x:v>IND-000088</x:v>
      </x:c>
      <x:c r="B91" s="27" t="str">
        <x:f>'Inputs_Trades'!B91</x:f>
        <x:v>IND_BANK_001</x:v>
      </x:c>
      <x:c r="C91" s="27" t="n">
        <x:f>'Inputs_Trades'!C91</x:f>
        <x:v>3219</x:v>
      </x:c>
      <x:c r="D91" s="27" t="str">
        <x:f>'Inputs_Trades'!E91</x:f>
        <x:v>Interest Rate Swap</x:v>
      </x:c>
      <x:c r="E91" s="27" t="str">
        <x:f>'Inputs_Trades'!F91</x:f>
        <x:v>Interest Rate</x:v>
      </x:c>
      <x:c r="F91" s="27" t="n">
        <x:f>'Inputs_Trades'!G91</x:f>
        <x:v>0</x:v>
      </x:c>
      <x:c r="G91" s="27" t="str">
        <x:f>'Inputs_Trades'!J91</x:f>
        <x:v>CNY</x:v>
      </x:c>
      <x:c r="H91" s="27" t="str">
        <x:f>'Inputs_Trades'!H91</x:f>
        <x:v>CNY</x:v>
      </x:c>
      <x:c r="I91" s="27" t="str">
        <x:f>'Inputs_Trades'!I91</x:f>
        <x:v>CNY</x:v>
      </x:c>
      <x:c r="J91" s="27" t="str">
        <x:f>'Inputs_Trades'!M91</x:f>
        <x:v>CNY</x:v>
      </x:c>
      <x:c r="K91" s="27" t="n">
        <x:f>'Inputs_Trades'!N91</x:f>
        <x:v>0</x:v>
      </x:c>
      <x:c r="L91" s="27" t="n">
        <x:f>'Inputs_Trades'!O91</x:f>
        <x:v>0</x:v>
      </x:c>
      <x:c r="M91" s="39" t="n">
        <x:f>'Inputs_Trades'!A91</x:f>
        <x:v>45702</x:v>
      </x:c>
      <x:c r="N91" s="39" t="n">
        <x:f>'Inputs_Trades'!P91</x:f>
        <x:v>49638</x:v>
      </x:c>
      <x:c r="O91" s="39" t="n">
        <x:f>'Inputs_Trades'!Q91</x:f>
        <x:v>45639</x:v>
      </x:c>
      <x:c r="P91" s="39" t="n">
        <x:f>'Inputs_Trades'!R91</x:f>
        <x:v>49638</x:v>
      </x:c>
      <x:c r="Q91" s="40" t="n">
        <x:f>'Inputs_Trades'!U91</x:f>
        <x:v>338000000</x:v>
      </x:c>
      <x:c r="R91" s="40" t="n">
        <x:f>'Inputs_Trades'!S91</x:f>
        <x:v>2414285714.29</x:v>
      </x:c>
      <x:c r="S91" s="40" t="n">
        <x:f>'Inputs_Trades'!T91</x:f>
        <x:v>2414285714.29</x:v>
      </x:c>
      <x:c r="T91" s="27" t="str">
        <x:f>'Inputs_Trades'!V91</x:f>
        <x:v>M</x:v>
      </x:c>
      <x:c r="U91" s="27" t="str">
        <x:f>'Inputs_Trades'!W91</x:f>
        <x:v>N</x:v>
      </x:c>
      <x:c r="V91" s="27" t="n">
        <x:f>'Inputs_Trades'!X91</x:f>
        <x:v>10</x:v>
      </x:c>
      <x:c r="W91" s="27" t="str">
        <x:f>'Inputs_Trades'!Y91</x:f>
        <x:v>S</x:v>
      </x:c>
      <x:c r="X91" s="27" t="n">
        <x:f>'Inputs_Trades'!AA91</x:f>
        <x:v>0</x:v>
      </x:c>
      <x:c r="Y91" s="27" t="n">
        <x:f>'Inputs_Trades'!AB91</x:f>
        <x:v>0</x:v>
      </x:c>
      <x:c r="Z91" s="27" t="n">
        <x:f>'Inputs_Trades'!AC91</x:f>
        <x:v>0</x:v>
      </x:c>
      <x:c r="AA91" s="39" t="n">
        <x:f>'Inputs_Trades'!Z91</x:f>
        <x:v>0</x:v>
      </x:c>
      <x:c r="AB91" s="40" t="n">
        <x:f>'Inputs_Trades'!AD91</x:f>
        <x:v>-1687296</x:v>
      </x:c>
      <x:c r="AC91" s="27" t="str">
        <x:f>'Inputs_Trades'!K91</x:f>
        <x:v>Basis</x:v>
      </x:c>
      <x:c r="AD91" s="27" t="n">
        <x:f>N91-M91</x:f>
        <x:v>3936</x:v>
      </x:c>
      <x:c r="AE91" s="41" t="n">
        <x:f>AD91/365</x:f>
        <x:v>10.783561643835617</x:v>
      </x:c>
      <x:c r="AF91" s="27" t="str">
        <x:f>IF(AE91&lt;1,"&lt;1Y",IF(AE91&lt;=5,"1Y-5Y","&gt;5Y"))</x:f>
        <x:v>&gt;5Y</x:v>
      </x:c>
      <x:c r="AG91" s="27" t="str">
        <x:f>IF(E91="Commodity",IFERROR(VLOOKUP(F91,Parameters!$P$4:$Q$12,2,FALSE),"Other"),"")</x:f>
      </x:c>
      <x:c r="AH91" s="27" t="str">
        <x:f>IF(F91="","Unknown",F91)</x:f>
        <x:v>Unknown</x:v>
      </x:c>
      <x:c r="AI91" s="27" t="str">
        <x:f>IF(E91="Interest Rate",G91&amp;IF(OR(LOWER(AC91)="basis",LOWER(AC91)="volatility"),"_"&amp;AC91,""),IF(E91="FX",IF(H91&lt;I91,H91&amp;"/"&amp;I91,I91&amp;"/"&amp;H91)&amp;IF(OR(LOWER(AC91)="basis",LOWER(AC91)="volatility"),"_"&amp;AC91,""),IF(OR(E91="Credit",E91="Equity"),J91&amp;IF(OR(LOWER(AC91)="basis",LOWER(AC91)="volatility"),"_"&amp;AC91,""),IF(E91="Commodity",AG91&amp;IF(OR(LOWER(AC91)="basis",LOWER(AC91)="volatility"),"_"&amp;AC91,""),"UNKNOWN"))))</x:f>
        <x:v>CNY_Basis</x:v>
      </x:c>
      <x:c r="AJ91" s="27" t="str">
        <x:f>T91</x:f>
        <x:v>M</x:v>
      </x:c>
      <x:c r="AK91" s="41" t="n">
        <x:f>IF(E91="Interest Rate",VLOOKUP("Interest Rate",Parameters!$D$4:$E$12,2,FALSE),IF(E91="FX",VLOOKUP("FX",Parameters!$D$4:$E$12,2,FALSE),IF(E91="Credit",IFERROR(VLOOKUP(L91,Parameters!$G$4:$H$12,2,FALSE),VLOOKUP("BBB",Parameters!$G$4:$H$12,2,FALSE)),IF(E91="Equity",VLOOKUP(IF(LOWER(K91)="index","Equity Index","Equity Single Name"),Parameters!$D$4:$E$12,2,FALSE),IF(E91="Commodity",VLOOKUP(IFERROR(VLOOKUP(F91,Parameters!$S$4:$T$12,2,FALSE),"Commodity Other"),Parameters!$D$4:$E$12,2,FALSE),0)))))</x:f>
        <x:v>0.005</x:v>
      </x:c>
      <x:c r="AL91" s="42" t="n">
        <x:f>IF(LOWER(AC91)="basis",Parameters!$B$8,IF(LOWER(AC91)="volatility",Parameters!$B$9,1))</x:f>
        <x:v>0.5</x:v>
      </x:c>
      <x:c r="AM91" s="41" t="n">
        <x:f>AK91*AL91</x:f>
        <x:v>0.0025</x:v>
      </x:c>
      <x:c r="AN91" s="42" t="str">
        <x:f>IF(E91="Credit",VLOOKUP(IF(LOWER(K91)="index","Credit Index","Credit Single Name"),Parameters!$J$4:$K$8,2,FALSE),IF(E91="Equity",VLOOKUP(IF(LOWER(K91)="index","Equity Index","Equity Single Name"),Parameters!$J$4:$K$8,2,FALSE),IF(E91="Commodity",VLOOKUP("Commodity",Parameters!$J$4:$K$8,2,FALSE),"")))</x:f>
      </x:c>
      <x:c r="AO91" s="27" t="n">
        <x:f>MAX((O91-M91)/365,0)</x:f>
        <x:v>0</x:v>
      </x:c>
      <x:c r="AP91" s="27" t="n">
        <x:f>MAX((P91-M91)/365,10/Parameters!$B$6)</x:f>
        <x:v>10.783561643835617</x:v>
      </x:c>
      <x:c r="AQ91" s="27" t="n">
        <x:f>IF(AP91&lt;=AO91,AO91+10/Parameters!$B$6,AP91)</x:f>
        <x:v>10.783561643835617</x:v>
      </x:c>
      <x:c r="AR91" s="41" t="n">
        <x:f>IF(OR(E91="Interest Rate",E91="Credit"),(EXP(-Parameters!$B$7*AO91)-EXP(-Parameters!$B$7*AQ91))/Parameters!$B$7,1)</x:f>
        <x:v>8.335451591365416</x:v>
      </x:c>
      <x:c r="AS91" s="40" t="n">
        <x:f>IF(OR(E91="Interest Rate",E91="Credit"),ABS(Q91)*AR91,IF(E91="FX",IF(Q91&gt;0,Q91,MAX(ABS(R91),ABS(S91),ABS(Q91))),ABS(Q91)))</x:f>
        <x:v>2817382637.8815107</x:v>
      </x:c>
      <x:c r="AT91" s="42" t="n">
        <x:f>IF(OR(E91="Interest Rate",E91="FX"),VLOOKUP(E91,Parameters!$M$4:$N$11,2,FALSE),IF(E91="Credit",VLOOKUP(IF(LOWER(K91)="index","Credit Index","Credit Single Name"),Parameters!$M$4:$N$11,2,FALSE),IF(E91="Equity",VLOOKUP(IF(LOWER(K91)="index","Equity Index","Equity Single Name"),Parameters!$M$4:$N$11,2,FALSE),IF(E91="Commodity",VLOOKUP(IF(F91="Electricity","Commodity Electricity","Commodity Other"),Parameters!$M$4:$N$11,2,FALSE),1))))</x:f>
        <x:v>0.5</x:v>
      </x:c>
      <x:c r="AU91" s="27" t="n">
        <x:f>IF(W91="B",1,-1)</x:f>
        <x:v>-1</x:v>
      </x:c>
      <x:c r="AV91" s="27" t="n">
        <x:f>IF(OR(AA91="",M91=""),MAX(AE91,1/365),MAX((AA91-M91)/365,1/365))</x:f>
        <x:v>10.783561643835617</x:v>
      </x:c>
      <x:c r="AW91" s="41" t="str">
        <x:f>IF(OR(Z91&lt;=0,Y91&lt;=0,AT91&lt;=0,AV91&lt;=0),"",(LN(Z91/Y91)+0.5*AT91^2*AV91)/(AT91*SQRT(AV91)))</x:f>
      </x:c>
      <x:c r="AX91" s="41" t="n">
        <x:f>IF(AND(X91&lt;&gt;"C",X91&lt;&gt;"P"),AU91,IF(AW91="",AU91,IF(X91="C",AU91*0.5*(1+ERF(AW91/SQRT(2))),-AU91*0.5*(1+ERF(-AW91/SQRT(2))))))</x:f>
        <x:v>-1</x:v>
      </x:c>
      <x:c r="AY91" s="41" t="n">
        <x:f>IF(AJ91="M",1.5*SQRT(MAX(IF(U91="Y",5,10),IF(V91="",10,V91))/Parameters!$B$6),SQRT(MIN(MAX(AE91,10/Parameters!$B$6),1)))</x:f>
        <x:v>0.30000000000000004</x:v>
      </x:c>
      <x:c r="AZ91" s="40" t="n">
        <x:f>AS91*AX91*AY91</x:f>
        <x:v>-845214791.3644533</x:v>
      </x:c>
      <x:c r="BA91" s="40" t="n">
        <x:f>'Python_Trade_Output'!AZ91</x:f>
        <x:v>-845214791.3644533</x:v>
      </x:c>
      <x:c r="BB91" s="43" t="n">
        <x:f>AZ91-BA91</x:f>
        <x:v>0</x:v>
      </x:c>
    </x:row>
    <x:row r="92">
      <x:c r="A92" s="27" t="str">
        <x:f>'Inputs_Trades'!D92</x:f>
        <x:v>IND-000089</x:v>
      </x:c>
      <x:c r="B92" s="27" t="str">
        <x:f>'Inputs_Trades'!B92</x:f>
        <x:v>IND_CORPORATE_002</x:v>
      </x:c>
      <x:c r="C92" s="27" t="n">
        <x:f>'Inputs_Trades'!C92</x:f>
        <x:v>3273</x:v>
      </x:c>
      <x:c r="D92" s="27" t="str">
        <x:f>'Inputs_Trades'!E92</x:f>
        <x:v>Interest Rate Swap</x:v>
      </x:c>
      <x:c r="E92" s="27" t="str">
        <x:f>'Inputs_Trades'!F92</x:f>
        <x:v>Interest Rate</x:v>
      </x:c>
      <x:c r="F92" s="27" t="n">
        <x:f>'Inputs_Trades'!G92</x:f>
        <x:v>0</x:v>
      </x:c>
      <x:c r="G92" s="27" t="str">
        <x:f>'Inputs_Trades'!J92</x:f>
        <x:v>EUR</x:v>
      </x:c>
      <x:c r="H92" s="27" t="str">
        <x:f>'Inputs_Trades'!H92</x:f>
        <x:v>EUR</x:v>
      </x:c>
      <x:c r="I92" s="27" t="str">
        <x:f>'Inputs_Trades'!I92</x:f>
        <x:v>EUR</x:v>
      </x:c>
      <x:c r="J92" s="27" t="str">
        <x:f>'Inputs_Trades'!M92</x:f>
        <x:v>EUR</x:v>
      </x:c>
      <x:c r="K92" s="27" t="n">
        <x:f>'Inputs_Trades'!N92</x:f>
        <x:v>0</x:v>
      </x:c>
      <x:c r="L92" s="27" t="n">
        <x:f>'Inputs_Trades'!O92</x:f>
        <x:v>0</x:v>
      </x:c>
      <x:c r="M92" s="39" t="n">
        <x:f>'Inputs_Trades'!A92</x:f>
        <x:v>45702</x:v>
      </x:c>
      <x:c r="N92" s="39" t="n">
        <x:f>'Inputs_Trades'!P92</x:f>
        <x:v>46545</x:v>
      </x:c>
      <x:c r="O92" s="39" t="n">
        <x:f>'Inputs_Trades'!Q92</x:f>
        <x:v>45572</x:v>
      </x:c>
      <x:c r="P92" s="39" t="n">
        <x:f>'Inputs_Trades'!R92</x:f>
        <x:v>46545</x:v>
      </x:c>
      <x:c r="Q92" s="40" t="n">
        <x:f>'Inputs_Trades'!U92</x:f>
        <x:v>1055000000</x:v>
      </x:c>
      <x:c r="R92" s="40" t="n">
        <x:f>'Inputs_Trades'!S92</x:f>
        <x:v>1004761904.76</x:v>
      </x:c>
      <x:c r="S92" s="40" t="n">
        <x:f>'Inputs_Trades'!T92</x:f>
        <x:v>1004761904.76</x:v>
      </x:c>
      <x:c r="T92" s="27" t="str">
        <x:f>'Inputs_Trades'!V92</x:f>
        <x:v>U</x:v>
      </x:c>
      <x:c r="U92" s="27" t="str">
        <x:f>'Inputs_Trades'!W92</x:f>
        <x:v>Y</x:v>
      </x:c>
      <x:c r="V92" s="27" t="n">
        <x:f>'Inputs_Trades'!X92</x:f>
        <x:v>5</x:v>
      </x:c>
      <x:c r="W92" s="27" t="str">
        <x:f>'Inputs_Trades'!Y92</x:f>
        <x:v>B</x:v>
      </x:c>
      <x:c r="X92" s="27" t="n">
        <x:f>'Inputs_Trades'!AA92</x:f>
        <x:v>0</x:v>
      </x:c>
      <x:c r="Y92" s="27" t="n">
        <x:f>'Inputs_Trades'!AB92</x:f>
        <x:v>0</x:v>
      </x:c>
      <x:c r="Z92" s="27" t="n">
        <x:f>'Inputs_Trades'!AC92</x:f>
        <x:v>0</x:v>
      </x:c>
      <x:c r="AA92" s="39" t="n">
        <x:f>'Inputs_Trades'!Z92</x:f>
        <x:v>0</x:v>
      </x:c>
      <x:c r="AB92" s="40" t="n">
        <x:f>'Inputs_Trades'!AD92</x:f>
        <x:v>386130</x:v>
      </x:c>
      <x:c r="AC92" s="27" t="n">
        <x:f>'Inputs_Trades'!K92</x:f>
        <x:v>0</x:v>
      </x:c>
      <x:c r="AD92" s="27" t="n">
        <x:f>N92-M92</x:f>
        <x:v>843</x:v>
      </x:c>
      <x:c r="AE92" s="41" t="n">
        <x:f>AD92/365</x:f>
        <x:v>2.3095890410958906</x:v>
      </x:c>
      <x:c r="AF92" s="27" t="str">
        <x:f>IF(AE92&lt;1,"&lt;1Y",IF(AE92&lt;=5,"1Y-5Y","&gt;5Y"))</x:f>
        <x:v>1Y-5Y</x:v>
      </x:c>
      <x:c r="AG92" s="27" t="str">
        <x:f>IF(E92="Commodity",IFERROR(VLOOKUP(F92,Parameters!$P$4:$Q$12,2,FALSE),"Other"),"")</x:f>
      </x:c>
      <x:c r="AH92" s="27" t="str">
        <x:f>IF(F92="","Unknown",F92)</x:f>
        <x:v>Unknown</x:v>
      </x:c>
      <x:c r="AI92" s="27" t="str">
        <x:f>IF(E92="Interest Rate",G92&amp;IF(OR(LOWER(AC92)="basis",LOWER(AC92)="volatility"),"_"&amp;AC92,""),IF(E92="FX",IF(H92&lt;I92,H92&amp;"/"&amp;I92,I92&amp;"/"&amp;H92)&amp;IF(OR(LOWER(AC92)="basis",LOWER(AC92)="volatility"),"_"&amp;AC92,""),IF(OR(E92="Credit",E92="Equity"),J92&amp;IF(OR(LOWER(AC92)="basis",LOWER(AC92)="volatility"),"_"&amp;AC92,""),IF(E92="Commodity",AG92&amp;IF(OR(LOWER(AC92)="basis",LOWER(AC92)="volatility"),"_"&amp;AC92,""),"UNKNOWN"))))</x:f>
        <x:v>EUR</x:v>
      </x:c>
      <x:c r="AJ92" s="27" t="str">
        <x:f>T92</x:f>
        <x:v>U</x:v>
      </x:c>
      <x:c r="AK92" s="41" t="n">
        <x:f>IF(E92="Interest Rate",VLOOKUP("Interest Rate",Parameters!$D$4:$E$12,2,FALSE),IF(E92="FX",VLOOKUP("FX",Parameters!$D$4:$E$12,2,FALSE),IF(E92="Credit",IFERROR(VLOOKUP(L92,Parameters!$G$4:$H$12,2,FALSE),VLOOKUP("BBB",Parameters!$G$4:$H$12,2,FALSE)),IF(E92="Equity",VLOOKUP(IF(LOWER(K92)="index","Equity Index","Equity Single Name"),Parameters!$D$4:$E$12,2,FALSE),IF(E92="Commodity",VLOOKUP(IFERROR(VLOOKUP(F92,Parameters!$S$4:$T$12,2,FALSE),"Commodity Other"),Parameters!$D$4:$E$12,2,FALSE),0)))))</x:f>
        <x:v>0.005</x:v>
      </x:c>
      <x:c r="AL92" s="42" t="n">
        <x:f>IF(LOWER(AC92)="basis",Parameters!$B$8,IF(LOWER(AC92)="volatility",Parameters!$B$9,1))</x:f>
        <x:v>1</x:v>
      </x:c>
      <x:c r="AM92" s="41" t="n">
        <x:f>AK92*AL92</x:f>
        <x:v>0.005</x:v>
      </x:c>
      <x:c r="AN92" s="42" t="str">
        <x:f>IF(E92="Credit",VLOOKUP(IF(LOWER(K92)="index","Credit Index","Credit Single Name"),Parameters!$J$4:$K$8,2,FALSE),IF(E92="Equity",VLOOKUP(IF(LOWER(K92)="index","Equity Index","Equity Single Name"),Parameters!$J$4:$K$8,2,FALSE),IF(E92="Commodity",VLOOKUP("Commodity",Parameters!$J$4:$K$8,2,FALSE),"")))</x:f>
      </x:c>
      <x:c r="AO92" s="27" t="n">
        <x:f>MAX((O92-M92)/365,0)</x:f>
        <x:v>0</x:v>
      </x:c>
      <x:c r="AP92" s="27" t="n">
        <x:f>MAX((P92-M92)/365,10/Parameters!$B$6)</x:f>
        <x:v>2.3095890410958906</x:v>
      </x:c>
      <x:c r="AQ92" s="27" t="n">
        <x:f>IF(AP92&lt;=AO92,AO92+10/Parameters!$B$6,AP92)</x:f>
        <x:v>2.3095890410958906</x:v>
      </x:c>
      <x:c r="AR92" s="41" t="n">
        <x:f>IF(OR(E92="Interest Rate",E92="Credit"),(EXP(-Parameters!$B$7*AO92)-EXP(-Parameters!$B$7*AQ92))/Parameters!$B$7,1)</x:f>
        <x:v>2.181222419754769</x:v>
      </x:c>
      <x:c r="AS92" s="40" t="n">
        <x:f>IF(OR(E92="Interest Rate",E92="Credit"),ABS(Q92)*AR92,IF(E92="FX",IF(Q92&gt;0,Q92,MAX(ABS(R92),ABS(S92),ABS(Q92))),ABS(Q92)))</x:f>
        <x:v>2301189652.8412814</x:v>
      </x:c>
      <x:c r="AT92" s="42" t="n">
        <x:f>IF(OR(E92="Interest Rate",E92="FX"),VLOOKUP(E92,Parameters!$M$4:$N$11,2,FALSE),IF(E92="Credit",VLOOKUP(IF(LOWER(K92)="index","Credit Index","Credit Single Name"),Parameters!$M$4:$N$11,2,FALSE),IF(E92="Equity",VLOOKUP(IF(LOWER(K92)="index","Equity Index","Equity Single Name"),Parameters!$M$4:$N$11,2,FALSE),IF(E92="Commodity",VLOOKUP(IF(F92="Electricity","Commodity Electricity","Commodity Other"),Parameters!$M$4:$N$11,2,FALSE),1))))</x:f>
        <x:v>0.5</x:v>
      </x:c>
      <x:c r="AU92" s="27" t="n">
        <x:f>IF(W92="B",1,-1)</x:f>
        <x:v>1</x:v>
      </x:c>
      <x:c r="AV92" s="27" t="n">
        <x:f>IF(OR(AA92="",M92=""),MAX(AE92,1/365),MAX((AA92-M92)/365,1/365))</x:f>
        <x:v>2.3095890410958906</x:v>
      </x:c>
      <x:c r="AW92" s="41" t="str">
        <x:f>IF(OR(Z92&lt;=0,Y92&lt;=0,AT92&lt;=0,AV92&lt;=0),"",(LN(Z92/Y92)+0.5*AT92^2*AV92)/(AT92*SQRT(AV92)))</x:f>
      </x:c>
      <x:c r="AX92" s="41" t="n">
        <x:f>IF(AND(X92&lt;&gt;"C",X92&lt;&gt;"P"),AU92,IF(AW92="",AU92,IF(X92="C",AU92*0.5*(1+ERF(AW92/SQRT(2))),-AU92*0.5*(1+ERF(-AW92/SQRT(2))))))</x:f>
        <x:v>1</x:v>
      </x:c>
      <x:c r="AY92" s="41" t="n">
        <x:f>IF(AJ92="M",1.5*SQRT(MAX(IF(U92="Y",5,10),IF(V92="",10,V92))/Parameters!$B$6),SQRT(MIN(MAX(AE92,10/Parameters!$B$6),1)))</x:f>
        <x:v>1</x:v>
      </x:c>
      <x:c r="AZ92" s="40" t="n">
        <x:f>AS92*AX92*AY92</x:f>
        <x:v>2301189652.8412814</x:v>
      </x:c>
      <x:c r="BA92" s="40" t="n">
        <x:f>'Python_Trade_Output'!AZ92</x:f>
        <x:v>2301189652.8412814</x:v>
      </x:c>
      <x:c r="BB92" s="43" t="n">
        <x:f>AZ92-BA92</x:f>
        <x:v>0</x:v>
      </x:c>
    </x:row>
    <x:row r="93">
      <x:c r="A93" s="27" t="str">
        <x:f>'Inputs_Trades'!D93</x:f>
        <x:v>IND-000090</x:v>
      </x:c>
      <x:c r="B93" s="27" t="str">
        <x:f>'Inputs_Trades'!B93</x:f>
        <x:v>IND_BROKER_001</x:v>
      </x:c>
      <x:c r="C93" s="27" t="n">
        <x:f>'Inputs_Trades'!C93</x:f>
        <x:v>3332</x:v>
      </x:c>
      <x:c r="D93" s="27" t="str">
        <x:f>'Inputs_Trades'!E93</x:f>
        <x:v>Interest Rate Swap</x:v>
      </x:c>
      <x:c r="E93" s="27" t="str">
        <x:f>'Inputs_Trades'!F93</x:f>
        <x:v>Interest Rate</x:v>
      </x:c>
      <x:c r="F93" s="27" t="n">
        <x:f>'Inputs_Trades'!G93</x:f>
        <x:v>0</x:v>
      </x:c>
      <x:c r="G93" s="27" t="str">
        <x:f>'Inputs_Trades'!J93</x:f>
        <x:v>EUR</x:v>
      </x:c>
      <x:c r="H93" s="27" t="str">
        <x:f>'Inputs_Trades'!H93</x:f>
        <x:v>EUR</x:v>
      </x:c>
      <x:c r="I93" s="27" t="str">
        <x:f>'Inputs_Trades'!I93</x:f>
        <x:v>EUR</x:v>
      </x:c>
      <x:c r="J93" s="27" t="str">
        <x:f>'Inputs_Trades'!M93</x:f>
        <x:v>EUR</x:v>
      </x:c>
      <x:c r="K93" s="27" t="n">
        <x:f>'Inputs_Trades'!N93</x:f>
        <x:v>0</x:v>
      </x:c>
      <x:c r="L93" s="27" t="n">
        <x:f>'Inputs_Trades'!O93</x:f>
        <x:v>0</x:v>
      </x:c>
      <x:c r="M93" s="39" t="n">
        <x:f>'Inputs_Trades'!A93</x:f>
        <x:v>45702</x:v>
      </x:c>
      <x:c r="N93" s="39" t="n">
        <x:f>'Inputs_Trades'!P93</x:f>
        <x:v>46503</x:v>
      </x:c>
      <x:c r="O93" s="39" t="n">
        <x:f>'Inputs_Trades'!Q93</x:f>
        <x:v>45410</x:v>
      </x:c>
      <x:c r="P93" s="39" t="n">
        <x:f>'Inputs_Trades'!R93</x:f>
        <x:v>46503</x:v>
      </x:c>
      <x:c r="Q93" s="40" t="n">
        <x:f>'Inputs_Trades'!U93</x:f>
        <x:v>11200000</x:v>
      </x:c>
      <x:c r="R93" s="40" t="n">
        <x:f>'Inputs_Trades'!S93</x:f>
        <x:v>10666666.67</x:v>
      </x:c>
      <x:c r="S93" s="40" t="n">
        <x:f>'Inputs_Trades'!T93</x:f>
        <x:v>10666666.67</x:v>
      </x:c>
      <x:c r="T93" s="27" t="str">
        <x:f>'Inputs_Trades'!V93</x:f>
        <x:v>M</x:v>
      </x:c>
      <x:c r="U93" s="27" t="str">
        <x:f>'Inputs_Trades'!W93</x:f>
        <x:v>N</x:v>
      </x:c>
      <x:c r="V93" s="27" t="n">
        <x:f>'Inputs_Trades'!X93</x:f>
        <x:v>10</x:v>
      </x:c>
      <x:c r="W93" s="27" t="str">
        <x:f>'Inputs_Trades'!Y93</x:f>
        <x:v>S</x:v>
      </x:c>
      <x:c r="X93" s="27" t="n">
        <x:f>'Inputs_Trades'!AA93</x:f>
        <x:v>0</x:v>
      </x:c>
      <x:c r="Y93" s="27" t="n">
        <x:f>'Inputs_Trades'!AB93</x:f>
        <x:v>0</x:v>
      </x:c>
      <x:c r="Z93" s="27" t="n">
        <x:f>'Inputs_Trades'!AC93</x:f>
        <x:v>0</x:v>
      </x:c>
      <x:c r="AA93" s="39" t="n">
        <x:f>'Inputs_Trades'!Z93</x:f>
        <x:v>0</x:v>
      </x:c>
      <x:c r="AB93" s="40" t="n">
        <x:f>'Inputs_Trades'!AD93</x:f>
        <x:v>-32659.2</x:v>
      </x:c>
      <x:c r="AC93" s="27" t="str">
        <x:f>'Inputs_Trades'!K93</x:f>
        <x:v>Basis</x:v>
      </x:c>
      <x:c r="AD93" s="27" t="n">
        <x:f>N93-M93</x:f>
        <x:v>801</x:v>
      </x:c>
      <x:c r="AE93" s="41" t="n">
        <x:f>AD93/365</x:f>
        <x:v>2.1945205479452055</x:v>
      </x:c>
      <x:c r="AF93" s="27" t="str">
        <x:f>IF(AE93&lt;1,"&lt;1Y",IF(AE93&lt;=5,"1Y-5Y","&gt;5Y"))</x:f>
        <x:v>1Y-5Y</x:v>
      </x:c>
      <x:c r="AG93" s="27" t="str">
        <x:f>IF(E93="Commodity",IFERROR(VLOOKUP(F93,Parameters!$P$4:$Q$12,2,FALSE),"Other"),"")</x:f>
      </x:c>
      <x:c r="AH93" s="27" t="str">
        <x:f>IF(F93="","Unknown",F93)</x:f>
        <x:v>Unknown</x:v>
      </x:c>
      <x:c r="AI93" s="27" t="str">
        <x:f>IF(E93="Interest Rate",G93&amp;IF(OR(LOWER(AC93)="basis",LOWER(AC93)="volatility"),"_"&amp;AC93,""),IF(E93="FX",IF(H93&lt;I93,H93&amp;"/"&amp;I93,I93&amp;"/"&amp;H93)&amp;IF(OR(LOWER(AC93)="basis",LOWER(AC93)="volatility"),"_"&amp;AC93,""),IF(OR(E93="Credit",E93="Equity"),J93&amp;IF(OR(LOWER(AC93)="basis",LOWER(AC93)="volatility"),"_"&amp;AC93,""),IF(E93="Commodity",AG93&amp;IF(OR(LOWER(AC93)="basis",LOWER(AC93)="volatility"),"_"&amp;AC93,""),"UNKNOWN"))))</x:f>
        <x:v>EUR_Basis</x:v>
      </x:c>
      <x:c r="AJ93" s="27" t="str">
        <x:f>T93</x:f>
        <x:v>M</x:v>
      </x:c>
      <x:c r="AK93" s="41" t="n">
        <x:f>IF(E93="Interest Rate",VLOOKUP("Interest Rate",Parameters!$D$4:$E$12,2,FALSE),IF(E93="FX",VLOOKUP("FX",Parameters!$D$4:$E$12,2,FALSE),IF(E93="Credit",IFERROR(VLOOKUP(L93,Parameters!$G$4:$H$12,2,FALSE),VLOOKUP("BBB",Parameters!$G$4:$H$12,2,FALSE)),IF(E93="Equity",VLOOKUP(IF(LOWER(K93)="index","Equity Index","Equity Single Name"),Parameters!$D$4:$E$12,2,FALSE),IF(E93="Commodity",VLOOKUP(IFERROR(VLOOKUP(F93,Parameters!$S$4:$T$12,2,FALSE),"Commodity Other"),Parameters!$D$4:$E$12,2,FALSE),0)))))</x:f>
        <x:v>0.005</x:v>
      </x:c>
      <x:c r="AL93" s="42" t="n">
        <x:f>IF(LOWER(AC93)="basis",Parameters!$B$8,IF(LOWER(AC93)="volatility",Parameters!$B$9,1))</x:f>
        <x:v>0.5</x:v>
      </x:c>
      <x:c r="AM93" s="41" t="n">
        <x:f>AK93*AL93</x:f>
        <x:v>0.0025</x:v>
      </x:c>
      <x:c r="AN93" s="42" t="str">
        <x:f>IF(E93="Credit",VLOOKUP(IF(LOWER(K93)="index","Credit Index","Credit Single Name"),Parameters!$J$4:$K$8,2,FALSE),IF(E93="Equity",VLOOKUP(IF(LOWER(K93)="index","Equity Index","Equity Single Name"),Parameters!$J$4:$K$8,2,FALSE),IF(E93="Commodity",VLOOKUP("Commodity",Parameters!$J$4:$K$8,2,FALSE),"")))</x:f>
      </x:c>
      <x:c r="AO93" s="27" t="n">
        <x:f>MAX((O93-M93)/365,0)</x:f>
        <x:v>0</x:v>
      </x:c>
      <x:c r="AP93" s="27" t="n">
        <x:f>MAX((P93-M93)/365,10/Parameters!$B$6)</x:f>
        <x:v>2.1945205479452055</x:v>
      </x:c>
      <x:c r="AQ93" s="27" t="n">
        <x:f>IF(AP93&lt;=AO93,AO93+10/Parameters!$B$6,AP93)</x:f>
        <x:v>2.1945205479452055</x:v>
      </x:c>
      <x:c r="AR93" s="41" t="n">
        <x:f>IF(OR(E93="Interest Rate",E93="Credit"),(EXP(-Parameters!$B$7*AO93)-EXP(-Parameters!$B$7*AQ93))/Parameters!$B$7,1)</x:f>
        <x:v>2.0784079413926726</x:v>
      </x:c>
      <x:c r="AS93" s="40" t="n">
        <x:f>IF(OR(E93="Interest Rate",E93="Credit"),ABS(Q93)*AR93,IF(E93="FX",IF(Q93&gt;0,Q93,MAX(ABS(R93),ABS(S93),ABS(Q93))),ABS(Q93)))</x:f>
        <x:v>23278168.94359793</x:v>
      </x:c>
      <x:c r="AT93" s="42" t="n">
        <x:f>IF(OR(E93="Interest Rate",E93="FX"),VLOOKUP(E93,Parameters!$M$4:$N$11,2,FALSE),IF(E93="Credit",VLOOKUP(IF(LOWER(K93)="index","Credit Index","Credit Single Name"),Parameters!$M$4:$N$11,2,FALSE),IF(E93="Equity",VLOOKUP(IF(LOWER(K93)="index","Equity Index","Equity Single Name"),Parameters!$M$4:$N$11,2,FALSE),IF(E93="Commodity",VLOOKUP(IF(F93="Electricity","Commodity Electricity","Commodity Other"),Parameters!$M$4:$N$11,2,FALSE),1))))</x:f>
        <x:v>0.5</x:v>
      </x:c>
      <x:c r="AU93" s="27" t="n">
        <x:f>IF(W93="B",1,-1)</x:f>
        <x:v>-1</x:v>
      </x:c>
      <x:c r="AV93" s="27" t="n">
        <x:f>IF(OR(AA93="",M93=""),MAX(AE93,1/365),MAX((AA93-M93)/365,1/365))</x:f>
        <x:v>2.1945205479452055</x:v>
      </x:c>
      <x:c r="AW93" s="41" t="str">
        <x:f>IF(OR(Z93&lt;=0,Y93&lt;=0,AT93&lt;=0,AV93&lt;=0),"",(LN(Z93/Y93)+0.5*AT93^2*AV93)/(AT93*SQRT(AV93)))</x:f>
      </x:c>
      <x:c r="AX93" s="41" t="n">
        <x:f>IF(AND(X93&lt;&gt;"C",X93&lt;&gt;"P"),AU93,IF(AW93="",AU93,IF(X93="C",AU93*0.5*(1+ERF(AW93/SQRT(2))),-AU93*0.5*(1+ERF(-AW93/SQRT(2))))))</x:f>
        <x:v>-1</x:v>
      </x:c>
      <x:c r="AY93" s="41" t="n">
        <x:f>IF(AJ93="M",1.5*SQRT(MAX(IF(U93="Y",5,10),IF(V93="",10,V93))/Parameters!$B$6),SQRT(MIN(MAX(AE93,10/Parameters!$B$6),1)))</x:f>
        <x:v>0.30000000000000004</x:v>
      </x:c>
      <x:c r="AZ93" s="40" t="n">
        <x:f>AS93*AX93*AY93</x:f>
        <x:v>-6983450.683079381</x:v>
      </x:c>
      <x:c r="BA93" s="40" t="n">
        <x:f>'Python_Trade_Output'!AZ93</x:f>
        <x:v>-6983450.683079381</x:v>
      </x:c>
      <x:c r="BB93" s="43" t="n">
        <x:f>AZ93-BA93</x:f>
        <x:v>0</x:v>
      </x:c>
    </x:row>
    <x:row r="94">
      <x:c r="A94" s="27" t="str">
        <x:f>'Inputs_Trades'!D94</x:f>
        <x:v>IND-000091</x:v>
      </x:c>
      <x:c r="B94" s="27" t="str">
        <x:f>'Inputs_Trades'!B94</x:f>
        <x:v>IND_REGIONAL_BANK_001</x:v>
      </x:c>
      <x:c r="C94" s="27" t="n">
        <x:f>'Inputs_Trades'!C94</x:f>
        <x:v>3054</x:v>
      </x:c>
      <x:c r="D94" s="27" t="str">
        <x:f>'Inputs_Trades'!E94</x:f>
        <x:v>Interest Rate Swap</x:v>
      </x:c>
      <x:c r="E94" s="27" t="str">
        <x:f>'Inputs_Trades'!F94</x:f>
        <x:v>Interest Rate</x:v>
      </x:c>
      <x:c r="F94" s="27" t="n">
        <x:f>'Inputs_Trades'!G94</x:f>
        <x:v>0</x:v>
      </x:c>
      <x:c r="G94" s="27" t="str">
        <x:f>'Inputs_Trades'!J94</x:f>
        <x:v>JPY</x:v>
      </x:c>
      <x:c r="H94" s="27" t="str">
        <x:f>'Inputs_Trades'!H94</x:f>
        <x:v>JPY</x:v>
      </x:c>
      <x:c r="I94" s="27" t="str">
        <x:f>'Inputs_Trades'!I94</x:f>
        <x:v>JPY</x:v>
      </x:c>
      <x:c r="J94" s="27" t="str">
        <x:f>'Inputs_Trades'!M94</x:f>
        <x:v>JPY</x:v>
      </x:c>
      <x:c r="K94" s="27" t="n">
        <x:f>'Inputs_Trades'!N94</x:f>
        <x:v>0</x:v>
      </x:c>
      <x:c r="L94" s="27" t="n">
        <x:f>'Inputs_Trades'!O94</x:f>
        <x:v>0</x:v>
      </x:c>
      <x:c r="M94" s="39" t="n">
        <x:f>'Inputs_Trades'!A94</x:f>
        <x:v>45702</x:v>
      </x:c>
      <x:c r="N94" s="39" t="n">
        <x:f>'Inputs_Trades'!P94</x:f>
        <x:v>49052</x:v>
      </x:c>
      <x:c r="O94" s="39" t="n">
        <x:f>'Inputs_Trades'!Q94</x:f>
        <x:v>45588</x:v>
      </x:c>
      <x:c r="P94" s="39" t="n">
        <x:f>'Inputs_Trades'!R94</x:f>
        <x:v>49052</x:v>
      </x:c>
      <x:c r="Q94" s="40" t="n">
        <x:f>'Inputs_Trades'!U94</x:f>
        <x:v>38900000</x:v>
      </x:c>
      <x:c r="R94" s="40" t="n">
        <x:f>'Inputs_Trades'!S94</x:f>
        <x:v>5805970149.25</x:v>
      </x:c>
      <x:c r="S94" s="40" t="n">
        <x:f>'Inputs_Trades'!T94</x:f>
        <x:v>5805970149.25</x:v>
      </x:c>
      <x:c r="T94" s="27" t="str">
        <x:f>'Inputs_Trades'!V94</x:f>
        <x:v>U</x:v>
      </x:c>
      <x:c r="U94" s="27" t="str">
        <x:f>'Inputs_Trades'!W94</x:f>
        <x:v>N</x:v>
      </x:c>
      <x:c r="V94" s="27" t="n">
        <x:f>'Inputs_Trades'!X94</x:f>
        <x:v>0</x:v>
      </x:c>
      <x:c r="W94" s="27" t="str">
        <x:f>'Inputs_Trades'!Y94</x:f>
        <x:v>B</x:v>
      </x:c>
      <x:c r="X94" s="27" t="n">
        <x:f>'Inputs_Trades'!AA94</x:f>
        <x:v>0</x:v>
      </x:c>
      <x:c r="Y94" s="27" t="n">
        <x:f>'Inputs_Trades'!AB94</x:f>
        <x:v>0</x:v>
      </x:c>
      <x:c r="Z94" s="27" t="n">
        <x:f>'Inputs_Trades'!AC94</x:f>
        <x:v>0</x:v>
      </x:c>
      <x:c r="AA94" s="39" t="n">
        <x:f>'Inputs_Trades'!Z94</x:f>
        <x:v>0</x:v>
      </x:c>
      <x:c r="AB94" s="40" t="n">
        <x:f>'Inputs_Trades'!AD94</x:f>
        <x:v>-14937.6</x:v>
      </x:c>
      <x:c r="AC94" s="27" t="n">
        <x:f>'Inputs_Trades'!K94</x:f>
        <x:v>0</x:v>
      </x:c>
      <x:c r="AD94" s="27" t="n">
        <x:f>N94-M94</x:f>
        <x:v>3350</x:v>
      </x:c>
      <x:c r="AE94" s="41" t="n">
        <x:f>AD94/365</x:f>
        <x:v>9.178082191780822</x:v>
      </x:c>
      <x:c r="AF94" s="27" t="str">
        <x:f>IF(AE94&lt;1,"&lt;1Y",IF(AE94&lt;=5,"1Y-5Y","&gt;5Y"))</x:f>
        <x:v>&gt;5Y</x:v>
      </x:c>
      <x:c r="AG94" s="27" t="str">
        <x:f>IF(E94="Commodity",IFERROR(VLOOKUP(F94,Parameters!$P$4:$Q$12,2,FALSE),"Other"),"")</x:f>
      </x:c>
      <x:c r="AH94" s="27" t="str">
        <x:f>IF(F94="","Unknown",F94)</x:f>
        <x:v>Unknown</x:v>
      </x:c>
      <x:c r="AI94" s="27" t="str">
        <x:f>IF(E94="Interest Rate",G94&amp;IF(OR(LOWER(AC94)="basis",LOWER(AC94)="volatility"),"_"&amp;AC94,""),IF(E94="FX",IF(H94&lt;I94,H94&amp;"/"&amp;I94,I94&amp;"/"&amp;H94)&amp;IF(OR(LOWER(AC94)="basis",LOWER(AC94)="volatility"),"_"&amp;AC94,""),IF(OR(E94="Credit",E94="Equity"),J94&amp;IF(OR(LOWER(AC94)="basis",LOWER(AC94)="volatility"),"_"&amp;AC94,""),IF(E94="Commodity",AG94&amp;IF(OR(LOWER(AC94)="basis",LOWER(AC94)="volatility"),"_"&amp;AC94,""),"UNKNOWN"))))</x:f>
        <x:v>JPY</x:v>
      </x:c>
      <x:c r="AJ94" s="27" t="str">
        <x:f>T94</x:f>
        <x:v>U</x:v>
      </x:c>
      <x:c r="AK94" s="41" t="n">
        <x:f>IF(E94="Interest Rate",VLOOKUP("Interest Rate",Parameters!$D$4:$E$12,2,FALSE),IF(E94="FX",VLOOKUP("FX",Parameters!$D$4:$E$12,2,FALSE),IF(E94="Credit",IFERROR(VLOOKUP(L94,Parameters!$G$4:$H$12,2,FALSE),VLOOKUP("BBB",Parameters!$G$4:$H$12,2,FALSE)),IF(E94="Equity",VLOOKUP(IF(LOWER(K94)="index","Equity Index","Equity Single Name"),Parameters!$D$4:$E$12,2,FALSE),IF(E94="Commodity",VLOOKUP(IFERROR(VLOOKUP(F94,Parameters!$S$4:$T$12,2,FALSE),"Commodity Other"),Parameters!$D$4:$E$12,2,FALSE),0)))))</x:f>
        <x:v>0.005</x:v>
      </x:c>
      <x:c r="AL94" s="42" t="n">
        <x:f>IF(LOWER(AC94)="basis",Parameters!$B$8,IF(LOWER(AC94)="volatility",Parameters!$B$9,1))</x:f>
        <x:v>1</x:v>
      </x:c>
      <x:c r="AM94" s="41" t="n">
        <x:f>AK94*AL94</x:f>
        <x:v>0.005</x:v>
      </x:c>
      <x:c r="AN94" s="42" t="str">
        <x:f>IF(E94="Credit",VLOOKUP(IF(LOWER(K94)="index","Credit Index","Credit Single Name"),Parameters!$J$4:$K$8,2,FALSE),IF(E94="Equity",VLOOKUP(IF(LOWER(K94)="index","Equity Index","Equity Single Name"),Parameters!$J$4:$K$8,2,FALSE),IF(E94="Commodity",VLOOKUP("Commodity",Parameters!$J$4:$K$8,2,FALSE),"")))</x:f>
      </x:c>
      <x:c r="AO94" s="27" t="n">
        <x:f>MAX((O94-M94)/365,0)</x:f>
        <x:v>0</x:v>
      </x:c>
      <x:c r="AP94" s="27" t="n">
        <x:f>MAX((P94-M94)/365,10/Parameters!$B$6)</x:f>
        <x:v>9.178082191780822</x:v>
      </x:c>
      <x:c r="AQ94" s="27" t="n">
        <x:f>IF(AP94&lt;=AO94,AO94+10/Parameters!$B$6,AP94)</x:f>
        <x:v>9.178082191780822</x:v>
      </x:c>
      <x:c r="AR94" s="41" t="n">
        <x:f>IF(OR(E94="Interest Rate",E94="Credit"),(EXP(-Parameters!$B$7*AO94)-EXP(-Parameters!$B$7*AQ94))/Parameters!$B$7,1)</x:f>
        <x:v>7.36048315165331</x:v>
      </x:c>
      <x:c r="AS94" s="40" t="n">
        <x:f>IF(OR(E94="Interest Rate",E94="Credit"),ABS(Q94)*AR94,IF(E94="FX",IF(Q94&gt;0,Q94,MAX(ABS(R94),ABS(S94),ABS(Q94))),ABS(Q94)))</x:f>
        <x:v>286322794.59931374</x:v>
      </x:c>
      <x:c r="AT94" s="42" t="n">
        <x:f>IF(OR(E94="Interest Rate",E94="FX"),VLOOKUP(E94,Parameters!$M$4:$N$11,2,FALSE),IF(E94="Credit",VLOOKUP(IF(LOWER(K94)="index","Credit Index","Credit Single Name"),Parameters!$M$4:$N$11,2,FALSE),IF(E94="Equity",VLOOKUP(IF(LOWER(K94)="index","Equity Index","Equity Single Name"),Parameters!$M$4:$N$11,2,FALSE),IF(E94="Commodity",VLOOKUP(IF(F94="Electricity","Commodity Electricity","Commodity Other"),Parameters!$M$4:$N$11,2,FALSE),1))))</x:f>
        <x:v>0.5</x:v>
      </x:c>
      <x:c r="AU94" s="27" t="n">
        <x:f>IF(W94="B",1,-1)</x:f>
        <x:v>1</x:v>
      </x:c>
      <x:c r="AV94" s="27" t="n">
        <x:f>IF(OR(AA94="",M94=""),MAX(AE94,1/365),MAX((AA94-M94)/365,1/365))</x:f>
        <x:v>9.178082191780822</x:v>
      </x:c>
      <x:c r="AW94" s="41" t="str">
        <x:f>IF(OR(Z94&lt;=0,Y94&lt;=0,AT94&lt;=0,AV94&lt;=0),"",(LN(Z94/Y94)+0.5*AT94^2*AV94)/(AT94*SQRT(AV94)))</x:f>
      </x:c>
      <x:c r="AX94" s="41" t="n">
        <x:f>IF(AND(X94&lt;&gt;"C",X94&lt;&gt;"P"),AU94,IF(AW94="",AU94,IF(X94="C",AU94*0.5*(1+ERF(AW94/SQRT(2))),-AU94*0.5*(1+ERF(-AW94/SQRT(2))))))</x:f>
        <x:v>1</x:v>
      </x:c>
      <x:c r="AY94" s="41" t="n">
        <x:f>IF(AJ94="M",1.5*SQRT(MAX(IF(U94="Y",5,10),IF(V94="",10,V94))/Parameters!$B$6),SQRT(MIN(MAX(AE94,10/Parameters!$B$6),1)))</x:f>
        <x:v>1</x:v>
      </x:c>
      <x:c r="AZ94" s="40" t="n">
        <x:f>AS94*AX94*AY94</x:f>
        <x:v>286322794.59931374</x:v>
      </x:c>
      <x:c r="BA94" s="40" t="n">
        <x:f>'Python_Trade_Output'!AZ94</x:f>
        <x:v>286322794.59931374</x:v>
      </x:c>
      <x:c r="BB94" s="43" t="n">
        <x:f>AZ94-BA94</x:f>
        <x:v>0</x:v>
      </x:c>
    </x:row>
    <x:row r="95">
      <x:c r="A95" s="27" t="str">
        <x:f>'Inputs_Trades'!D95</x:f>
        <x:v>IND-000092</x:v>
      </x:c>
      <x:c r="B95" s="27" t="str">
        <x:f>'Inputs_Trades'!B95</x:f>
        <x:v>IND_SOVEREIGN_001</x:v>
      </x:c>
      <x:c r="C95" s="27" t="n">
        <x:f>'Inputs_Trades'!C95</x:f>
        <x:v>3246</x:v>
      </x:c>
      <x:c r="D95" s="27" t="str">
        <x:f>'Inputs_Trades'!E95</x:f>
        <x:v>Interest Rate Swap</x:v>
      </x:c>
      <x:c r="E95" s="27" t="str">
        <x:f>'Inputs_Trades'!F95</x:f>
        <x:v>Interest Rate</x:v>
      </x:c>
      <x:c r="F95" s="27" t="n">
        <x:f>'Inputs_Trades'!G95</x:f>
        <x:v>0</x:v>
      </x:c>
      <x:c r="G95" s="27" t="str">
        <x:f>'Inputs_Trades'!J95</x:f>
        <x:v>CNY</x:v>
      </x:c>
      <x:c r="H95" s="27" t="str">
        <x:f>'Inputs_Trades'!H95</x:f>
        <x:v>CNY</x:v>
      </x:c>
      <x:c r="I95" s="27" t="str">
        <x:f>'Inputs_Trades'!I95</x:f>
        <x:v>CNY</x:v>
      </x:c>
      <x:c r="J95" s="27" t="str">
        <x:f>'Inputs_Trades'!M95</x:f>
        <x:v>CNY</x:v>
      </x:c>
      <x:c r="K95" s="27" t="n">
        <x:f>'Inputs_Trades'!N95</x:f>
        <x:v>0</x:v>
      </x:c>
      <x:c r="L95" s="27" t="n">
        <x:f>'Inputs_Trades'!O95</x:f>
        <x:v>0</x:v>
      </x:c>
      <x:c r="M95" s="39" t="n">
        <x:f>'Inputs_Trades'!A95</x:f>
        <x:v>45702</x:v>
      </x:c>
      <x:c r="N95" s="39" t="n">
        <x:f>'Inputs_Trades'!P95</x:f>
        <x:v>48226</x:v>
      </x:c>
      <x:c r="O95" s="39" t="n">
        <x:f>'Inputs_Trades'!Q95</x:f>
        <x:v>45702</x:v>
      </x:c>
      <x:c r="P95" s="39" t="n">
        <x:f>'Inputs_Trades'!R95</x:f>
        <x:v>48226</x:v>
      </x:c>
      <x:c r="Q95" s="40" t="n">
        <x:f>'Inputs_Trades'!U95</x:f>
        <x:v>391000000</x:v>
      </x:c>
      <x:c r="R95" s="40" t="n">
        <x:f>'Inputs_Trades'!S95</x:f>
        <x:v>2792857142.86</x:v>
      </x:c>
      <x:c r="S95" s="40" t="n">
        <x:f>'Inputs_Trades'!T95</x:f>
        <x:v>2792857142.86</x:v>
      </x:c>
      <x:c r="T95" s="27" t="str">
        <x:f>'Inputs_Trades'!V95</x:f>
        <x:v>M</x:v>
      </x:c>
      <x:c r="U95" s="27" t="str">
        <x:f>'Inputs_Trades'!W95</x:f>
        <x:v>N</x:v>
      </x:c>
      <x:c r="V95" s="27" t="n">
        <x:f>'Inputs_Trades'!X95</x:f>
        <x:v>10</x:v>
      </x:c>
      <x:c r="W95" s="27" t="str">
        <x:f>'Inputs_Trades'!Y95</x:f>
        <x:v>B</x:v>
      </x:c>
      <x:c r="X95" s="27" t="n">
        <x:f>'Inputs_Trades'!AA95</x:f>
        <x:v>0</x:v>
      </x:c>
      <x:c r="Y95" s="27" t="n">
        <x:f>'Inputs_Trades'!AB95</x:f>
        <x:v>0</x:v>
      </x:c>
      <x:c r="Z95" s="27" t="n">
        <x:f>'Inputs_Trades'!AC95</x:f>
        <x:v>0</x:v>
      </x:c>
      <x:c r="AA95" s="39" t="n">
        <x:f>'Inputs_Trades'!Z95</x:f>
        <x:v>0</x:v>
      </x:c>
      <x:c r="AB95" s="40" t="n">
        <x:f>'Inputs_Trades'!AD95</x:f>
        <x:v>-2261544</x:v>
      </x:c>
      <x:c r="AC95" s="27" t="n">
        <x:f>'Inputs_Trades'!K95</x:f>
        <x:v>0</x:v>
      </x:c>
      <x:c r="AD95" s="27" t="n">
        <x:f>N95-M95</x:f>
        <x:v>2524</x:v>
      </x:c>
      <x:c r="AE95" s="41" t="n">
        <x:f>AD95/365</x:f>
        <x:v>6.9150684931506845</x:v>
      </x:c>
      <x:c r="AF95" s="27" t="str">
        <x:f>IF(AE95&lt;1,"&lt;1Y",IF(AE95&lt;=5,"1Y-5Y","&gt;5Y"))</x:f>
        <x:v>&gt;5Y</x:v>
      </x:c>
      <x:c r="AG95" s="27" t="str">
        <x:f>IF(E95="Commodity",IFERROR(VLOOKUP(F95,Parameters!$P$4:$Q$12,2,FALSE),"Other"),"")</x:f>
      </x:c>
      <x:c r="AH95" s="27" t="str">
        <x:f>IF(F95="","Unknown",F95)</x:f>
        <x:v>Unknown</x:v>
      </x:c>
      <x:c r="AI95" s="27" t="str">
        <x:f>IF(E95="Interest Rate",G95&amp;IF(OR(LOWER(AC95)="basis",LOWER(AC95)="volatility"),"_"&amp;AC95,""),IF(E95="FX",IF(H95&lt;I95,H95&amp;"/"&amp;I95,I95&amp;"/"&amp;H95)&amp;IF(OR(LOWER(AC95)="basis",LOWER(AC95)="volatility"),"_"&amp;AC95,""),IF(OR(E95="Credit",E95="Equity"),J95&amp;IF(OR(LOWER(AC95)="basis",LOWER(AC95)="volatility"),"_"&amp;AC95,""),IF(E95="Commodity",AG95&amp;IF(OR(LOWER(AC95)="basis",LOWER(AC95)="volatility"),"_"&amp;AC95,""),"UNKNOWN"))))</x:f>
        <x:v>CNY</x:v>
      </x:c>
      <x:c r="AJ95" s="27" t="str">
        <x:f>T95</x:f>
        <x:v>M</x:v>
      </x:c>
      <x:c r="AK95" s="41" t="n">
        <x:f>IF(E95="Interest Rate",VLOOKUP("Interest Rate",Parameters!$D$4:$E$12,2,FALSE),IF(E95="FX",VLOOKUP("FX",Parameters!$D$4:$E$12,2,FALSE),IF(E95="Credit",IFERROR(VLOOKUP(L95,Parameters!$G$4:$H$12,2,FALSE),VLOOKUP("BBB",Parameters!$G$4:$H$12,2,FALSE)),IF(E95="Equity",VLOOKUP(IF(LOWER(K95)="index","Equity Index","Equity Single Name"),Parameters!$D$4:$E$12,2,FALSE),IF(E95="Commodity",VLOOKUP(IFERROR(VLOOKUP(F95,Parameters!$S$4:$T$12,2,FALSE),"Commodity Other"),Parameters!$D$4:$E$12,2,FALSE),0)))))</x:f>
        <x:v>0.005</x:v>
      </x:c>
      <x:c r="AL95" s="42" t="n">
        <x:f>IF(LOWER(AC95)="basis",Parameters!$B$8,IF(LOWER(AC95)="volatility",Parameters!$B$9,1))</x:f>
        <x:v>1</x:v>
      </x:c>
      <x:c r="AM95" s="41" t="n">
        <x:f>AK95*AL95</x:f>
        <x:v>0.005</x:v>
      </x:c>
      <x:c r="AN95" s="42" t="str">
        <x:f>IF(E95="Credit",VLOOKUP(IF(LOWER(K95)="index","Credit Index","Credit Single Name"),Parameters!$J$4:$K$8,2,FALSE),IF(E95="Equity",VLOOKUP(IF(LOWER(K95)="index","Equity Index","Equity Single Name"),Parameters!$J$4:$K$8,2,FALSE),IF(E95="Commodity",VLOOKUP("Commodity",Parameters!$J$4:$K$8,2,FALSE),"")))</x:f>
      </x:c>
      <x:c r="AO95" s="27" t="n">
        <x:f>MAX((O95-M95)/365,0)</x:f>
        <x:v>0</x:v>
      </x:c>
      <x:c r="AP95" s="27" t="n">
        <x:f>MAX((P95-M95)/365,10/Parameters!$B$6)</x:f>
        <x:v>6.9150684931506845</x:v>
      </x:c>
      <x:c r="AQ95" s="27" t="n">
        <x:f>IF(AP95&lt;=AO95,AO95+10/Parameters!$B$6,AP95)</x:f>
        <x:v>6.9150684931506845</x:v>
      </x:c>
      <x:c r="AR95" s="41" t="n">
        <x:f>IF(OR(E95="Interest Rate",E95="Credit"),(EXP(-Parameters!$B$7*AO95)-EXP(-Parameters!$B$7*AQ95))/Parameters!$B$7,1)</x:f>
        <x:v>5.846260724995123</x:v>
      </x:c>
      <x:c r="AS95" s="40" t="n">
        <x:f>IF(OR(E95="Interest Rate",E95="Credit"),ABS(Q95)*AR95,IF(E95="FX",IF(Q95&gt;0,Q95,MAX(ABS(R95),ABS(S95),ABS(Q95))),ABS(Q95)))</x:f>
        <x:v>2285887943.473093</x:v>
      </x:c>
      <x:c r="AT95" s="42" t="n">
        <x:f>IF(OR(E95="Interest Rate",E95="FX"),VLOOKUP(E95,Parameters!$M$4:$N$11,2,FALSE),IF(E95="Credit",VLOOKUP(IF(LOWER(K95)="index","Credit Index","Credit Single Name"),Parameters!$M$4:$N$11,2,FALSE),IF(E95="Equity",VLOOKUP(IF(LOWER(K95)="index","Equity Index","Equity Single Name"),Parameters!$M$4:$N$11,2,FALSE),IF(E95="Commodity",VLOOKUP(IF(F95="Electricity","Commodity Electricity","Commodity Other"),Parameters!$M$4:$N$11,2,FALSE),1))))</x:f>
        <x:v>0.5</x:v>
      </x:c>
      <x:c r="AU95" s="27" t="n">
        <x:f>IF(W95="B",1,-1)</x:f>
        <x:v>1</x:v>
      </x:c>
      <x:c r="AV95" s="27" t="n">
        <x:f>IF(OR(AA95="",M95=""),MAX(AE95,1/365),MAX((AA95-M95)/365,1/365))</x:f>
        <x:v>6.9150684931506845</x:v>
      </x:c>
      <x:c r="AW95" s="41" t="str">
        <x:f>IF(OR(Z95&lt;=0,Y95&lt;=0,AT95&lt;=0,AV95&lt;=0),"",(LN(Z95/Y95)+0.5*AT95^2*AV95)/(AT95*SQRT(AV95)))</x:f>
      </x:c>
      <x:c r="AX95" s="41" t="n">
        <x:f>IF(AND(X95&lt;&gt;"C",X95&lt;&gt;"P"),AU95,IF(AW95="",AU95,IF(X95="C",AU95*0.5*(1+ERF(AW95/SQRT(2))),-AU95*0.5*(1+ERF(-AW95/SQRT(2))))))</x:f>
        <x:v>1</x:v>
      </x:c>
      <x:c r="AY95" s="41" t="n">
        <x:f>IF(AJ95="M",1.5*SQRT(MAX(IF(U95="Y",5,10),IF(V95="",10,V95))/Parameters!$B$6),SQRT(MIN(MAX(AE95,10/Parameters!$B$6),1)))</x:f>
        <x:v>0.30000000000000004</x:v>
      </x:c>
      <x:c r="AZ95" s="40" t="n">
        <x:f>AS95*AX95*AY95</x:f>
        <x:v>685766383.041928</x:v>
      </x:c>
      <x:c r="BA95" s="40" t="n">
        <x:f>'Python_Trade_Output'!AZ95</x:f>
        <x:v>685766383.041928</x:v>
      </x:c>
      <x:c r="BB95" s="43" t="n">
        <x:f>AZ95-BA95</x:f>
        <x:v>0</x:v>
      </x:c>
    </x:row>
    <x:row r="96">
      <x:c r="A96" s="27" t="str">
        <x:f>'Inputs_Trades'!D96</x:f>
        <x:v>IND-000093</x:v>
      </x:c>
      <x:c r="B96" s="27" t="str">
        <x:f>'Inputs_Trades'!B96</x:f>
        <x:v>IND_PENSION_001</x:v>
      </x:c>
      <x:c r="C96" s="27" t="n">
        <x:f>'Inputs_Trades'!C96</x:f>
        <x:v>3103</x:v>
      </x:c>
      <x:c r="D96" s="27" t="str">
        <x:f>'Inputs_Trades'!E96</x:f>
        <x:v>Interest Rate Swap</x:v>
      </x:c>
      <x:c r="E96" s="27" t="str">
        <x:f>'Inputs_Trades'!F96</x:f>
        <x:v>Interest Rate</x:v>
      </x:c>
      <x:c r="F96" s="27" t="n">
        <x:f>'Inputs_Trades'!G96</x:f>
        <x:v>0</x:v>
      </x:c>
      <x:c r="G96" s="27" t="str">
        <x:f>'Inputs_Trades'!J96</x:f>
        <x:v>USD</x:v>
      </x:c>
      <x:c r="H96" s="27" t="str">
        <x:f>'Inputs_Trades'!H96</x:f>
        <x:v>USD</x:v>
      </x:c>
      <x:c r="I96" s="27" t="str">
        <x:f>'Inputs_Trades'!I96</x:f>
        <x:v>USD</x:v>
      </x:c>
      <x:c r="J96" s="27" t="str">
        <x:f>'Inputs_Trades'!M96</x:f>
        <x:v>USD</x:v>
      </x:c>
      <x:c r="K96" s="27" t="n">
        <x:f>'Inputs_Trades'!N96</x:f>
        <x:v>0</x:v>
      </x:c>
      <x:c r="L96" s="27" t="n">
        <x:f>'Inputs_Trades'!O96</x:f>
        <x:v>0</x:v>
      </x:c>
      <x:c r="M96" s="39" t="n">
        <x:f>'Inputs_Trades'!A96</x:f>
        <x:v>45702</x:v>
      </x:c>
      <x:c r="N96" s="39" t="n">
        <x:f>'Inputs_Trades'!P96</x:f>
        <x:v>48587</x:v>
      </x:c>
      <x:c r="O96" s="39" t="n">
        <x:f>'Inputs_Trades'!Q96</x:f>
        <x:v>44911</x:v>
      </x:c>
      <x:c r="P96" s="39" t="n">
        <x:f>'Inputs_Trades'!R96</x:f>
        <x:v>48587</x:v>
      </x:c>
      <x:c r="Q96" s="40" t="n">
        <x:f>'Inputs_Trades'!U96</x:f>
        <x:v>1656000000</x:v>
      </x:c>
      <x:c r="R96" s="40" t="n">
        <x:f>'Inputs_Trades'!S96</x:f>
        <x:v>1656000000</x:v>
      </x:c>
      <x:c r="S96" s="40" t="n">
        <x:f>'Inputs_Trades'!T96</x:f>
        <x:v>1656000000</x:v>
      </x:c>
      <x:c r="T96" s="27" t="str">
        <x:f>'Inputs_Trades'!V96</x:f>
        <x:v>M</x:v>
      </x:c>
      <x:c r="U96" s="27" t="str">
        <x:f>'Inputs_Trades'!W96</x:f>
        <x:v>N</x:v>
      </x:c>
      <x:c r="V96" s="27" t="n">
        <x:f>'Inputs_Trades'!X96</x:f>
        <x:v>10</x:v>
      </x:c>
      <x:c r="W96" s="27" t="str">
        <x:f>'Inputs_Trades'!Y96</x:f>
        <x:v>S</x:v>
      </x:c>
      <x:c r="X96" s="27" t="n">
        <x:f>'Inputs_Trades'!AA96</x:f>
        <x:v>0</x:v>
      </x:c>
      <x:c r="Y96" s="27" t="n">
        <x:f>'Inputs_Trades'!AB96</x:f>
        <x:v>0</x:v>
      </x:c>
      <x:c r="Z96" s="27" t="n">
        <x:f>'Inputs_Trades'!AC96</x:f>
        <x:v>0</x:v>
      </x:c>
      <x:c r="AA96" s="39" t="n">
        <x:f>'Inputs_Trades'!Z96</x:f>
        <x:v>0</x:v>
      </x:c>
      <x:c r="AB96" s="40" t="n">
        <x:f>'Inputs_Trades'!AD96</x:f>
        <x:v>4043952</x:v>
      </x:c>
      <x:c r="AC96" s="27" t="n">
        <x:f>'Inputs_Trades'!K96</x:f>
        <x:v>0</x:v>
      </x:c>
      <x:c r="AD96" s="27" t="n">
        <x:f>N96-M96</x:f>
        <x:v>2885</x:v>
      </x:c>
      <x:c r="AE96" s="41" t="n">
        <x:f>AD96/365</x:f>
        <x:v>7.904109589041096</x:v>
      </x:c>
      <x:c r="AF96" s="27" t="str">
        <x:f>IF(AE96&lt;1,"&lt;1Y",IF(AE96&lt;=5,"1Y-5Y","&gt;5Y"))</x:f>
        <x:v>&gt;5Y</x:v>
      </x:c>
      <x:c r="AG96" s="27" t="str">
        <x:f>IF(E96="Commodity",IFERROR(VLOOKUP(F96,Parameters!$P$4:$Q$12,2,FALSE),"Other"),"")</x:f>
      </x:c>
      <x:c r="AH96" s="27" t="str">
        <x:f>IF(F96="","Unknown",F96)</x:f>
        <x:v>Unknown</x:v>
      </x:c>
      <x:c r="AI96" s="27" t="str">
        <x:f>IF(E96="Interest Rate",G96&amp;IF(OR(LOWER(AC96)="basis",LOWER(AC96)="volatility"),"_"&amp;AC96,""),IF(E96="FX",IF(H96&lt;I96,H96&amp;"/"&amp;I96,I96&amp;"/"&amp;H96)&amp;IF(OR(LOWER(AC96)="basis",LOWER(AC96)="volatility"),"_"&amp;AC96,""),IF(OR(E96="Credit",E96="Equity"),J96&amp;IF(OR(LOWER(AC96)="basis",LOWER(AC96)="volatility"),"_"&amp;AC96,""),IF(E96="Commodity",AG96&amp;IF(OR(LOWER(AC96)="basis",LOWER(AC96)="volatility"),"_"&amp;AC96,""),"UNKNOWN"))))</x:f>
        <x:v>USD</x:v>
      </x:c>
      <x:c r="AJ96" s="27" t="str">
        <x:f>T96</x:f>
        <x:v>M</x:v>
      </x:c>
      <x:c r="AK96" s="41" t="n">
        <x:f>IF(E96="Interest Rate",VLOOKUP("Interest Rate",Parameters!$D$4:$E$12,2,FALSE),IF(E96="FX",VLOOKUP("FX",Parameters!$D$4:$E$12,2,FALSE),IF(E96="Credit",IFERROR(VLOOKUP(L96,Parameters!$G$4:$H$12,2,FALSE),VLOOKUP("BBB",Parameters!$G$4:$H$12,2,FALSE)),IF(E96="Equity",VLOOKUP(IF(LOWER(K96)="index","Equity Index","Equity Single Name"),Parameters!$D$4:$E$12,2,FALSE),IF(E96="Commodity",VLOOKUP(IFERROR(VLOOKUP(F96,Parameters!$S$4:$T$12,2,FALSE),"Commodity Other"),Parameters!$D$4:$E$12,2,FALSE),0)))))</x:f>
        <x:v>0.005</x:v>
      </x:c>
      <x:c r="AL96" s="42" t="n">
        <x:f>IF(LOWER(AC96)="basis",Parameters!$B$8,IF(LOWER(AC96)="volatility",Parameters!$B$9,1))</x:f>
        <x:v>1</x:v>
      </x:c>
      <x:c r="AM96" s="41" t="n">
        <x:f>AK96*AL96</x:f>
        <x:v>0.005</x:v>
      </x:c>
      <x:c r="AN96" s="42" t="str">
        <x:f>IF(E96="Credit",VLOOKUP(IF(LOWER(K96)="index","Credit Index","Credit Single Name"),Parameters!$J$4:$K$8,2,FALSE),IF(E96="Equity",VLOOKUP(IF(LOWER(K96)="index","Equity Index","Equity Single Name"),Parameters!$J$4:$K$8,2,FALSE),IF(E96="Commodity",VLOOKUP("Commodity",Parameters!$J$4:$K$8,2,FALSE),"")))</x:f>
      </x:c>
      <x:c r="AO96" s="27" t="n">
        <x:f>MAX((O96-M96)/365,0)</x:f>
        <x:v>0</x:v>
      </x:c>
      <x:c r="AP96" s="27" t="n">
        <x:f>MAX((P96-M96)/365,10/Parameters!$B$6)</x:f>
        <x:v>7.904109589041096</x:v>
      </x:c>
      <x:c r="AQ96" s="27" t="n">
        <x:f>IF(AP96&lt;=AO96,AO96+10/Parameters!$B$6,AP96)</x:f>
        <x:v>7.904109589041096</x:v>
      </x:c>
      <x:c r="AR96" s="41" t="n">
        <x:f>IF(OR(E96="Interest Rate",E96="Credit"),(EXP(-Parameters!$B$7*AO96)-EXP(-Parameters!$B$7*AQ96))/Parameters!$B$7,1)</x:f>
        <x:v>6.529167478708757</x:v>
      </x:c>
      <x:c r="AS96" s="40" t="n">
        <x:f>IF(OR(E96="Interest Rate",E96="Credit"),ABS(Q96)*AR96,IF(E96="FX",IF(Q96&gt;0,Q96,MAX(ABS(R96),ABS(S96),ABS(Q96))),ABS(Q96)))</x:f>
        <x:v>10812301344.741701</x:v>
      </x:c>
      <x:c r="AT96" s="42" t="n">
        <x:f>IF(OR(E96="Interest Rate",E96="FX"),VLOOKUP(E96,Parameters!$M$4:$N$11,2,FALSE),IF(E96="Credit",VLOOKUP(IF(LOWER(K96)="index","Credit Index","Credit Single Name"),Parameters!$M$4:$N$11,2,FALSE),IF(E96="Equity",VLOOKUP(IF(LOWER(K96)="index","Equity Index","Equity Single Name"),Parameters!$M$4:$N$11,2,FALSE),IF(E96="Commodity",VLOOKUP(IF(F96="Electricity","Commodity Electricity","Commodity Other"),Parameters!$M$4:$N$11,2,FALSE),1))))</x:f>
        <x:v>0.5</x:v>
      </x:c>
      <x:c r="AU96" s="27" t="n">
        <x:f>IF(W96="B",1,-1)</x:f>
        <x:v>-1</x:v>
      </x:c>
      <x:c r="AV96" s="27" t="n">
        <x:f>IF(OR(AA96="",M96=""),MAX(AE96,1/365),MAX((AA96-M96)/365,1/365))</x:f>
        <x:v>7.904109589041096</x:v>
      </x:c>
      <x:c r="AW96" s="41" t="str">
        <x:f>IF(OR(Z96&lt;=0,Y96&lt;=0,AT96&lt;=0,AV96&lt;=0),"",(LN(Z96/Y96)+0.5*AT96^2*AV96)/(AT96*SQRT(AV96)))</x:f>
      </x:c>
      <x:c r="AX96" s="41" t="n">
        <x:f>IF(AND(X96&lt;&gt;"C",X96&lt;&gt;"P"),AU96,IF(AW96="",AU96,IF(X96="C",AU96*0.5*(1+ERF(AW96/SQRT(2))),-AU96*0.5*(1+ERF(-AW96/SQRT(2))))))</x:f>
        <x:v>-1</x:v>
      </x:c>
      <x:c r="AY96" s="41" t="n">
        <x:f>IF(AJ96="M",1.5*SQRT(MAX(IF(U96="Y",5,10),IF(V96="",10,V96))/Parameters!$B$6),SQRT(MIN(MAX(AE96,10/Parameters!$B$6),1)))</x:f>
        <x:v>0.30000000000000004</x:v>
      </x:c>
      <x:c r="AZ96" s="40" t="n">
        <x:f>AS96*AX96*AY96</x:f>
        <x:v>-3243690403.4225106</x:v>
      </x:c>
      <x:c r="BA96" s="40" t="n">
        <x:f>'Python_Trade_Output'!AZ96</x:f>
        <x:v>-3243690403.4225106</x:v>
      </x:c>
      <x:c r="BB96" s="43" t="n">
        <x:f>AZ96-BA96</x:f>
        <x:v>0</x:v>
      </x:c>
    </x:row>
    <x:row r="97">
      <x:c r="A97" s="27" t="str">
        <x:f>'Inputs_Trades'!D97</x:f>
        <x:v>IND-000094</x:v>
      </x:c>
      <x:c r="B97" s="27" t="str">
        <x:f>'Inputs_Trades'!B97</x:f>
        <x:v>IND_CLEARING_MEMBER_001</x:v>
      </x:c>
      <x:c r="C97" s="27" t="n">
        <x:f>'Inputs_Trades'!C97</x:f>
        <x:v>3399</x:v>
      </x:c>
      <x:c r="D97" s="27" t="str">
        <x:f>'Inputs_Trades'!E97</x:f>
        <x:v>Interest Rate Swap</x:v>
      </x:c>
      <x:c r="E97" s="27" t="str">
        <x:f>'Inputs_Trades'!F97</x:f>
        <x:v>Interest Rate</x:v>
      </x:c>
      <x:c r="F97" s="27" t="n">
        <x:f>'Inputs_Trades'!G97</x:f>
        <x:v>0</x:v>
      </x:c>
      <x:c r="G97" s="27" t="str">
        <x:f>'Inputs_Trades'!J97</x:f>
        <x:v>EUR</x:v>
      </x:c>
      <x:c r="H97" s="27" t="str">
        <x:f>'Inputs_Trades'!H97</x:f>
        <x:v>EUR</x:v>
      </x:c>
      <x:c r="I97" s="27" t="str">
        <x:f>'Inputs_Trades'!I97</x:f>
        <x:v>EUR</x:v>
      </x:c>
      <x:c r="J97" s="27" t="str">
        <x:f>'Inputs_Trades'!M97</x:f>
        <x:v>EUR</x:v>
      </x:c>
      <x:c r="K97" s="27" t="n">
        <x:f>'Inputs_Trades'!N97</x:f>
        <x:v>0</x:v>
      </x:c>
      <x:c r="L97" s="27" t="n">
        <x:f>'Inputs_Trades'!O97</x:f>
        <x:v>0</x:v>
      </x:c>
      <x:c r="M97" s="39" t="n">
        <x:f>'Inputs_Trades'!A97</x:f>
        <x:v>45702</x:v>
      </x:c>
      <x:c r="N97" s="39" t="n">
        <x:f>'Inputs_Trades'!P97</x:f>
        <x:v>47336</x:v>
      </x:c>
      <x:c r="O97" s="39" t="n">
        <x:f>'Inputs_Trades'!Q97</x:f>
        <x:v>45090</x:v>
      </x:c>
      <x:c r="P97" s="39" t="n">
        <x:f>'Inputs_Trades'!R97</x:f>
        <x:v>47336</x:v>
      </x:c>
      <x:c r="Q97" s="40" t="n">
        <x:f>'Inputs_Trades'!U97</x:f>
        <x:v>871000000</x:v>
      </x:c>
      <x:c r="R97" s="40" t="n">
        <x:f>'Inputs_Trades'!S97</x:f>
        <x:v>829523809.52</x:v>
      </x:c>
      <x:c r="S97" s="40" t="n">
        <x:f>'Inputs_Trades'!T97</x:f>
        <x:v>829523809.52</x:v>
      </x:c>
      <x:c r="T97" s="27" t="str">
        <x:f>'Inputs_Trades'!V97</x:f>
        <x:v>U</x:v>
      </x:c>
      <x:c r="U97" s="27" t="str">
        <x:f>'Inputs_Trades'!W97</x:f>
        <x:v>N</x:v>
      </x:c>
      <x:c r="V97" s="27" t="n">
        <x:f>'Inputs_Trades'!X97</x:f>
        <x:v>0</x:v>
      </x:c>
      <x:c r="W97" s="27" t="str">
        <x:f>'Inputs_Trades'!Y97</x:f>
        <x:v>S</x:v>
      </x:c>
      <x:c r="X97" s="27" t="n">
        <x:f>'Inputs_Trades'!AA97</x:f>
        <x:v>0</x:v>
      </x:c>
      <x:c r="Y97" s="27" t="n">
        <x:f>'Inputs_Trades'!AB97</x:f>
        <x:v>0</x:v>
      </x:c>
      <x:c r="Z97" s="27" t="n">
        <x:f>'Inputs_Trades'!AC97</x:f>
        <x:v>0</x:v>
      </x:c>
      <x:c r="AA97" s="39" t="n">
        <x:f>'Inputs_Trades'!Z97</x:f>
        <x:v>0</x:v>
      </x:c>
      <x:c r="AB97" s="40" t="n">
        <x:f>'Inputs_Trades'!AD97</x:f>
        <x:v>-365820</x:v>
      </x:c>
      <x:c r="AC97" s="27" t="n">
        <x:f>'Inputs_Trades'!K97</x:f>
        <x:v>0</x:v>
      </x:c>
      <x:c r="AD97" s="27" t="n">
        <x:f>N97-M97</x:f>
        <x:v>1634</x:v>
      </x:c>
      <x:c r="AE97" s="41" t="n">
        <x:f>AD97/365</x:f>
        <x:v>4.476712328767123</x:v>
      </x:c>
      <x:c r="AF97" s="27" t="str">
        <x:f>IF(AE97&lt;1,"&lt;1Y",IF(AE97&lt;=5,"1Y-5Y","&gt;5Y"))</x:f>
        <x:v>1Y-5Y</x:v>
      </x:c>
      <x:c r="AG97" s="27" t="str">
        <x:f>IF(E97="Commodity",IFERROR(VLOOKUP(F97,Parameters!$P$4:$Q$12,2,FALSE),"Other"),"")</x:f>
      </x:c>
      <x:c r="AH97" s="27" t="str">
        <x:f>IF(F97="","Unknown",F97)</x:f>
        <x:v>Unknown</x:v>
      </x:c>
      <x:c r="AI97" s="27" t="str">
        <x:f>IF(E97="Interest Rate",G97&amp;IF(OR(LOWER(AC97)="basis",LOWER(AC97)="volatility"),"_"&amp;AC97,""),IF(E97="FX",IF(H97&lt;I97,H97&amp;"/"&amp;I97,I97&amp;"/"&amp;H97)&amp;IF(OR(LOWER(AC97)="basis",LOWER(AC97)="volatility"),"_"&amp;AC97,""),IF(OR(E97="Credit",E97="Equity"),J97&amp;IF(OR(LOWER(AC97)="basis",LOWER(AC97)="volatility"),"_"&amp;AC97,""),IF(E97="Commodity",AG97&amp;IF(OR(LOWER(AC97)="basis",LOWER(AC97)="volatility"),"_"&amp;AC97,""),"UNKNOWN"))))</x:f>
        <x:v>EUR</x:v>
      </x:c>
      <x:c r="AJ97" s="27" t="str">
        <x:f>T97</x:f>
        <x:v>U</x:v>
      </x:c>
      <x:c r="AK97" s="41" t="n">
        <x:f>IF(E97="Interest Rate",VLOOKUP("Interest Rate",Parameters!$D$4:$E$12,2,FALSE),IF(E97="FX",VLOOKUP("FX",Parameters!$D$4:$E$12,2,FALSE),IF(E97="Credit",IFERROR(VLOOKUP(L97,Parameters!$G$4:$H$12,2,FALSE),VLOOKUP("BBB",Parameters!$G$4:$H$12,2,FALSE)),IF(E97="Equity",VLOOKUP(IF(LOWER(K97)="index","Equity Index","Equity Single Name"),Parameters!$D$4:$E$12,2,FALSE),IF(E97="Commodity",VLOOKUP(IFERROR(VLOOKUP(F97,Parameters!$S$4:$T$12,2,FALSE),"Commodity Other"),Parameters!$D$4:$E$12,2,FALSE),0)))))</x:f>
        <x:v>0.005</x:v>
      </x:c>
      <x:c r="AL97" s="42" t="n">
        <x:f>IF(LOWER(AC97)="basis",Parameters!$B$8,IF(LOWER(AC97)="volatility",Parameters!$B$9,1))</x:f>
        <x:v>1</x:v>
      </x:c>
      <x:c r="AM97" s="41" t="n">
        <x:f>AK97*AL97</x:f>
        <x:v>0.005</x:v>
      </x:c>
      <x:c r="AN97" s="42" t="str">
        <x:f>IF(E97="Credit",VLOOKUP(IF(LOWER(K97)="index","Credit Index","Credit Single Name"),Parameters!$J$4:$K$8,2,FALSE),IF(E97="Equity",VLOOKUP(IF(LOWER(K97)="index","Equity Index","Equity Single Name"),Parameters!$J$4:$K$8,2,FALSE),IF(E97="Commodity",VLOOKUP("Commodity",Parameters!$J$4:$K$8,2,FALSE),"")))</x:f>
      </x:c>
      <x:c r="AO97" s="27" t="n">
        <x:f>MAX((O97-M97)/365,0)</x:f>
        <x:v>0</x:v>
      </x:c>
      <x:c r="AP97" s="27" t="n">
        <x:f>MAX((P97-M97)/365,10/Parameters!$B$6)</x:f>
        <x:v>4.476712328767123</x:v>
      </x:c>
      <x:c r="AQ97" s="27" t="n">
        <x:f>IF(AP97&lt;=AO97,AO97+10/Parameters!$B$6,AP97)</x:f>
        <x:v>4.476712328767123</x:v>
      </x:c>
      <x:c r="AR97" s="41" t="n">
        <x:f>IF(OR(E97="Interest Rate",E97="Credit"),(EXP(-Parameters!$B$7*AO97)-EXP(-Parameters!$B$7*AQ97))/Parameters!$B$7,1)</x:f>
        <x:v>4.011069211237013</x:v>
      </x:c>
      <x:c r="AS97" s="40" t="n">
        <x:f>IF(OR(E97="Interest Rate",E97="Credit"),ABS(Q97)*AR97,IF(E97="FX",IF(Q97&gt;0,Q97,MAX(ABS(R97),ABS(S97),ABS(Q97))),ABS(Q97)))</x:f>
        <x:v>3493641282.987438</x:v>
      </x:c>
      <x:c r="AT97" s="42" t="n">
        <x:f>IF(OR(E97="Interest Rate",E97="FX"),VLOOKUP(E97,Parameters!$M$4:$N$11,2,FALSE),IF(E97="Credit",VLOOKUP(IF(LOWER(K97)="index","Credit Index","Credit Single Name"),Parameters!$M$4:$N$11,2,FALSE),IF(E97="Equity",VLOOKUP(IF(LOWER(K97)="index","Equity Index","Equity Single Name"),Parameters!$M$4:$N$11,2,FALSE),IF(E97="Commodity",VLOOKUP(IF(F97="Electricity","Commodity Electricity","Commodity Other"),Parameters!$M$4:$N$11,2,FALSE),1))))</x:f>
        <x:v>0.5</x:v>
      </x:c>
      <x:c r="AU97" s="27" t="n">
        <x:f>IF(W97="B",1,-1)</x:f>
        <x:v>-1</x:v>
      </x:c>
      <x:c r="AV97" s="27" t="n">
        <x:f>IF(OR(AA97="",M97=""),MAX(AE97,1/365),MAX((AA97-M97)/365,1/365))</x:f>
        <x:v>4.476712328767123</x:v>
      </x:c>
      <x:c r="AW97" s="41" t="str">
        <x:f>IF(OR(Z97&lt;=0,Y97&lt;=0,AT97&lt;=0,AV97&lt;=0),"",(LN(Z97/Y97)+0.5*AT97^2*AV97)/(AT97*SQRT(AV97)))</x:f>
      </x:c>
      <x:c r="AX97" s="41" t="n">
        <x:f>IF(AND(X97&lt;&gt;"C",X97&lt;&gt;"P"),AU97,IF(AW97="",AU97,IF(X97="C",AU97*0.5*(1+ERF(AW97/SQRT(2))),-AU97*0.5*(1+ERF(-AW97/SQRT(2))))))</x:f>
        <x:v>-1</x:v>
      </x:c>
      <x:c r="AY97" s="41" t="n">
        <x:f>IF(AJ97="M",1.5*SQRT(MAX(IF(U97="Y",5,10),IF(V97="",10,V97))/Parameters!$B$6),SQRT(MIN(MAX(AE97,10/Parameters!$B$6),1)))</x:f>
        <x:v>1</x:v>
      </x:c>
      <x:c r="AZ97" s="40" t="n">
        <x:f>AS97*AX97*AY97</x:f>
        <x:v>-3493641282.987438</x:v>
      </x:c>
      <x:c r="BA97" s="40" t="n">
        <x:f>'Python_Trade_Output'!AZ97</x:f>
        <x:v>-3493641282.9874396</x:v>
      </x:c>
      <x:c r="BB97" s="43" t="n">
        <x:f>AZ97-BA97</x:f>
        <x:v>0.000001430511474609375</x:v>
      </x:c>
    </x:row>
    <x:row r="98">
      <x:c r="A98" s="27" t="str">
        <x:f>'Inputs_Trades'!D98</x:f>
        <x:v>IND-000095</x:v>
      </x:c>
      <x:c r="B98" s="27" t="str">
        <x:f>'Inputs_Trades'!B98</x:f>
        <x:v>IND_BANK_002</x:v>
      </x:c>
      <x:c r="C98" s="27" t="n">
        <x:f>'Inputs_Trades'!C98</x:f>
        <x:v>3049</x:v>
      </x:c>
      <x:c r="D98" s="27" t="str">
        <x:f>'Inputs_Trades'!E98</x:f>
        <x:v>Interest Rate Swap</x:v>
      </x:c>
      <x:c r="E98" s="27" t="str">
        <x:f>'Inputs_Trades'!F98</x:f>
        <x:v>Interest Rate</x:v>
      </x:c>
      <x:c r="F98" s="27" t="n">
        <x:f>'Inputs_Trades'!G98</x:f>
        <x:v>0</x:v>
      </x:c>
      <x:c r="G98" s="27" t="str">
        <x:f>'Inputs_Trades'!J98</x:f>
        <x:v>USD</x:v>
      </x:c>
      <x:c r="H98" s="27" t="str">
        <x:f>'Inputs_Trades'!H98</x:f>
        <x:v>USD</x:v>
      </x:c>
      <x:c r="I98" s="27" t="str">
        <x:f>'Inputs_Trades'!I98</x:f>
        <x:v>USD</x:v>
      </x:c>
      <x:c r="J98" s="27" t="str">
        <x:f>'Inputs_Trades'!M98</x:f>
        <x:v>USD</x:v>
      </x:c>
      <x:c r="K98" s="27" t="n">
        <x:f>'Inputs_Trades'!N98</x:f>
        <x:v>0</x:v>
      </x:c>
      <x:c r="L98" s="27" t="n">
        <x:f>'Inputs_Trades'!O98</x:f>
        <x:v>0</x:v>
      </x:c>
      <x:c r="M98" s="39" t="n">
        <x:f>'Inputs_Trades'!A98</x:f>
        <x:v>45702</x:v>
      </x:c>
      <x:c r="N98" s="39" t="n">
        <x:f>'Inputs_Trades'!P98</x:f>
        <x:v>49562</x:v>
      </x:c>
      <x:c r="O98" s="39" t="n">
        <x:f>'Inputs_Trades'!Q98</x:f>
        <x:v>44835</x:v>
      </x:c>
      <x:c r="P98" s="39" t="n">
        <x:f>'Inputs_Trades'!R98</x:f>
        <x:v>49562</x:v>
      </x:c>
      <x:c r="Q98" s="40" t="n">
        <x:f>'Inputs_Trades'!U98</x:f>
        <x:v>42900000</x:v>
      </x:c>
      <x:c r="R98" s="40" t="n">
        <x:f>'Inputs_Trades'!S98</x:f>
        <x:v>42900000</x:v>
      </x:c>
      <x:c r="S98" s="40" t="n">
        <x:f>'Inputs_Trades'!T98</x:f>
        <x:v>42900000</x:v>
      </x:c>
      <x:c r="T98" s="27" t="str">
        <x:f>'Inputs_Trades'!V98</x:f>
        <x:v>M</x:v>
      </x:c>
      <x:c r="U98" s="27" t="str">
        <x:f>'Inputs_Trades'!W98</x:f>
        <x:v>Y</x:v>
      </x:c>
      <x:c r="V98" s="27" t="n">
        <x:f>'Inputs_Trades'!X98</x:f>
        <x:v>5</x:v>
      </x:c>
      <x:c r="W98" s="27" t="str">
        <x:f>'Inputs_Trades'!Y98</x:f>
        <x:v>B</x:v>
      </x:c>
      <x:c r="X98" s="27" t="n">
        <x:f>'Inputs_Trades'!AA98</x:f>
        <x:v>0</x:v>
      </x:c>
      <x:c r="Y98" s="27" t="n">
        <x:f>'Inputs_Trades'!AB98</x:f>
        <x:v>0</x:v>
      </x:c>
      <x:c r="Z98" s="27" t="n">
        <x:f>'Inputs_Trades'!AC98</x:f>
        <x:v>0</x:v>
      </x:c>
      <x:c r="AA98" s="39" t="n">
        <x:f>'Inputs_Trades'!Z98</x:f>
        <x:v>0</x:v>
      </x:c>
      <x:c r="AB98" s="40" t="n">
        <x:f>'Inputs_Trades'!AD98</x:f>
        <x:v>235263.6</x:v>
      </x:c>
      <x:c r="AC98" s="27" t="n">
        <x:f>'Inputs_Trades'!K98</x:f>
        <x:v>0</x:v>
      </x:c>
      <x:c r="AD98" s="27" t="n">
        <x:f>N98-M98</x:f>
        <x:v>3860</x:v>
      </x:c>
      <x:c r="AE98" s="41" t="n">
        <x:f>AD98/365</x:f>
        <x:v>10.575342465753424</x:v>
      </x:c>
      <x:c r="AF98" s="27" t="str">
        <x:f>IF(AE98&lt;1,"&lt;1Y",IF(AE98&lt;=5,"1Y-5Y","&gt;5Y"))</x:f>
        <x:v>&gt;5Y</x:v>
      </x:c>
      <x:c r="AG98" s="27" t="str">
        <x:f>IF(E98="Commodity",IFERROR(VLOOKUP(F98,Parameters!$P$4:$Q$12,2,FALSE),"Other"),"")</x:f>
      </x:c>
      <x:c r="AH98" s="27" t="str">
        <x:f>IF(F98="","Unknown",F98)</x:f>
        <x:v>Unknown</x:v>
      </x:c>
      <x:c r="AI98" s="27" t="str">
        <x:f>IF(E98="Interest Rate",G98&amp;IF(OR(LOWER(AC98)="basis",LOWER(AC98)="volatility"),"_"&amp;AC98,""),IF(E98="FX",IF(H98&lt;I98,H98&amp;"/"&amp;I98,I98&amp;"/"&amp;H98)&amp;IF(OR(LOWER(AC98)="basis",LOWER(AC98)="volatility"),"_"&amp;AC98,""),IF(OR(E98="Credit",E98="Equity"),J98&amp;IF(OR(LOWER(AC98)="basis",LOWER(AC98)="volatility"),"_"&amp;AC98,""),IF(E98="Commodity",AG98&amp;IF(OR(LOWER(AC98)="basis",LOWER(AC98)="volatility"),"_"&amp;AC98,""),"UNKNOWN"))))</x:f>
        <x:v>USD</x:v>
      </x:c>
      <x:c r="AJ98" s="27" t="str">
        <x:f>T98</x:f>
        <x:v>M</x:v>
      </x:c>
      <x:c r="AK98" s="41" t="n">
        <x:f>IF(E98="Interest Rate",VLOOKUP("Interest Rate",Parameters!$D$4:$E$12,2,FALSE),IF(E98="FX",VLOOKUP("FX",Parameters!$D$4:$E$12,2,FALSE),IF(E98="Credit",IFERROR(VLOOKUP(L98,Parameters!$G$4:$H$12,2,FALSE),VLOOKUP("BBB",Parameters!$G$4:$H$12,2,FALSE)),IF(E98="Equity",VLOOKUP(IF(LOWER(K98)="index","Equity Index","Equity Single Name"),Parameters!$D$4:$E$12,2,FALSE),IF(E98="Commodity",VLOOKUP(IFERROR(VLOOKUP(F98,Parameters!$S$4:$T$12,2,FALSE),"Commodity Other"),Parameters!$D$4:$E$12,2,FALSE),0)))))</x:f>
        <x:v>0.005</x:v>
      </x:c>
      <x:c r="AL98" s="42" t="n">
        <x:f>IF(LOWER(AC98)="basis",Parameters!$B$8,IF(LOWER(AC98)="volatility",Parameters!$B$9,1))</x:f>
        <x:v>1</x:v>
      </x:c>
      <x:c r="AM98" s="41" t="n">
        <x:f>AK98*AL98</x:f>
        <x:v>0.005</x:v>
      </x:c>
      <x:c r="AN98" s="42" t="str">
        <x:f>IF(E98="Credit",VLOOKUP(IF(LOWER(K98)="index","Credit Index","Credit Single Name"),Parameters!$J$4:$K$8,2,FALSE),IF(E98="Equity",VLOOKUP(IF(LOWER(K98)="index","Equity Index","Equity Single Name"),Parameters!$J$4:$K$8,2,FALSE),IF(E98="Commodity",VLOOKUP("Commodity",Parameters!$J$4:$K$8,2,FALSE),"")))</x:f>
      </x:c>
      <x:c r="AO98" s="27" t="n">
        <x:f>MAX((O98-M98)/365,0)</x:f>
        <x:v>0</x:v>
      </x:c>
      <x:c r="AP98" s="27" t="n">
        <x:f>MAX((P98-M98)/365,10/Parameters!$B$6)</x:f>
        <x:v>10.575342465753424</x:v>
      </x:c>
      <x:c r="AQ98" s="27" t="n">
        <x:f>IF(AP98&lt;=AO98,AO98+10/Parameters!$B$6,AP98)</x:f>
        <x:v>10.575342465753424</x:v>
      </x:c>
      <x:c r="AR98" s="41" t="n">
        <x:f>IF(OR(E98="Interest Rate",E98="Credit"),(EXP(-Parameters!$B$7*AO98)-EXP(-Parameters!$B$7*AQ98))/Parameters!$B$7,1)</x:f>
        <x:v>8.213378108850309</x:v>
      </x:c>
      <x:c r="AS98" s="40" t="n">
        <x:f>IF(OR(E98="Interest Rate",E98="Credit"),ABS(Q98)*AR98,IF(E98="FX",IF(Q98&gt;0,Q98,MAX(ABS(R98),ABS(S98),ABS(Q98))),ABS(Q98)))</x:f>
        <x:v>352353920.86967826</x:v>
      </x:c>
      <x:c r="AT98" s="42" t="n">
        <x:f>IF(OR(E98="Interest Rate",E98="FX"),VLOOKUP(E98,Parameters!$M$4:$N$11,2,FALSE),IF(E98="Credit",VLOOKUP(IF(LOWER(K98)="index","Credit Index","Credit Single Name"),Parameters!$M$4:$N$11,2,FALSE),IF(E98="Equity",VLOOKUP(IF(LOWER(K98)="index","Equity Index","Equity Single Name"),Parameters!$M$4:$N$11,2,FALSE),IF(E98="Commodity",VLOOKUP(IF(F98="Electricity","Commodity Electricity","Commodity Other"),Parameters!$M$4:$N$11,2,FALSE),1))))</x:f>
        <x:v>0.5</x:v>
      </x:c>
      <x:c r="AU98" s="27" t="n">
        <x:f>IF(W98="B",1,-1)</x:f>
        <x:v>1</x:v>
      </x:c>
      <x:c r="AV98" s="27" t="n">
        <x:f>IF(OR(AA98="",M98=""),MAX(AE98,1/365),MAX((AA98-M98)/365,1/365))</x:f>
        <x:v>10.575342465753424</x:v>
      </x:c>
      <x:c r="AW98" s="41" t="str">
        <x:f>IF(OR(Z98&lt;=0,Y98&lt;=0,AT98&lt;=0,AV98&lt;=0),"",(LN(Z98/Y98)+0.5*AT98^2*AV98)/(AT98*SQRT(AV98)))</x:f>
      </x:c>
      <x:c r="AX98" s="41" t="n">
        <x:f>IF(AND(X98&lt;&gt;"C",X98&lt;&gt;"P"),AU98,IF(AW98="",AU98,IF(X98="C",AU98*0.5*(1+ERF(AW98/SQRT(2))),-AU98*0.5*(1+ERF(-AW98/SQRT(2))))))</x:f>
        <x:v>1</x:v>
      </x:c>
      <x:c r="AY98" s="41" t="n">
        <x:f>IF(AJ98="M",1.5*SQRT(MAX(IF(U98="Y",5,10),IF(V98="",10,V98))/Parameters!$B$6),SQRT(MIN(MAX(AE98,10/Parameters!$B$6),1)))</x:f>
        <x:v>0.21213203435596426</x:v>
      </x:c>
      <x:c r="AZ98" s="40" t="n">
        <x:f>AS98*AX98*AY98</x:f>
        <x:v>74745554.0473853</x:v>
      </x:c>
      <x:c r="BA98" s="40" t="n">
        <x:f>'Python_Trade_Output'!AZ98</x:f>
        <x:v>74745554.0473853</x:v>
      </x:c>
      <x:c r="BB98" s="43" t="n">
        <x:f>AZ98-BA98</x:f>
        <x:v>0</x:v>
      </x:c>
    </x:row>
    <x:row r="99">
      <x:c r="A99" s="27" t="str">
        <x:f>'Inputs_Trades'!D99</x:f>
        <x:v>IND-000096</x:v>
      </x:c>
      <x:c r="B99" s="27" t="str">
        <x:f>'Inputs_Trades'!B99</x:f>
        <x:v>IND_INSURER_001</x:v>
      </x:c>
      <x:c r="C99" s="27" t="n">
        <x:f>'Inputs_Trades'!C99</x:f>
        <x:v>3048</x:v>
      </x:c>
      <x:c r="D99" s="27" t="str">
        <x:f>'Inputs_Trades'!E99</x:f>
        <x:v>Interest Rate Swap</x:v>
      </x:c>
      <x:c r="E99" s="27" t="str">
        <x:f>'Inputs_Trades'!F99</x:f>
        <x:v>Interest Rate</x:v>
      </x:c>
      <x:c r="F99" s="27" t="n">
        <x:f>'Inputs_Trades'!G99</x:f>
        <x:v>0</x:v>
      </x:c>
      <x:c r="G99" s="27" t="str">
        <x:f>'Inputs_Trades'!J99</x:f>
        <x:v>JPY</x:v>
      </x:c>
      <x:c r="H99" s="27" t="str">
        <x:f>'Inputs_Trades'!H99</x:f>
        <x:v>JPY</x:v>
      </x:c>
      <x:c r="I99" s="27" t="str">
        <x:f>'Inputs_Trades'!I99</x:f>
        <x:v>JPY</x:v>
      </x:c>
      <x:c r="J99" s="27" t="str">
        <x:f>'Inputs_Trades'!M99</x:f>
        <x:v>JPY</x:v>
      </x:c>
      <x:c r="K99" s="27" t="n">
        <x:f>'Inputs_Trades'!N99</x:f>
        <x:v>0</x:v>
      </x:c>
      <x:c r="L99" s="27" t="n">
        <x:f>'Inputs_Trades'!O99</x:f>
        <x:v>0</x:v>
      </x:c>
      <x:c r="M99" s="39" t="n">
        <x:f>'Inputs_Trades'!A99</x:f>
        <x:v>45702</x:v>
      </x:c>
      <x:c r="N99" s="39" t="n">
        <x:f>'Inputs_Trades'!P99</x:f>
        <x:v>48104</x:v>
      </x:c>
      <x:c r="O99" s="39" t="n">
        <x:f>'Inputs_Trades'!Q99</x:f>
        <x:v>44964</x:v>
      </x:c>
      <x:c r="P99" s="39" t="n">
        <x:f>'Inputs_Trades'!R99</x:f>
        <x:v>48104</x:v>
      </x:c>
      <x:c r="Q99" s="40" t="n">
        <x:f>'Inputs_Trades'!U99</x:f>
        <x:v>1131000000</x:v>
      </x:c>
      <x:c r="R99" s="40" t="n">
        <x:f>'Inputs_Trades'!S99</x:f>
        <x:v>168805970149.25</x:v>
      </x:c>
      <x:c r="S99" s="40" t="n">
        <x:f>'Inputs_Trades'!T99</x:f>
        <x:v>168805970149.25</x:v>
      </x:c>
      <x:c r="T99" s="27" t="str">
        <x:f>'Inputs_Trades'!V99</x:f>
        <x:v>U</x:v>
      </x:c>
      <x:c r="U99" s="27" t="str">
        <x:f>'Inputs_Trades'!W99</x:f>
        <x:v>N</x:v>
      </x:c>
      <x:c r="V99" s="27" t="n">
        <x:f>'Inputs_Trades'!X99</x:f>
        <x:v>0</x:v>
      </x:c>
      <x:c r="W99" s="27" t="str">
        <x:f>'Inputs_Trades'!Y99</x:f>
        <x:v>S</x:v>
      </x:c>
      <x:c r="X99" s="27" t="n">
        <x:f>'Inputs_Trades'!AA99</x:f>
        <x:v>0</x:v>
      </x:c>
      <x:c r="Y99" s="27" t="n">
        <x:f>'Inputs_Trades'!AB99</x:f>
        <x:v>0</x:v>
      </x:c>
      <x:c r="Z99" s="27" t="n">
        <x:f>'Inputs_Trades'!AC99</x:f>
        <x:v>0</x:v>
      </x:c>
      <x:c r="AA99" s="39" t="n">
        <x:f>'Inputs_Trades'!Z99</x:f>
        <x:v>0</x:v>
      </x:c>
      <x:c r="AB99" s="40" t="n">
        <x:f>'Inputs_Trades'!AD99</x:f>
        <x:v>4858776</x:v>
      </x:c>
      <x:c r="AC99" s="27" t="n">
        <x:f>'Inputs_Trades'!K99</x:f>
        <x:v>0</x:v>
      </x:c>
      <x:c r="AD99" s="27" t="n">
        <x:f>N99-M99</x:f>
        <x:v>2402</x:v>
      </x:c>
      <x:c r="AE99" s="41" t="n">
        <x:f>AD99/365</x:f>
        <x:v>6.580821917808219</x:v>
      </x:c>
      <x:c r="AF99" s="27" t="str">
        <x:f>IF(AE99&lt;1,"&lt;1Y",IF(AE99&lt;=5,"1Y-5Y","&gt;5Y"))</x:f>
        <x:v>&gt;5Y</x:v>
      </x:c>
      <x:c r="AG99" s="27" t="str">
        <x:f>IF(E99="Commodity",IFERROR(VLOOKUP(F99,Parameters!$P$4:$Q$12,2,FALSE),"Other"),"")</x:f>
      </x:c>
      <x:c r="AH99" s="27" t="str">
        <x:f>IF(F99="","Unknown",F99)</x:f>
        <x:v>Unknown</x:v>
      </x:c>
      <x:c r="AI99" s="27" t="str">
        <x:f>IF(E99="Interest Rate",G99&amp;IF(OR(LOWER(AC99)="basis",LOWER(AC99)="volatility"),"_"&amp;AC99,""),IF(E99="FX",IF(H99&lt;I99,H99&amp;"/"&amp;I99,I99&amp;"/"&amp;H99)&amp;IF(OR(LOWER(AC99)="basis",LOWER(AC99)="volatility"),"_"&amp;AC99,""),IF(OR(E99="Credit",E99="Equity"),J99&amp;IF(OR(LOWER(AC99)="basis",LOWER(AC99)="volatility"),"_"&amp;AC99,""),IF(E99="Commodity",AG99&amp;IF(OR(LOWER(AC99)="basis",LOWER(AC99)="volatility"),"_"&amp;AC99,""),"UNKNOWN"))))</x:f>
        <x:v>JPY</x:v>
      </x:c>
      <x:c r="AJ99" s="27" t="str">
        <x:f>T99</x:f>
        <x:v>U</x:v>
      </x:c>
      <x:c r="AK99" s="41" t="n">
        <x:f>IF(E99="Interest Rate",VLOOKUP("Interest Rate",Parameters!$D$4:$E$12,2,FALSE),IF(E99="FX",VLOOKUP("FX",Parameters!$D$4:$E$12,2,FALSE),IF(E99="Credit",IFERROR(VLOOKUP(L99,Parameters!$G$4:$H$12,2,FALSE),VLOOKUP("BBB",Parameters!$G$4:$H$12,2,FALSE)),IF(E99="Equity",VLOOKUP(IF(LOWER(K99)="index","Equity Index","Equity Single Name"),Parameters!$D$4:$E$12,2,FALSE),IF(E99="Commodity",VLOOKUP(IFERROR(VLOOKUP(F99,Parameters!$S$4:$T$12,2,FALSE),"Commodity Other"),Parameters!$D$4:$E$12,2,FALSE),0)))))</x:f>
        <x:v>0.005</x:v>
      </x:c>
      <x:c r="AL99" s="42" t="n">
        <x:f>IF(LOWER(AC99)="basis",Parameters!$B$8,IF(LOWER(AC99)="volatility",Parameters!$B$9,1))</x:f>
        <x:v>1</x:v>
      </x:c>
      <x:c r="AM99" s="41" t="n">
        <x:f>AK99*AL99</x:f>
        <x:v>0.005</x:v>
      </x:c>
      <x:c r="AN99" s="42" t="str">
        <x:f>IF(E99="Credit",VLOOKUP(IF(LOWER(K99)="index","Credit Index","Credit Single Name"),Parameters!$J$4:$K$8,2,FALSE),IF(E99="Equity",VLOOKUP(IF(LOWER(K99)="index","Equity Index","Equity Single Name"),Parameters!$J$4:$K$8,2,FALSE),IF(E99="Commodity",VLOOKUP("Commodity",Parameters!$J$4:$K$8,2,FALSE),"")))</x:f>
      </x:c>
      <x:c r="AO99" s="27" t="n">
        <x:f>MAX((O99-M99)/365,0)</x:f>
        <x:v>0</x:v>
      </x:c>
      <x:c r="AP99" s="27" t="n">
        <x:f>MAX((P99-M99)/365,10/Parameters!$B$6)</x:f>
        <x:v>6.580821917808219</x:v>
      </x:c>
      <x:c r="AQ99" s="27" t="n">
        <x:f>IF(AP99&lt;=AO99,AO99+10/Parameters!$B$6,AP99)</x:f>
        <x:v>6.580821917808219</x:v>
      </x:c>
      <x:c r="AR99" s="41" t="n">
        <x:f>IF(OR(E99="Interest Rate",E99="Credit"),(EXP(-Parameters!$B$7*AO99)-EXP(-Parameters!$B$7*AQ99))/Parameters!$B$7,1)</x:f>
        <x:v>5.607731140315832</x:v>
      </x:c>
      <x:c r="AS99" s="40" t="n">
        <x:f>IF(OR(E99="Interest Rate",E99="Credit"),ABS(Q99)*AR99,IF(E99="FX",IF(Q99&gt;0,Q99,MAX(ABS(R99),ABS(S99),ABS(Q99))),ABS(Q99)))</x:f>
        <x:v>6342343919.6972065</x:v>
      </x:c>
      <x:c r="AT99" s="42" t="n">
        <x:f>IF(OR(E99="Interest Rate",E99="FX"),VLOOKUP(E99,Parameters!$M$4:$N$11,2,FALSE),IF(E99="Credit",VLOOKUP(IF(LOWER(K99)="index","Credit Index","Credit Single Name"),Parameters!$M$4:$N$11,2,FALSE),IF(E99="Equity",VLOOKUP(IF(LOWER(K99)="index","Equity Index","Equity Single Name"),Parameters!$M$4:$N$11,2,FALSE),IF(E99="Commodity",VLOOKUP(IF(F99="Electricity","Commodity Electricity","Commodity Other"),Parameters!$M$4:$N$11,2,FALSE),1))))</x:f>
        <x:v>0.5</x:v>
      </x:c>
      <x:c r="AU99" s="27" t="n">
        <x:f>IF(W99="B",1,-1)</x:f>
        <x:v>-1</x:v>
      </x:c>
      <x:c r="AV99" s="27" t="n">
        <x:f>IF(OR(AA99="",M99=""),MAX(AE99,1/365),MAX((AA99-M99)/365,1/365))</x:f>
        <x:v>6.580821917808219</x:v>
      </x:c>
      <x:c r="AW99" s="41" t="str">
        <x:f>IF(OR(Z99&lt;=0,Y99&lt;=0,AT99&lt;=0,AV99&lt;=0),"",(LN(Z99/Y99)+0.5*AT99^2*AV99)/(AT99*SQRT(AV99)))</x:f>
      </x:c>
      <x:c r="AX99" s="41" t="n">
        <x:f>IF(AND(X99&lt;&gt;"C",X99&lt;&gt;"P"),AU99,IF(AW99="",AU99,IF(X99="C",AU99*0.5*(1+ERF(AW99/SQRT(2))),-AU99*0.5*(1+ERF(-AW99/SQRT(2))))))</x:f>
        <x:v>-1</x:v>
      </x:c>
      <x:c r="AY99" s="41" t="n">
        <x:f>IF(AJ99="M",1.5*SQRT(MAX(IF(U99="Y",5,10),IF(V99="",10,V99))/Parameters!$B$6),SQRT(MIN(MAX(AE99,10/Parameters!$B$6),1)))</x:f>
        <x:v>1</x:v>
      </x:c>
      <x:c r="AZ99" s="40" t="n">
        <x:f>AS99*AX99*AY99</x:f>
        <x:v>-6342343919.6972065</x:v>
      </x:c>
      <x:c r="BA99" s="40" t="n">
        <x:f>'Python_Trade_Output'!AZ99</x:f>
        <x:v>-6342343919.6972065</x:v>
      </x:c>
      <x:c r="BB99" s="43" t="n">
        <x:f>AZ99-BA99</x:f>
        <x:v>0</x:v>
      </x:c>
    </x:row>
    <x:row r="100">
      <x:c r="A100" s="27" t="str">
        <x:f>'Inputs_Trades'!D100</x:f>
        <x:v>IND-000097</x:v>
      </x:c>
      <x:c r="B100" s="27" t="str">
        <x:f>'Inputs_Trades'!B100</x:f>
        <x:v>IND_BANK_002</x:v>
      </x:c>
      <x:c r="C100" s="27" t="n">
        <x:f>'Inputs_Trades'!C100</x:f>
        <x:v>3049</x:v>
      </x:c>
      <x:c r="D100" s="27" t="str">
        <x:f>'Inputs_Trades'!E100</x:f>
        <x:v>Interest Rate Swap</x:v>
      </x:c>
      <x:c r="E100" s="27" t="str">
        <x:f>'Inputs_Trades'!F100</x:f>
        <x:v>Interest Rate</x:v>
      </x:c>
      <x:c r="F100" s="27" t="n">
        <x:f>'Inputs_Trades'!G100</x:f>
        <x:v>0</x:v>
      </x:c>
      <x:c r="G100" s="27" t="str">
        <x:f>'Inputs_Trades'!J100</x:f>
        <x:v>USD</x:v>
      </x:c>
      <x:c r="H100" s="27" t="str">
        <x:f>'Inputs_Trades'!H100</x:f>
        <x:v>USD</x:v>
      </x:c>
      <x:c r="I100" s="27" t="str">
        <x:f>'Inputs_Trades'!I100</x:f>
        <x:v>USD</x:v>
      </x:c>
      <x:c r="J100" s="27" t="str">
        <x:f>'Inputs_Trades'!M100</x:f>
        <x:v>USD</x:v>
      </x:c>
      <x:c r="K100" s="27" t="n">
        <x:f>'Inputs_Trades'!N100</x:f>
        <x:v>0</x:v>
      </x:c>
      <x:c r="L100" s="27" t="n">
        <x:f>'Inputs_Trades'!O100</x:f>
        <x:v>0</x:v>
      </x:c>
      <x:c r="M100" s="39" t="n">
        <x:f>'Inputs_Trades'!A100</x:f>
        <x:v>45702</x:v>
      </x:c>
      <x:c r="N100" s="39" t="n">
        <x:f>'Inputs_Trades'!P100</x:f>
        <x:v>49008</x:v>
      </x:c>
      <x:c r="O100" s="39" t="n">
        <x:f>'Inputs_Trades'!Q100</x:f>
        <x:v>45550</x:v>
      </x:c>
      <x:c r="P100" s="39" t="n">
        <x:f>'Inputs_Trades'!R100</x:f>
        <x:v>49008</x:v>
      </x:c>
      <x:c r="Q100" s="40" t="n">
        <x:f>'Inputs_Trades'!U100</x:f>
        <x:v>1358000000</x:v>
      </x:c>
      <x:c r="R100" s="40" t="n">
        <x:f>'Inputs_Trades'!S100</x:f>
        <x:v>1358000000</x:v>
      </x:c>
      <x:c r="S100" s="40" t="n">
        <x:f>'Inputs_Trades'!T100</x:f>
        <x:v>1358000000</x:v>
      </x:c>
      <x:c r="T100" s="27" t="str">
        <x:f>'Inputs_Trades'!V100</x:f>
        <x:v>M</x:v>
      </x:c>
      <x:c r="U100" s="27" t="str">
        <x:f>'Inputs_Trades'!W100</x:f>
        <x:v>N</x:v>
      </x:c>
      <x:c r="V100" s="27" t="n">
        <x:f>'Inputs_Trades'!X100</x:f>
        <x:v>10</x:v>
      </x:c>
      <x:c r="W100" s="27" t="str">
        <x:f>'Inputs_Trades'!Y100</x:f>
        <x:v>S</x:v>
      </x:c>
      <x:c r="X100" s="27" t="n">
        <x:f>'Inputs_Trades'!AA100</x:f>
        <x:v>0</x:v>
      </x:c>
      <x:c r="Y100" s="27" t="n">
        <x:f>'Inputs_Trades'!AB100</x:f>
        <x:v>0</x:v>
      </x:c>
      <x:c r="Z100" s="27" t="n">
        <x:f>'Inputs_Trades'!AC100</x:f>
        <x:v>0</x:v>
      </x:c>
      <x:c r="AA100" s="39" t="n">
        <x:f>'Inputs_Trades'!Z100</x:f>
        <x:v>0</x:v>
      </x:c>
      <x:c r="AB100" s="40" t="n">
        <x:f>'Inputs_Trades'!AD100</x:f>
        <x:v>-2591064</x:v>
      </x:c>
      <x:c r="AC100" s="27" t="n">
        <x:f>'Inputs_Trades'!K100</x:f>
        <x:v>0</x:v>
      </x:c>
      <x:c r="AD100" s="27" t="n">
        <x:f>N100-M100</x:f>
        <x:v>3306</x:v>
      </x:c>
      <x:c r="AE100" s="41" t="n">
        <x:f>AD100/365</x:f>
        <x:v>9.057534246575342</x:v>
      </x:c>
      <x:c r="AF100" s="27" t="str">
        <x:f>IF(AE100&lt;1,"&lt;1Y",IF(AE100&lt;=5,"1Y-5Y","&gt;5Y"))</x:f>
        <x:v>&gt;5Y</x:v>
      </x:c>
      <x:c r="AG100" s="27" t="str">
        <x:f>IF(E100="Commodity",IFERROR(VLOOKUP(F100,Parameters!$P$4:$Q$12,2,FALSE),"Other"),"")</x:f>
      </x:c>
      <x:c r="AH100" s="27" t="str">
        <x:f>IF(F100="","Unknown",F100)</x:f>
        <x:v>Unknown</x:v>
      </x:c>
      <x:c r="AI100" s="27" t="str">
        <x:f>IF(E100="Interest Rate",G100&amp;IF(OR(LOWER(AC100)="basis",LOWER(AC100)="volatility"),"_"&amp;AC100,""),IF(E100="FX",IF(H100&lt;I100,H100&amp;"/"&amp;I100,I100&amp;"/"&amp;H100)&amp;IF(OR(LOWER(AC100)="basis",LOWER(AC100)="volatility"),"_"&amp;AC100,""),IF(OR(E100="Credit",E100="Equity"),J100&amp;IF(OR(LOWER(AC100)="basis",LOWER(AC100)="volatility"),"_"&amp;AC100,""),IF(E100="Commodity",AG100&amp;IF(OR(LOWER(AC100)="basis",LOWER(AC100)="volatility"),"_"&amp;AC100,""),"UNKNOWN"))))</x:f>
        <x:v>USD</x:v>
      </x:c>
      <x:c r="AJ100" s="27" t="str">
        <x:f>T100</x:f>
        <x:v>M</x:v>
      </x:c>
      <x:c r="AK100" s="41" t="n">
        <x:f>IF(E100="Interest Rate",VLOOKUP("Interest Rate",Parameters!$D$4:$E$12,2,FALSE),IF(E100="FX",VLOOKUP("FX",Parameters!$D$4:$E$12,2,FALSE),IF(E100="Credit",IFERROR(VLOOKUP(L100,Parameters!$G$4:$H$12,2,FALSE),VLOOKUP("BBB",Parameters!$G$4:$H$12,2,FALSE)),IF(E100="Equity",VLOOKUP(IF(LOWER(K100)="index","Equity Index","Equity Single Name"),Parameters!$D$4:$E$12,2,FALSE),IF(E100="Commodity",VLOOKUP(IFERROR(VLOOKUP(F100,Parameters!$S$4:$T$12,2,FALSE),"Commodity Other"),Parameters!$D$4:$E$12,2,FALSE),0)))))</x:f>
        <x:v>0.005</x:v>
      </x:c>
      <x:c r="AL100" s="42" t="n">
        <x:f>IF(LOWER(AC100)="basis",Parameters!$B$8,IF(LOWER(AC100)="volatility",Parameters!$B$9,1))</x:f>
        <x:v>1</x:v>
      </x:c>
      <x:c r="AM100" s="41" t="n">
        <x:f>AK100*AL100</x:f>
        <x:v>0.005</x:v>
      </x:c>
      <x:c r="AN100" s="42" t="str">
        <x:f>IF(E100="Credit",VLOOKUP(IF(LOWER(K100)="index","Credit Index","Credit Single Name"),Parameters!$J$4:$K$8,2,FALSE),IF(E100="Equity",VLOOKUP(IF(LOWER(K100)="index","Equity Index","Equity Single Name"),Parameters!$J$4:$K$8,2,FALSE),IF(E100="Commodity",VLOOKUP("Commodity",Parameters!$J$4:$K$8,2,FALSE),"")))</x:f>
      </x:c>
      <x:c r="AO100" s="27" t="n">
        <x:f>MAX((O100-M100)/365,0)</x:f>
        <x:v>0</x:v>
      </x:c>
      <x:c r="AP100" s="27" t="n">
        <x:f>MAX((P100-M100)/365,10/Parameters!$B$6)</x:f>
        <x:v>9.057534246575342</x:v>
      </x:c>
      <x:c r="AQ100" s="27" t="n">
        <x:f>IF(AP100&lt;=AO100,AO100+10/Parameters!$B$6,AP100)</x:f>
        <x:v>9.057534246575342</x:v>
      </x:c>
      <x:c r="AR100" s="41" t="n">
        <x:f>IF(OR(E100="Interest Rate",E100="Credit"),(EXP(-Parameters!$B$7*AO100)-EXP(-Parameters!$B$7*AQ100))/Parameters!$B$7,1)</x:f>
        <x:v>7.284069706674434</x:v>
      </x:c>
      <x:c r="AS100" s="40" t="n">
        <x:f>IF(OR(E100="Interest Rate",E100="Credit"),ABS(Q100)*AR100,IF(E100="FX",IF(Q100&gt;0,Q100,MAX(ABS(R100),ABS(S100),ABS(Q100))),ABS(Q100)))</x:f>
        <x:v>9891766661.663881</x:v>
      </x:c>
      <x:c r="AT100" s="42" t="n">
        <x:f>IF(OR(E100="Interest Rate",E100="FX"),VLOOKUP(E100,Parameters!$M$4:$N$11,2,FALSE),IF(E100="Credit",VLOOKUP(IF(LOWER(K100)="index","Credit Index","Credit Single Name"),Parameters!$M$4:$N$11,2,FALSE),IF(E100="Equity",VLOOKUP(IF(LOWER(K100)="index","Equity Index","Equity Single Name"),Parameters!$M$4:$N$11,2,FALSE),IF(E100="Commodity",VLOOKUP(IF(F100="Electricity","Commodity Electricity","Commodity Other"),Parameters!$M$4:$N$11,2,FALSE),1))))</x:f>
        <x:v>0.5</x:v>
      </x:c>
      <x:c r="AU100" s="27" t="n">
        <x:f>IF(W100="B",1,-1)</x:f>
        <x:v>-1</x:v>
      </x:c>
      <x:c r="AV100" s="27" t="n">
        <x:f>IF(OR(AA100="",M100=""),MAX(AE100,1/365),MAX((AA100-M100)/365,1/365))</x:f>
        <x:v>9.057534246575342</x:v>
      </x:c>
      <x:c r="AW100" s="41" t="str">
        <x:f>IF(OR(Z100&lt;=0,Y100&lt;=0,AT100&lt;=0,AV100&lt;=0),"",(LN(Z100/Y100)+0.5*AT100^2*AV100)/(AT100*SQRT(AV100)))</x:f>
      </x:c>
      <x:c r="AX100" s="41" t="n">
        <x:f>IF(AND(X100&lt;&gt;"C",X100&lt;&gt;"P"),AU100,IF(AW100="",AU100,IF(X100="C",AU100*0.5*(1+ERF(AW100/SQRT(2))),-AU100*0.5*(1+ERF(-AW100/SQRT(2))))))</x:f>
        <x:v>-1</x:v>
      </x:c>
      <x:c r="AY100" s="41" t="n">
        <x:f>IF(AJ100="M",1.5*SQRT(MAX(IF(U100="Y",5,10),IF(V100="",10,V100))/Parameters!$B$6),SQRT(MIN(MAX(AE100,10/Parameters!$B$6),1)))</x:f>
        <x:v>0.30000000000000004</x:v>
      </x:c>
      <x:c r="AZ100" s="40" t="n">
        <x:f>AS100*AX100*AY100</x:f>
        <x:v>-2967529998.499165</x:v>
      </x:c>
      <x:c r="BA100" s="40" t="n">
        <x:f>'Python_Trade_Output'!AZ100</x:f>
        <x:v>-2967529998.499165</x:v>
      </x:c>
      <x:c r="BB100" s="43" t="n">
        <x:f>AZ100-BA100</x:f>
        <x:v>0</x:v>
      </x:c>
    </x:row>
    <x:row r="101">
      <x:c r="A101" s="27" t="str">
        <x:f>'Inputs_Trades'!D101</x:f>
        <x:v>IND-000098</x:v>
      </x:c>
      <x:c r="B101" s="27" t="str">
        <x:f>'Inputs_Trades'!B101</x:f>
        <x:v>IND_CORPORATE_002</x:v>
      </x:c>
      <x:c r="C101" s="27" t="n">
        <x:f>'Inputs_Trades'!C101</x:f>
        <x:v>3074</x:v>
      </x:c>
      <x:c r="D101" s="27" t="str">
        <x:f>'Inputs_Trades'!E101</x:f>
        <x:v>Interest Rate Swap</x:v>
      </x:c>
      <x:c r="E101" s="27" t="str">
        <x:f>'Inputs_Trades'!F101</x:f>
        <x:v>Interest Rate</x:v>
      </x:c>
      <x:c r="F101" s="27" t="n">
        <x:f>'Inputs_Trades'!G101</x:f>
        <x:v>0</x:v>
      </x:c>
      <x:c r="G101" s="27" t="str">
        <x:f>'Inputs_Trades'!J101</x:f>
        <x:v>EUR</x:v>
      </x:c>
      <x:c r="H101" s="27" t="str">
        <x:f>'Inputs_Trades'!H101</x:f>
        <x:v>EUR</x:v>
      </x:c>
      <x:c r="I101" s="27" t="str">
        <x:f>'Inputs_Trades'!I101</x:f>
        <x:v>EUR</x:v>
      </x:c>
      <x:c r="J101" s="27" t="str">
        <x:f>'Inputs_Trades'!M101</x:f>
        <x:v>EUR</x:v>
      </x:c>
      <x:c r="K101" s="27" t="n">
        <x:f>'Inputs_Trades'!N101</x:f>
        <x:v>0</x:v>
      </x:c>
      <x:c r="L101" s="27" t="n">
        <x:f>'Inputs_Trades'!O101</x:f>
        <x:v>0</x:v>
      </x:c>
      <x:c r="M101" s="39" t="n">
        <x:f>'Inputs_Trades'!A101</x:f>
        <x:v>45702</x:v>
      </x:c>
      <x:c r="N101" s="39" t="n">
        <x:f>'Inputs_Trades'!P101</x:f>
        <x:v>47485</x:v>
      </x:c>
      <x:c r="O101" s="39" t="n">
        <x:f>'Inputs_Trades'!Q101</x:f>
        <x:v>45413</x:v>
      </x:c>
      <x:c r="P101" s="39" t="n">
        <x:f>'Inputs_Trades'!R101</x:f>
        <x:v>47485</x:v>
      </x:c>
      <x:c r="Q101" s="40" t="n">
        <x:f>'Inputs_Trades'!U101</x:f>
        <x:v>1785000000</x:v>
      </x:c>
      <x:c r="R101" s="40" t="n">
        <x:f>'Inputs_Trades'!S101</x:f>
        <x:v>1700000000</x:v>
      </x:c>
      <x:c r="S101" s="40" t="n">
        <x:f>'Inputs_Trades'!T101</x:f>
        <x:v>1700000000</x:v>
      </x:c>
      <x:c r="T101" s="27" t="str">
        <x:f>'Inputs_Trades'!V101</x:f>
        <x:v>M</x:v>
      </x:c>
      <x:c r="U101" s="27" t="str">
        <x:f>'Inputs_Trades'!W101</x:f>
        <x:v>N</x:v>
      </x:c>
      <x:c r="V101" s="27" t="n">
        <x:f>'Inputs_Trades'!X101</x:f>
        <x:v>10</x:v>
      </x:c>
      <x:c r="W101" s="27" t="str">
        <x:f>'Inputs_Trades'!Y101</x:f>
        <x:v>S</x:v>
      </x:c>
      <x:c r="X101" s="27" t="n">
        <x:f>'Inputs_Trades'!AA101</x:f>
        <x:v>0</x:v>
      </x:c>
      <x:c r="Y101" s="27" t="n">
        <x:f>'Inputs_Trades'!AB101</x:f>
        <x:v>0</x:v>
      </x:c>
      <x:c r="Z101" s="27" t="n">
        <x:f>'Inputs_Trades'!AC101</x:f>
        <x:v>0</x:v>
      </x:c>
      <x:c r="AA101" s="39" t="n">
        <x:f>'Inputs_Trades'!Z101</x:f>
        <x:v>0</x:v>
      </x:c>
      <x:c r="AB101" s="40" t="n">
        <x:f>'Inputs_Trades'!AD101</x:f>
        <x:v>-2002770</x:v>
      </x:c>
      <x:c r="AC101" s="27" t="n">
        <x:f>'Inputs_Trades'!K101</x:f>
        <x:v>0</x:v>
      </x:c>
      <x:c r="AD101" s="27" t="n">
        <x:f>N101-M101</x:f>
        <x:v>1783</x:v>
      </x:c>
      <x:c r="AE101" s="41" t="n">
        <x:f>AD101/365</x:f>
        <x:v>4.884931506849315</x:v>
      </x:c>
      <x:c r="AF101" s="27" t="str">
        <x:f>IF(AE101&lt;1,"&lt;1Y",IF(AE101&lt;=5,"1Y-5Y","&gt;5Y"))</x:f>
        <x:v>1Y-5Y</x:v>
      </x:c>
      <x:c r="AG101" s="27" t="str">
        <x:f>IF(E101="Commodity",IFERROR(VLOOKUP(F101,Parameters!$P$4:$Q$12,2,FALSE),"Other"),"")</x:f>
      </x:c>
      <x:c r="AH101" s="27" t="str">
        <x:f>IF(F101="","Unknown",F101)</x:f>
        <x:v>Unknown</x:v>
      </x:c>
      <x:c r="AI101" s="27" t="str">
        <x:f>IF(E101="Interest Rate",G101&amp;IF(OR(LOWER(AC101)="basis",LOWER(AC101)="volatility"),"_"&amp;AC101,""),IF(E101="FX",IF(H101&lt;I101,H101&amp;"/"&amp;I101,I101&amp;"/"&amp;H101)&amp;IF(OR(LOWER(AC101)="basis",LOWER(AC101)="volatility"),"_"&amp;AC101,""),IF(OR(E101="Credit",E101="Equity"),J101&amp;IF(OR(LOWER(AC101)="basis",LOWER(AC101)="volatility"),"_"&amp;AC101,""),IF(E101="Commodity",AG101&amp;IF(OR(LOWER(AC101)="basis",LOWER(AC101)="volatility"),"_"&amp;AC101,""),"UNKNOWN"))))</x:f>
        <x:v>EUR</x:v>
      </x:c>
      <x:c r="AJ101" s="27" t="str">
        <x:f>T101</x:f>
        <x:v>M</x:v>
      </x:c>
      <x:c r="AK101" s="41" t="n">
        <x:f>IF(E101="Interest Rate",VLOOKUP("Interest Rate",Parameters!$D$4:$E$12,2,FALSE),IF(E101="FX",VLOOKUP("FX",Parameters!$D$4:$E$12,2,FALSE),IF(E101="Credit",IFERROR(VLOOKUP(L101,Parameters!$G$4:$H$12,2,FALSE),VLOOKUP("BBB",Parameters!$G$4:$H$12,2,FALSE)),IF(E101="Equity",VLOOKUP(IF(LOWER(K101)="index","Equity Index","Equity Single Name"),Parameters!$D$4:$E$12,2,FALSE),IF(E101="Commodity",VLOOKUP(IFERROR(VLOOKUP(F101,Parameters!$S$4:$T$12,2,FALSE),"Commodity Other"),Parameters!$D$4:$E$12,2,FALSE),0)))))</x:f>
        <x:v>0.005</x:v>
      </x:c>
      <x:c r="AL101" s="42" t="n">
        <x:f>IF(LOWER(AC101)="basis",Parameters!$B$8,IF(LOWER(AC101)="volatility",Parameters!$B$9,1))</x:f>
        <x:v>1</x:v>
      </x:c>
      <x:c r="AM101" s="41" t="n">
        <x:f>AK101*AL101</x:f>
        <x:v>0.005</x:v>
      </x:c>
      <x:c r="AN101" s="42" t="str">
        <x:f>IF(E101="Credit",VLOOKUP(IF(LOWER(K101)="index","Credit Index","Credit Single Name"),Parameters!$J$4:$K$8,2,FALSE),IF(E101="Equity",VLOOKUP(IF(LOWER(K101)="index","Equity Index","Equity Single Name"),Parameters!$J$4:$K$8,2,FALSE),IF(E101="Commodity",VLOOKUP("Commodity",Parameters!$J$4:$K$8,2,FALSE),"")))</x:f>
      </x:c>
      <x:c r="AO101" s="27" t="n">
        <x:f>MAX((O101-M101)/365,0)</x:f>
        <x:v>0</x:v>
      </x:c>
      <x:c r="AP101" s="27" t="n">
        <x:f>MAX((P101-M101)/365,10/Parameters!$B$6)</x:f>
        <x:v>4.884931506849315</x:v>
      </x:c>
      <x:c r="AQ101" s="27" t="n">
        <x:f>IF(AP101&lt;=AO101,AO101+10/Parameters!$B$6,AP101)</x:f>
        <x:v>4.884931506849315</x:v>
      </x:c>
      <x:c r="AR101" s="41" t="n">
        <x:f>IF(OR(E101="Interest Rate",E101="Credit"),(EXP(-Parameters!$B$7*AO101)-EXP(-Parameters!$B$7*AQ101))/Parameters!$B$7,1)</x:f>
        <x:v>4.334110613060844</x:v>
      </x:c>
      <x:c r="AS101" s="40" t="n">
        <x:f>IF(OR(E101="Interest Rate",E101="Credit"),ABS(Q101)*AR101,IF(E101="FX",IF(Q101&gt;0,Q101,MAX(ABS(R101),ABS(S101),ABS(Q101))),ABS(Q101)))</x:f>
        <x:v>7736387444.313606</x:v>
      </x:c>
      <x:c r="AT101" s="42" t="n">
        <x:f>IF(OR(E101="Interest Rate",E101="FX"),VLOOKUP(E101,Parameters!$M$4:$N$11,2,FALSE),IF(E101="Credit",VLOOKUP(IF(LOWER(K101)="index","Credit Index","Credit Single Name"),Parameters!$M$4:$N$11,2,FALSE),IF(E101="Equity",VLOOKUP(IF(LOWER(K101)="index","Equity Index","Equity Single Name"),Parameters!$M$4:$N$11,2,FALSE),IF(E101="Commodity",VLOOKUP(IF(F101="Electricity","Commodity Electricity","Commodity Other"),Parameters!$M$4:$N$11,2,FALSE),1))))</x:f>
        <x:v>0.5</x:v>
      </x:c>
      <x:c r="AU101" s="27" t="n">
        <x:f>IF(W101="B",1,-1)</x:f>
        <x:v>-1</x:v>
      </x:c>
      <x:c r="AV101" s="27" t="n">
        <x:f>IF(OR(AA101="",M101=""),MAX(AE101,1/365),MAX((AA101-M101)/365,1/365))</x:f>
        <x:v>4.884931506849315</x:v>
      </x:c>
      <x:c r="AW101" s="41" t="str">
        <x:f>IF(OR(Z101&lt;=0,Y101&lt;=0,AT101&lt;=0,AV101&lt;=0),"",(LN(Z101/Y101)+0.5*AT101^2*AV101)/(AT101*SQRT(AV101)))</x:f>
      </x:c>
      <x:c r="AX101" s="41" t="n">
        <x:f>IF(AND(X101&lt;&gt;"C",X101&lt;&gt;"P"),AU101,IF(AW101="",AU101,IF(X101="C",AU101*0.5*(1+ERF(AW101/SQRT(2))),-AU101*0.5*(1+ERF(-AW101/SQRT(2))))))</x:f>
        <x:v>-1</x:v>
      </x:c>
      <x:c r="AY101" s="41" t="n">
        <x:f>IF(AJ101="M",1.5*SQRT(MAX(IF(U101="Y",5,10),IF(V101="",10,V101))/Parameters!$B$6),SQRT(MIN(MAX(AE101,10/Parameters!$B$6),1)))</x:f>
        <x:v>0.30000000000000004</x:v>
      </x:c>
      <x:c r="AZ101" s="40" t="n">
        <x:f>AS101*AX101*AY101</x:f>
        <x:v>-2320916233.294082</x:v>
      </x:c>
      <x:c r="BA101" s="40" t="n">
        <x:f>'Python_Trade_Output'!AZ101</x:f>
        <x:v>-2320916233.294082</x:v>
      </x:c>
      <x:c r="BB101" s="43" t="n">
        <x:f>AZ101-BA101</x:f>
        <x:v>0</x:v>
      </x:c>
    </x:row>
    <x:row r="102">
      <x:c r="A102" s="27" t="str">
        <x:f>'Inputs_Trades'!D102</x:f>
        <x:v>IND-000099</x:v>
      </x:c>
      <x:c r="B102" s="27" t="str">
        <x:f>'Inputs_Trades'!B102</x:f>
        <x:v>IND_SOVEREIGN_001</x:v>
      </x:c>
      <x:c r="C102" s="27" t="n">
        <x:f>'Inputs_Trades'!C102</x:f>
        <x:v>3246</x:v>
      </x:c>
      <x:c r="D102" s="27" t="str">
        <x:f>'Inputs_Trades'!E102</x:f>
        <x:v>Interest Rate Swap</x:v>
      </x:c>
      <x:c r="E102" s="27" t="str">
        <x:f>'Inputs_Trades'!F102</x:f>
        <x:v>Interest Rate</x:v>
      </x:c>
      <x:c r="F102" s="27" t="n">
        <x:f>'Inputs_Trades'!G102</x:f>
        <x:v>0</x:v>
      </x:c>
      <x:c r="G102" s="27" t="str">
        <x:f>'Inputs_Trades'!J102</x:f>
        <x:v>CNY</x:v>
      </x:c>
      <x:c r="H102" s="27" t="str">
        <x:f>'Inputs_Trades'!H102</x:f>
        <x:v>CNY</x:v>
      </x:c>
      <x:c r="I102" s="27" t="str">
        <x:f>'Inputs_Trades'!I102</x:f>
        <x:v>CNY</x:v>
      </x:c>
      <x:c r="J102" s="27" t="str">
        <x:f>'Inputs_Trades'!M102</x:f>
        <x:v>CNY</x:v>
      </x:c>
      <x:c r="K102" s="27" t="n">
        <x:f>'Inputs_Trades'!N102</x:f>
        <x:v>0</x:v>
      </x:c>
      <x:c r="L102" s="27" t="n">
        <x:f>'Inputs_Trades'!O102</x:f>
        <x:v>0</x:v>
      </x:c>
      <x:c r="M102" s="39" t="n">
        <x:f>'Inputs_Trades'!A102</x:f>
        <x:v>45702</x:v>
      </x:c>
      <x:c r="N102" s="39" t="n">
        <x:f>'Inputs_Trades'!P102</x:f>
        <x:v>49145</x:v>
      </x:c>
      <x:c r="O102" s="39" t="n">
        <x:f>'Inputs_Trades'!Q102</x:f>
        <x:v>45228</x:v>
      </x:c>
      <x:c r="P102" s="39" t="n">
        <x:f>'Inputs_Trades'!R102</x:f>
        <x:v>49145</x:v>
      </x:c>
      <x:c r="Q102" s="40" t="n">
        <x:f>'Inputs_Trades'!U102</x:f>
        <x:v>1774000000</x:v>
      </x:c>
      <x:c r="R102" s="40" t="n">
        <x:f>'Inputs_Trades'!S102</x:f>
        <x:v>12671428571.43</x:v>
      </x:c>
      <x:c r="S102" s="40" t="n">
        <x:f>'Inputs_Trades'!T102</x:f>
        <x:v>12671428571.43</x:v>
      </x:c>
      <x:c r="T102" s="27" t="str">
        <x:f>'Inputs_Trades'!V102</x:f>
        <x:v>M</x:v>
      </x:c>
      <x:c r="U102" s="27" t="str">
        <x:f>'Inputs_Trades'!W102</x:f>
        <x:v>N</x:v>
      </x:c>
      <x:c r="V102" s="27" t="n">
        <x:f>'Inputs_Trades'!X102</x:f>
        <x:v>10</x:v>
      </x:c>
      <x:c r="W102" s="27" t="str">
        <x:f>'Inputs_Trades'!Y102</x:f>
        <x:v>B</x:v>
      </x:c>
      <x:c r="X102" s="27" t="n">
        <x:f>'Inputs_Trades'!AA102</x:f>
        <x:v>0</x:v>
      </x:c>
      <x:c r="Y102" s="27" t="n">
        <x:f>'Inputs_Trades'!AB102</x:f>
        <x:v>0</x:v>
      </x:c>
      <x:c r="Z102" s="27" t="n">
        <x:f>'Inputs_Trades'!AC102</x:f>
        <x:v>0</x:v>
      </x:c>
      <x:c r="AA102" s="39" t="n">
        <x:f>'Inputs_Trades'!Z102</x:f>
        <x:v>0</x:v>
      </x:c>
      <x:c r="AB102" s="40" t="n">
        <x:f>'Inputs_Trades'!AD102</x:f>
        <x:v>5832912</x:v>
      </x:c>
      <x:c r="AC102" s="27" t="n">
        <x:f>'Inputs_Trades'!K102</x:f>
        <x:v>0</x:v>
      </x:c>
      <x:c r="AD102" s="27" t="n">
        <x:f>N102-M102</x:f>
        <x:v>3443</x:v>
      </x:c>
      <x:c r="AE102" s="41" t="n">
        <x:f>AD102/365</x:f>
        <x:v>9.432876712328767</x:v>
      </x:c>
      <x:c r="AF102" s="27" t="str">
        <x:f>IF(AE102&lt;1,"&lt;1Y",IF(AE102&lt;=5,"1Y-5Y","&gt;5Y"))</x:f>
        <x:v>&gt;5Y</x:v>
      </x:c>
      <x:c r="AG102" s="27" t="str">
        <x:f>IF(E102="Commodity",IFERROR(VLOOKUP(F102,Parameters!$P$4:$Q$12,2,FALSE),"Other"),"")</x:f>
      </x:c>
      <x:c r="AH102" s="27" t="str">
        <x:f>IF(F102="","Unknown",F102)</x:f>
        <x:v>Unknown</x:v>
      </x:c>
      <x:c r="AI102" s="27" t="str">
        <x:f>IF(E102="Interest Rate",G102&amp;IF(OR(LOWER(AC102)="basis",LOWER(AC102)="volatility"),"_"&amp;AC102,""),IF(E102="FX",IF(H102&lt;I102,H102&amp;"/"&amp;I102,I102&amp;"/"&amp;H102)&amp;IF(OR(LOWER(AC102)="basis",LOWER(AC102)="volatility"),"_"&amp;AC102,""),IF(OR(E102="Credit",E102="Equity"),J102&amp;IF(OR(LOWER(AC102)="basis",LOWER(AC102)="volatility"),"_"&amp;AC102,""),IF(E102="Commodity",AG102&amp;IF(OR(LOWER(AC102)="basis",LOWER(AC102)="volatility"),"_"&amp;AC102,""),"UNKNOWN"))))</x:f>
        <x:v>CNY</x:v>
      </x:c>
      <x:c r="AJ102" s="27" t="str">
        <x:f>T102</x:f>
        <x:v>M</x:v>
      </x:c>
      <x:c r="AK102" s="41" t="n">
        <x:f>IF(E102="Interest Rate",VLOOKUP("Interest Rate",Parameters!$D$4:$E$12,2,FALSE),IF(E102="FX",VLOOKUP("FX",Parameters!$D$4:$E$12,2,FALSE),IF(E102="Credit",IFERROR(VLOOKUP(L102,Parameters!$G$4:$H$12,2,FALSE),VLOOKUP("BBB",Parameters!$G$4:$H$12,2,FALSE)),IF(E102="Equity",VLOOKUP(IF(LOWER(K102)="index","Equity Index","Equity Single Name"),Parameters!$D$4:$E$12,2,FALSE),IF(E102="Commodity",VLOOKUP(IFERROR(VLOOKUP(F102,Parameters!$S$4:$T$12,2,FALSE),"Commodity Other"),Parameters!$D$4:$E$12,2,FALSE),0)))))</x:f>
        <x:v>0.005</x:v>
      </x:c>
      <x:c r="AL102" s="42" t="n">
        <x:f>IF(LOWER(AC102)="basis",Parameters!$B$8,IF(LOWER(AC102)="volatility",Parameters!$B$9,1))</x:f>
        <x:v>1</x:v>
      </x:c>
      <x:c r="AM102" s="41" t="n">
        <x:f>AK102*AL102</x:f>
        <x:v>0.005</x:v>
      </x:c>
      <x:c r="AN102" s="42" t="str">
        <x:f>IF(E102="Credit",VLOOKUP(IF(LOWER(K102)="index","Credit Index","Credit Single Name"),Parameters!$J$4:$K$8,2,FALSE),IF(E102="Equity",VLOOKUP(IF(LOWER(K102)="index","Equity Index","Equity Single Name"),Parameters!$J$4:$K$8,2,FALSE),IF(E102="Commodity",VLOOKUP("Commodity",Parameters!$J$4:$K$8,2,FALSE),"")))</x:f>
      </x:c>
      <x:c r="AO102" s="27" t="n">
        <x:f>MAX((O102-M102)/365,0)</x:f>
        <x:v>0</x:v>
      </x:c>
      <x:c r="AP102" s="27" t="n">
        <x:f>MAX((P102-M102)/365,10/Parameters!$B$6)</x:f>
        <x:v>9.432876712328767</x:v>
      </x:c>
      <x:c r="AQ102" s="27" t="n">
        <x:f>IF(AP102&lt;=AO102,AO102+10/Parameters!$B$6,AP102)</x:f>
        <x:v>9.432876712328767</x:v>
      </x:c>
      <x:c r="AR102" s="41" t="n">
        <x:f>IF(OR(E102="Interest Rate",E102="Credit"),(EXP(-Parameters!$B$7*AO102)-EXP(-Parameters!$B$7*AQ102))/Parameters!$B$7,1)</x:f>
        <x:v>7.520485774592087</x:v>
      </x:c>
      <x:c r="AS102" s="40" t="n">
        <x:f>IF(OR(E102="Interest Rate",E102="Credit"),ABS(Q102)*AR102,IF(E102="FX",IF(Q102&gt;0,Q102,MAX(ABS(R102),ABS(S102),ABS(Q102))),ABS(Q102)))</x:f>
        <x:v>13341341764.126362</x:v>
      </x:c>
      <x:c r="AT102" s="42" t="n">
        <x:f>IF(OR(E102="Interest Rate",E102="FX"),VLOOKUP(E102,Parameters!$M$4:$N$11,2,FALSE),IF(E102="Credit",VLOOKUP(IF(LOWER(K102)="index","Credit Index","Credit Single Name"),Parameters!$M$4:$N$11,2,FALSE),IF(E102="Equity",VLOOKUP(IF(LOWER(K102)="index","Equity Index","Equity Single Name"),Parameters!$M$4:$N$11,2,FALSE),IF(E102="Commodity",VLOOKUP(IF(F102="Electricity","Commodity Electricity","Commodity Other"),Parameters!$M$4:$N$11,2,FALSE),1))))</x:f>
        <x:v>0.5</x:v>
      </x:c>
      <x:c r="AU102" s="27" t="n">
        <x:f>IF(W102="B",1,-1)</x:f>
        <x:v>1</x:v>
      </x:c>
      <x:c r="AV102" s="27" t="n">
        <x:f>IF(OR(AA102="",M102=""),MAX(AE102,1/365),MAX((AA102-M102)/365,1/365))</x:f>
        <x:v>9.432876712328767</x:v>
      </x:c>
      <x:c r="AW102" s="41" t="str">
        <x:f>IF(OR(Z102&lt;=0,Y102&lt;=0,AT102&lt;=0,AV102&lt;=0),"",(LN(Z102/Y102)+0.5*AT102^2*AV102)/(AT102*SQRT(AV102)))</x:f>
      </x:c>
      <x:c r="AX102" s="41" t="n">
        <x:f>IF(AND(X102&lt;&gt;"C",X102&lt;&gt;"P"),AU102,IF(AW102="",AU102,IF(X102="C",AU102*0.5*(1+ERF(AW102/SQRT(2))),-AU102*0.5*(1+ERF(-AW102/SQRT(2))))))</x:f>
        <x:v>1</x:v>
      </x:c>
      <x:c r="AY102" s="41" t="n">
        <x:f>IF(AJ102="M",1.5*SQRT(MAX(IF(U102="Y",5,10),IF(V102="",10,V102))/Parameters!$B$6),SQRT(MIN(MAX(AE102,10/Parameters!$B$6),1)))</x:f>
        <x:v>0.30000000000000004</x:v>
      </x:c>
      <x:c r="AZ102" s="40" t="n">
        <x:f>AS102*AX102*AY102</x:f>
        <x:v>4002402529.2379093</x:v>
      </x:c>
      <x:c r="BA102" s="40" t="n">
        <x:f>'Python_Trade_Output'!AZ102</x:f>
        <x:v>4002402529.2379093</x:v>
      </x:c>
      <x:c r="BB102" s="43" t="n">
        <x:f>AZ102-BA102</x:f>
        <x:v>0</x:v>
      </x:c>
    </x:row>
    <x:row r="103">
      <x:c r="A103" s="27" t="str">
        <x:f>'Inputs_Trades'!D103</x:f>
        <x:v>IND-000100</x:v>
      </x:c>
      <x:c r="B103" s="27" t="str">
        <x:f>'Inputs_Trades'!B103</x:f>
        <x:v>IND_REGIONAL_BANK_001</x:v>
      </x:c>
      <x:c r="C103" s="27" t="n">
        <x:f>'Inputs_Trades'!C103</x:f>
        <x:v>3054</x:v>
      </x:c>
      <x:c r="D103" s="27" t="str">
        <x:f>'Inputs_Trades'!E103</x:f>
        <x:v>Interest Rate Swap</x:v>
      </x:c>
      <x:c r="E103" s="27" t="str">
        <x:f>'Inputs_Trades'!F103</x:f>
        <x:v>Interest Rate</x:v>
      </x:c>
      <x:c r="F103" s="27" t="n">
        <x:f>'Inputs_Trades'!G103</x:f>
        <x:v>0</x:v>
      </x:c>
      <x:c r="G103" s="27" t="str">
        <x:f>'Inputs_Trades'!J103</x:f>
        <x:v>JPY</x:v>
      </x:c>
      <x:c r="H103" s="27" t="str">
        <x:f>'Inputs_Trades'!H103</x:f>
        <x:v>JPY</x:v>
      </x:c>
      <x:c r="I103" s="27" t="str">
        <x:f>'Inputs_Trades'!I103</x:f>
        <x:v>JPY</x:v>
      </x:c>
      <x:c r="J103" s="27" t="str">
        <x:f>'Inputs_Trades'!M103</x:f>
        <x:v>JPY</x:v>
      </x:c>
      <x:c r="K103" s="27" t="n">
        <x:f>'Inputs_Trades'!N103</x:f>
        <x:v>0</x:v>
      </x:c>
      <x:c r="L103" s="27" t="n">
        <x:f>'Inputs_Trades'!O103</x:f>
        <x:v>0</x:v>
      </x:c>
      <x:c r="M103" s="39" t="n">
        <x:f>'Inputs_Trades'!A103</x:f>
        <x:v>45702</x:v>
      </x:c>
      <x:c r="N103" s="39" t="n">
        <x:f>'Inputs_Trades'!P103</x:f>
        <x:v>47968</x:v>
      </x:c>
      <x:c r="O103" s="39" t="n">
        <x:f>'Inputs_Trades'!Q103</x:f>
        <x:v>45685</x:v>
      </x:c>
      <x:c r="P103" s="39" t="n">
        <x:f>'Inputs_Trades'!R103</x:f>
        <x:v>47968</x:v>
      </x:c>
      <x:c r="Q103" s="40" t="n">
        <x:f>'Inputs_Trades'!U103</x:f>
        <x:v>436000000</x:v>
      </x:c>
      <x:c r="R103" s="40" t="n">
        <x:f>'Inputs_Trades'!S103</x:f>
        <x:v>65074626865.67</x:v>
      </x:c>
      <x:c r="S103" s="40" t="n">
        <x:f>'Inputs_Trades'!T103</x:f>
        <x:v>65074626865.67</x:v>
      </x:c>
      <x:c r="T103" s="27" t="str">
        <x:f>'Inputs_Trades'!V103</x:f>
        <x:v>U</x:v>
      </x:c>
      <x:c r="U103" s="27" t="str">
        <x:f>'Inputs_Trades'!W103</x:f>
        <x:v>Y</x:v>
      </x:c>
      <x:c r="V103" s="27" t="n">
        <x:f>'Inputs_Trades'!X103</x:f>
        <x:v>5</x:v>
      </x:c>
      <x:c r="W103" s="27" t="str">
        <x:f>'Inputs_Trades'!Y103</x:f>
        <x:v>B</x:v>
      </x:c>
      <x:c r="X103" s="27" t="n">
        <x:f>'Inputs_Trades'!AA103</x:f>
        <x:v>0</x:v>
      </x:c>
      <x:c r="Y103" s="27" t="n">
        <x:f>'Inputs_Trades'!AB103</x:f>
        <x:v>0</x:v>
      </x:c>
      <x:c r="Z103" s="27" t="n">
        <x:f>'Inputs_Trades'!AC103</x:f>
        <x:v>0</x:v>
      </x:c>
      <x:c r="AA103" s="39" t="n">
        <x:f>'Inputs_Trades'!Z103</x:f>
        <x:v>0</x:v>
      </x:c>
      <x:c r="AB103" s="40" t="n">
        <x:f>'Inputs_Trades'!AD103</x:f>
        <x:v>107256</x:v>
      </x:c>
      <x:c r="AC103" s="27" t="n">
        <x:f>'Inputs_Trades'!K103</x:f>
        <x:v>0</x:v>
      </x:c>
      <x:c r="AD103" s="27" t="n">
        <x:f>N103-M103</x:f>
        <x:v>2266</x:v>
      </x:c>
      <x:c r="AE103" s="41" t="n">
        <x:f>AD103/365</x:f>
        <x:v>6.208219178082191</x:v>
      </x:c>
      <x:c r="AF103" s="27" t="str">
        <x:f>IF(AE103&lt;1,"&lt;1Y",IF(AE103&lt;=5,"1Y-5Y","&gt;5Y"))</x:f>
        <x:v>&gt;5Y</x:v>
      </x:c>
      <x:c r="AG103" s="27" t="str">
        <x:f>IF(E103="Commodity",IFERROR(VLOOKUP(F103,Parameters!$P$4:$Q$12,2,FALSE),"Other"),"")</x:f>
      </x:c>
      <x:c r="AH103" s="27" t="str">
        <x:f>IF(F103="","Unknown",F103)</x:f>
        <x:v>Unknown</x:v>
      </x:c>
      <x:c r="AI103" s="27" t="str">
        <x:f>IF(E103="Interest Rate",G103&amp;IF(OR(LOWER(AC103)="basis",LOWER(AC103)="volatility"),"_"&amp;AC103,""),IF(E103="FX",IF(H103&lt;I103,H103&amp;"/"&amp;I103,I103&amp;"/"&amp;H103)&amp;IF(OR(LOWER(AC103)="basis",LOWER(AC103)="volatility"),"_"&amp;AC103,""),IF(OR(E103="Credit",E103="Equity"),J103&amp;IF(OR(LOWER(AC103)="basis",LOWER(AC103)="volatility"),"_"&amp;AC103,""),IF(E103="Commodity",AG103&amp;IF(OR(LOWER(AC103)="basis",LOWER(AC103)="volatility"),"_"&amp;AC103,""),"UNKNOWN"))))</x:f>
        <x:v>JPY</x:v>
      </x:c>
      <x:c r="AJ103" s="27" t="str">
        <x:f>T103</x:f>
        <x:v>U</x:v>
      </x:c>
      <x:c r="AK103" s="41" t="n">
        <x:f>IF(E103="Interest Rate",VLOOKUP("Interest Rate",Parameters!$D$4:$E$12,2,FALSE),IF(E103="FX",VLOOKUP("FX",Parameters!$D$4:$E$12,2,FALSE),IF(E103="Credit",IFERROR(VLOOKUP(L103,Parameters!$G$4:$H$12,2,FALSE),VLOOKUP("BBB",Parameters!$G$4:$H$12,2,FALSE)),IF(E103="Equity",VLOOKUP(IF(LOWER(K103)="index","Equity Index","Equity Single Name"),Parameters!$D$4:$E$12,2,FALSE),IF(E103="Commodity",VLOOKUP(IFERROR(VLOOKUP(F103,Parameters!$S$4:$T$12,2,FALSE),"Commodity Other"),Parameters!$D$4:$E$12,2,FALSE),0)))))</x:f>
        <x:v>0.005</x:v>
      </x:c>
      <x:c r="AL103" s="42" t="n">
        <x:f>IF(LOWER(AC103)="basis",Parameters!$B$8,IF(LOWER(AC103)="volatility",Parameters!$B$9,1))</x:f>
        <x:v>1</x:v>
      </x:c>
      <x:c r="AM103" s="41" t="n">
        <x:f>AK103*AL103</x:f>
        <x:v>0.005</x:v>
      </x:c>
      <x:c r="AN103" s="42" t="str">
        <x:f>IF(E103="Credit",VLOOKUP(IF(LOWER(K103)="index","Credit Index","Credit Single Name"),Parameters!$J$4:$K$8,2,FALSE),IF(E103="Equity",VLOOKUP(IF(LOWER(K103)="index","Equity Index","Equity Single Name"),Parameters!$J$4:$K$8,2,FALSE),IF(E103="Commodity",VLOOKUP("Commodity",Parameters!$J$4:$K$8,2,FALSE),"")))</x:f>
      </x:c>
      <x:c r="AO103" s="27" t="n">
        <x:f>MAX((O103-M103)/365,0)</x:f>
        <x:v>0</x:v>
      </x:c>
      <x:c r="AP103" s="27" t="n">
        <x:f>MAX((P103-M103)/365,10/Parameters!$B$6)</x:f>
        <x:v>6.208219178082191</x:v>
      </x:c>
      <x:c r="AQ103" s="27" t="n">
        <x:f>IF(AP103&lt;=AO103,AO103+10/Parameters!$B$6,AP103)</x:f>
        <x:v>6.208219178082191</x:v>
      </x:c>
      <x:c r="AR103" s="41" t="n">
        <x:f>IF(OR(E103="Interest Rate",E103="Credit"),(EXP(-Parameters!$B$7*AO103)-EXP(-Parameters!$B$7*AQ103))/Parameters!$B$7,1)</x:f>
        <x:v>5.337087968132749</x:v>
      </x:c>
      <x:c r="AS103" s="40" t="n">
        <x:f>IF(OR(E103="Interest Rate",E103="Credit"),ABS(Q103)*AR103,IF(E103="FX",IF(Q103&gt;0,Q103,MAX(ABS(R103),ABS(S103),ABS(Q103))),ABS(Q103)))</x:f>
        <x:v>2326970354.105879</x:v>
      </x:c>
      <x:c r="AT103" s="42" t="n">
        <x:f>IF(OR(E103="Interest Rate",E103="FX"),VLOOKUP(E103,Parameters!$M$4:$N$11,2,FALSE),IF(E103="Credit",VLOOKUP(IF(LOWER(K103)="index","Credit Index","Credit Single Name"),Parameters!$M$4:$N$11,2,FALSE),IF(E103="Equity",VLOOKUP(IF(LOWER(K103)="index","Equity Index","Equity Single Name"),Parameters!$M$4:$N$11,2,FALSE),IF(E103="Commodity",VLOOKUP(IF(F103="Electricity","Commodity Electricity","Commodity Other"),Parameters!$M$4:$N$11,2,FALSE),1))))</x:f>
        <x:v>0.5</x:v>
      </x:c>
      <x:c r="AU103" s="27" t="n">
        <x:f>IF(W103="B",1,-1)</x:f>
        <x:v>1</x:v>
      </x:c>
      <x:c r="AV103" s="27" t="n">
        <x:f>IF(OR(AA103="",M103=""),MAX(AE103,1/365),MAX((AA103-M103)/365,1/365))</x:f>
        <x:v>6.208219178082191</x:v>
      </x:c>
      <x:c r="AW103" s="41" t="str">
        <x:f>IF(OR(Z103&lt;=0,Y103&lt;=0,AT103&lt;=0,AV103&lt;=0),"",(LN(Z103/Y103)+0.5*AT103^2*AV103)/(AT103*SQRT(AV103)))</x:f>
      </x:c>
      <x:c r="AX103" s="41" t="n">
        <x:f>IF(AND(X103&lt;&gt;"C",X103&lt;&gt;"P"),AU103,IF(AW103="",AU103,IF(X103="C",AU103*0.5*(1+ERF(AW103/SQRT(2))),-AU103*0.5*(1+ERF(-AW103/SQRT(2))))))</x:f>
        <x:v>1</x:v>
      </x:c>
      <x:c r="AY103" s="41" t="n">
        <x:f>IF(AJ103="M",1.5*SQRT(MAX(IF(U103="Y",5,10),IF(V103="",10,V103))/Parameters!$B$6),SQRT(MIN(MAX(AE103,10/Parameters!$B$6),1)))</x:f>
        <x:v>1</x:v>
      </x:c>
      <x:c r="AZ103" s="40" t="n">
        <x:f>AS103*AX103*AY103</x:f>
        <x:v>2326970354.105879</x:v>
      </x:c>
      <x:c r="BA103" s="40" t="n">
        <x:f>'Python_Trade_Output'!AZ103</x:f>
        <x:v>2326970354.105879</x:v>
      </x:c>
      <x:c r="BB103" s="43" t="n">
        <x:f>AZ103-BA103</x:f>
        <x:v>0</x:v>
      </x:c>
    </x:row>
    <x:row r="104">
      <x:c r="A104" s="27" t="str">
        <x:f>'Inputs_Trades'!D104</x:f>
        <x:v>IND-000101</x:v>
      </x:c>
      <x:c r="B104" s="27" t="str">
        <x:f>'Inputs_Trades'!B104</x:f>
        <x:v>IND_ASSET_MANAGER_001</x:v>
      </x:c>
      <x:c r="C104" s="27" t="n">
        <x:f>'Inputs_Trades'!C104</x:f>
        <x:v>3050</x:v>
      </x:c>
      <x:c r="D104" s="27" t="str">
        <x:f>'Inputs_Trades'!E104</x:f>
        <x:v>Interest Rate Swap</x:v>
      </x:c>
      <x:c r="E104" s="27" t="str">
        <x:f>'Inputs_Trades'!F104</x:f>
        <x:v>Interest Rate</x:v>
      </x:c>
      <x:c r="F104" s="27" t="n">
        <x:f>'Inputs_Trades'!G104</x:f>
        <x:v>0</x:v>
      </x:c>
      <x:c r="G104" s="27" t="str">
        <x:f>'Inputs_Trades'!J104</x:f>
        <x:v>JPY</x:v>
      </x:c>
      <x:c r="H104" s="27" t="str">
        <x:f>'Inputs_Trades'!H104</x:f>
        <x:v>JPY</x:v>
      </x:c>
      <x:c r="I104" s="27" t="str">
        <x:f>'Inputs_Trades'!I104</x:f>
        <x:v>JPY</x:v>
      </x:c>
      <x:c r="J104" s="27" t="str">
        <x:f>'Inputs_Trades'!M104</x:f>
        <x:v>JPY</x:v>
      </x:c>
      <x:c r="K104" s="27" t="n">
        <x:f>'Inputs_Trades'!N104</x:f>
        <x:v>0</x:v>
      </x:c>
      <x:c r="L104" s="27" t="n">
        <x:f>'Inputs_Trades'!O104</x:f>
        <x:v>0</x:v>
      </x:c>
      <x:c r="M104" s="39" t="n">
        <x:f>'Inputs_Trades'!A104</x:f>
        <x:v>45702</x:v>
      </x:c>
      <x:c r="N104" s="39" t="n">
        <x:f>'Inputs_Trades'!P104</x:f>
        <x:v>46586</x:v>
      </x:c>
      <x:c r="O104" s="39" t="n">
        <x:f>'Inputs_Trades'!Q104</x:f>
        <x:v>45534</x:v>
      </x:c>
      <x:c r="P104" s="39" t="n">
        <x:f>'Inputs_Trades'!R104</x:f>
        <x:v>46586</x:v>
      </x:c>
      <x:c r="Q104" s="40" t="n">
        <x:f>'Inputs_Trades'!U104</x:f>
        <x:v>16200000</x:v>
      </x:c>
      <x:c r="R104" s="40" t="n">
        <x:f>'Inputs_Trades'!S104</x:f>
        <x:v>2417910447.76</x:v>
      </x:c>
      <x:c r="S104" s="40" t="n">
        <x:f>'Inputs_Trades'!T104</x:f>
        <x:v>2417910447.76</x:v>
      </x:c>
      <x:c r="T104" s="27" t="str">
        <x:f>'Inputs_Trades'!V104</x:f>
        <x:v>M</x:v>
      </x:c>
      <x:c r="U104" s="27" t="str">
        <x:f>'Inputs_Trades'!W104</x:f>
        <x:v>N</x:v>
      </x:c>
      <x:c r="V104" s="27" t="n">
        <x:f>'Inputs_Trades'!X104</x:f>
        <x:v>10</x:v>
      </x:c>
      <x:c r="W104" s="27" t="str">
        <x:f>'Inputs_Trades'!Y104</x:f>
        <x:v>S</x:v>
      </x:c>
      <x:c r="X104" s="27" t="n">
        <x:f>'Inputs_Trades'!AA104</x:f>
        <x:v>0</x:v>
      </x:c>
      <x:c r="Y104" s="27" t="n">
        <x:f>'Inputs_Trades'!AB104</x:f>
        <x:v>0</x:v>
      </x:c>
      <x:c r="Z104" s="27" t="n">
        <x:f>'Inputs_Trades'!AC104</x:f>
        <x:v>0</x:v>
      </x:c>
      <x:c r="AA104" s="39" t="n">
        <x:f>'Inputs_Trades'!Z104</x:f>
        <x:v>0</x:v>
      </x:c>
      <x:c r="AB104" s="40" t="n">
        <x:f>'Inputs_Trades'!AD104</x:f>
        <x:v>39366</x:v>
      </x:c>
      <x:c r="AC104" s="27" t="n">
        <x:f>'Inputs_Trades'!K104</x:f>
        <x:v>0</x:v>
      </x:c>
      <x:c r="AD104" s="27" t="n">
        <x:f>N104-M104</x:f>
        <x:v>884</x:v>
      </x:c>
      <x:c r="AE104" s="41" t="n">
        <x:f>AD104/365</x:f>
        <x:v>2.421917808219178</x:v>
      </x:c>
      <x:c r="AF104" s="27" t="str">
        <x:f>IF(AE104&lt;1,"&lt;1Y",IF(AE104&lt;=5,"1Y-5Y","&gt;5Y"))</x:f>
        <x:v>1Y-5Y</x:v>
      </x:c>
      <x:c r="AG104" s="27" t="str">
        <x:f>IF(E104="Commodity",IFERROR(VLOOKUP(F104,Parameters!$P$4:$Q$12,2,FALSE),"Other"),"")</x:f>
      </x:c>
      <x:c r="AH104" s="27" t="str">
        <x:f>IF(F104="","Unknown",F104)</x:f>
        <x:v>Unknown</x:v>
      </x:c>
      <x:c r="AI104" s="27" t="str">
        <x:f>IF(E104="Interest Rate",G104&amp;IF(OR(LOWER(AC104)="basis",LOWER(AC104)="volatility"),"_"&amp;AC104,""),IF(E104="FX",IF(H104&lt;I104,H104&amp;"/"&amp;I104,I104&amp;"/"&amp;H104)&amp;IF(OR(LOWER(AC104)="basis",LOWER(AC104)="volatility"),"_"&amp;AC104,""),IF(OR(E104="Credit",E104="Equity"),J104&amp;IF(OR(LOWER(AC104)="basis",LOWER(AC104)="volatility"),"_"&amp;AC104,""),IF(E104="Commodity",AG104&amp;IF(OR(LOWER(AC104)="basis",LOWER(AC104)="volatility"),"_"&amp;AC104,""),"UNKNOWN"))))</x:f>
        <x:v>JPY</x:v>
      </x:c>
      <x:c r="AJ104" s="27" t="str">
        <x:f>T104</x:f>
        <x:v>M</x:v>
      </x:c>
      <x:c r="AK104" s="41" t="n">
        <x:f>IF(E104="Interest Rate",VLOOKUP("Interest Rate",Parameters!$D$4:$E$12,2,FALSE),IF(E104="FX",VLOOKUP("FX",Parameters!$D$4:$E$12,2,FALSE),IF(E104="Credit",IFERROR(VLOOKUP(L104,Parameters!$G$4:$H$12,2,FALSE),VLOOKUP("BBB",Parameters!$G$4:$H$12,2,FALSE)),IF(E104="Equity",VLOOKUP(IF(LOWER(K104)="index","Equity Index","Equity Single Name"),Parameters!$D$4:$E$12,2,FALSE),IF(E104="Commodity",VLOOKUP(IFERROR(VLOOKUP(F104,Parameters!$S$4:$T$12,2,FALSE),"Commodity Other"),Parameters!$D$4:$E$12,2,FALSE),0)))))</x:f>
        <x:v>0.005</x:v>
      </x:c>
      <x:c r="AL104" s="42" t="n">
        <x:f>IF(LOWER(AC104)="basis",Parameters!$B$8,IF(LOWER(AC104)="volatility",Parameters!$B$9,1))</x:f>
        <x:v>1</x:v>
      </x:c>
      <x:c r="AM104" s="41" t="n">
        <x:f>AK104*AL104</x:f>
        <x:v>0.005</x:v>
      </x:c>
      <x:c r="AN104" s="42" t="str">
        <x:f>IF(E104="Credit",VLOOKUP(IF(LOWER(K104)="index","Credit Index","Credit Single Name"),Parameters!$J$4:$K$8,2,FALSE),IF(E104="Equity",VLOOKUP(IF(LOWER(K104)="index","Equity Index","Equity Single Name"),Parameters!$J$4:$K$8,2,FALSE),IF(E104="Commodity",VLOOKUP("Commodity",Parameters!$J$4:$K$8,2,FALSE),"")))</x:f>
      </x:c>
      <x:c r="AO104" s="27" t="n">
        <x:f>MAX((O104-M104)/365,0)</x:f>
        <x:v>0</x:v>
      </x:c>
      <x:c r="AP104" s="27" t="n">
        <x:f>MAX((P104-M104)/365,10/Parameters!$B$6)</x:f>
        <x:v>2.421917808219178</x:v>
      </x:c>
      <x:c r="AQ104" s="27" t="n">
        <x:f>IF(AP104&lt;=AO104,AO104+10/Parameters!$B$6,AP104)</x:f>
        <x:v>2.421917808219178</x:v>
      </x:c>
      <x:c r="AR104" s="41" t="n">
        <x:f>IF(OR(E104="Interest Rate",E104="Credit"),(EXP(-Parameters!$B$7*AO104)-EXP(-Parameters!$B$7*AQ104))/Parameters!$B$7,1)</x:f>
        <x:v>2.2810199698847056</x:v>
      </x:c>
      <x:c r="AS104" s="40" t="n">
        <x:f>IF(OR(E104="Interest Rate",E104="Credit"),ABS(Q104)*AR104,IF(E104="FX",IF(Q104&gt;0,Q104,MAX(ABS(R104),ABS(S104),ABS(Q104))),ABS(Q104)))</x:f>
        <x:v>36952523.51213223</x:v>
      </x:c>
      <x:c r="AT104" s="42" t="n">
        <x:f>IF(OR(E104="Interest Rate",E104="FX"),VLOOKUP(E104,Parameters!$M$4:$N$11,2,FALSE),IF(E104="Credit",VLOOKUP(IF(LOWER(K104)="index","Credit Index","Credit Single Name"),Parameters!$M$4:$N$11,2,FALSE),IF(E104="Equity",VLOOKUP(IF(LOWER(K104)="index","Equity Index","Equity Single Name"),Parameters!$M$4:$N$11,2,FALSE),IF(E104="Commodity",VLOOKUP(IF(F104="Electricity","Commodity Electricity","Commodity Other"),Parameters!$M$4:$N$11,2,FALSE),1))))</x:f>
        <x:v>0.5</x:v>
      </x:c>
      <x:c r="AU104" s="27" t="n">
        <x:f>IF(W104="B",1,-1)</x:f>
        <x:v>-1</x:v>
      </x:c>
      <x:c r="AV104" s="27" t="n">
        <x:f>IF(OR(AA104="",M104=""),MAX(AE104,1/365),MAX((AA104-M104)/365,1/365))</x:f>
        <x:v>2.421917808219178</x:v>
      </x:c>
      <x:c r="AW104" s="41" t="str">
        <x:f>IF(OR(Z104&lt;=0,Y104&lt;=0,AT104&lt;=0,AV104&lt;=0),"",(LN(Z104/Y104)+0.5*AT104^2*AV104)/(AT104*SQRT(AV104)))</x:f>
      </x:c>
      <x:c r="AX104" s="41" t="n">
        <x:f>IF(AND(X104&lt;&gt;"C",X104&lt;&gt;"P"),AU104,IF(AW104="",AU104,IF(X104="C",AU104*0.5*(1+ERF(AW104/SQRT(2))),-AU104*0.5*(1+ERF(-AW104/SQRT(2))))))</x:f>
        <x:v>-1</x:v>
      </x:c>
      <x:c r="AY104" s="41" t="n">
        <x:f>IF(AJ104="M",1.5*SQRT(MAX(IF(U104="Y",5,10),IF(V104="",10,V104))/Parameters!$B$6),SQRT(MIN(MAX(AE104,10/Parameters!$B$6),1)))</x:f>
        <x:v>0.30000000000000004</x:v>
      </x:c>
      <x:c r="AZ104" s="40" t="n">
        <x:f>AS104*AX104*AY104</x:f>
        <x:v>-11085757.053639669</x:v>
      </x:c>
      <x:c r="BA104" s="40" t="n">
        <x:f>'Python_Trade_Output'!AZ104</x:f>
        <x:v>-11085757.053639669</x:v>
      </x:c>
      <x:c r="BB104" s="43" t="n">
        <x:f>AZ104-BA104</x:f>
        <x:v>0</x:v>
      </x:c>
    </x:row>
    <x:row r="105">
      <x:c r="A105" s="27" t="str">
        <x:f>'Inputs_Trades'!D105</x:f>
        <x:v>IND-000102</x:v>
      </x:c>
      <x:c r="B105" s="27" t="str">
        <x:f>'Inputs_Trades'!B105</x:f>
        <x:v>IND_BANK_001</x:v>
      </x:c>
      <x:c r="C105" s="27" t="n">
        <x:f>'Inputs_Trades'!C105</x:f>
        <x:v>3219</x:v>
      </x:c>
      <x:c r="D105" s="27" t="str">
        <x:f>'Inputs_Trades'!E105</x:f>
        <x:v>Interest Rate Swap</x:v>
      </x:c>
      <x:c r="E105" s="27" t="str">
        <x:f>'Inputs_Trades'!F105</x:f>
        <x:v>Interest Rate</x:v>
      </x:c>
      <x:c r="F105" s="27" t="n">
        <x:f>'Inputs_Trades'!G105</x:f>
        <x:v>0</x:v>
      </x:c>
      <x:c r="G105" s="27" t="str">
        <x:f>'Inputs_Trades'!J105</x:f>
        <x:v>CNY</x:v>
      </x:c>
      <x:c r="H105" s="27" t="str">
        <x:f>'Inputs_Trades'!H105</x:f>
        <x:v>CNY</x:v>
      </x:c>
      <x:c r="I105" s="27" t="str">
        <x:f>'Inputs_Trades'!I105</x:f>
        <x:v>CNY</x:v>
      </x:c>
      <x:c r="J105" s="27" t="str">
        <x:f>'Inputs_Trades'!M105</x:f>
        <x:v>CNY</x:v>
      </x:c>
      <x:c r="K105" s="27" t="n">
        <x:f>'Inputs_Trades'!N105</x:f>
        <x:v>0</x:v>
      </x:c>
      <x:c r="L105" s="27" t="n">
        <x:f>'Inputs_Trades'!O105</x:f>
        <x:v>0</x:v>
      </x:c>
      <x:c r="M105" s="39" t="n">
        <x:f>'Inputs_Trades'!A105</x:f>
        <x:v>45702</x:v>
      </x:c>
      <x:c r="N105" s="39" t="n">
        <x:f>'Inputs_Trades'!P105</x:f>
        <x:v>47159</x:v>
      </x:c>
      <x:c r="O105" s="39" t="n">
        <x:f>'Inputs_Trades'!Q105</x:f>
        <x:v>44923</x:v>
      </x:c>
      <x:c r="P105" s="39" t="n">
        <x:f>'Inputs_Trades'!R105</x:f>
        <x:v>47159</x:v>
      </x:c>
      <x:c r="Q105" s="40" t="n">
        <x:f>'Inputs_Trades'!U105</x:f>
        <x:v>1799000000</x:v>
      </x:c>
      <x:c r="R105" s="40" t="n">
        <x:f>'Inputs_Trades'!S105</x:f>
        <x:v>12850000000</x:v>
      </x:c>
      <x:c r="S105" s="40" t="n">
        <x:f>'Inputs_Trades'!T105</x:f>
        <x:v>12850000000</x:v>
      </x:c>
      <x:c r="T105" s="27" t="str">
        <x:f>'Inputs_Trades'!V105</x:f>
        <x:v>M</x:v>
      </x:c>
      <x:c r="U105" s="27" t="str">
        <x:f>'Inputs_Trades'!W105</x:f>
        <x:v>N</x:v>
      </x:c>
      <x:c r="V105" s="27" t="n">
        <x:f>'Inputs_Trades'!X105</x:f>
        <x:v>10</x:v>
      </x:c>
      <x:c r="W105" s="27" t="str">
        <x:f>'Inputs_Trades'!Y105</x:f>
        <x:v>S</x:v>
      </x:c>
      <x:c r="X105" s="27" t="n">
        <x:f>'Inputs_Trades'!AA105</x:f>
        <x:v>0</x:v>
      </x:c>
      <x:c r="Y105" s="27" t="n">
        <x:f>'Inputs_Trades'!AB105</x:f>
        <x:v>0</x:v>
      </x:c>
      <x:c r="Z105" s="27" t="n">
        <x:f>'Inputs_Trades'!AC105</x:f>
        <x:v>0</x:v>
      </x:c>
      <x:c r="AA105" s="39" t="n">
        <x:f>'Inputs_Trades'!Z105</x:f>
        <x:v>0</x:v>
      </x:c>
      <x:c r="AB105" s="40" t="n">
        <x:f>'Inputs_Trades'!AD105</x:f>
        <x:v>5170326</x:v>
      </x:c>
      <x:c r="AC105" s="27" t="n">
        <x:f>'Inputs_Trades'!K105</x:f>
        <x:v>0</x:v>
      </x:c>
      <x:c r="AD105" s="27" t="n">
        <x:f>N105-M105</x:f>
        <x:v>1457</x:v>
      </x:c>
      <x:c r="AE105" s="41" t="n">
        <x:f>AD105/365</x:f>
        <x:v>3.9917808219178084</x:v>
      </x:c>
      <x:c r="AF105" s="27" t="str">
        <x:f>IF(AE105&lt;1,"&lt;1Y",IF(AE105&lt;=5,"1Y-5Y","&gt;5Y"))</x:f>
        <x:v>1Y-5Y</x:v>
      </x:c>
      <x:c r="AG105" s="27" t="str">
        <x:f>IF(E105="Commodity",IFERROR(VLOOKUP(F105,Parameters!$P$4:$Q$12,2,FALSE),"Other"),"")</x:f>
      </x:c>
      <x:c r="AH105" s="27" t="str">
        <x:f>IF(F105="","Unknown",F105)</x:f>
        <x:v>Unknown</x:v>
      </x:c>
      <x:c r="AI105" s="27" t="str">
        <x:f>IF(E105="Interest Rate",G105&amp;IF(OR(LOWER(AC105)="basis",LOWER(AC105)="volatility"),"_"&amp;AC105,""),IF(E105="FX",IF(H105&lt;I105,H105&amp;"/"&amp;I105,I105&amp;"/"&amp;H105)&amp;IF(OR(LOWER(AC105)="basis",LOWER(AC105)="volatility"),"_"&amp;AC105,""),IF(OR(E105="Credit",E105="Equity"),J105&amp;IF(OR(LOWER(AC105)="basis",LOWER(AC105)="volatility"),"_"&amp;AC105,""),IF(E105="Commodity",AG105&amp;IF(OR(LOWER(AC105)="basis",LOWER(AC105)="volatility"),"_"&amp;AC105,""),"UNKNOWN"))))</x:f>
        <x:v>CNY</x:v>
      </x:c>
      <x:c r="AJ105" s="27" t="str">
        <x:f>T105</x:f>
        <x:v>M</x:v>
      </x:c>
      <x:c r="AK105" s="41" t="n">
        <x:f>IF(E105="Interest Rate",VLOOKUP("Interest Rate",Parameters!$D$4:$E$12,2,FALSE),IF(E105="FX",VLOOKUP("FX",Parameters!$D$4:$E$12,2,FALSE),IF(E105="Credit",IFERROR(VLOOKUP(L105,Parameters!$G$4:$H$12,2,FALSE),VLOOKUP("BBB",Parameters!$G$4:$H$12,2,FALSE)),IF(E105="Equity",VLOOKUP(IF(LOWER(K105)="index","Equity Index","Equity Single Name"),Parameters!$D$4:$E$12,2,FALSE),IF(E105="Commodity",VLOOKUP(IFERROR(VLOOKUP(F105,Parameters!$S$4:$T$12,2,FALSE),"Commodity Other"),Parameters!$D$4:$E$12,2,FALSE),0)))))</x:f>
        <x:v>0.005</x:v>
      </x:c>
      <x:c r="AL105" s="42" t="n">
        <x:f>IF(LOWER(AC105)="basis",Parameters!$B$8,IF(LOWER(AC105)="volatility",Parameters!$B$9,1))</x:f>
        <x:v>1</x:v>
      </x:c>
      <x:c r="AM105" s="41" t="n">
        <x:f>AK105*AL105</x:f>
        <x:v>0.005</x:v>
      </x:c>
      <x:c r="AN105" s="42" t="str">
        <x:f>IF(E105="Credit",VLOOKUP(IF(LOWER(K105)="index","Credit Index","Credit Single Name"),Parameters!$J$4:$K$8,2,FALSE),IF(E105="Equity",VLOOKUP(IF(LOWER(K105)="index","Equity Index","Equity Single Name"),Parameters!$J$4:$K$8,2,FALSE),IF(E105="Commodity",VLOOKUP("Commodity",Parameters!$J$4:$K$8,2,FALSE),"")))</x:f>
      </x:c>
      <x:c r="AO105" s="27" t="n">
        <x:f>MAX((O105-M105)/365,0)</x:f>
        <x:v>0</x:v>
      </x:c>
      <x:c r="AP105" s="27" t="n">
        <x:f>MAX((P105-M105)/365,10/Parameters!$B$6)</x:f>
        <x:v>3.9917808219178084</x:v>
      </x:c>
      <x:c r="AQ105" s="27" t="n">
        <x:f>IF(AP105&lt;=AO105,AO105+10/Parameters!$B$6,AP105)</x:f>
        <x:v>3.9917808219178084</x:v>
      </x:c>
      <x:c r="AR105" s="41" t="n">
        <x:f>IF(OR(E105="Interest Rate",E105="Credit"),(EXP(-Parameters!$B$7*AO105)-EXP(-Parameters!$B$7*AQ105))/Parameters!$B$7,1)</x:f>
        <x:v>3.6186542616583983</x:v>
      </x:c>
      <x:c r="AS105" s="40" t="n">
        <x:f>IF(OR(E105="Interest Rate",E105="Credit"),ABS(Q105)*AR105,IF(E105="FX",IF(Q105&gt;0,Q105,MAX(ABS(R105),ABS(S105),ABS(Q105))),ABS(Q105)))</x:f>
        <x:v>6509959016.723458</x:v>
      </x:c>
      <x:c r="AT105" s="42" t="n">
        <x:f>IF(OR(E105="Interest Rate",E105="FX"),VLOOKUP(E105,Parameters!$M$4:$N$11,2,FALSE),IF(E105="Credit",VLOOKUP(IF(LOWER(K105)="index","Credit Index","Credit Single Name"),Parameters!$M$4:$N$11,2,FALSE),IF(E105="Equity",VLOOKUP(IF(LOWER(K105)="index","Equity Index","Equity Single Name"),Parameters!$M$4:$N$11,2,FALSE),IF(E105="Commodity",VLOOKUP(IF(F105="Electricity","Commodity Electricity","Commodity Other"),Parameters!$M$4:$N$11,2,FALSE),1))))</x:f>
        <x:v>0.5</x:v>
      </x:c>
      <x:c r="AU105" s="27" t="n">
        <x:f>IF(W105="B",1,-1)</x:f>
        <x:v>-1</x:v>
      </x:c>
      <x:c r="AV105" s="27" t="n">
        <x:f>IF(OR(AA105="",M105=""),MAX(AE105,1/365),MAX((AA105-M105)/365,1/365))</x:f>
        <x:v>3.9917808219178084</x:v>
      </x:c>
      <x:c r="AW105" s="41" t="str">
        <x:f>IF(OR(Z105&lt;=0,Y105&lt;=0,AT105&lt;=0,AV105&lt;=0),"",(LN(Z105/Y105)+0.5*AT105^2*AV105)/(AT105*SQRT(AV105)))</x:f>
      </x:c>
      <x:c r="AX105" s="41" t="n">
        <x:f>IF(AND(X105&lt;&gt;"C",X105&lt;&gt;"P"),AU105,IF(AW105="",AU105,IF(X105="C",AU105*0.5*(1+ERF(AW105/SQRT(2))),-AU105*0.5*(1+ERF(-AW105/SQRT(2))))))</x:f>
        <x:v>-1</x:v>
      </x:c>
      <x:c r="AY105" s="41" t="n">
        <x:f>IF(AJ105="M",1.5*SQRT(MAX(IF(U105="Y",5,10),IF(V105="",10,V105))/Parameters!$B$6),SQRT(MIN(MAX(AE105,10/Parameters!$B$6),1)))</x:f>
        <x:v>0.30000000000000004</x:v>
      </x:c>
      <x:c r="AZ105" s="40" t="n">
        <x:f>AS105*AX105*AY105</x:f>
        <x:v>-1952987705.0170379</x:v>
      </x:c>
      <x:c r="BA105" s="40" t="n">
        <x:f>'Python_Trade_Output'!AZ105</x:f>
        <x:v>-1952987705.0170379</x:v>
      </x:c>
      <x:c r="BB105" s="43" t="n">
        <x:f>AZ105-BA105</x:f>
        <x:v>0</x:v>
      </x:c>
    </x:row>
    <x:row r="106">
      <x:c r="A106" s="27" t="str">
        <x:f>'Inputs_Trades'!D106</x:f>
        <x:v>IND-000103</x:v>
      </x:c>
      <x:c r="B106" s="27" t="str">
        <x:f>'Inputs_Trades'!B106</x:f>
        <x:v>IND_REGIONAL_BANK_001</x:v>
      </x:c>
      <x:c r="C106" s="27" t="n">
        <x:f>'Inputs_Trades'!C106</x:f>
        <x:v>3315</x:v>
      </x:c>
      <x:c r="D106" s="27" t="str">
        <x:f>'Inputs_Trades'!E106</x:f>
        <x:v>Interest Rate Swap</x:v>
      </x:c>
      <x:c r="E106" s="27" t="str">
        <x:f>'Inputs_Trades'!F106</x:f>
        <x:v>Interest Rate</x:v>
      </x:c>
      <x:c r="F106" s="27" t="n">
        <x:f>'Inputs_Trades'!G106</x:f>
        <x:v>0</x:v>
      </x:c>
      <x:c r="G106" s="27" t="str">
        <x:f>'Inputs_Trades'!J106</x:f>
        <x:v>JPY</x:v>
      </x:c>
      <x:c r="H106" s="27" t="str">
        <x:f>'Inputs_Trades'!H106</x:f>
        <x:v>JPY</x:v>
      </x:c>
      <x:c r="I106" s="27" t="str">
        <x:f>'Inputs_Trades'!I106</x:f>
        <x:v>JPY</x:v>
      </x:c>
      <x:c r="J106" s="27" t="str">
        <x:f>'Inputs_Trades'!M106</x:f>
        <x:v>JPY</x:v>
      </x:c>
      <x:c r="K106" s="27" t="n">
        <x:f>'Inputs_Trades'!N106</x:f>
        <x:v>0</x:v>
      </x:c>
      <x:c r="L106" s="27" t="n">
        <x:f>'Inputs_Trades'!O106</x:f>
        <x:v>0</x:v>
      </x:c>
      <x:c r="M106" s="39" t="n">
        <x:f>'Inputs_Trades'!A106</x:f>
        <x:v>45702</x:v>
      </x:c>
      <x:c r="N106" s="39" t="n">
        <x:f>'Inputs_Trades'!P106</x:f>
        <x:v>46445</x:v>
      </x:c>
      <x:c r="O106" s="39" t="n">
        <x:f>'Inputs_Trades'!Q106</x:f>
        <x:v>45309</x:v>
      </x:c>
      <x:c r="P106" s="39" t="n">
        <x:f>'Inputs_Trades'!R106</x:f>
        <x:v>46445</x:v>
      </x:c>
      <x:c r="Q106" s="40" t="n">
        <x:f>'Inputs_Trades'!U106</x:f>
        <x:v>205000000</x:v>
      </x:c>
      <x:c r="R106" s="40" t="n">
        <x:f>'Inputs_Trades'!S106</x:f>
        <x:v>30597014925.37</x:v>
      </x:c>
      <x:c r="S106" s="40" t="n">
        <x:f>'Inputs_Trades'!T106</x:f>
        <x:v>30597014925.37</x:v>
      </x:c>
      <x:c r="T106" s="27" t="str">
        <x:f>'Inputs_Trades'!V106</x:f>
        <x:v>M</x:v>
      </x:c>
      <x:c r="U106" s="27" t="str">
        <x:f>'Inputs_Trades'!W106</x:f>
        <x:v>Y</x:v>
      </x:c>
      <x:c r="V106" s="27" t="n">
        <x:f>'Inputs_Trades'!X106</x:f>
        <x:v>5</x:v>
      </x:c>
      <x:c r="W106" s="27" t="str">
        <x:f>'Inputs_Trades'!Y106</x:f>
        <x:v>S</x:v>
      </x:c>
      <x:c r="X106" s="27" t="n">
        <x:f>'Inputs_Trades'!AA106</x:f>
        <x:v>0</x:v>
      </x:c>
      <x:c r="Y106" s="27" t="n">
        <x:f>'Inputs_Trades'!AB106</x:f>
        <x:v>0</x:v>
      </x:c>
      <x:c r="Z106" s="27" t="n">
        <x:f>'Inputs_Trades'!AC106</x:f>
        <x:v>0</x:v>
      </x:c>
      <x:c r="AA106" s="39" t="n">
        <x:f>'Inputs_Trades'!Z106</x:f>
        <x:v>0</x:v>
      </x:c>
      <x:c r="AB106" s="40" t="n">
        <x:f>'Inputs_Trades'!AD106</x:f>
        <x:v>28290</x:v>
      </x:c>
      <x:c r="AC106" s="27" t="n">
        <x:f>'Inputs_Trades'!K106</x:f>
        <x:v>0</x:v>
      </x:c>
      <x:c r="AD106" s="27" t="n">
        <x:f>N106-M106</x:f>
        <x:v>743</x:v>
      </x:c>
      <x:c r="AE106" s="41" t="n">
        <x:f>AD106/365</x:f>
        <x:v>2.0356164383561643</x:v>
      </x:c>
      <x:c r="AF106" s="27" t="str">
        <x:f>IF(AE106&lt;1,"&lt;1Y",IF(AE106&lt;=5,"1Y-5Y","&gt;5Y"))</x:f>
        <x:v>1Y-5Y</x:v>
      </x:c>
      <x:c r="AG106" s="27" t="str">
        <x:f>IF(E106="Commodity",IFERROR(VLOOKUP(F106,Parameters!$P$4:$Q$12,2,FALSE),"Other"),"")</x:f>
      </x:c>
      <x:c r="AH106" s="27" t="str">
        <x:f>IF(F106="","Unknown",F106)</x:f>
        <x:v>Unknown</x:v>
      </x:c>
      <x:c r="AI106" s="27" t="str">
        <x:f>IF(E106="Interest Rate",G106&amp;IF(OR(LOWER(AC106)="basis",LOWER(AC106)="volatility"),"_"&amp;AC106,""),IF(E106="FX",IF(H106&lt;I106,H106&amp;"/"&amp;I106,I106&amp;"/"&amp;H106)&amp;IF(OR(LOWER(AC106)="basis",LOWER(AC106)="volatility"),"_"&amp;AC106,""),IF(OR(E106="Credit",E106="Equity"),J106&amp;IF(OR(LOWER(AC106)="basis",LOWER(AC106)="volatility"),"_"&amp;AC106,""),IF(E106="Commodity",AG106&amp;IF(OR(LOWER(AC106)="basis",LOWER(AC106)="volatility"),"_"&amp;AC106,""),"UNKNOWN"))))</x:f>
        <x:v>JPY</x:v>
      </x:c>
      <x:c r="AJ106" s="27" t="str">
        <x:f>T106</x:f>
        <x:v>M</x:v>
      </x:c>
      <x:c r="AK106" s="41" t="n">
        <x:f>IF(E106="Interest Rate",VLOOKUP("Interest Rate",Parameters!$D$4:$E$12,2,FALSE),IF(E106="FX",VLOOKUP("FX",Parameters!$D$4:$E$12,2,FALSE),IF(E106="Credit",IFERROR(VLOOKUP(L106,Parameters!$G$4:$H$12,2,FALSE),VLOOKUP("BBB",Parameters!$G$4:$H$12,2,FALSE)),IF(E106="Equity",VLOOKUP(IF(LOWER(K106)="index","Equity Index","Equity Single Name"),Parameters!$D$4:$E$12,2,FALSE),IF(E106="Commodity",VLOOKUP(IFERROR(VLOOKUP(F106,Parameters!$S$4:$T$12,2,FALSE),"Commodity Other"),Parameters!$D$4:$E$12,2,FALSE),0)))))</x:f>
        <x:v>0.005</x:v>
      </x:c>
      <x:c r="AL106" s="42" t="n">
        <x:f>IF(LOWER(AC106)="basis",Parameters!$B$8,IF(LOWER(AC106)="volatility",Parameters!$B$9,1))</x:f>
        <x:v>1</x:v>
      </x:c>
      <x:c r="AM106" s="41" t="n">
        <x:f>AK106*AL106</x:f>
        <x:v>0.005</x:v>
      </x:c>
      <x:c r="AN106" s="42" t="str">
        <x:f>IF(E106="Credit",VLOOKUP(IF(LOWER(K106)="index","Credit Index","Credit Single Name"),Parameters!$J$4:$K$8,2,FALSE),IF(E106="Equity",VLOOKUP(IF(LOWER(K106)="index","Equity Index","Equity Single Name"),Parameters!$J$4:$K$8,2,FALSE),IF(E106="Commodity",VLOOKUP("Commodity",Parameters!$J$4:$K$8,2,FALSE),"")))</x:f>
      </x:c>
      <x:c r="AO106" s="27" t="n">
        <x:f>MAX((O106-M106)/365,0)</x:f>
        <x:v>0</x:v>
      </x:c>
      <x:c r="AP106" s="27" t="n">
        <x:f>MAX((P106-M106)/365,10/Parameters!$B$6)</x:f>
        <x:v>2.0356164383561643</x:v>
      </x:c>
      <x:c r="AQ106" s="27" t="n">
        <x:f>IF(AP106&lt;=AO106,AO106+10/Parameters!$B$6,AP106)</x:f>
        <x:v>2.0356164383561643</x:v>
      </x:c>
      <x:c r="AR106" s="41" t="n">
        <x:f>IF(OR(E106="Interest Rate",E106="Credit"),(EXP(-Parameters!$B$7*AO106)-EXP(-Parameters!$B$7*AQ106))/Parameters!$B$7,1)</x:f>
        <x:v>1.935450047078171</x:v>
      </x:c>
      <x:c r="AS106" s="40" t="n">
        <x:f>IF(OR(E106="Interest Rate",E106="Credit"),ABS(Q106)*AR106,IF(E106="FX",IF(Q106&gt;0,Q106,MAX(ABS(R106),ABS(S106),ABS(Q106))),ABS(Q106)))</x:f>
        <x:v>396767259.65102506</x:v>
      </x:c>
      <x:c r="AT106" s="42" t="n">
        <x:f>IF(OR(E106="Interest Rate",E106="FX"),VLOOKUP(E106,Parameters!$M$4:$N$11,2,FALSE),IF(E106="Credit",VLOOKUP(IF(LOWER(K106)="index","Credit Index","Credit Single Name"),Parameters!$M$4:$N$11,2,FALSE),IF(E106="Equity",VLOOKUP(IF(LOWER(K106)="index","Equity Index","Equity Single Name"),Parameters!$M$4:$N$11,2,FALSE),IF(E106="Commodity",VLOOKUP(IF(F106="Electricity","Commodity Electricity","Commodity Other"),Parameters!$M$4:$N$11,2,FALSE),1))))</x:f>
        <x:v>0.5</x:v>
      </x:c>
      <x:c r="AU106" s="27" t="n">
        <x:f>IF(W106="B",1,-1)</x:f>
        <x:v>-1</x:v>
      </x:c>
      <x:c r="AV106" s="27" t="n">
        <x:f>IF(OR(AA106="",M106=""),MAX(AE106,1/365),MAX((AA106-M106)/365,1/365))</x:f>
        <x:v>2.0356164383561643</x:v>
      </x:c>
      <x:c r="AW106" s="41" t="str">
        <x:f>IF(OR(Z106&lt;=0,Y106&lt;=0,AT106&lt;=0,AV106&lt;=0),"",(LN(Z106/Y106)+0.5*AT106^2*AV106)/(AT106*SQRT(AV106)))</x:f>
      </x:c>
      <x:c r="AX106" s="41" t="n">
        <x:f>IF(AND(X106&lt;&gt;"C",X106&lt;&gt;"P"),AU106,IF(AW106="",AU106,IF(X106="C",AU106*0.5*(1+ERF(AW106/SQRT(2))),-AU106*0.5*(1+ERF(-AW106/SQRT(2))))))</x:f>
        <x:v>-1</x:v>
      </x:c>
      <x:c r="AY106" s="41" t="n">
        <x:f>IF(AJ106="M",1.5*SQRT(MAX(IF(U106="Y",5,10),IF(V106="",10,V106))/Parameters!$B$6),SQRT(MIN(MAX(AE106,10/Parameters!$B$6),1)))</x:f>
        <x:v>0.21213203435596426</x:v>
      </x:c>
      <x:c r="AZ106" s="40" t="n">
        <x:f>AS106*AX106*AY106</x:f>
        <x:v>-84167045.95561303</x:v>
      </x:c>
      <x:c r="BA106" s="40" t="n">
        <x:f>'Python_Trade_Output'!AZ106</x:f>
        <x:v>-84167045.95561294</x:v>
      </x:c>
      <x:c r="BB106" s="43" t="n">
        <x:f>AZ106-BA106</x:f>
        <x:v>-8.940696716308594e-8</x:v>
      </x:c>
    </x:row>
    <x:row r="107">
      <x:c r="A107" s="27" t="str">
        <x:f>'Inputs_Trades'!D107</x:f>
        <x:v>IND-000104</x:v>
      </x:c>
      <x:c r="B107" s="27" t="str">
        <x:f>'Inputs_Trades'!B107</x:f>
        <x:v>IND_INSURER_001</x:v>
      </x:c>
      <x:c r="C107" s="27" t="n">
        <x:f>'Inputs_Trades'!C107</x:f>
        <x:v>3297</x:v>
      </x:c>
      <x:c r="D107" s="27" t="str">
        <x:f>'Inputs_Trades'!E107</x:f>
        <x:v>Interest Rate Swap</x:v>
      </x:c>
      <x:c r="E107" s="27" t="str">
        <x:f>'Inputs_Trades'!F107</x:f>
        <x:v>Interest Rate</x:v>
      </x:c>
      <x:c r="F107" s="27" t="n">
        <x:f>'Inputs_Trades'!G107</x:f>
        <x:v>0</x:v>
      </x:c>
      <x:c r="G107" s="27" t="str">
        <x:f>'Inputs_Trades'!J107</x:f>
        <x:v>JPY</x:v>
      </x:c>
      <x:c r="H107" s="27" t="str">
        <x:f>'Inputs_Trades'!H107</x:f>
        <x:v>JPY</x:v>
      </x:c>
      <x:c r="I107" s="27" t="str">
        <x:f>'Inputs_Trades'!I107</x:f>
        <x:v>JPY</x:v>
      </x:c>
      <x:c r="J107" s="27" t="str">
        <x:f>'Inputs_Trades'!M107</x:f>
        <x:v>JPY</x:v>
      </x:c>
      <x:c r="K107" s="27" t="n">
        <x:f>'Inputs_Trades'!N107</x:f>
        <x:v>0</x:v>
      </x:c>
      <x:c r="L107" s="27" t="n">
        <x:f>'Inputs_Trades'!O107</x:f>
        <x:v>0</x:v>
      </x:c>
      <x:c r="M107" s="39" t="n">
        <x:f>'Inputs_Trades'!A107</x:f>
        <x:v>45702</x:v>
      </x:c>
      <x:c r="N107" s="39" t="n">
        <x:f>'Inputs_Trades'!P107</x:f>
        <x:v>49211</x:v>
      </x:c>
      <x:c r="O107" s="39" t="n">
        <x:f>'Inputs_Trades'!Q107</x:f>
        <x:v>45567</x:v>
      </x:c>
      <x:c r="P107" s="39" t="n">
        <x:f>'Inputs_Trades'!R107</x:f>
        <x:v>49211</x:v>
      </x:c>
      <x:c r="Q107" s="40" t="n">
        <x:f>'Inputs_Trades'!U107</x:f>
        <x:v>1130000000</x:v>
      </x:c>
      <x:c r="R107" s="40" t="n">
        <x:f>'Inputs_Trades'!S107</x:f>
        <x:v>168656716417.91</x:v>
      </x:c>
      <x:c r="S107" s="40" t="n">
        <x:f>'Inputs_Trades'!T107</x:f>
        <x:v>168656716417.91</x:v>
      </x:c>
      <x:c r="T107" s="27" t="str">
        <x:f>'Inputs_Trades'!V107</x:f>
        <x:v>M</x:v>
      </x:c>
      <x:c r="U107" s="27" t="str">
        <x:f>'Inputs_Trades'!W107</x:f>
        <x:v>N</x:v>
      </x:c>
      <x:c r="V107" s="27" t="n">
        <x:f>'Inputs_Trades'!X107</x:f>
        <x:v>10</x:v>
      </x:c>
      <x:c r="W107" s="27" t="str">
        <x:f>'Inputs_Trades'!Y107</x:f>
        <x:v>B</x:v>
      </x:c>
      <x:c r="X107" s="27" t="n">
        <x:f>'Inputs_Trades'!AA107</x:f>
        <x:v>0</x:v>
      </x:c>
      <x:c r="Y107" s="27" t="n">
        <x:f>'Inputs_Trades'!AB107</x:f>
        <x:v>0</x:v>
      </x:c>
      <x:c r="Z107" s="27" t="n">
        <x:f>'Inputs_Trades'!AC107</x:f>
        <x:v>0</x:v>
      </x:c>
      <x:c r="AA107" s="39" t="n">
        <x:f>'Inputs_Trades'!Z107</x:f>
        <x:v>0</x:v>
      </x:c>
      <x:c r="AB107" s="40" t="n">
        <x:f>'Inputs_Trades'!AD107</x:f>
        <x:v>-4976520</x:v>
      </x:c>
      <x:c r="AC107" s="27" t="n">
        <x:f>'Inputs_Trades'!K107</x:f>
        <x:v>0</x:v>
      </x:c>
      <x:c r="AD107" s="27" t="n">
        <x:f>N107-M107</x:f>
        <x:v>3509</x:v>
      </x:c>
      <x:c r="AE107" s="41" t="n">
        <x:f>AD107/365</x:f>
        <x:v>9.613698630136986</x:v>
      </x:c>
      <x:c r="AF107" s="27" t="str">
        <x:f>IF(AE107&lt;1,"&lt;1Y",IF(AE107&lt;=5,"1Y-5Y","&gt;5Y"))</x:f>
        <x:v>&gt;5Y</x:v>
      </x:c>
      <x:c r="AG107" s="27" t="str">
        <x:f>IF(E107="Commodity",IFERROR(VLOOKUP(F107,Parameters!$P$4:$Q$12,2,FALSE),"Other"),"")</x:f>
      </x:c>
      <x:c r="AH107" s="27" t="str">
        <x:f>IF(F107="","Unknown",F107)</x:f>
        <x:v>Unknown</x:v>
      </x:c>
      <x:c r="AI107" s="27" t="str">
        <x:f>IF(E107="Interest Rate",G107&amp;IF(OR(LOWER(AC107)="basis",LOWER(AC107)="volatility"),"_"&amp;AC107,""),IF(E107="FX",IF(H107&lt;I107,H107&amp;"/"&amp;I107,I107&amp;"/"&amp;H107)&amp;IF(OR(LOWER(AC107)="basis",LOWER(AC107)="volatility"),"_"&amp;AC107,""),IF(OR(E107="Credit",E107="Equity"),J107&amp;IF(OR(LOWER(AC107)="basis",LOWER(AC107)="volatility"),"_"&amp;AC107,""),IF(E107="Commodity",AG107&amp;IF(OR(LOWER(AC107)="basis",LOWER(AC107)="volatility"),"_"&amp;AC107,""),"UNKNOWN"))))</x:f>
        <x:v>JPY</x:v>
      </x:c>
      <x:c r="AJ107" s="27" t="str">
        <x:f>T107</x:f>
        <x:v>M</x:v>
      </x:c>
      <x:c r="AK107" s="41" t="n">
        <x:f>IF(E107="Interest Rate",VLOOKUP("Interest Rate",Parameters!$D$4:$E$12,2,FALSE),IF(E107="FX",VLOOKUP("FX",Parameters!$D$4:$E$12,2,FALSE),IF(E107="Credit",IFERROR(VLOOKUP(L107,Parameters!$G$4:$H$12,2,FALSE),VLOOKUP("BBB",Parameters!$G$4:$H$12,2,FALSE)),IF(E107="Equity",VLOOKUP(IF(LOWER(K107)="index","Equity Index","Equity Single Name"),Parameters!$D$4:$E$12,2,FALSE),IF(E107="Commodity",VLOOKUP(IFERROR(VLOOKUP(F107,Parameters!$S$4:$T$12,2,FALSE),"Commodity Other"),Parameters!$D$4:$E$12,2,FALSE),0)))))</x:f>
        <x:v>0.005</x:v>
      </x:c>
      <x:c r="AL107" s="42" t="n">
        <x:f>IF(LOWER(AC107)="basis",Parameters!$B$8,IF(LOWER(AC107)="volatility",Parameters!$B$9,1))</x:f>
        <x:v>1</x:v>
      </x:c>
      <x:c r="AM107" s="41" t="n">
        <x:f>AK107*AL107</x:f>
        <x:v>0.005</x:v>
      </x:c>
      <x:c r="AN107" s="42" t="str">
        <x:f>IF(E107="Credit",VLOOKUP(IF(LOWER(K107)="index","Credit Index","Credit Single Name"),Parameters!$J$4:$K$8,2,FALSE),IF(E107="Equity",VLOOKUP(IF(LOWER(K107)="index","Equity Index","Equity Single Name"),Parameters!$J$4:$K$8,2,FALSE),IF(E107="Commodity",VLOOKUP("Commodity",Parameters!$J$4:$K$8,2,FALSE),"")))</x:f>
      </x:c>
      <x:c r="AO107" s="27" t="n">
        <x:f>MAX((O107-M107)/365,0)</x:f>
        <x:v>0</x:v>
      </x:c>
      <x:c r="AP107" s="27" t="n">
        <x:f>MAX((P107-M107)/365,10/Parameters!$B$6)</x:f>
        <x:v>9.613698630136986</x:v>
      </x:c>
      <x:c r="AQ107" s="27" t="n">
        <x:f>IF(AP107&lt;=AO107,AO107+10/Parameters!$B$6,AP107)</x:f>
        <x:v>9.613698630136986</x:v>
      </x:c>
      <x:c r="AR107" s="41" t="n">
        <x:f>IF(OR(E107="Interest Rate",E107="Credit"),(EXP(-Parameters!$B$7*AO107)-EXP(-Parameters!$B$7*AQ107))/Parameters!$B$7,1)</x:f>
        <x:v>7.632805746453335</x:v>
      </x:c>
      <x:c r="AS107" s="40" t="n">
        <x:f>IF(OR(E107="Interest Rate",E107="Credit"),ABS(Q107)*AR107,IF(E107="FX",IF(Q107&gt;0,Q107,MAX(ABS(R107),ABS(S107),ABS(Q107))),ABS(Q107)))</x:f>
        <x:v>8625070493.492268</x:v>
      </x:c>
      <x:c r="AT107" s="42" t="n">
        <x:f>IF(OR(E107="Interest Rate",E107="FX"),VLOOKUP(E107,Parameters!$M$4:$N$11,2,FALSE),IF(E107="Credit",VLOOKUP(IF(LOWER(K107)="index","Credit Index","Credit Single Name"),Parameters!$M$4:$N$11,2,FALSE),IF(E107="Equity",VLOOKUP(IF(LOWER(K107)="index","Equity Index","Equity Single Name"),Parameters!$M$4:$N$11,2,FALSE),IF(E107="Commodity",VLOOKUP(IF(F107="Electricity","Commodity Electricity","Commodity Other"),Parameters!$M$4:$N$11,2,FALSE),1))))</x:f>
        <x:v>0.5</x:v>
      </x:c>
      <x:c r="AU107" s="27" t="n">
        <x:f>IF(W107="B",1,-1)</x:f>
        <x:v>1</x:v>
      </x:c>
      <x:c r="AV107" s="27" t="n">
        <x:f>IF(OR(AA107="",M107=""),MAX(AE107,1/365),MAX((AA107-M107)/365,1/365))</x:f>
        <x:v>9.613698630136986</x:v>
      </x:c>
      <x:c r="AW107" s="41" t="str">
        <x:f>IF(OR(Z107&lt;=0,Y107&lt;=0,AT107&lt;=0,AV107&lt;=0),"",(LN(Z107/Y107)+0.5*AT107^2*AV107)/(AT107*SQRT(AV107)))</x:f>
      </x:c>
      <x:c r="AX107" s="41" t="n">
        <x:f>IF(AND(X107&lt;&gt;"C",X107&lt;&gt;"P"),AU107,IF(AW107="",AU107,IF(X107="C",AU107*0.5*(1+ERF(AW107/SQRT(2))),-AU107*0.5*(1+ERF(-AW107/SQRT(2))))))</x:f>
        <x:v>1</x:v>
      </x:c>
      <x:c r="AY107" s="41" t="n">
        <x:f>IF(AJ107="M",1.5*SQRT(MAX(IF(U107="Y",5,10),IF(V107="",10,V107))/Parameters!$B$6),SQRT(MIN(MAX(AE107,10/Parameters!$B$6),1)))</x:f>
        <x:v>0.30000000000000004</x:v>
      </x:c>
      <x:c r="AZ107" s="40" t="n">
        <x:f>AS107*AX107*AY107</x:f>
        <x:v>2587521148.047681</x:v>
      </x:c>
      <x:c r="BA107" s="40" t="n">
        <x:f>'Python_Trade_Output'!AZ107</x:f>
        <x:v>2587521148.047681</x:v>
      </x:c>
      <x:c r="BB107" s="43" t="n">
        <x:f>AZ107-BA107</x:f>
        <x:v>0</x:v>
      </x:c>
    </x:row>
    <x:row r="108">
      <x:c r="A108" s="27" t="str">
        <x:f>'Inputs_Trades'!D108</x:f>
        <x:v>IND-000105</x:v>
      </x:c>
      <x:c r="B108" s="27" t="str">
        <x:f>'Inputs_Trades'!B108</x:f>
        <x:v>IND_HEDGE_FUND_001</x:v>
      </x:c>
      <x:c r="C108" s="27" t="n">
        <x:f>'Inputs_Trades'!C108</x:f>
        <x:v>3345</x:v>
      </x:c>
      <x:c r="D108" s="27" t="str">
        <x:f>'Inputs_Trades'!E108</x:f>
        <x:v>Interest Rate Swap</x:v>
      </x:c>
      <x:c r="E108" s="27" t="str">
        <x:f>'Inputs_Trades'!F108</x:f>
        <x:v>Interest Rate</x:v>
      </x:c>
      <x:c r="F108" s="27" t="n">
        <x:f>'Inputs_Trades'!G108</x:f>
        <x:v>0</x:v>
      </x:c>
      <x:c r="G108" s="27" t="str">
        <x:f>'Inputs_Trades'!J108</x:f>
        <x:v>CNY</x:v>
      </x:c>
      <x:c r="H108" s="27" t="str">
        <x:f>'Inputs_Trades'!H108</x:f>
        <x:v>CNY</x:v>
      </x:c>
      <x:c r="I108" s="27" t="str">
        <x:f>'Inputs_Trades'!I108</x:f>
        <x:v>CNY</x:v>
      </x:c>
      <x:c r="J108" s="27" t="str">
        <x:f>'Inputs_Trades'!M108</x:f>
        <x:v>CNY</x:v>
      </x:c>
      <x:c r="K108" s="27" t="n">
        <x:f>'Inputs_Trades'!N108</x:f>
        <x:v>0</x:v>
      </x:c>
      <x:c r="L108" s="27" t="n">
        <x:f>'Inputs_Trades'!O108</x:f>
        <x:v>0</x:v>
      </x:c>
      <x:c r="M108" s="39" t="n">
        <x:f>'Inputs_Trades'!A108</x:f>
        <x:v>45702</x:v>
      </x:c>
      <x:c r="N108" s="39" t="n">
        <x:f>'Inputs_Trades'!P108</x:f>
        <x:v>47417</x:v>
      </x:c>
      <x:c r="O108" s="39" t="n">
        <x:f>'Inputs_Trades'!Q108</x:f>
        <x:v>45281</x:v>
      </x:c>
      <x:c r="P108" s="39" t="n">
        <x:f>'Inputs_Trades'!R108</x:f>
        <x:v>47417</x:v>
      </x:c>
      <x:c r="Q108" s="40" t="n">
        <x:f>'Inputs_Trades'!U108</x:f>
        <x:v>1208000000</x:v>
      </x:c>
      <x:c r="R108" s="40" t="n">
        <x:f>'Inputs_Trades'!S108</x:f>
        <x:v>8628571428.57</x:v>
      </x:c>
      <x:c r="S108" s="40" t="n">
        <x:f>'Inputs_Trades'!T108</x:f>
        <x:v>8628571428.57</x:v>
      </x:c>
      <x:c r="T108" s="27" t="str">
        <x:f>'Inputs_Trades'!V108</x:f>
        <x:v>M</x:v>
      </x:c>
      <x:c r="U108" s="27" t="str">
        <x:f>'Inputs_Trades'!W108</x:f>
        <x:v>N</x:v>
      </x:c>
      <x:c r="V108" s="27" t="n">
        <x:f>'Inputs_Trades'!X108</x:f>
        <x:v>10</x:v>
      </x:c>
      <x:c r="W108" s="27" t="str">
        <x:f>'Inputs_Trades'!Y108</x:f>
        <x:v>S</x:v>
      </x:c>
      <x:c r="X108" s="27" t="n">
        <x:f>'Inputs_Trades'!AA108</x:f>
        <x:v>0</x:v>
      </x:c>
      <x:c r="Y108" s="27" t="n">
        <x:f>'Inputs_Trades'!AB108</x:f>
        <x:v>0</x:v>
      </x:c>
      <x:c r="Z108" s="27" t="n">
        <x:f>'Inputs_Trades'!AC108</x:f>
        <x:v>0</x:v>
      </x:c>
      <x:c r="AA108" s="39" t="n">
        <x:f>'Inputs_Trades'!Z108</x:f>
        <x:v>0</x:v>
      </x:c>
      <x:c r="AB108" s="40" t="n">
        <x:f>'Inputs_Trades'!AD108</x:f>
        <x:v>456624</x:v>
      </x:c>
      <x:c r="AC108" s="27" t="n">
        <x:f>'Inputs_Trades'!K108</x:f>
        <x:v>0</x:v>
      </x:c>
      <x:c r="AD108" s="27" t="n">
        <x:f>N108-M108</x:f>
        <x:v>1715</x:v>
      </x:c>
      <x:c r="AE108" s="41" t="n">
        <x:f>AD108/365</x:f>
        <x:v>4.698630136986301</x:v>
      </x:c>
      <x:c r="AF108" s="27" t="str">
        <x:f>IF(AE108&lt;1,"&lt;1Y",IF(AE108&lt;=5,"1Y-5Y","&gt;5Y"))</x:f>
        <x:v>1Y-5Y</x:v>
      </x:c>
      <x:c r="AG108" s="27" t="str">
        <x:f>IF(E108="Commodity",IFERROR(VLOOKUP(F108,Parameters!$P$4:$Q$12,2,FALSE),"Other"),"")</x:f>
      </x:c>
      <x:c r="AH108" s="27" t="str">
        <x:f>IF(F108="","Unknown",F108)</x:f>
        <x:v>Unknown</x:v>
      </x:c>
      <x:c r="AI108" s="27" t="str">
        <x:f>IF(E108="Interest Rate",G108&amp;IF(OR(LOWER(AC108)="basis",LOWER(AC108)="volatility"),"_"&amp;AC108,""),IF(E108="FX",IF(H108&lt;I108,H108&amp;"/"&amp;I108,I108&amp;"/"&amp;H108)&amp;IF(OR(LOWER(AC108)="basis",LOWER(AC108)="volatility"),"_"&amp;AC108,""),IF(OR(E108="Credit",E108="Equity"),J108&amp;IF(OR(LOWER(AC108)="basis",LOWER(AC108)="volatility"),"_"&amp;AC108,""),IF(E108="Commodity",AG108&amp;IF(OR(LOWER(AC108)="basis",LOWER(AC108)="volatility"),"_"&amp;AC108,""),"UNKNOWN"))))</x:f>
        <x:v>CNY</x:v>
      </x:c>
      <x:c r="AJ108" s="27" t="str">
        <x:f>T108</x:f>
        <x:v>M</x:v>
      </x:c>
      <x:c r="AK108" s="41" t="n">
        <x:f>IF(E108="Interest Rate",VLOOKUP("Interest Rate",Parameters!$D$4:$E$12,2,FALSE),IF(E108="FX",VLOOKUP("FX",Parameters!$D$4:$E$12,2,FALSE),IF(E108="Credit",IFERROR(VLOOKUP(L108,Parameters!$G$4:$H$12,2,FALSE),VLOOKUP("BBB",Parameters!$G$4:$H$12,2,FALSE)),IF(E108="Equity",VLOOKUP(IF(LOWER(K108)="index","Equity Index","Equity Single Name"),Parameters!$D$4:$E$12,2,FALSE),IF(E108="Commodity",VLOOKUP(IFERROR(VLOOKUP(F108,Parameters!$S$4:$T$12,2,FALSE),"Commodity Other"),Parameters!$D$4:$E$12,2,FALSE),0)))))</x:f>
        <x:v>0.005</x:v>
      </x:c>
      <x:c r="AL108" s="42" t="n">
        <x:f>IF(LOWER(AC108)="basis",Parameters!$B$8,IF(LOWER(AC108)="volatility",Parameters!$B$9,1))</x:f>
        <x:v>1</x:v>
      </x:c>
      <x:c r="AM108" s="41" t="n">
        <x:f>AK108*AL108</x:f>
        <x:v>0.005</x:v>
      </x:c>
      <x:c r="AN108" s="42" t="str">
        <x:f>IF(E108="Credit",VLOOKUP(IF(LOWER(K108)="index","Credit Index","Credit Single Name"),Parameters!$J$4:$K$8,2,FALSE),IF(E108="Equity",VLOOKUP(IF(LOWER(K108)="index","Equity Index","Equity Single Name"),Parameters!$J$4:$K$8,2,FALSE),IF(E108="Commodity",VLOOKUP("Commodity",Parameters!$J$4:$K$8,2,FALSE),"")))</x:f>
      </x:c>
      <x:c r="AO108" s="27" t="n">
        <x:f>MAX((O108-M108)/365,0)</x:f>
        <x:v>0</x:v>
      </x:c>
      <x:c r="AP108" s="27" t="n">
        <x:f>MAX((P108-M108)/365,10/Parameters!$B$6)</x:f>
        <x:v>4.698630136986301</x:v>
      </x:c>
      <x:c r="AQ108" s="27" t="n">
        <x:f>IF(AP108&lt;=AO108,AO108+10/Parameters!$B$6,AP108)</x:f>
        <x:v>4.698630136986301</x:v>
      </x:c>
      <x:c r="AR108" s="41" t="n">
        <x:f>IF(OR(E108="Interest Rate",E108="Credit"),(EXP(-Parameters!$B$7*AO108)-EXP(-Parameters!$B$7*AQ108))/Parameters!$B$7,1)</x:f>
        <x:v>4.1874999965696835</x:v>
      </x:c>
      <x:c r="AS108" s="40" t="n">
        <x:f>IF(OR(E108="Interest Rate",E108="Credit"),ABS(Q108)*AR108,IF(E108="FX",IF(Q108&gt;0,Q108,MAX(ABS(R108),ABS(S108),ABS(Q108))),ABS(Q108)))</x:f>
        <x:v>5058499995.856177</x:v>
      </x:c>
      <x:c r="AT108" s="42" t="n">
        <x:f>IF(OR(E108="Interest Rate",E108="FX"),VLOOKUP(E108,Parameters!$M$4:$N$11,2,FALSE),IF(E108="Credit",VLOOKUP(IF(LOWER(K108)="index","Credit Index","Credit Single Name"),Parameters!$M$4:$N$11,2,FALSE),IF(E108="Equity",VLOOKUP(IF(LOWER(K108)="index","Equity Index","Equity Single Name"),Parameters!$M$4:$N$11,2,FALSE),IF(E108="Commodity",VLOOKUP(IF(F108="Electricity","Commodity Electricity","Commodity Other"),Parameters!$M$4:$N$11,2,FALSE),1))))</x:f>
        <x:v>0.5</x:v>
      </x:c>
      <x:c r="AU108" s="27" t="n">
        <x:f>IF(W108="B",1,-1)</x:f>
        <x:v>-1</x:v>
      </x:c>
      <x:c r="AV108" s="27" t="n">
        <x:f>IF(OR(AA108="",M108=""),MAX(AE108,1/365),MAX((AA108-M108)/365,1/365))</x:f>
        <x:v>4.698630136986301</x:v>
      </x:c>
      <x:c r="AW108" s="41" t="str">
        <x:f>IF(OR(Z108&lt;=0,Y108&lt;=0,AT108&lt;=0,AV108&lt;=0),"",(LN(Z108/Y108)+0.5*AT108^2*AV108)/(AT108*SQRT(AV108)))</x:f>
      </x:c>
      <x:c r="AX108" s="41" t="n">
        <x:f>IF(AND(X108&lt;&gt;"C",X108&lt;&gt;"P"),AU108,IF(AW108="",AU108,IF(X108="C",AU108*0.5*(1+ERF(AW108/SQRT(2))),-AU108*0.5*(1+ERF(-AW108/SQRT(2))))))</x:f>
        <x:v>-1</x:v>
      </x:c>
      <x:c r="AY108" s="41" t="n">
        <x:f>IF(AJ108="M",1.5*SQRT(MAX(IF(U108="Y",5,10),IF(V108="",10,V108))/Parameters!$B$6),SQRT(MIN(MAX(AE108,10/Parameters!$B$6),1)))</x:f>
        <x:v>0.30000000000000004</x:v>
      </x:c>
      <x:c r="AZ108" s="40" t="n">
        <x:f>AS108*AX108*AY108</x:f>
        <x:v>-1517549998.7568533</x:v>
      </x:c>
      <x:c r="BA108" s="40" t="n">
        <x:f>'Python_Trade_Output'!AZ108</x:f>
        <x:v>-1517549998.7568543</x:v>
      </x:c>
      <x:c r="BB108" s="43" t="n">
        <x:f>AZ108-BA108</x:f>
        <x:v>9.5367431640625e-7</x:v>
      </x:c>
    </x:row>
    <x:row r="109">
      <x:c r="A109" s="27" t="str">
        <x:f>'Inputs_Trades'!D109</x:f>
        <x:v>IND-000106</x:v>
      </x:c>
      <x:c r="B109" s="27" t="str">
        <x:f>'Inputs_Trades'!B109</x:f>
        <x:v>IND_BANK_001</x:v>
      </x:c>
      <x:c r="C109" s="27" t="n">
        <x:f>'Inputs_Trades'!C109</x:f>
        <x:v>3219</x:v>
      </x:c>
      <x:c r="D109" s="27" t="str">
        <x:f>'Inputs_Trades'!E109</x:f>
        <x:v>Interest Rate Swap</x:v>
      </x:c>
      <x:c r="E109" s="27" t="str">
        <x:f>'Inputs_Trades'!F109</x:f>
        <x:v>Interest Rate</x:v>
      </x:c>
      <x:c r="F109" s="27" t="n">
        <x:f>'Inputs_Trades'!G109</x:f>
        <x:v>0</x:v>
      </x:c>
      <x:c r="G109" s="27" t="str">
        <x:f>'Inputs_Trades'!J109</x:f>
        <x:v>CNY</x:v>
      </x:c>
      <x:c r="H109" s="27" t="str">
        <x:f>'Inputs_Trades'!H109</x:f>
        <x:v>CNY</x:v>
      </x:c>
      <x:c r="I109" s="27" t="str">
        <x:f>'Inputs_Trades'!I109</x:f>
        <x:v>CNY</x:v>
      </x:c>
      <x:c r="J109" s="27" t="str">
        <x:f>'Inputs_Trades'!M109</x:f>
        <x:v>CNY</x:v>
      </x:c>
      <x:c r="K109" s="27" t="n">
        <x:f>'Inputs_Trades'!N109</x:f>
        <x:v>0</x:v>
      </x:c>
      <x:c r="L109" s="27" t="n">
        <x:f>'Inputs_Trades'!O109</x:f>
        <x:v>0</x:v>
      </x:c>
      <x:c r="M109" s="39" t="n">
        <x:f>'Inputs_Trades'!A109</x:f>
        <x:v>45702</x:v>
      </x:c>
      <x:c r="N109" s="39" t="n">
        <x:f>'Inputs_Trades'!P109</x:f>
        <x:v>47465</x:v>
      </x:c>
      <x:c r="O109" s="39" t="n">
        <x:f>'Inputs_Trades'!Q109</x:f>
        <x:v>45155</x:v>
      </x:c>
      <x:c r="P109" s="39" t="n">
        <x:f>'Inputs_Trades'!R109</x:f>
        <x:v>47465</x:v>
      </x:c>
      <x:c r="Q109" s="40" t="n">
        <x:f>'Inputs_Trades'!U109</x:f>
        <x:v>1254000000</x:v>
      </x:c>
      <x:c r="R109" s="40" t="n">
        <x:f>'Inputs_Trades'!S109</x:f>
        <x:v>8957142857.14</x:v>
      </x:c>
      <x:c r="S109" s="40" t="n">
        <x:f>'Inputs_Trades'!T109</x:f>
        <x:v>8957142857.14</x:v>
      </x:c>
      <x:c r="T109" s="27" t="str">
        <x:f>'Inputs_Trades'!V109</x:f>
        <x:v>M</x:v>
      </x:c>
      <x:c r="U109" s="27" t="str">
        <x:f>'Inputs_Trades'!W109</x:f>
        <x:v>N</x:v>
      </x:c>
      <x:c r="V109" s="27" t="n">
        <x:f>'Inputs_Trades'!X109</x:f>
        <x:v>10</x:v>
      </x:c>
      <x:c r="W109" s="27" t="str">
        <x:f>'Inputs_Trades'!Y109</x:f>
        <x:v>B</x:v>
      </x:c>
      <x:c r="X109" s="27" t="n">
        <x:f>'Inputs_Trades'!AA109</x:f>
        <x:v>0</x:v>
      </x:c>
      <x:c r="Y109" s="27" t="n">
        <x:f>'Inputs_Trades'!AB109</x:f>
        <x:v>0</x:v>
      </x:c>
      <x:c r="Z109" s="27" t="n">
        <x:f>'Inputs_Trades'!AC109</x:f>
        <x:v>0</x:v>
      </x:c>
      <x:c r="AA109" s="39" t="n">
        <x:f>'Inputs_Trades'!Z109</x:f>
        <x:v>0</x:v>
      </x:c>
      <x:c r="AB109" s="40" t="n">
        <x:f>'Inputs_Trades'!AD109</x:f>
        <x:v>-684684</x:v>
      </x:c>
      <x:c r="AC109" s="27" t="n">
        <x:f>'Inputs_Trades'!K109</x:f>
        <x:v>0</x:v>
      </x:c>
      <x:c r="AD109" s="27" t="n">
        <x:f>N109-M109</x:f>
        <x:v>1763</x:v>
      </x:c>
      <x:c r="AE109" s="41" t="n">
        <x:f>AD109/365</x:f>
        <x:v>4.83013698630137</x:v>
      </x:c>
      <x:c r="AF109" s="27" t="str">
        <x:f>IF(AE109&lt;1,"&lt;1Y",IF(AE109&lt;=5,"1Y-5Y","&gt;5Y"))</x:f>
        <x:v>1Y-5Y</x:v>
      </x:c>
      <x:c r="AG109" s="27" t="str">
        <x:f>IF(E109="Commodity",IFERROR(VLOOKUP(F109,Parameters!$P$4:$Q$12,2,FALSE),"Other"),"")</x:f>
      </x:c>
      <x:c r="AH109" s="27" t="str">
        <x:f>IF(F109="","Unknown",F109)</x:f>
        <x:v>Unknown</x:v>
      </x:c>
      <x:c r="AI109" s="27" t="str">
        <x:f>IF(E109="Interest Rate",G109&amp;IF(OR(LOWER(AC109)="basis",LOWER(AC109)="volatility"),"_"&amp;AC109,""),IF(E109="FX",IF(H109&lt;I109,H109&amp;"/"&amp;I109,I109&amp;"/"&amp;H109)&amp;IF(OR(LOWER(AC109)="basis",LOWER(AC109)="volatility"),"_"&amp;AC109,""),IF(OR(E109="Credit",E109="Equity"),J109&amp;IF(OR(LOWER(AC109)="basis",LOWER(AC109)="volatility"),"_"&amp;AC109,""),IF(E109="Commodity",AG109&amp;IF(OR(LOWER(AC109)="basis",LOWER(AC109)="volatility"),"_"&amp;AC109,""),"UNKNOWN"))))</x:f>
        <x:v>CNY</x:v>
      </x:c>
      <x:c r="AJ109" s="27" t="str">
        <x:f>T109</x:f>
        <x:v>M</x:v>
      </x:c>
      <x:c r="AK109" s="41" t="n">
        <x:f>IF(E109="Interest Rate",VLOOKUP("Interest Rate",Parameters!$D$4:$E$12,2,FALSE),IF(E109="FX",VLOOKUP("FX",Parameters!$D$4:$E$12,2,FALSE),IF(E109="Credit",IFERROR(VLOOKUP(L109,Parameters!$G$4:$H$12,2,FALSE),VLOOKUP("BBB",Parameters!$G$4:$H$12,2,FALSE)),IF(E109="Equity",VLOOKUP(IF(LOWER(K109)="index","Equity Index","Equity Single Name"),Parameters!$D$4:$E$12,2,FALSE),IF(E109="Commodity",VLOOKUP(IFERROR(VLOOKUP(F109,Parameters!$S$4:$T$12,2,FALSE),"Commodity Other"),Parameters!$D$4:$E$12,2,FALSE),0)))))</x:f>
        <x:v>0.005</x:v>
      </x:c>
      <x:c r="AL109" s="42" t="n">
        <x:f>IF(LOWER(AC109)="basis",Parameters!$B$8,IF(LOWER(AC109)="volatility",Parameters!$B$9,1))</x:f>
        <x:v>1</x:v>
      </x:c>
      <x:c r="AM109" s="41" t="n">
        <x:f>AK109*AL109</x:f>
        <x:v>0.005</x:v>
      </x:c>
      <x:c r="AN109" s="42" t="str">
        <x:f>IF(E109="Credit",VLOOKUP(IF(LOWER(K109)="index","Credit Index","Credit Single Name"),Parameters!$J$4:$K$8,2,FALSE),IF(E109="Equity",VLOOKUP(IF(LOWER(K109)="index","Equity Index","Equity Single Name"),Parameters!$J$4:$K$8,2,FALSE),IF(E109="Commodity",VLOOKUP("Commodity",Parameters!$J$4:$K$8,2,FALSE),"")))</x:f>
      </x:c>
      <x:c r="AO109" s="27" t="n">
        <x:f>MAX((O109-M109)/365,0)</x:f>
        <x:v>0</x:v>
      </x:c>
      <x:c r="AP109" s="27" t="n">
        <x:f>MAX((P109-M109)/365,10/Parameters!$B$6)</x:f>
        <x:v>4.83013698630137</x:v>
      </x:c>
      <x:c r="AQ109" s="27" t="n">
        <x:f>IF(AP109&lt;=AO109,AO109+10/Parameters!$B$6,AP109)</x:f>
        <x:v>4.83013698630137</x:v>
      </x:c>
      <x:c r="AR109" s="41" t="n">
        <x:f>IF(OR(E109="Interest Rate",E109="Credit"),(EXP(-Parameters!$B$7*AO109)-EXP(-Parameters!$B$7*AQ109))/Parameters!$B$7,1)</x:f>
        <x:v>4.291131519578368</x:v>
      </x:c>
      <x:c r="AS109" s="40" t="n">
        <x:f>IF(OR(E109="Interest Rate",E109="Credit"),ABS(Q109)*AR109,IF(E109="FX",IF(Q109&gt;0,Q109,MAX(ABS(R109),ABS(S109),ABS(Q109))),ABS(Q109)))</x:f>
        <x:v>5381078925.551273</x:v>
      </x:c>
      <x:c r="AT109" s="42" t="n">
        <x:f>IF(OR(E109="Interest Rate",E109="FX"),VLOOKUP(E109,Parameters!$M$4:$N$11,2,FALSE),IF(E109="Credit",VLOOKUP(IF(LOWER(K109)="index","Credit Index","Credit Single Name"),Parameters!$M$4:$N$11,2,FALSE),IF(E109="Equity",VLOOKUP(IF(LOWER(K109)="index","Equity Index","Equity Single Name"),Parameters!$M$4:$N$11,2,FALSE),IF(E109="Commodity",VLOOKUP(IF(F109="Electricity","Commodity Electricity","Commodity Other"),Parameters!$M$4:$N$11,2,FALSE),1))))</x:f>
        <x:v>0.5</x:v>
      </x:c>
      <x:c r="AU109" s="27" t="n">
        <x:f>IF(W109="B",1,-1)</x:f>
        <x:v>1</x:v>
      </x:c>
      <x:c r="AV109" s="27" t="n">
        <x:f>IF(OR(AA109="",M109=""),MAX(AE109,1/365),MAX((AA109-M109)/365,1/365))</x:f>
        <x:v>4.83013698630137</x:v>
      </x:c>
      <x:c r="AW109" s="41" t="str">
        <x:f>IF(OR(Z109&lt;=0,Y109&lt;=0,AT109&lt;=0,AV109&lt;=0),"",(LN(Z109/Y109)+0.5*AT109^2*AV109)/(AT109*SQRT(AV109)))</x:f>
      </x:c>
      <x:c r="AX109" s="41" t="n">
        <x:f>IF(AND(X109&lt;&gt;"C",X109&lt;&gt;"P"),AU109,IF(AW109="",AU109,IF(X109="C",AU109*0.5*(1+ERF(AW109/SQRT(2))),-AU109*0.5*(1+ERF(-AW109/SQRT(2))))))</x:f>
        <x:v>1</x:v>
      </x:c>
      <x:c r="AY109" s="41" t="n">
        <x:f>IF(AJ109="M",1.5*SQRT(MAX(IF(U109="Y",5,10),IF(V109="",10,V109))/Parameters!$B$6),SQRT(MIN(MAX(AE109,10/Parameters!$B$6),1)))</x:f>
        <x:v>0.30000000000000004</x:v>
      </x:c>
      <x:c r="AZ109" s="40" t="n">
        <x:f>AS109*AX109*AY109</x:f>
        <x:v>1614323677.6653821</x:v>
      </x:c>
      <x:c r="BA109" s="40" t="n">
        <x:f>'Python_Trade_Output'!AZ109</x:f>
        <x:v>1614323677.6653821</x:v>
      </x:c>
      <x:c r="BB109" s="43" t="n">
        <x:f>AZ109-BA109</x:f>
        <x:v>0</x:v>
      </x:c>
    </x:row>
    <x:row r="110">
      <x:c r="A110" s="27" t="str">
        <x:f>'Inputs_Trades'!D110</x:f>
        <x:v>IND-000107</x:v>
      </x:c>
      <x:c r="B110" s="27" t="str">
        <x:f>'Inputs_Trades'!B110</x:f>
        <x:v>IND_CLEARING_MEMBER_001</x:v>
      </x:c>
      <x:c r="C110" s="27" t="n">
        <x:f>'Inputs_Trades'!C110</x:f>
        <x:v>3020</x:v>
      </x:c>
      <x:c r="D110" s="27" t="str">
        <x:f>'Inputs_Trades'!E110</x:f>
        <x:v>Interest Rate Swap</x:v>
      </x:c>
      <x:c r="E110" s="27" t="str">
        <x:f>'Inputs_Trades'!F110</x:f>
        <x:v>Interest Rate</x:v>
      </x:c>
      <x:c r="F110" s="27" t="n">
        <x:f>'Inputs_Trades'!G110</x:f>
        <x:v>0</x:v>
      </x:c>
      <x:c r="G110" s="27" t="str">
        <x:f>'Inputs_Trades'!J110</x:f>
        <x:v>EUR</x:v>
      </x:c>
      <x:c r="H110" s="27" t="str">
        <x:f>'Inputs_Trades'!H110</x:f>
        <x:v>EUR</x:v>
      </x:c>
      <x:c r="I110" s="27" t="str">
        <x:f>'Inputs_Trades'!I110</x:f>
        <x:v>EUR</x:v>
      </x:c>
      <x:c r="J110" s="27" t="str">
        <x:f>'Inputs_Trades'!M110</x:f>
        <x:v>EUR</x:v>
      </x:c>
      <x:c r="K110" s="27" t="n">
        <x:f>'Inputs_Trades'!N110</x:f>
        <x:v>0</x:v>
      </x:c>
      <x:c r="L110" s="27" t="n">
        <x:f>'Inputs_Trades'!O110</x:f>
        <x:v>0</x:v>
      </x:c>
      <x:c r="M110" s="39" t="n">
        <x:f>'Inputs_Trades'!A110</x:f>
        <x:v>45702</x:v>
      </x:c>
      <x:c r="N110" s="39" t="n">
        <x:f>'Inputs_Trades'!P110</x:f>
        <x:v>48685</x:v>
      </x:c>
      <x:c r="O110" s="39" t="n">
        <x:f>'Inputs_Trades'!Q110</x:f>
        <x:v>44947</x:v>
      </x:c>
      <x:c r="P110" s="39" t="n">
        <x:f>'Inputs_Trades'!R110</x:f>
        <x:v>48685</x:v>
      </x:c>
      <x:c r="Q110" s="40" t="n">
        <x:f>'Inputs_Trades'!U110</x:f>
        <x:v>1401000000</x:v>
      </x:c>
      <x:c r="R110" s="40" t="n">
        <x:f>'Inputs_Trades'!S110</x:f>
        <x:v>1334285714.29</x:v>
      </x:c>
      <x:c r="S110" s="40" t="n">
        <x:f>'Inputs_Trades'!T110</x:f>
        <x:v>1334285714.29</x:v>
      </x:c>
      <x:c r="T110" s="27" t="str">
        <x:f>'Inputs_Trades'!V110</x:f>
        <x:v>M</x:v>
      </x:c>
      <x:c r="U110" s="27" t="str">
        <x:f>'Inputs_Trades'!W110</x:f>
        <x:v>N</x:v>
      </x:c>
      <x:c r="V110" s="27" t="n">
        <x:f>'Inputs_Trades'!X110</x:f>
        <x:v>10</x:v>
      </x:c>
      <x:c r="W110" s="27" t="str">
        <x:f>'Inputs_Trades'!Y110</x:f>
        <x:v>S</x:v>
      </x:c>
      <x:c r="X110" s="27" t="n">
        <x:f>'Inputs_Trades'!AA110</x:f>
        <x:v>0</x:v>
      </x:c>
      <x:c r="Y110" s="27" t="n">
        <x:f>'Inputs_Trades'!AB110</x:f>
        <x:v>0</x:v>
      </x:c>
      <x:c r="Z110" s="27" t="n">
        <x:f>'Inputs_Trades'!AC110</x:f>
        <x:v>0</x:v>
      </x:c>
      <x:c r="AA110" s="39" t="n">
        <x:f>'Inputs_Trades'!Z110</x:f>
        <x:v>0</x:v>
      </x:c>
      <x:c r="AB110" s="40" t="n">
        <x:f>'Inputs_Trades'!AD110</x:f>
        <x:v>-554796</x:v>
      </x:c>
      <x:c r="AC110" s="27" t="n">
        <x:f>'Inputs_Trades'!K110</x:f>
        <x:v>0</x:v>
      </x:c>
      <x:c r="AD110" s="27" t="n">
        <x:f>N110-M110</x:f>
        <x:v>2983</x:v>
      </x:c>
      <x:c r="AE110" s="41" t="n">
        <x:f>AD110/365</x:f>
        <x:v>8.172602739726027</x:v>
      </x:c>
      <x:c r="AF110" s="27" t="str">
        <x:f>IF(AE110&lt;1,"&lt;1Y",IF(AE110&lt;=5,"1Y-5Y","&gt;5Y"))</x:f>
        <x:v>&gt;5Y</x:v>
      </x:c>
      <x:c r="AG110" s="27" t="str">
        <x:f>IF(E110="Commodity",IFERROR(VLOOKUP(F110,Parameters!$P$4:$Q$12,2,FALSE),"Other"),"")</x:f>
      </x:c>
      <x:c r="AH110" s="27" t="str">
        <x:f>IF(F110="","Unknown",F110)</x:f>
        <x:v>Unknown</x:v>
      </x:c>
      <x:c r="AI110" s="27" t="str">
        <x:f>IF(E110="Interest Rate",G110&amp;IF(OR(LOWER(AC110)="basis",LOWER(AC110)="volatility"),"_"&amp;AC110,""),IF(E110="FX",IF(H110&lt;I110,H110&amp;"/"&amp;I110,I110&amp;"/"&amp;H110)&amp;IF(OR(LOWER(AC110)="basis",LOWER(AC110)="volatility"),"_"&amp;AC110,""),IF(OR(E110="Credit",E110="Equity"),J110&amp;IF(OR(LOWER(AC110)="basis",LOWER(AC110)="volatility"),"_"&amp;AC110,""),IF(E110="Commodity",AG110&amp;IF(OR(LOWER(AC110)="basis",LOWER(AC110)="volatility"),"_"&amp;AC110,""),"UNKNOWN"))))</x:f>
        <x:v>EUR</x:v>
      </x:c>
      <x:c r="AJ110" s="27" t="str">
        <x:f>T110</x:f>
        <x:v>M</x:v>
      </x:c>
      <x:c r="AK110" s="41" t="n">
        <x:f>IF(E110="Interest Rate",VLOOKUP("Interest Rate",Parameters!$D$4:$E$12,2,FALSE),IF(E110="FX",VLOOKUP("FX",Parameters!$D$4:$E$12,2,FALSE),IF(E110="Credit",IFERROR(VLOOKUP(L110,Parameters!$G$4:$H$12,2,FALSE),VLOOKUP("BBB",Parameters!$G$4:$H$12,2,FALSE)),IF(E110="Equity",VLOOKUP(IF(LOWER(K110)="index","Equity Index","Equity Single Name"),Parameters!$D$4:$E$12,2,FALSE),IF(E110="Commodity",VLOOKUP(IFERROR(VLOOKUP(F110,Parameters!$S$4:$T$12,2,FALSE),"Commodity Other"),Parameters!$D$4:$E$12,2,FALSE),0)))))</x:f>
        <x:v>0.005</x:v>
      </x:c>
      <x:c r="AL110" s="42" t="n">
        <x:f>IF(LOWER(AC110)="basis",Parameters!$B$8,IF(LOWER(AC110)="volatility",Parameters!$B$9,1))</x:f>
        <x:v>1</x:v>
      </x:c>
      <x:c r="AM110" s="41" t="n">
        <x:f>AK110*AL110</x:f>
        <x:v>0.005</x:v>
      </x:c>
      <x:c r="AN110" s="42" t="str">
        <x:f>IF(E110="Credit",VLOOKUP(IF(LOWER(K110)="index","Credit Index","Credit Single Name"),Parameters!$J$4:$K$8,2,FALSE),IF(E110="Equity",VLOOKUP(IF(LOWER(K110)="index","Equity Index","Equity Single Name"),Parameters!$J$4:$K$8,2,FALSE),IF(E110="Commodity",VLOOKUP("Commodity",Parameters!$J$4:$K$8,2,FALSE),"")))</x:f>
      </x:c>
      <x:c r="AO110" s="27" t="n">
        <x:f>MAX((O110-M110)/365,0)</x:f>
        <x:v>0</x:v>
      </x:c>
      <x:c r="AP110" s="27" t="n">
        <x:f>MAX((P110-M110)/365,10/Parameters!$B$6)</x:f>
        <x:v>8.172602739726027</x:v>
      </x:c>
      <x:c r="AQ110" s="27" t="n">
        <x:f>IF(AP110&lt;=AO110,AO110+10/Parameters!$B$6,AP110)</x:f>
        <x:v>8.172602739726027</x:v>
      </x:c>
      <x:c r="AR110" s="41" t="n">
        <x:f>IF(OR(E110="Interest Rate",E110="Credit"),(EXP(-Parameters!$B$7*AO110)-EXP(-Parameters!$B$7*AQ110))/Parameters!$B$7,1)</x:f>
        <x:v>6.708800339390528</x:v>
      </x:c>
      <x:c r="AS110" s="40" t="n">
        <x:f>IF(OR(E110="Interest Rate",E110="Credit"),ABS(Q110)*AR110,IF(E110="FX",IF(Q110&gt;0,Q110,MAX(ABS(R110),ABS(S110),ABS(Q110))),ABS(Q110)))</x:f>
        <x:v>9399029275.48613</x:v>
      </x:c>
      <x:c r="AT110" s="42" t="n">
        <x:f>IF(OR(E110="Interest Rate",E110="FX"),VLOOKUP(E110,Parameters!$M$4:$N$11,2,FALSE),IF(E110="Credit",VLOOKUP(IF(LOWER(K110)="index","Credit Index","Credit Single Name"),Parameters!$M$4:$N$11,2,FALSE),IF(E110="Equity",VLOOKUP(IF(LOWER(K110)="index","Equity Index","Equity Single Name"),Parameters!$M$4:$N$11,2,FALSE),IF(E110="Commodity",VLOOKUP(IF(F110="Electricity","Commodity Electricity","Commodity Other"),Parameters!$M$4:$N$11,2,FALSE),1))))</x:f>
        <x:v>0.5</x:v>
      </x:c>
      <x:c r="AU110" s="27" t="n">
        <x:f>IF(W110="B",1,-1)</x:f>
        <x:v>-1</x:v>
      </x:c>
      <x:c r="AV110" s="27" t="n">
        <x:f>IF(OR(AA110="",M110=""),MAX(AE110,1/365),MAX((AA110-M110)/365,1/365))</x:f>
        <x:v>8.172602739726027</x:v>
      </x:c>
      <x:c r="AW110" s="41" t="str">
        <x:f>IF(OR(Z110&lt;=0,Y110&lt;=0,AT110&lt;=0,AV110&lt;=0),"",(LN(Z110/Y110)+0.5*AT110^2*AV110)/(AT110*SQRT(AV110)))</x:f>
      </x:c>
      <x:c r="AX110" s="41" t="n">
        <x:f>IF(AND(X110&lt;&gt;"C",X110&lt;&gt;"P"),AU110,IF(AW110="",AU110,IF(X110="C",AU110*0.5*(1+ERF(AW110/SQRT(2))),-AU110*0.5*(1+ERF(-AW110/SQRT(2))))))</x:f>
        <x:v>-1</x:v>
      </x:c>
      <x:c r="AY110" s="41" t="n">
        <x:f>IF(AJ110="M",1.5*SQRT(MAX(IF(U110="Y",5,10),IF(V110="",10,V110))/Parameters!$B$6),SQRT(MIN(MAX(AE110,10/Parameters!$B$6),1)))</x:f>
        <x:v>0.30000000000000004</x:v>
      </x:c>
      <x:c r="AZ110" s="40" t="n">
        <x:f>AS110*AX110*AY110</x:f>
        <x:v>-2819708782.645839</x:v>
      </x:c>
      <x:c r="BA110" s="40" t="n">
        <x:f>'Python_Trade_Output'!AZ110</x:f>
        <x:v>-2819708782.645839</x:v>
      </x:c>
      <x:c r="BB110" s="43" t="n">
        <x:f>AZ110-BA110</x:f>
        <x:v>0</x:v>
      </x:c>
    </x:row>
    <x:row r="111">
      <x:c r="A111" s="27" t="str">
        <x:f>'Inputs_Trades'!D111</x:f>
        <x:v>IND-000108</x:v>
      </x:c>
      <x:c r="B111" s="27" t="str">
        <x:f>'Inputs_Trades'!B111</x:f>
        <x:v>IND_SOVEREIGN_001</x:v>
      </x:c>
      <x:c r="C111" s="27" t="n">
        <x:f>'Inputs_Trades'!C111</x:f>
        <x:v>3065</x:v>
      </x:c>
      <x:c r="D111" s="27" t="str">
        <x:f>'Inputs_Trades'!E111</x:f>
        <x:v>Interest Rate Swap</x:v>
      </x:c>
      <x:c r="E111" s="27" t="str">
        <x:f>'Inputs_Trades'!F111</x:f>
        <x:v>Interest Rate</x:v>
      </x:c>
      <x:c r="F111" s="27" t="n">
        <x:f>'Inputs_Trades'!G111</x:f>
        <x:v>0</x:v>
      </x:c>
      <x:c r="G111" s="27" t="str">
        <x:f>'Inputs_Trades'!J111</x:f>
        <x:v>CNY</x:v>
      </x:c>
      <x:c r="H111" s="27" t="str">
        <x:f>'Inputs_Trades'!H111</x:f>
        <x:v>CNY</x:v>
      </x:c>
      <x:c r="I111" s="27" t="str">
        <x:f>'Inputs_Trades'!I111</x:f>
        <x:v>CNY</x:v>
      </x:c>
      <x:c r="J111" s="27" t="str">
        <x:f>'Inputs_Trades'!M111</x:f>
        <x:v>CNY</x:v>
      </x:c>
      <x:c r="K111" s="27" t="n">
        <x:f>'Inputs_Trades'!N111</x:f>
        <x:v>0</x:v>
      </x:c>
      <x:c r="L111" s="27" t="n">
        <x:f>'Inputs_Trades'!O111</x:f>
        <x:v>0</x:v>
      </x:c>
      <x:c r="M111" s="39" t="n">
        <x:f>'Inputs_Trades'!A111</x:f>
        <x:v>45702</x:v>
      </x:c>
      <x:c r="N111" s="39" t="n">
        <x:f>'Inputs_Trades'!P111</x:f>
        <x:v>47701</x:v>
      </x:c>
      <x:c r="O111" s="39" t="n">
        <x:f>'Inputs_Trades'!Q111</x:f>
        <x:v>45097</x:v>
      </x:c>
      <x:c r="P111" s="39" t="n">
        <x:f>'Inputs_Trades'!R111</x:f>
        <x:v>47701</x:v>
      </x:c>
      <x:c r="Q111" s="40" t="n">
        <x:f>'Inputs_Trades'!U111</x:f>
        <x:v>202000000</x:v>
      </x:c>
      <x:c r="R111" s="40" t="n">
        <x:f>'Inputs_Trades'!S111</x:f>
        <x:v>1442857142.86</x:v>
      </x:c>
      <x:c r="S111" s="40" t="n">
        <x:f>'Inputs_Trades'!T111</x:f>
        <x:v>1442857142.86</x:v>
      </x:c>
      <x:c r="T111" s="27" t="str">
        <x:f>'Inputs_Trades'!V111</x:f>
        <x:v>U</x:v>
      </x:c>
      <x:c r="U111" s="27" t="str">
        <x:f>'Inputs_Trades'!W111</x:f>
        <x:v>N</x:v>
      </x:c>
      <x:c r="V111" s="27" t="n">
        <x:f>'Inputs_Trades'!X111</x:f>
        <x:v>0</x:v>
      </x:c>
      <x:c r="W111" s="27" t="str">
        <x:f>'Inputs_Trades'!Y111</x:f>
        <x:v>B</x:v>
      </x:c>
      <x:c r="X111" s="27" t="n">
        <x:f>'Inputs_Trades'!AA111</x:f>
        <x:v>0</x:v>
      </x:c>
      <x:c r="Y111" s="27" t="n">
        <x:f>'Inputs_Trades'!AB111</x:f>
        <x:v>0</x:v>
      </x:c>
      <x:c r="Z111" s="27" t="n">
        <x:f>'Inputs_Trades'!AC111</x:f>
        <x:v>0</x:v>
      </x:c>
      <x:c r="AA111" s="39" t="n">
        <x:f>'Inputs_Trades'!Z111</x:f>
        <x:v>0</x:v>
      </x:c>
      <x:c r="AB111" s="40" t="n">
        <x:f>'Inputs_Trades'!AD111</x:f>
        <x:v>409656</x:v>
      </x:c>
      <x:c r="AC111" s="27" t="str">
        <x:f>'Inputs_Trades'!K111</x:f>
        <x:v>Basis</x:v>
      </x:c>
      <x:c r="AD111" s="27" t="n">
        <x:f>N111-M111</x:f>
        <x:v>1999</x:v>
      </x:c>
      <x:c r="AE111" s="41" t="n">
        <x:f>AD111/365</x:f>
        <x:v>5.476712328767123</x:v>
      </x:c>
      <x:c r="AF111" s="27" t="str">
        <x:f>IF(AE111&lt;1,"&lt;1Y",IF(AE111&lt;=5,"1Y-5Y","&gt;5Y"))</x:f>
        <x:v>&gt;5Y</x:v>
      </x:c>
      <x:c r="AG111" s="27" t="str">
        <x:f>IF(E111="Commodity",IFERROR(VLOOKUP(F111,Parameters!$P$4:$Q$12,2,FALSE),"Other"),"")</x:f>
      </x:c>
      <x:c r="AH111" s="27" t="str">
        <x:f>IF(F111="","Unknown",F111)</x:f>
        <x:v>Unknown</x:v>
      </x:c>
      <x:c r="AI111" s="27" t="str">
        <x:f>IF(E111="Interest Rate",G111&amp;IF(OR(LOWER(AC111)="basis",LOWER(AC111)="volatility"),"_"&amp;AC111,""),IF(E111="FX",IF(H111&lt;I111,H111&amp;"/"&amp;I111,I111&amp;"/"&amp;H111)&amp;IF(OR(LOWER(AC111)="basis",LOWER(AC111)="volatility"),"_"&amp;AC111,""),IF(OR(E111="Credit",E111="Equity"),J111&amp;IF(OR(LOWER(AC111)="basis",LOWER(AC111)="volatility"),"_"&amp;AC111,""),IF(E111="Commodity",AG111&amp;IF(OR(LOWER(AC111)="basis",LOWER(AC111)="volatility"),"_"&amp;AC111,""),"UNKNOWN"))))</x:f>
        <x:v>CNY_Basis</x:v>
      </x:c>
      <x:c r="AJ111" s="27" t="str">
        <x:f>T111</x:f>
        <x:v>U</x:v>
      </x:c>
      <x:c r="AK111" s="41" t="n">
        <x:f>IF(E111="Interest Rate",VLOOKUP("Interest Rate",Parameters!$D$4:$E$12,2,FALSE),IF(E111="FX",VLOOKUP("FX",Parameters!$D$4:$E$12,2,FALSE),IF(E111="Credit",IFERROR(VLOOKUP(L111,Parameters!$G$4:$H$12,2,FALSE),VLOOKUP("BBB",Parameters!$G$4:$H$12,2,FALSE)),IF(E111="Equity",VLOOKUP(IF(LOWER(K111)="index","Equity Index","Equity Single Name"),Parameters!$D$4:$E$12,2,FALSE),IF(E111="Commodity",VLOOKUP(IFERROR(VLOOKUP(F111,Parameters!$S$4:$T$12,2,FALSE),"Commodity Other"),Parameters!$D$4:$E$12,2,FALSE),0)))))</x:f>
        <x:v>0.005</x:v>
      </x:c>
      <x:c r="AL111" s="42" t="n">
        <x:f>IF(LOWER(AC111)="basis",Parameters!$B$8,IF(LOWER(AC111)="volatility",Parameters!$B$9,1))</x:f>
        <x:v>0.5</x:v>
      </x:c>
      <x:c r="AM111" s="41" t="n">
        <x:f>AK111*AL111</x:f>
        <x:v>0.0025</x:v>
      </x:c>
      <x:c r="AN111" s="42" t="str">
        <x:f>IF(E111="Credit",VLOOKUP(IF(LOWER(K111)="index","Credit Index","Credit Single Name"),Parameters!$J$4:$K$8,2,FALSE),IF(E111="Equity",VLOOKUP(IF(LOWER(K111)="index","Equity Index","Equity Single Name"),Parameters!$J$4:$K$8,2,FALSE),IF(E111="Commodity",VLOOKUP("Commodity",Parameters!$J$4:$K$8,2,FALSE),"")))</x:f>
      </x:c>
      <x:c r="AO111" s="27" t="n">
        <x:f>MAX((O111-M111)/365,0)</x:f>
        <x:v>0</x:v>
      </x:c>
      <x:c r="AP111" s="27" t="n">
        <x:f>MAX((P111-M111)/365,10/Parameters!$B$6)</x:f>
        <x:v>5.476712328767123</x:v>
      </x:c>
      <x:c r="AQ111" s="27" t="n">
        <x:f>IF(AP111&lt;=AO111,AO111+10/Parameters!$B$6,AP111)</x:f>
        <x:v>5.476712328767123</x:v>
      </x:c>
      <x:c r="AR111" s="41" t="n">
        <x:f>IF(OR(E111="Interest Rate",E111="Credit"),(EXP(-Parameters!$B$7*AO111)-EXP(-Parameters!$B$7*AQ111))/Parameters!$B$7,1)</x:f>
        <x:v>4.790858567423237</x:v>
      </x:c>
      <x:c r="AS111" s="40" t="n">
        <x:f>IF(OR(E111="Interest Rate",E111="Credit"),ABS(Q111)*AR111,IF(E111="FX",IF(Q111&gt;0,Q111,MAX(ABS(R111),ABS(S111),ABS(Q111))),ABS(Q111)))</x:f>
        <x:v>967753430.619494</x:v>
      </x:c>
      <x:c r="AT111" s="42" t="n">
        <x:f>IF(OR(E111="Interest Rate",E111="FX"),VLOOKUP(E111,Parameters!$M$4:$N$11,2,FALSE),IF(E111="Credit",VLOOKUP(IF(LOWER(K111)="index","Credit Index","Credit Single Name"),Parameters!$M$4:$N$11,2,FALSE),IF(E111="Equity",VLOOKUP(IF(LOWER(K111)="index","Equity Index","Equity Single Name"),Parameters!$M$4:$N$11,2,FALSE),IF(E111="Commodity",VLOOKUP(IF(F111="Electricity","Commodity Electricity","Commodity Other"),Parameters!$M$4:$N$11,2,FALSE),1))))</x:f>
        <x:v>0.5</x:v>
      </x:c>
      <x:c r="AU111" s="27" t="n">
        <x:f>IF(W111="B",1,-1)</x:f>
        <x:v>1</x:v>
      </x:c>
      <x:c r="AV111" s="27" t="n">
        <x:f>IF(OR(AA111="",M111=""),MAX(AE111,1/365),MAX((AA111-M111)/365,1/365))</x:f>
        <x:v>5.476712328767123</x:v>
      </x:c>
      <x:c r="AW111" s="41" t="str">
        <x:f>IF(OR(Z111&lt;=0,Y111&lt;=0,AT111&lt;=0,AV111&lt;=0),"",(LN(Z111/Y111)+0.5*AT111^2*AV111)/(AT111*SQRT(AV111)))</x:f>
      </x:c>
      <x:c r="AX111" s="41" t="n">
        <x:f>IF(AND(X111&lt;&gt;"C",X111&lt;&gt;"P"),AU111,IF(AW111="",AU111,IF(X111="C",AU111*0.5*(1+ERF(AW111/SQRT(2))),-AU111*0.5*(1+ERF(-AW111/SQRT(2))))))</x:f>
        <x:v>1</x:v>
      </x:c>
      <x:c r="AY111" s="41" t="n">
        <x:f>IF(AJ111="M",1.5*SQRT(MAX(IF(U111="Y",5,10),IF(V111="",10,V111))/Parameters!$B$6),SQRT(MIN(MAX(AE111,10/Parameters!$B$6),1)))</x:f>
        <x:v>1</x:v>
      </x:c>
      <x:c r="AZ111" s="40" t="n">
        <x:f>AS111*AX111*AY111</x:f>
        <x:v>967753430.619494</x:v>
      </x:c>
      <x:c r="BA111" s="40" t="n">
        <x:f>'Python_Trade_Output'!AZ111</x:f>
        <x:v>967753430.619494</x:v>
      </x:c>
      <x:c r="BB111" s="43" t="n">
        <x:f>AZ111-BA111</x:f>
        <x:v>0</x:v>
      </x:c>
    </x:row>
    <x:row r="112">
      <x:c r="A112" s="27" t="str">
        <x:f>'Inputs_Trades'!D112</x:f>
        <x:v>IND-000109</x:v>
      </x:c>
      <x:c r="B112" s="27" t="str">
        <x:f>'Inputs_Trades'!B112</x:f>
        <x:v>IND_HEDGE_FUND_001</x:v>
      </x:c>
      <x:c r="C112" s="27" t="n">
        <x:f>'Inputs_Trades'!C112</x:f>
        <x:v>3345</x:v>
      </x:c>
      <x:c r="D112" s="27" t="str">
        <x:f>'Inputs_Trades'!E112</x:f>
        <x:v>Interest Rate Swap</x:v>
      </x:c>
      <x:c r="E112" s="27" t="str">
        <x:f>'Inputs_Trades'!F112</x:f>
        <x:v>Interest Rate</x:v>
      </x:c>
      <x:c r="F112" s="27" t="n">
        <x:f>'Inputs_Trades'!G112</x:f>
        <x:v>0</x:v>
      </x:c>
      <x:c r="G112" s="27" t="str">
        <x:f>'Inputs_Trades'!J112</x:f>
        <x:v>CNY</x:v>
      </x:c>
      <x:c r="H112" s="27" t="str">
        <x:f>'Inputs_Trades'!H112</x:f>
        <x:v>CNY</x:v>
      </x:c>
      <x:c r="I112" s="27" t="str">
        <x:f>'Inputs_Trades'!I112</x:f>
        <x:v>CNY</x:v>
      </x:c>
      <x:c r="J112" s="27" t="str">
        <x:f>'Inputs_Trades'!M112</x:f>
        <x:v>CNY</x:v>
      </x:c>
      <x:c r="K112" s="27" t="n">
        <x:f>'Inputs_Trades'!N112</x:f>
        <x:v>0</x:v>
      </x:c>
      <x:c r="L112" s="27" t="n">
        <x:f>'Inputs_Trades'!O112</x:f>
        <x:v>0</x:v>
      </x:c>
      <x:c r="M112" s="39" t="n">
        <x:f>'Inputs_Trades'!A112</x:f>
        <x:v>45702</x:v>
      </x:c>
      <x:c r="N112" s="39" t="n">
        <x:f>'Inputs_Trades'!P112</x:f>
        <x:v>49714</x:v>
      </x:c>
      <x:c r="O112" s="39" t="n">
        <x:f>'Inputs_Trades'!Q112</x:f>
        <x:v>45416</x:v>
      </x:c>
      <x:c r="P112" s="39" t="n">
        <x:f>'Inputs_Trades'!R112</x:f>
        <x:v>49714</x:v>
      </x:c>
      <x:c r="Q112" s="40" t="n">
        <x:f>'Inputs_Trades'!U112</x:f>
        <x:v>187000000</x:v>
      </x:c>
      <x:c r="R112" s="40" t="n">
        <x:f>'Inputs_Trades'!S112</x:f>
        <x:v>1335714285.71</x:v>
      </x:c>
      <x:c r="S112" s="40" t="n">
        <x:f>'Inputs_Trades'!T112</x:f>
        <x:v>1335714285.71</x:v>
      </x:c>
      <x:c r="T112" s="27" t="str">
        <x:f>'Inputs_Trades'!V112</x:f>
        <x:v>M</x:v>
      </x:c>
      <x:c r="U112" s="27" t="str">
        <x:f>'Inputs_Trades'!W112</x:f>
        <x:v>N</x:v>
      </x:c>
      <x:c r="V112" s="27" t="n">
        <x:f>'Inputs_Trades'!X112</x:f>
        <x:v>10</x:v>
      </x:c>
      <x:c r="W112" s="27" t="str">
        <x:f>'Inputs_Trades'!Y112</x:f>
        <x:v>S</x:v>
      </x:c>
      <x:c r="X112" s="27" t="n">
        <x:f>'Inputs_Trades'!AA112</x:f>
        <x:v>0</x:v>
      </x:c>
      <x:c r="Y112" s="27" t="n">
        <x:f>'Inputs_Trades'!AB112</x:f>
        <x:v>0</x:v>
      </x:c>
      <x:c r="Z112" s="27" t="n">
        <x:f>'Inputs_Trades'!AC112</x:f>
        <x:v>0</x:v>
      </x:c>
      <x:c r="AA112" s="39" t="n">
        <x:f>'Inputs_Trades'!Z112</x:f>
        <x:v>0</x:v>
      </x:c>
      <x:c r="AB112" s="40" t="n">
        <x:f>'Inputs_Trades'!AD112</x:f>
        <x:v>-983994</x:v>
      </x:c>
      <x:c r="AC112" s="27" t="n">
        <x:f>'Inputs_Trades'!K112</x:f>
        <x:v>0</x:v>
      </x:c>
      <x:c r="AD112" s="27" t="n">
        <x:f>N112-M112</x:f>
        <x:v>4012</x:v>
      </x:c>
      <x:c r="AE112" s="41" t="n">
        <x:f>AD112/365</x:f>
        <x:v>10.991780821917809</x:v>
      </x:c>
      <x:c r="AF112" s="27" t="str">
        <x:f>IF(AE112&lt;1,"&lt;1Y",IF(AE112&lt;=5,"1Y-5Y","&gt;5Y"))</x:f>
        <x:v>&gt;5Y</x:v>
      </x:c>
      <x:c r="AG112" s="27" t="str">
        <x:f>IF(E112="Commodity",IFERROR(VLOOKUP(F112,Parameters!$P$4:$Q$12,2,FALSE),"Other"),"")</x:f>
      </x:c>
      <x:c r="AH112" s="27" t="str">
        <x:f>IF(F112="","Unknown",F112)</x:f>
        <x:v>Unknown</x:v>
      </x:c>
      <x:c r="AI112" s="27" t="str">
        <x:f>IF(E112="Interest Rate",G112&amp;IF(OR(LOWER(AC112)="basis",LOWER(AC112)="volatility"),"_"&amp;AC112,""),IF(E112="FX",IF(H112&lt;I112,H112&amp;"/"&amp;I112,I112&amp;"/"&amp;H112)&amp;IF(OR(LOWER(AC112)="basis",LOWER(AC112)="volatility"),"_"&amp;AC112,""),IF(OR(E112="Credit",E112="Equity"),J112&amp;IF(OR(LOWER(AC112)="basis",LOWER(AC112)="volatility"),"_"&amp;AC112,""),IF(E112="Commodity",AG112&amp;IF(OR(LOWER(AC112)="basis",LOWER(AC112)="volatility"),"_"&amp;AC112,""),"UNKNOWN"))))</x:f>
        <x:v>CNY</x:v>
      </x:c>
      <x:c r="AJ112" s="27" t="str">
        <x:f>T112</x:f>
        <x:v>M</x:v>
      </x:c>
      <x:c r="AK112" s="41" t="n">
        <x:f>IF(E112="Interest Rate",VLOOKUP("Interest Rate",Parameters!$D$4:$E$12,2,FALSE),IF(E112="FX",VLOOKUP("FX",Parameters!$D$4:$E$12,2,FALSE),IF(E112="Credit",IFERROR(VLOOKUP(L112,Parameters!$G$4:$H$12,2,FALSE),VLOOKUP("BBB",Parameters!$G$4:$H$12,2,FALSE)),IF(E112="Equity",VLOOKUP(IF(LOWER(K112)="index","Equity Index","Equity Single Name"),Parameters!$D$4:$E$12,2,FALSE),IF(E112="Commodity",VLOOKUP(IFERROR(VLOOKUP(F112,Parameters!$S$4:$T$12,2,FALSE),"Commodity Other"),Parameters!$D$4:$E$12,2,FALSE),0)))))</x:f>
        <x:v>0.005</x:v>
      </x:c>
      <x:c r="AL112" s="42" t="n">
        <x:f>IF(LOWER(AC112)="basis",Parameters!$B$8,IF(LOWER(AC112)="volatility",Parameters!$B$9,1))</x:f>
        <x:v>1</x:v>
      </x:c>
      <x:c r="AM112" s="41" t="n">
        <x:f>AK112*AL112</x:f>
        <x:v>0.005</x:v>
      </x:c>
      <x:c r="AN112" s="42" t="str">
        <x:f>IF(E112="Credit",VLOOKUP(IF(LOWER(K112)="index","Credit Index","Credit Single Name"),Parameters!$J$4:$K$8,2,FALSE),IF(E112="Equity",VLOOKUP(IF(LOWER(K112)="index","Equity Index","Equity Single Name"),Parameters!$J$4:$K$8,2,FALSE),IF(E112="Commodity",VLOOKUP("Commodity",Parameters!$J$4:$K$8,2,FALSE),"")))</x:f>
      </x:c>
      <x:c r="AO112" s="27" t="n">
        <x:f>MAX((O112-M112)/365,0)</x:f>
        <x:v>0</x:v>
      </x:c>
      <x:c r="AP112" s="27" t="n">
        <x:f>MAX((P112-M112)/365,10/Parameters!$B$6)</x:f>
        <x:v>10.991780821917809</x:v>
      </x:c>
      <x:c r="AQ112" s="27" t="n">
        <x:f>IF(AP112&lt;=AO112,AO112+10/Parameters!$B$6,AP112)</x:f>
        <x:v>10.991780821917809</x:v>
      </x:c>
      <x:c r="AR112" s="41" t="n">
        <x:f>IF(OR(E112="Interest Rate",E112="Credit"),(EXP(-Parameters!$B$7*AO112)-EXP(-Parameters!$B$7*AQ112))/Parameters!$B$7,1)</x:f>
        <x:v>8.456260764626268</x:v>
      </x:c>
      <x:c r="AS112" s="40" t="n">
        <x:f>IF(OR(E112="Interest Rate",E112="Credit"),ABS(Q112)*AR112,IF(E112="FX",IF(Q112&gt;0,Q112,MAX(ABS(R112),ABS(S112),ABS(Q112))),ABS(Q112)))</x:f>
        <x:v>1581320762.9851122</x:v>
      </x:c>
      <x:c r="AT112" s="42" t="n">
        <x:f>IF(OR(E112="Interest Rate",E112="FX"),VLOOKUP(E112,Parameters!$M$4:$N$11,2,FALSE),IF(E112="Credit",VLOOKUP(IF(LOWER(K112)="index","Credit Index","Credit Single Name"),Parameters!$M$4:$N$11,2,FALSE),IF(E112="Equity",VLOOKUP(IF(LOWER(K112)="index","Equity Index","Equity Single Name"),Parameters!$M$4:$N$11,2,FALSE),IF(E112="Commodity",VLOOKUP(IF(F112="Electricity","Commodity Electricity","Commodity Other"),Parameters!$M$4:$N$11,2,FALSE),1))))</x:f>
        <x:v>0.5</x:v>
      </x:c>
      <x:c r="AU112" s="27" t="n">
        <x:f>IF(W112="B",1,-1)</x:f>
        <x:v>-1</x:v>
      </x:c>
      <x:c r="AV112" s="27" t="n">
        <x:f>IF(OR(AA112="",M112=""),MAX(AE112,1/365),MAX((AA112-M112)/365,1/365))</x:f>
        <x:v>10.991780821917809</x:v>
      </x:c>
      <x:c r="AW112" s="41" t="str">
        <x:f>IF(OR(Z112&lt;=0,Y112&lt;=0,AT112&lt;=0,AV112&lt;=0),"",(LN(Z112/Y112)+0.5*AT112^2*AV112)/(AT112*SQRT(AV112)))</x:f>
      </x:c>
      <x:c r="AX112" s="41" t="n">
        <x:f>IF(AND(X112&lt;&gt;"C",X112&lt;&gt;"P"),AU112,IF(AW112="",AU112,IF(X112="C",AU112*0.5*(1+ERF(AW112/SQRT(2))),-AU112*0.5*(1+ERF(-AW112/SQRT(2))))))</x:f>
        <x:v>-1</x:v>
      </x:c>
      <x:c r="AY112" s="41" t="n">
        <x:f>IF(AJ112="M",1.5*SQRT(MAX(IF(U112="Y",5,10),IF(V112="",10,V112))/Parameters!$B$6),SQRT(MIN(MAX(AE112,10/Parameters!$B$6),1)))</x:f>
        <x:v>0.30000000000000004</x:v>
      </x:c>
      <x:c r="AZ112" s="40" t="n">
        <x:f>AS112*AX112*AY112</x:f>
        <x:v>-474396228.89553374</x:v>
      </x:c>
      <x:c r="BA112" s="40" t="n">
        <x:f>'Python_Trade_Output'!AZ112</x:f>
        <x:v>-474396228.89553374</x:v>
      </x:c>
      <x:c r="BB112" s="43" t="n">
        <x:f>AZ112-BA112</x:f>
        <x:v>0</x:v>
      </x:c>
    </x:row>
    <x:row r="113">
      <x:c r="A113" s="27" t="str">
        <x:f>'Inputs_Trades'!D113</x:f>
        <x:v>IND-000110</x:v>
      </x:c>
      <x:c r="B113" s="27" t="str">
        <x:f>'Inputs_Trades'!B113</x:f>
        <x:v>IND_CLEARING_MEMBER_001</x:v>
      </x:c>
      <x:c r="C113" s="27" t="n">
        <x:f>'Inputs_Trades'!C113</x:f>
        <x:v>3020</x:v>
      </x:c>
      <x:c r="D113" s="27" t="str">
        <x:f>'Inputs_Trades'!E113</x:f>
        <x:v>Interest Rate Swap</x:v>
      </x:c>
      <x:c r="E113" s="27" t="str">
        <x:f>'Inputs_Trades'!F113</x:f>
        <x:v>Interest Rate</x:v>
      </x:c>
      <x:c r="F113" s="27" t="n">
        <x:f>'Inputs_Trades'!G113</x:f>
        <x:v>0</x:v>
      </x:c>
      <x:c r="G113" s="27" t="str">
        <x:f>'Inputs_Trades'!J113</x:f>
        <x:v>EUR</x:v>
      </x:c>
      <x:c r="H113" s="27" t="str">
        <x:f>'Inputs_Trades'!H113</x:f>
        <x:v>EUR</x:v>
      </x:c>
      <x:c r="I113" s="27" t="str">
        <x:f>'Inputs_Trades'!I113</x:f>
        <x:v>EUR</x:v>
      </x:c>
      <x:c r="J113" s="27" t="str">
        <x:f>'Inputs_Trades'!M113</x:f>
        <x:v>EUR</x:v>
      </x:c>
      <x:c r="K113" s="27" t="n">
        <x:f>'Inputs_Trades'!N113</x:f>
        <x:v>0</x:v>
      </x:c>
      <x:c r="L113" s="27" t="n">
        <x:f>'Inputs_Trades'!O113</x:f>
        <x:v>0</x:v>
      </x:c>
      <x:c r="M113" s="39" t="n">
        <x:f>'Inputs_Trades'!A113</x:f>
        <x:v>45702</x:v>
      </x:c>
      <x:c r="N113" s="39" t="n">
        <x:f>'Inputs_Trades'!P113</x:f>
        <x:v>48124</x:v>
      </x:c>
      <x:c r="O113" s="39" t="n">
        <x:f>'Inputs_Trades'!Q113</x:f>
        <x:v>45121</x:v>
      </x:c>
      <x:c r="P113" s="39" t="n">
        <x:f>'Inputs_Trades'!R113</x:f>
        <x:v>48124</x:v>
      </x:c>
      <x:c r="Q113" s="40" t="n">
        <x:f>'Inputs_Trades'!U113</x:f>
        <x:v>523000000</x:v>
      </x:c>
      <x:c r="R113" s="40" t="n">
        <x:f>'Inputs_Trades'!S113</x:f>
        <x:v>498095238.1</x:v>
      </x:c>
      <x:c r="S113" s="40" t="n">
        <x:f>'Inputs_Trades'!T113</x:f>
        <x:v>498095238.1</x:v>
      </x:c>
      <x:c r="T113" s="27" t="str">
        <x:f>'Inputs_Trades'!V113</x:f>
        <x:v>M</x:v>
      </x:c>
      <x:c r="U113" s="27" t="str">
        <x:f>'Inputs_Trades'!W113</x:f>
        <x:v>N</x:v>
      </x:c>
      <x:c r="V113" s="27" t="n">
        <x:f>'Inputs_Trades'!X113</x:f>
        <x:v>10</x:v>
      </x:c>
      <x:c r="W113" s="27" t="str">
        <x:f>'Inputs_Trades'!Y113</x:f>
        <x:v>S</x:v>
      </x:c>
      <x:c r="X113" s="27" t="n">
        <x:f>'Inputs_Trades'!AA113</x:f>
        <x:v>0</x:v>
      </x:c>
      <x:c r="Y113" s="27" t="n">
        <x:f>'Inputs_Trades'!AB113</x:f>
        <x:v>0</x:v>
      </x:c>
      <x:c r="Z113" s="27" t="n">
        <x:f>'Inputs_Trades'!AC113</x:f>
        <x:v>0</x:v>
      </x:c>
      <x:c r="AA113" s="39" t="n">
        <x:f>'Inputs_Trades'!Z113</x:f>
        <x:v>0</x:v>
      </x:c>
      <x:c r="AB113" s="40" t="n">
        <x:f>'Inputs_Trades'!AD113</x:f>
        <x:v>1838868</x:v>
      </x:c>
      <x:c r="AC113" s="27" t="n">
        <x:f>'Inputs_Trades'!K113</x:f>
        <x:v>0</x:v>
      </x:c>
      <x:c r="AD113" s="27" t="n">
        <x:f>N113-M113</x:f>
        <x:v>2422</x:v>
      </x:c>
      <x:c r="AE113" s="41" t="n">
        <x:f>AD113/365</x:f>
        <x:v>6.635616438356164</x:v>
      </x:c>
      <x:c r="AF113" s="27" t="str">
        <x:f>IF(AE113&lt;1,"&lt;1Y",IF(AE113&lt;=5,"1Y-5Y","&gt;5Y"))</x:f>
        <x:v>&gt;5Y</x:v>
      </x:c>
      <x:c r="AG113" s="27" t="str">
        <x:f>IF(E113="Commodity",IFERROR(VLOOKUP(F113,Parameters!$P$4:$Q$12,2,FALSE),"Other"),"")</x:f>
      </x:c>
      <x:c r="AH113" s="27" t="str">
        <x:f>IF(F113="","Unknown",F113)</x:f>
        <x:v>Unknown</x:v>
      </x:c>
      <x:c r="AI113" s="27" t="str">
        <x:f>IF(E113="Interest Rate",G113&amp;IF(OR(LOWER(AC113)="basis",LOWER(AC113)="volatility"),"_"&amp;AC113,""),IF(E113="FX",IF(H113&lt;I113,H113&amp;"/"&amp;I113,I113&amp;"/"&amp;H113)&amp;IF(OR(LOWER(AC113)="basis",LOWER(AC113)="volatility"),"_"&amp;AC113,""),IF(OR(E113="Credit",E113="Equity"),J113&amp;IF(OR(LOWER(AC113)="basis",LOWER(AC113)="volatility"),"_"&amp;AC113,""),IF(E113="Commodity",AG113&amp;IF(OR(LOWER(AC113)="basis",LOWER(AC113)="volatility"),"_"&amp;AC113,""),"UNKNOWN"))))</x:f>
        <x:v>EUR</x:v>
      </x:c>
      <x:c r="AJ113" s="27" t="str">
        <x:f>T113</x:f>
        <x:v>M</x:v>
      </x:c>
      <x:c r="AK113" s="41" t="n">
        <x:f>IF(E113="Interest Rate",VLOOKUP("Interest Rate",Parameters!$D$4:$E$12,2,FALSE),IF(E113="FX",VLOOKUP("FX",Parameters!$D$4:$E$12,2,FALSE),IF(E113="Credit",IFERROR(VLOOKUP(L113,Parameters!$G$4:$H$12,2,FALSE),VLOOKUP("BBB",Parameters!$G$4:$H$12,2,FALSE)),IF(E113="Equity",VLOOKUP(IF(LOWER(K113)="index","Equity Index","Equity Single Name"),Parameters!$D$4:$E$12,2,FALSE),IF(E113="Commodity",VLOOKUP(IFERROR(VLOOKUP(F113,Parameters!$S$4:$T$12,2,FALSE),"Commodity Other"),Parameters!$D$4:$E$12,2,FALSE),0)))))</x:f>
        <x:v>0.005</x:v>
      </x:c>
      <x:c r="AL113" s="42" t="n">
        <x:f>IF(LOWER(AC113)="basis",Parameters!$B$8,IF(LOWER(AC113)="volatility",Parameters!$B$9,1))</x:f>
        <x:v>1</x:v>
      </x:c>
      <x:c r="AM113" s="41" t="n">
        <x:f>AK113*AL113</x:f>
        <x:v>0.005</x:v>
      </x:c>
      <x:c r="AN113" s="42" t="str">
        <x:f>IF(E113="Credit",VLOOKUP(IF(LOWER(K113)="index","Credit Index","Credit Single Name"),Parameters!$J$4:$K$8,2,FALSE),IF(E113="Equity",VLOOKUP(IF(LOWER(K113)="index","Equity Index","Equity Single Name"),Parameters!$J$4:$K$8,2,FALSE),IF(E113="Commodity",VLOOKUP("Commodity",Parameters!$J$4:$K$8,2,FALSE),"")))</x:f>
      </x:c>
      <x:c r="AO113" s="27" t="n">
        <x:f>MAX((O113-M113)/365,0)</x:f>
        <x:v>0</x:v>
      </x:c>
      <x:c r="AP113" s="27" t="n">
        <x:f>MAX((P113-M113)/365,10/Parameters!$B$6)</x:f>
        <x:v>6.635616438356164</x:v>
      </x:c>
      <x:c r="AQ113" s="27" t="n">
        <x:f>IF(AP113&lt;=AO113,AO113+10/Parameters!$B$6,AP113)</x:f>
        <x:v>6.635616438356164</x:v>
      </x:c>
      <x:c r="AR113" s="41" t="n">
        <x:f>IF(OR(E113="Interest Rate",E113="Credit"),(EXP(-Parameters!$B$7*AO113)-EXP(-Parameters!$B$7*AQ113))/Parameters!$B$7,1)</x:f>
        <x:v>5.647108048303586</x:v>
      </x:c>
      <x:c r="AS113" s="40" t="n">
        <x:f>IF(OR(E113="Interest Rate",E113="Credit"),ABS(Q113)*AR113,IF(E113="FX",IF(Q113&gt;0,Q113,MAX(ABS(R113),ABS(S113),ABS(Q113))),ABS(Q113)))</x:f>
        <x:v>2953437509.2627754</x:v>
      </x:c>
      <x:c r="AT113" s="42" t="n">
        <x:f>IF(OR(E113="Interest Rate",E113="FX"),VLOOKUP(E113,Parameters!$M$4:$N$11,2,FALSE),IF(E113="Credit",VLOOKUP(IF(LOWER(K113)="index","Credit Index","Credit Single Name"),Parameters!$M$4:$N$11,2,FALSE),IF(E113="Equity",VLOOKUP(IF(LOWER(K113)="index","Equity Index","Equity Single Name"),Parameters!$M$4:$N$11,2,FALSE),IF(E113="Commodity",VLOOKUP(IF(F113="Electricity","Commodity Electricity","Commodity Other"),Parameters!$M$4:$N$11,2,FALSE),1))))</x:f>
        <x:v>0.5</x:v>
      </x:c>
      <x:c r="AU113" s="27" t="n">
        <x:f>IF(W113="B",1,-1)</x:f>
        <x:v>-1</x:v>
      </x:c>
      <x:c r="AV113" s="27" t="n">
        <x:f>IF(OR(AA113="",M113=""),MAX(AE113,1/365),MAX((AA113-M113)/365,1/365))</x:f>
        <x:v>6.635616438356164</x:v>
      </x:c>
      <x:c r="AW113" s="41" t="str">
        <x:f>IF(OR(Z113&lt;=0,Y113&lt;=0,AT113&lt;=0,AV113&lt;=0),"",(LN(Z113/Y113)+0.5*AT113^2*AV113)/(AT113*SQRT(AV113)))</x:f>
      </x:c>
      <x:c r="AX113" s="41" t="n">
        <x:f>IF(AND(X113&lt;&gt;"C",X113&lt;&gt;"P"),AU113,IF(AW113="",AU113,IF(X113="C",AU113*0.5*(1+ERF(AW113/SQRT(2))),-AU113*0.5*(1+ERF(-AW113/SQRT(2))))))</x:f>
        <x:v>-1</x:v>
      </x:c>
      <x:c r="AY113" s="41" t="n">
        <x:f>IF(AJ113="M",1.5*SQRT(MAX(IF(U113="Y",5,10),IF(V113="",10,V113))/Parameters!$B$6),SQRT(MIN(MAX(AE113,10/Parameters!$B$6),1)))</x:f>
        <x:v>0.30000000000000004</x:v>
      </x:c>
      <x:c r="AZ113" s="40" t="n">
        <x:f>AS113*AX113*AY113</x:f>
        <x:v>-886031252.7788328</x:v>
      </x:c>
      <x:c r="BA113" s="40" t="n">
        <x:f>'Python_Trade_Output'!AZ113</x:f>
        <x:v>-886031252.7788328</x:v>
      </x:c>
      <x:c r="BB113" s="43" t="n">
        <x:f>AZ113-BA113</x:f>
        <x:v>0</x:v>
      </x:c>
    </x:row>
    <x:row r="114">
      <x:c r="A114" s="27" t="str">
        <x:f>'Inputs_Trades'!D114</x:f>
        <x:v>IND-000111</x:v>
      </x:c>
      <x:c r="B114" s="27" t="str">
        <x:f>'Inputs_Trades'!B114</x:f>
        <x:v>IND_SOVEREIGN_001</x:v>
      </x:c>
      <x:c r="C114" s="27" t="n">
        <x:f>'Inputs_Trades'!C114</x:f>
        <x:v>3246</x:v>
      </x:c>
      <x:c r="D114" s="27" t="str">
        <x:f>'Inputs_Trades'!E114</x:f>
        <x:v>Interest Rate Swap</x:v>
      </x:c>
      <x:c r="E114" s="27" t="str">
        <x:f>'Inputs_Trades'!F114</x:f>
        <x:v>Interest Rate</x:v>
      </x:c>
      <x:c r="F114" s="27" t="n">
        <x:f>'Inputs_Trades'!G114</x:f>
        <x:v>0</x:v>
      </x:c>
      <x:c r="G114" s="27" t="str">
        <x:f>'Inputs_Trades'!J114</x:f>
        <x:v>CNY</x:v>
      </x:c>
      <x:c r="H114" s="27" t="str">
        <x:f>'Inputs_Trades'!H114</x:f>
        <x:v>CNY</x:v>
      </x:c>
      <x:c r="I114" s="27" t="str">
        <x:f>'Inputs_Trades'!I114</x:f>
        <x:v>CNY</x:v>
      </x:c>
      <x:c r="J114" s="27" t="str">
        <x:f>'Inputs_Trades'!M114</x:f>
        <x:v>CNY</x:v>
      </x:c>
      <x:c r="K114" s="27" t="n">
        <x:f>'Inputs_Trades'!N114</x:f>
        <x:v>0</x:v>
      </x:c>
      <x:c r="L114" s="27" t="n">
        <x:f>'Inputs_Trades'!O114</x:f>
        <x:v>0</x:v>
      </x:c>
      <x:c r="M114" s="39" t="n">
        <x:f>'Inputs_Trades'!A114</x:f>
        <x:v>45702</x:v>
      </x:c>
      <x:c r="N114" s="39" t="n">
        <x:f>'Inputs_Trades'!P114</x:f>
        <x:v>46668</x:v>
      </x:c>
      <x:c r="O114" s="39" t="n">
        <x:f>'Inputs_Trades'!Q114</x:f>
        <x:v>45472</x:v>
      </x:c>
      <x:c r="P114" s="39" t="n">
        <x:f>'Inputs_Trades'!R114</x:f>
        <x:v>46668</x:v>
      </x:c>
      <x:c r="Q114" s="40" t="n">
        <x:f>'Inputs_Trades'!U114</x:f>
        <x:v>974000000</x:v>
      </x:c>
      <x:c r="R114" s="40" t="n">
        <x:f>'Inputs_Trades'!S114</x:f>
        <x:v>6957142857.14</x:v>
      </x:c>
      <x:c r="S114" s="40" t="n">
        <x:f>'Inputs_Trades'!T114</x:f>
        <x:v>6957142857.14</x:v>
      </x:c>
      <x:c r="T114" s="27" t="str">
        <x:f>'Inputs_Trades'!V114</x:f>
        <x:v>M</x:v>
      </x:c>
      <x:c r="U114" s="27" t="str">
        <x:f>'Inputs_Trades'!W114</x:f>
        <x:v>N</x:v>
      </x:c>
      <x:c r="V114" s="27" t="n">
        <x:f>'Inputs_Trades'!X114</x:f>
        <x:v>10</x:v>
      </x:c>
      <x:c r="W114" s="27" t="str">
        <x:f>'Inputs_Trades'!Y114</x:f>
        <x:v>S</x:v>
      </x:c>
      <x:c r="X114" s="27" t="n">
        <x:f>'Inputs_Trades'!AA114</x:f>
        <x:v>0</x:v>
      </x:c>
      <x:c r="Y114" s="27" t="n">
        <x:f>'Inputs_Trades'!AB114</x:f>
        <x:v>0</x:v>
      </x:c>
      <x:c r="Z114" s="27" t="n">
        <x:f>'Inputs_Trades'!AC114</x:f>
        <x:v>0</x:v>
      </x:c>
      <x:c r="AA114" s="39" t="n">
        <x:f>'Inputs_Trades'!Z114</x:f>
        <x:v>0</x:v>
      </x:c>
      <x:c r="AB114" s="40" t="n">
        <x:f>'Inputs_Trades'!AD114</x:f>
        <x:v>-1852548</x:v>
      </x:c>
      <x:c r="AC114" s="27" t="n">
        <x:f>'Inputs_Trades'!K114</x:f>
        <x:v>0</x:v>
      </x:c>
      <x:c r="AD114" s="27" t="n">
        <x:f>N114-M114</x:f>
        <x:v>966</x:v>
      </x:c>
      <x:c r="AE114" s="41" t="n">
        <x:f>AD114/365</x:f>
        <x:v>2.6465753424657534</x:v>
      </x:c>
      <x:c r="AF114" s="27" t="str">
        <x:f>IF(AE114&lt;1,"&lt;1Y",IF(AE114&lt;=5,"1Y-5Y","&gt;5Y"))</x:f>
        <x:v>1Y-5Y</x:v>
      </x:c>
      <x:c r="AG114" s="27" t="str">
        <x:f>IF(E114="Commodity",IFERROR(VLOOKUP(F114,Parameters!$P$4:$Q$12,2,FALSE),"Other"),"")</x:f>
      </x:c>
      <x:c r="AH114" s="27" t="str">
        <x:f>IF(F114="","Unknown",F114)</x:f>
        <x:v>Unknown</x:v>
      </x:c>
      <x:c r="AI114" s="27" t="str">
        <x:f>IF(E114="Interest Rate",G114&amp;IF(OR(LOWER(AC114)="basis",LOWER(AC114)="volatility"),"_"&amp;AC114,""),IF(E114="FX",IF(H114&lt;I114,H114&amp;"/"&amp;I114,I114&amp;"/"&amp;H114)&amp;IF(OR(LOWER(AC114)="basis",LOWER(AC114)="volatility"),"_"&amp;AC114,""),IF(OR(E114="Credit",E114="Equity"),J114&amp;IF(OR(LOWER(AC114)="basis",LOWER(AC114)="volatility"),"_"&amp;AC114,""),IF(E114="Commodity",AG114&amp;IF(OR(LOWER(AC114)="basis",LOWER(AC114)="volatility"),"_"&amp;AC114,""),"UNKNOWN"))))</x:f>
        <x:v>CNY</x:v>
      </x:c>
      <x:c r="AJ114" s="27" t="str">
        <x:f>T114</x:f>
        <x:v>M</x:v>
      </x:c>
      <x:c r="AK114" s="41" t="n">
        <x:f>IF(E114="Interest Rate",VLOOKUP("Interest Rate",Parameters!$D$4:$E$12,2,FALSE),IF(E114="FX",VLOOKUP("FX",Parameters!$D$4:$E$12,2,FALSE),IF(E114="Credit",IFERROR(VLOOKUP(L114,Parameters!$G$4:$H$12,2,FALSE),VLOOKUP("BBB",Parameters!$G$4:$H$12,2,FALSE)),IF(E114="Equity",VLOOKUP(IF(LOWER(K114)="index","Equity Index","Equity Single Name"),Parameters!$D$4:$E$12,2,FALSE),IF(E114="Commodity",VLOOKUP(IFERROR(VLOOKUP(F114,Parameters!$S$4:$T$12,2,FALSE),"Commodity Other"),Parameters!$D$4:$E$12,2,FALSE),0)))))</x:f>
        <x:v>0.005</x:v>
      </x:c>
      <x:c r="AL114" s="42" t="n">
        <x:f>IF(LOWER(AC114)="basis",Parameters!$B$8,IF(LOWER(AC114)="volatility",Parameters!$B$9,1))</x:f>
        <x:v>1</x:v>
      </x:c>
      <x:c r="AM114" s="41" t="n">
        <x:f>AK114*AL114</x:f>
        <x:v>0.005</x:v>
      </x:c>
      <x:c r="AN114" s="42" t="str">
        <x:f>IF(E114="Credit",VLOOKUP(IF(LOWER(K114)="index","Credit Index","Credit Single Name"),Parameters!$J$4:$K$8,2,FALSE),IF(E114="Equity",VLOOKUP(IF(LOWER(K114)="index","Equity Index","Equity Single Name"),Parameters!$J$4:$K$8,2,FALSE),IF(E114="Commodity",VLOOKUP("Commodity",Parameters!$J$4:$K$8,2,FALSE),"")))</x:f>
      </x:c>
      <x:c r="AO114" s="27" t="n">
        <x:f>MAX((O114-M114)/365,0)</x:f>
        <x:v>0</x:v>
      </x:c>
      <x:c r="AP114" s="27" t="n">
        <x:f>MAX((P114-M114)/365,10/Parameters!$B$6)</x:f>
        <x:v>2.6465753424657534</x:v>
      </x:c>
      <x:c r="AQ114" s="27" t="n">
        <x:f>IF(AP114&lt;=AO114,AO114+10/Parameters!$B$6,AP114)</x:f>
        <x:v>2.6465753424657534</x:v>
      </x:c>
      <x:c r="AR114" s="41" t="n">
        <x:f>IF(OR(E114="Interest Rate",E114="Credit"),(EXP(-Parameters!$B$7*AO114)-EXP(-Parameters!$B$7*AQ114))/Parameters!$B$7,1)</x:f>
        <x:v>2.4789413934578675</x:v>
      </x:c>
      <x:c r="AS114" s="40" t="n">
        <x:f>IF(OR(E114="Interest Rate",E114="Credit"),ABS(Q114)*AR114,IF(E114="FX",IF(Q114&gt;0,Q114,MAX(ABS(R114),ABS(S114),ABS(Q114))),ABS(Q114)))</x:f>
        <x:v>2414488917.227963</x:v>
      </x:c>
      <x:c r="AT114" s="42" t="n">
        <x:f>IF(OR(E114="Interest Rate",E114="FX"),VLOOKUP(E114,Parameters!$M$4:$N$11,2,FALSE),IF(E114="Credit",VLOOKUP(IF(LOWER(K114)="index","Credit Index","Credit Single Name"),Parameters!$M$4:$N$11,2,FALSE),IF(E114="Equity",VLOOKUP(IF(LOWER(K114)="index","Equity Index","Equity Single Name"),Parameters!$M$4:$N$11,2,FALSE),IF(E114="Commodity",VLOOKUP(IF(F114="Electricity","Commodity Electricity","Commodity Other"),Parameters!$M$4:$N$11,2,FALSE),1))))</x:f>
        <x:v>0.5</x:v>
      </x:c>
      <x:c r="AU114" s="27" t="n">
        <x:f>IF(W114="B",1,-1)</x:f>
        <x:v>-1</x:v>
      </x:c>
      <x:c r="AV114" s="27" t="n">
        <x:f>IF(OR(AA114="",M114=""),MAX(AE114,1/365),MAX((AA114-M114)/365,1/365))</x:f>
        <x:v>2.6465753424657534</x:v>
      </x:c>
      <x:c r="AW114" s="41" t="str">
        <x:f>IF(OR(Z114&lt;=0,Y114&lt;=0,AT114&lt;=0,AV114&lt;=0),"",(LN(Z114/Y114)+0.5*AT114^2*AV114)/(AT114*SQRT(AV114)))</x:f>
      </x:c>
      <x:c r="AX114" s="41" t="n">
        <x:f>IF(AND(X114&lt;&gt;"C",X114&lt;&gt;"P"),AU114,IF(AW114="",AU114,IF(X114="C",AU114*0.5*(1+ERF(AW114/SQRT(2))),-AU114*0.5*(1+ERF(-AW114/SQRT(2))))))</x:f>
        <x:v>-1</x:v>
      </x:c>
      <x:c r="AY114" s="41" t="n">
        <x:f>IF(AJ114="M",1.5*SQRT(MAX(IF(U114="Y",5,10),IF(V114="",10,V114))/Parameters!$B$6),SQRT(MIN(MAX(AE114,10/Parameters!$B$6),1)))</x:f>
        <x:v>0.30000000000000004</x:v>
      </x:c>
      <x:c r="AZ114" s="40" t="n">
        <x:f>AS114*AX114*AY114</x:f>
        <x:v>-724346675.168389</x:v>
      </x:c>
      <x:c r="BA114" s="40" t="n">
        <x:f>'Python_Trade_Output'!AZ114</x:f>
        <x:v>-724346675.168389</x:v>
      </x:c>
      <x:c r="BB114" s="43" t="n">
        <x:f>AZ114-BA114</x:f>
        <x:v>0</x:v>
      </x:c>
    </x:row>
    <x:row r="115">
      <x:c r="A115" s="27" t="str">
        <x:f>'Inputs_Trades'!D115</x:f>
        <x:v>IND-000112</x:v>
      </x:c>
      <x:c r="B115" s="27" t="str">
        <x:f>'Inputs_Trades'!B115</x:f>
        <x:v>IND_REGIONAL_BANK_001</x:v>
      </x:c>
      <x:c r="C115" s="27" t="n">
        <x:f>'Inputs_Trades'!C115</x:f>
        <x:v>3315</x:v>
      </x:c>
      <x:c r="D115" s="27" t="str">
        <x:f>'Inputs_Trades'!E115</x:f>
        <x:v>Interest Rate Swap</x:v>
      </x:c>
      <x:c r="E115" s="27" t="str">
        <x:f>'Inputs_Trades'!F115</x:f>
        <x:v>Interest Rate</x:v>
      </x:c>
      <x:c r="F115" s="27" t="n">
        <x:f>'Inputs_Trades'!G115</x:f>
        <x:v>0</x:v>
      </x:c>
      <x:c r="G115" s="27" t="str">
        <x:f>'Inputs_Trades'!J115</x:f>
        <x:v>JPY</x:v>
      </x:c>
      <x:c r="H115" s="27" t="str">
        <x:f>'Inputs_Trades'!H115</x:f>
        <x:v>JPY</x:v>
      </x:c>
      <x:c r="I115" s="27" t="str">
        <x:f>'Inputs_Trades'!I115</x:f>
        <x:v>JPY</x:v>
      </x:c>
      <x:c r="J115" s="27" t="str">
        <x:f>'Inputs_Trades'!M115</x:f>
        <x:v>JPY</x:v>
      </x:c>
      <x:c r="K115" s="27" t="n">
        <x:f>'Inputs_Trades'!N115</x:f>
        <x:v>0</x:v>
      </x:c>
      <x:c r="L115" s="27" t="n">
        <x:f>'Inputs_Trades'!O115</x:f>
        <x:v>0</x:v>
      </x:c>
      <x:c r="M115" s="39" t="n">
        <x:f>'Inputs_Trades'!A115</x:f>
        <x:v>45702</x:v>
      </x:c>
      <x:c r="N115" s="39" t="n">
        <x:f>'Inputs_Trades'!P115</x:f>
        <x:v>47585</x:v>
      </x:c>
      <x:c r="O115" s="39" t="n">
        <x:f>'Inputs_Trades'!Q115</x:f>
        <x:v>45515</x:v>
      </x:c>
      <x:c r="P115" s="39" t="n">
        <x:f>'Inputs_Trades'!R115</x:f>
        <x:v>47585</x:v>
      </x:c>
      <x:c r="Q115" s="40" t="n">
        <x:f>'Inputs_Trades'!U115</x:f>
        <x:v>162000000</x:v>
      </x:c>
      <x:c r="R115" s="40" t="n">
        <x:f>'Inputs_Trades'!S115</x:f>
        <x:v>24179104477.61</x:v>
      </x:c>
      <x:c r="S115" s="40" t="n">
        <x:f>'Inputs_Trades'!T115</x:f>
        <x:v>24179104477.61</x:v>
      </x:c>
      <x:c r="T115" s="27" t="str">
        <x:f>'Inputs_Trades'!V115</x:f>
        <x:v>M</x:v>
      </x:c>
      <x:c r="U115" s="27" t="str">
        <x:f>'Inputs_Trades'!W115</x:f>
        <x:v>N</x:v>
      </x:c>
      <x:c r="V115" s="27" t="n">
        <x:f>'Inputs_Trades'!X115</x:f>
        <x:v>10</x:v>
      </x:c>
      <x:c r="W115" s="27" t="str">
        <x:f>'Inputs_Trades'!Y115</x:f>
        <x:v>B</x:v>
      </x:c>
      <x:c r="X115" s="27" t="n">
        <x:f>'Inputs_Trades'!AA115</x:f>
        <x:v>0</x:v>
      </x:c>
      <x:c r="Y115" s="27" t="n">
        <x:f>'Inputs_Trades'!AB115</x:f>
        <x:v>0</x:v>
      </x:c>
      <x:c r="Z115" s="27" t="n">
        <x:f>'Inputs_Trades'!AC115</x:f>
        <x:v>0</x:v>
      </x:c>
      <x:c r="AA115" s="39" t="n">
        <x:f>'Inputs_Trades'!Z115</x:f>
        <x:v>0</x:v>
      </x:c>
      <x:c r="AB115" s="40" t="n">
        <x:f>'Inputs_Trades'!AD115</x:f>
        <x:v>-635688</x:v>
      </x:c>
      <x:c r="AC115" s="27" t="n">
        <x:f>'Inputs_Trades'!K115</x:f>
        <x:v>0</x:v>
      </x:c>
      <x:c r="AD115" s="27" t="n">
        <x:f>N115-M115</x:f>
        <x:v>1883</x:v>
      </x:c>
      <x:c r="AE115" s="41" t="n">
        <x:f>AD115/365</x:f>
        <x:v>5.158904109589041</x:v>
      </x:c>
      <x:c r="AF115" s="27" t="str">
        <x:f>IF(AE115&lt;1,"&lt;1Y",IF(AE115&lt;=5,"1Y-5Y","&gt;5Y"))</x:f>
        <x:v>&gt;5Y</x:v>
      </x:c>
      <x:c r="AG115" s="27" t="str">
        <x:f>IF(E115="Commodity",IFERROR(VLOOKUP(F115,Parameters!$P$4:$Q$12,2,FALSE),"Other"),"")</x:f>
      </x:c>
      <x:c r="AH115" s="27" t="str">
        <x:f>IF(F115="","Unknown",F115)</x:f>
        <x:v>Unknown</x:v>
      </x:c>
      <x:c r="AI115" s="27" t="str">
        <x:f>IF(E115="Interest Rate",G115&amp;IF(OR(LOWER(AC115)="basis",LOWER(AC115)="volatility"),"_"&amp;AC115,""),IF(E115="FX",IF(H115&lt;I115,H115&amp;"/"&amp;I115,I115&amp;"/"&amp;H115)&amp;IF(OR(LOWER(AC115)="basis",LOWER(AC115)="volatility"),"_"&amp;AC115,""),IF(OR(E115="Credit",E115="Equity"),J115&amp;IF(OR(LOWER(AC115)="basis",LOWER(AC115)="volatility"),"_"&amp;AC115,""),IF(E115="Commodity",AG115&amp;IF(OR(LOWER(AC115)="basis",LOWER(AC115)="volatility"),"_"&amp;AC115,""),"UNKNOWN"))))</x:f>
        <x:v>JPY</x:v>
      </x:c>
      <x:c r="AJ115" s="27" t="str">
        <x:f>T115</x:f>
        <x:v>M</x:v>
      </x:c>
      <x:c r="AK115" s="41" t="n">
        <x:f>IF(E115="Interest Rate",VLOOKUP("Interest Rate",Parameters!$D$4:$E$12,2,FALSE),IF(E115="FX",VLOOKUP("FX",Parameters!$D$4:$E$12,2,FALSE),IF(E115="Credit",IFERROR(VLOOKUP(L115,Parameters!$G$4:$H$12,2,FALSE),VLOOKUP("BBB",Parameters!$G$4:$H$12,2,FALSE)),IF(E115="Equity",VLOOKUP(IF(LOWER(K115)="index","Equity Index","Equity Single Name"),Parameters!$D$4:$E$12,2,FALSE),IF(E115="Commodity",VLOOKUP(IFERROR(VLOOKUP(F115,Parameters!$S$4:$T$12,2,FALSE),"Commodity Other"),Parameters!$D$4:$E$12,2,FALSE),0)))))</x:f>
        <x:v>0.005</x:v>
      </x:c>
      <x:c r="AL115" s="42" t="n">
        <x:f>IF(LOWER(AC115)="basis",Parameters!$B$8,IF(LOWER(AC115)="volatility",Parameters!$B$9,1))</x:f>
        <x:v>1</x:v>
      </x:c>
      <x:c r="AM115" s="41" t="n">
        <x:f>AK115*AL115</x:f>
        <x:v>0.005</x:v>
      </x:c>
      <x:c r="AN115" s="42" t="str">
        <x:f>IF(E115="Credit",VLOOKUP(IF(LOWER(K115)="index","Credit Index","Credit Single Name"),Parameters!$J$4:$K$8,2,FALSE),IF(E115="Equity",VLOOKUP(IF(LOWER(K115)="index","Equity Index","Equity Single Name"),Parameters!$J$4:$K$8,2,FALSE),IF(E115="Commodity",VLOOKUP("Commodity",Parameters!$J$4:$K$8,2,FALSE),"")))</x:f>
      </x:c>
      <x:c r="AO115" s="27" t="n">
        <x:f>MAX((O115-M115)/365,0)</x:f>
        <x:v>0</x:v>
      </x:c>
      <x:c r="AP115" s="27" t="n">
        <x:f>MAX((P115-M115)/365,10/Parameters!$B$6)</x:f>
        <x:v>5.158904109589041</x:v>
      </x:c>
      <x:c r="AQ115" s="27" t="n">
        <x:f>IF(AP115&lt;=AO115,AO115+10/Parameters!$B$6,AP115)</x:f>
        <x:v>5.158904109589041</x:v>
      </x:c>
      <x:c r="AR115" s="41" t="n">
        <x:f>IF(OR(E115="Interest Rate",E115="Credit"),(EXP(-Parameters!$B$7*AO115)-EXP(-Parameters!$B$7*AQ115))/Parameters!$B$7,1)</x:f>
        <x:v>4.547248654957891</x:v>
      </x:c>
      <x:c r="AS115" s="40" t="n">
        <x:f>IF(OR(E115="Interest Rate",E115="Credit"),ABS(Q115)*AR115,IF(E115="FX",IF(Q115&gt;0,Q115,MAX(ABS(R115),ABS(S115),ABS(Q115))),ABS(Q115)))</x:f>
        <x:v>736654282.1031784</x:v>
      </x:c>
      <x:c r="AT115" s="42" t="n">
        <x:f>IF(OR(E115="Interest Rate",E115="FX"),VLOOKUP(E115,Parameters!$M$4:$N$11,2,FALSE),IF(E115="Credit",VLOOKUP(IF(LOWER(K115)="index","Credit Index","Credit Single Name"),Parameters!$M$4:$N$11,2,FALSE),IF(E115="Equity",VLOOKUP(IF(LOWER(K115)="index","Equity Index","Equity Single Name"),Parameters!$M$4:$N$11,2,FALSE),IF(E115="Commodity",VLOOKUP(IF(F115="Electricity","Commodity Electricity","Commodity Other"),Parameters!$M$4:$N$11,2,FALSE),1))))</x:f>
        <x:v>0.5</x:v>
      </x:c>
      <x:c r="AU115" s="27" t="n">
        <x:f>IF(W115="B",1,-1)</x:f>
        <x:v>1</x:v>
      </x:c>
      <x:c r="AV115" s="27" t="n">
        <x:f>IF(OR(AA115="",M115=""),MAX(AE115,1/365),MAX((AA115-M115)/365,1/365))</x:f>
        <x:v>5.158904109589041</x:v>
      </x:c>
      <x:c r="AW115" s="41" t="str">
        <x:f>IF(OR(Z115&lt;=0,Y115&lt;=0,AT115&lt;=0,AV115&lt;=0),"",(LN(Z115/Y115)+0.5*AT115^2*AV115)/(AT115*SQRT(AV115)))</x:f>
      </x:c>
      <x:c r="AX115" s="41" t="n">
        <x:f>IF(AND(X115&lt;&gt;"C",X115&lt;&gt;"P"),AU115,IF(AW115="",AU115,IF(X115="C",AU115*0.5*(1+ERF(AW115/SQRT(2))),-AU115*0.5*(1+ERF(-AW115/SQRT(2))))))</x:f>
        <x:v>1</x:v>
      </x:c>
      <x:c r="AY115" s="41" t="n">
        <x:f>IF(AJ115="M",1.5*SQRT(MAX(IF(U115="Y",5,10),IF(V115="",10,V115))/Parameters!$B$6),SQRT(MIN(MAX(AE115,10/Parameters!$B$6),1)))</x:f>
        <x:v>0.30000000000000004</x:v>
      </x:c>
      <x:c r="AZ115" s="40" t="n">
        <x:f>AS115*AX115*AY115</x:f>
        <x:v>220996284.63095355</x:v>
      </x:c>
      <x:c r="BA115" s="40" t="n">
        <x:f>'Python_Trade_Output'!AZ115</x:f>
        <x:v>220996284.63095355</x:v>
      </x:c>
      <x:c r="BB115" s="43" t="n">
        <x:f>AZ115-BA115</x:f>
        <x:v>0</x:v>
      </x:c>
    </x:row>
    <x:row r="116">
      <x:c r="A116" s="27" t="str">
        <x:f>'Inputs_Trades'!D116</x:f>
        <x:v>IND-000113</x:v>
      </x:c>
      <x:c r="B116" s="27" t="str">
        <x:f>'Inputs_Trades'!B116</x:f>
        <x:v>IND_PENSION_001</x:v>
      </x:c>
      <x:c r="C116" s="27" t="n">
        <x:f>'Inputs_Trades'!C116</x:f>
        <x:v>3103</x:v>
      </x:c>
      <x:c r="D116" s="27" t="str">
        <x:f>'Inputs_Trades'!E116</x:f>
        <x:v>Interest Rate Swap</x:v>
      </x:c>
      <x:c r="E116" s="27" t="str">
        <x:f>'Inputs_Trades'!F116</x:f>
        <x:v>Interest Rate</x:v>
      </x:c>
      <x:c r="F116" s="27" t="n">
        <x:f>'Inputs_Trades'!G116</x:f>
        <x:v>0</x:v>
      </x:c>
      <x:c r="G116" s="27" t="str">
        <x:f>'Inputs_Trades'!J116</x:f>
        <x:v>USD</x:v>
      </x:c>
      <x:c r="H116" s="27" t="str">
        <x:f>'Inputs_Trades'!H116</x:f>
        <x:v>USD</x:v>
      </x:c>
      <x:c r="I116" s="27" t="str">
        <x:f>'Inputs_Trades'!I116</x:f>
        <x:v>USD</x:v>
      </x:c>
      <x:c r="J116" s="27" t="str">
        <x:f>'Inputs_Trades'!M116</x:f>
        <x:v>USD</x:v>
      </x:c>
      <x:c r="K116" s="27" t="n">
        <x:f>'Inputs_Trades'!N116</x:f>
        <x:v>0</x:v>
      </x:c>
      <x:c r="L116" s="27" t="n">
        <x:f>'Inputs_Trades'!O116</x:f>
        <x:v>0</x:v>
      </x:c>
      <x:c r="M116" s="39" t="n">
        <x:f>'Inputs_Trades'!A116</x:f>
        <x:v>45702</x:v>
      </x:c>
      <x:c r="N116" s="39" t="n">
        <x:f>'Inputs_Trades'!P116</x:f>
        <x:v>49596</x:v>
      </x:c>
      <x:c r="O116" s="39" t="n">
        <x:f>'Inputs_Trades'!Q116</x:f>
        <x:v>45189</x:v>
      </x:c>
      <x:c r="P116" s="39" t="n">
        <x:f>'Inputs_Trades'!R116</x:f>
        <x:v>49596</x:v>
      </x:c>
      <x:c r="Q116" s="40" t="n">
        <x:f>'Inputs_Trades'!U116</x:f>
        <x:v>492000000</x:v>
      </x:c>
      <x:c r="R116" s="40" t="n">
        <x:f>'Inputs_Trades'!S116</x:f>
        <x:v>492000000</x:v>
      </x:c>
      <x:c r="S116" s="40" t="n">
        <x:f>'Inputs_Trades'!T116</x:f>
        <x:v>492000000</x:v>
      </x:c>
      <x:c r="T116" s="27" t="str">
        <x:f>'Inputs_Trades'!V116</x:f>
        <x:v>M</x:v>
      </x:c>
      <x:c r="U116" s="27" t="str">
        <x:f>'Inputs_Trades'!W116</x:f>
        <x:v>Y</x:v>
      </x:c>
      <x:c r="V116" s="27" t="n">
        <x:f>'Inputs_Trades'!X116</x:f>
        <x:v>5</x:v>
      </x:c>
      <x:c r="W116" s="27" t="str">
        <x:f>'Inputs_Trades'!Y116</x:f>
        <x:v>S</x:v>
      </x:c>
      <x:c r="X116" s="27" t="n">
        <x:f>'Inputs_Trades'!AA116</x:f>
        <x:v>0</x:v>
      </x:c>
      <x:c r="Y116" s="27" t="n">
        <x:f>'Inputs_Trades'!AB116</x:f>
        <x:v>0</x:v>
      </x:c>
      <x:c r="Z116" s="27" t="n">
        <x:f>'Inputs_Trades'!AC116</x:f>
        <x:v>0</x:v>
      </x:c>
      <x:c r="AA116" s="39" t="n">
        <x:f>'Inputs_Trades'!Z116</x:f>
        <x:v>0</x:v>
      </x:c>
      <x:c r="AB116" s="40" t="n">
        <x:f>'Inputs_Trades'!AD116</x:f>
        <x:v>1461240</x:v>
      </x:c>
      <x:c r="AC116" s="27" t="n">
        <x:f>'Inputs_Trades'!K116</x:f>
        <x:v>0</x:v>
      </x:c>
      <x:c r="AD116" s="27" t="n">
        <x:f>N116-M116</x:f>
        <x:v>3894</x:v>
      </x:c>
      <x:c r="AE116" s="41" t="n">
        <x:f>AD116/365</x:f>
        <x:v>10.668493150684931</x:v>
      </x:c>
      <x:c r="AF116" s="27" t="str">
        <x:f>IF(AE116&lt;1,"&lt;1Y",IF(AE116&lt;=5,"1Y-5Y","&gt;5Y"))</x:f>
        <x:v>&gt;5Y</x:v>
      </x:c>
      <x:c r="AG116" s="27" t="str">
        <x:f>IF(E116="Commodity",IFERROR(VLOOKUP(F116,Parameters!$P$4:$Q$12,2,FALSE),"Other"),"")</x:f>
      </x:c>
      <x:c r="AH116" s="27" t="str">
        <x:f>IF(F116="","Unknown",F116)</x:f>
        <x:v>Unknown</x:v>
      </x:c>
      <x:c r="AI116" s="27" t="str">
        <x:f>IF(E116="Interest Rate",G116&amp;IF(OR(LOWER(AC116)="basis",LOWER(AC116)="volatility"),"_"&amp;AC116,""),IF(E116="FX",IF(H116&lt;I116,H116&amp;"/"&amp;I116,I116&amp;"/"&amp;H116)&amp;IF(OR(LOWER(AC116)="basis",LOWER(AC116)="volatility"),"_"&amp;AC116,""),IF(OR(E116="Credit",E116="Equity"),J116&amp;IF(OR(LOWER(AC116)="basis",LOWER(AC116)="volatility"),"_"&amp;AC116,""),IF(E116="Commodity",AG116&amp;IF(OR(LOWER(AC116)="basis",LOWER(AC116)="volatility"),"_"&amp;AC116,""),"UNKNOWN"))))</x:f>
        <x:v>USD</x:v>
      </x:c>
      <x:c r="AJ116" s="27" t="str">
        <x:f>T116</x:f>
        <x:v>M</x:v>
      </x:c>
      <x:c r="AK116" s="41" t="n">
        <x:f>IF(E116="Interest Rate",VLOOKUP("Interest Rate",Parameters!$D$4:$E$12,2,FALSE),IF(E116="FX",VLOOKUP("FX",Parameters!$D$4:$E$12,2,FALSE),IF(E116="Credit",IFERROR(VLOOKUP(L116,Parameters!$G$4:$H$12,2,FALSE),VLOOKUP("BBB",Parameters!$G$4:$H$12,2,FALSE)),IF(E116="Equity",VLOOKUP(IF(LOWER(K116)="index","Equity Index","Equity Single Name"),Parameters!$D$4:$E$12,2,FALSE),IF(E116="Commodity",VLOOKUP(IFERROR(VLOOKUP(F116,Parameters!$S$4:$T$12,2,FALSE),"Commodity Other"),Parameters!$D$4:$E$12,2,FALSE),0)))))</x:f>
        <x:v>0.005</x:v>
      </x:c>
      <x:c r="AL116" s="42" t="n">
        <x:f>IF(LOWER(AC116)="basis",Parameters!$B$8,IF(LOWER(AC116)="volatility",Parameters!$B$9,1))</x:f>
        <x:v>1</x:v>
      </x:c>
      <x:c r="AM116" s="41" t="n">
        <x:f>AK116*AL116</x:f>
        <x:v>0.005</x:v>
      </x:c>
      <x:c r="AN116" s="42" t="str">
        <x:f>IF(E116="Credit",VLOOKUP(IF(LOWER(K116)="index","Credit Index","Credit Single Name"),Parameters!$J$4:$K$8,2,FALSE),IF(E116="Equity",VLOOKUP(IF(LOWER(K116)="index","Equity Index","Equity Single Name"),Parameters!$J$4:$K$8,2,FALSE),IF(E116="Commodity",VLOOKUP("Commodity",Parameters!$J$4:$K$8,2,FALSE),"")))</x:f>
      </x:c>
      <x:c r="AO116" s="27" t="n">
        <x:f>MAX((O116-M116)/365,0)</x:f>
        <x:v>0</x:v>
      </x:c>
      <x:c r="AP116" s="27" t="n">
        <x:f>MAX((P116-M116)/365,10/Parameters!$B$6)</x:f>
        <x:v>10.668493150684931</x:v>
      </x:c>
      <x:c r="AQ116" s="27" t="n">
        <x:f>IF(AP116&lt;=AO116,AO116+10/Parameters!$B$6,AP116)</x:f>
        <x:v>10.668493150684931</x:v>
      </x:c>
      <x:c r="AR116" s="41" t="n">
        <x:f>IF(OR(E116="Interest Rate",E116="Credit"),(EXP(-Parameters!$B$7*AO116)-EXP(-Parameters!$B$7*AQ116))/Parameters!$B$7,1)</x:f>
        <x:v>8.268147060818226</x:v>
      </x:c>
      <x:c r="AS116" s="40" t="n">
        <x:f>IF(OR(E116="Interest Rate",E116="Credit"),ABS(Q116)*AR116,IF(E116="FX",IF(Q116&gt;0,Q116,MAX(ABS(R116),ABS(S116),ABS(Q116))),ABS(Q116)))</x:f>
        <x:v>4067928353.9225674</x:v>
      </x:c>
      <x:c r="AT116" s="42" t="n">
        <x:f>IF(OR(E116="Interest Rate",E116="FX"),VLOOKUP(E116,Parameters!$M$4:$N$11,2,FALSE),IF(E116="Credit",VLOOKUP(IF(LOWER(K116)="index","Credit Index","Credit Single Name"),Parameters!$M$4:$N$11,2,FALSE),IF(E116="Equity",VLOOKUP(IF(LOWER(K116)="index","Equity Index","Equity Single Name"),Parameters!$M$4:$N$11,2,FALSE),IF(E116="Commodity",VLOOKUP(IF(F116="Electricity","Commodity Electricity","Commodity Other"),Parameters!$M$4:$N$11,2,FALSE),1))))</x:f>
        <x:v>0.5</x:v>
      </x:c>
      <x:c r="AU116" s="27" t="n">
        <x:f>IF(W116="B",1,-1)</x:f>
        <x:v>-1</x:v>
      </x:c>
      <x:c r="AV116" s="27" t="n">
        <x:f>IF(OR(AA116="",M116=""),MAX(AE116,1/365),MAX((AA116-M116)/365,1/365))</x:f>
        <x:v>10.668493150684931</x:v>
      </x:c>
      <x:c r="AW116" s="41" t="str">
        <x:f>IF(OR(Z116&lt;=0,Y116&lt;=0,AT116&lt;=0,AV116&lt;=0),"",(LN(Z116/Y116)+0.5*AT116^2*AV116)/(AT116*SQRT(AV116)))</x:f>
      </x:c>
      <x:c r="AX116" s="41" t="n">
        <x:f>IF(AND(X116&lt;&gt;"C",X116&lt;&gt;"P"),AU116,IF(AW116="",AU116,IF(X116="C",AU116*0.5*(1+ERF(AW116/SQRT(2))),-AU116*0.5*(1+ERF(-AW116/SQRT(2))))))</x:f>
        <x:v>-1</x:v>
      </x:c>
      <x:c r="AY116" s="41" t="n">
        <x:f>IF(AJ116="M",1.5*SQRT(MAX(IF(U116="Y",5,10),IF(V116="",10,V116))/Parameters!$B$6),SQRT(MIN(MAX(AE116,10/Parameters!$B$6),1)))</x:f>
        <x:v>0.21213203435596426</x:v>
      </x:c>
      <x:c r="AZ116" s="40" t="n">
        <x:f>AS116*AX116*AY116</x:f>
        <x:v>-862937917.3319032</x:v>
      </x:c>
      <x:c r="BA116" s="40" t="n">
        <x:f>'Python_Trade_Output'!AZ116</x:f>
        <x:v>-862937917.3319032</x:v>
      </x:c>
      <x:c r="BB116" s="43" t="n">
        <x:f>AZ116-BA116</x:f>
        <x:v>0</x:v>
      </x:c>
    </x:row>
    <x:row r="117">
      <x:c r="A117" s="27" t="str">
        <x:f>'Inputs_Trades'!D117</x:f>
        <x:v>IND-000114</x:v>
      </x:c>
      <x:c r="B117" s="27" t="str">
        <x:f>'Inputs_Trades'!B117</x:f>
        <x:v>IND_BANK_001</x:v>
      </x:c>
      <x:c r="C117" s="27" t="n">
        <x:f>'Inputs_Trades'!C117</x:f>
        <x:v>3219</x:v>
      </x:c>
      <x:c r="D117" s="27" t="str">
        <x:f>'Inputs_Trades'!E117</x:f>
        <x:v>Interest Rate Swap</x:v>
      </x:c>
      <x:c r="E117" s="27" t="str">
        <x:f>'Inputs_Trades'!F117</x:f>
        <x:v>Interest Rate</x:v>
      </x:c>
      <x:c r="F117" s="27" t="n">
        <x:f>'Inputs_Trades'!G117</x:f>
        <x:v>0</x:v>
      </x:c>
      <x:c r="G117" s="27" t="str">
        <x:f>'Inputs_Trades'!J117</x:f>
        <x:v>CNY</x:v>
      </x:c>
      <x:c r="H117" s="27" t="str">
        <x:f>'Inputs_Trades'!H117</x:f>
        <x:v>CNY</x:v>
      </x:c>
      <x:c r="I117" s="27" t="str">
        <x:f>'Inputs_Trades'!I117</x:f>
        <x:v>CNY</x:v>
      </x:c>
      <x:c r="J117" s="27" t="str">
        <x:f>'Inputs_Trades'!M117</x:f>
        <x:v>CNY</x:v>
      </x:c>
      <x:c r="K117" s="27" t="n">
        <x:f>'Inputs_Trades'!N117</x:f>
        <x:v>0</x:v>
      </x:c>
      <x:c r="L117" s="27" t="n">
        <x:f>'Inputs_Trades'!O117</x:f>
        <x:v>0</x:v>
      </x:c>
      <x:c r="M117" s="39" t="n">
        <x:f>'Inputs_Trades'!A117</x:f>
        <x:v>45702</x:v>
      </x:c>
      <x:c r="N117" s="39" t="n">
        <x:f>'Inputs_Trades'!P117</x:f>
        <x:v>49091</x:v>
      </x:c>
      <x:c r="O117" s="39" t="n">
        <x:f>'Inputs_Trades'!Q117</x:f>
        <x:v>45686</x:v>
      </x:c>
      <x:c r="P117" s="39" t="n">
        <x:f>'Inputs_Trades'!R117</x:f>
        <x:v>49091</x:v>
      </x:c>
      <x:c r="Q117" s="40" t="n">
        <x:f>'Inputs_Trades'!U117</x:f>
        <x:v>749000000</x:v>
      </x:c>
      <x:c r="R117" s="40" t="n">
        <x:f>'Inputs_Trades'!S117</x:f>
        <x:v>5350000000</x:v>
      </x:c>
      <x:c r="S117" s="40" t="n">
        <x:f>'Inputs_Trades'!T117</x:f>
        <x:v>5350000000</x:v>
      </x:c>
      <x:c r="T117" s="27" t="str">
        <x:f>'Inputs_Trades'!V117</x:f>
        <x:v>M</x:v>
      </x:c>
      <x:c r="U117" s="27" t="str">
        <x:f>'Inputs_Trades'!W117</x:f>
        <x:v>N</x:v>
      </x:c>
      <x:c r="V117" s="27" t="n">
        <x:f>'Inputs_Trades'!X117</x:f>
        <x:v>10</x:v>
      </x:c>
      <x:c r="W117" s="27" t="str">
        <x:f>'Inputs_Trades'!Y117</x:f>
        <x:v>S</x:v>
      </x:c>
      <x:c r="X117" s="27" t="n">
        <x:f>'Inputs_Trades'!AA117</x:f>
        <x:v>0</x:v>
      </x:c>
      <x:c r="Y117" s="27" t="n">
        <x:f>'Inputs_Trades'!AB117</x:f>
        <x:v>0</x:v>
      </x:c>
      <x:c r="Z117" s="27" t="n">
        <x:f>'Inputs_Trades'!AC117</x:f>
        <x:v>0</x:v>
      </x:c>
      <x:c r="AA117" s="39" t="n">
        <x:f>'Inputs_Trades'!Z117</x:f>
        <x:v>0</x:v>
      </x:c>
      <x:c r="AB117" s="40" t="n">
        <x:f>'Inputs_Trades'!AD117</x:f>
        <x:v>2543604</x:v>
      </x:c>
      <x:c r="AC117" s="27" t="n">
        <x:f>'Inputs_Trades'!K117</x:f>
        <x:v>0</x:v>
      </x:c>
      <x:c r="AD117" s="27" t="n">
        <x:f>N117-M117</x:f>
        <x:v>3389</x:v>
      </x:c>
      <x:c r="AE117" s="41" t="n">
        <x:f>AD117/365</x:f>
        <x:v>9.284931506849315</x:v>
      </x:c>
      <x:c r="AF117" s="27" t="str">
        <x:f>IF(AE117&lt;1,"&lt;1Y",IF(AE117&lt;=5,"1Y-5Y","&gt;5Y"))</x:f>
        <x:v>&gt;5Y</x:v>
      </x:c>
      <x:c r="AG117" s="27" t="str">
        <x:f>IF(E117="Commodity",IFERROR(VLOOKUP(F117,Parameters!$P$4:$Q$12,2,FALSE),"Other"),"")</x:f>
      </x:c>
      <x:c r="AH117" s="27" t="str">
        <x:f>IF(F117="","Unknown",F117)</x:f>
        <x:v>Unknown</x:v>
      </x:c>
      <x:c r="AI117" s="27" t="str">
        <x:f>IF(E117="Interest Rate",G117&amp;IF(OR(LOWER(AC117)="basis",LOWER(AC117)="volatility"),"_"&amp;AC117,""),IF(E117="FX",IF(H117&lt;I117,H117&amp;"/"&amp;I117,I117&amp;"/"&amp;H117)&amp;IF(OR(LOWER(AC117)="basis",LOWER(AC117)="volatility"),"_"&amp;AC117,""),IF(OR(E117="Credit",E117="Equity"),J117&amp;IF(OR(LOWER(AC117)="basis",LOWER(AC117)="volatility"),"_"&amp;AC117,""),IF(E117="Commodity",AG117&amp;IF(OR(LOWER(AC117)="basis",LOWER(AC117)="volatility"),"_"&amp;AC117,""),"UNKNOWN"))))</x:f>
        <x:v>CNY</x:v>
      </x:c>
      <x:c r="AJ117" s="27" t="str">
        <x:f>T117</x:f>
        <x:v>M</x:v>
      </x:c>
      <x:c r="AK117" s="41" t="n">
        <x:f>IF(E117="Interest Rate",VLOOKUP("Interest Rate",Parameters!$D$4:$E$12,2,FALSE),IF(E117="FX",VLOOKUP("FX",Parameters!$D$4:$E$12,2,FALSE),IF(E117="Credit",IFERROR(VLOOKUP(L117,Parameters!$G$4:$H$12,2,FALSE),VLOOKUP("BBB",Parameters!$G$4:$H$12,2,FALSE)),IF(E117="Equity",VLOOKUP(IF(LOWER(K117)="index","Equity Index","Equity Single Name"),Parameters!$D$4:$E$12,2,FALSE),IF(E117="Commodity",VLOOKUP(IFERROR(VLOOKUP(F117,Parameters!$S$4:$T$12,2,FALSE),"Commodity Other"),Parameters!$D$4:$E$12,2,FALSE),0)))))</x:f>
        <x:v>0.005</x:v>
      </x:c>
      <x:c r="AL117" s="42" t="n">
        <x:f>IF(LOWER(AC117)="basis",Parameters!$B$8,IF(LOWER(AC117)="volatility",Parameters!$B$9,1))</x:f>
        <x:v>1</x:v>
      </x:c>
      <x:c r="AM117" s="41" t="n">
        <x:f>AK117*AL117</x:f>
        <x:v>0.005</x:v>
      </x:c>
      <x:c r="AN117" s="42" t="str">
        <x:f>IF(E117="Credit",VLOOKUP(IF(LOWER(K117)="index","Credit Index","Credit Single Name"),Parameters!$J$4:$K$8,2,FALSE),IF(E117="Equity",VLOOKUP(IF(LOWER(K117)="index","Equity Index","Equity Single Name"),Parameters!$J$4:$K$8,2,FALSE),IF(E117="Commodity",VLOOKUP("Commodity",Parameters!$J$4:$K$8,2,FALSE),"")))</x:f>
      </x:c>
      <x:c r="AO117" s="27" t="n">
        <x:f>MAX((O117-M117)/365,0)</x:f>
        <x:v>0</x:v>
      </x:c>
      <x:c r="AP117" s="27" t="n">
        <x:f>MAX((P117-M117)/365,10/Parameters!$B$6)</x:f>
        <x:v>9.284931506849315</x:v>
      </x:c>
      <x:c r="AQ117" s="27" t="n">
        <x:f>IF(AP117&lt;=AO117,AO117+10/Parameters!$B$6,AP117)</x:f>
        <x:v>9.284931506849315</x:v>
      </x:c>
      <x:c r="AR117" s="41" t="n">
        <x:f>IF(OR(E117="Interest Rate",E117="Credit"),(EXP(-Parameters!$B$7*AO117)-EXP(-Parameters!$B$7*AQ117))/Parameters!$B$7,1)</x:f>
        <x:v>7.42782928018044</x:v>
      </x:c>
      <x:c r="AS117" s="40" t="n">
        <x:f>IF(OR(E117="Interest Rate",E117="Credit"),ABS(Q117)*AR117,IF(E117="FX",IF(Q117&gt;0,Q117,MAX(ABS(R117),ABS(S117),ABS(Q117))),ABS(Q117)))</x:f>
        <x:v>5563444130.855149</x:v>
      </x:c>
      <x:c r="AT117" s="42" t="n">
        <x:f>IF(OR(E117="Interest Rate",E117="FX"),VLOOKUP(E117,Parameters!$M$4:$N$11,2,FALSE),IF(E117="Credit",VLOOKUP(IF(LOWER(K117)="index","Credit Index","Credit Single Name"),Parameters!$M$4:$N$11,2,FALSE),IF(E117="Equity",VLOOKUP(IF(LOWER(K117)="index","Equity Index","Equity Single Name"),Parameters!$M$4:$N$11,2,FALSE),IF(E117="Commodity",VLOOKUP(IF(F117="Electricity","Commodity Electricity","Commodity Other"),Parameters!$M$4:$N$11,2,FALSE),1))))</x:f>
        <x:v>0.5</x:v>
      </x:c>
      <x:c r="AU117" s="27" t="n">
        <x:f>IF(W117="B",1,-1)</x:f>
        <x:v>-1</x:v>
      </x:c>
      <x:c r="AV117" s="27" t="n">
        <x:f>IF(OR(AA117="",M117=""),MAX(AE117,1/365),MAX((AA117-M117)/365,1/365))</x:f>
        <x:v>9.284931506849315</x:v>
      </x:c>
      <x:c r="AW117" s="41" t="str">
        <x:f>IF(OR(Z117&lt;=0,Y117&lt;=0,AT117&lt;=0,AV117&lt;=0),"",(LN(Z117/Y117)+0.5*AT117^2*AV117)/(AT117*SQRT(AV117)))</x:f>
      </x:c>
      <x:c r="AX117" s="41" t="n">
        <x:f>IF(AND(X117&lt;&gt;"C",X117&lt;&gt;"P"),AU117,IF(AW117="",AU117,IF(X117="C",AU117*0.5*(1+ERF(AW117/SQRT(2))),-AU117*0.5*(1+ERF(-AW117/SQRT(2))))))</x:f>
        <x:v>-1</x:v>
      </x:c>
      <x:c r="AY117" s="41" t="n">
        <x:f>IF(AJ117="M",1.5*SQRT(MAX(IF(U117="Y",5,10),IF(V117="",10,V117))/Parameters!$B$6),SQRT(MIN(MAX(AE117,10/Parameters!$B$6),1)))</x:f>
        <x:v>0.30000000000000004</x:v>
      </x:c>
      <x:c r="AZ117" s="40" t="n">
        <x:f>AS117*AX117*AY117</x:f>
        <x:v>-1669033239.256545</x:v>
      </x:c>
      <x:c r="BA117" s="40" t="n">
        <x:f>'Python_Trade_Output'!AZ117</x:f>
        <x:v>-1669033239.256545</x:v>
      </x:c>
      <x:c r="BB117" s="43" t="n">
        <x:f>AZ117-BA117</x:f>
        <x:v>0</x:v>
      </x:c>
    </x:row>
    <x:row r="118">
      <x:c r="A118" s="27" t="str">
        <x:f>'Inputs_Trades'!D118</x:f>
        <x:v>IND-000115</x:v>
      </x:c>
      <x:c r="B118" s="27" t="str">
        <x:f>'Inputs_Trades'!B118</x:f>
        <x:v>IND_HEDGE_FUND_001</x:v>
      </x:c>
      <x:c r="C118" s="27" t="n">
        <x:f>'Inputs_Trades'!C118</x:f>
        <x:v>3345</x:v>
      </x:c>
      <x:c r="D118" s="27" t="str">
        <x:f>'Inputs_Trades'!E118</x:f>
        <x:v>Interest Rate Swap</x:v>
      </x:c>
      <x:c r="E118" s="27" t="str">
        <x:f>'Inputs_Trades'!F118</x:f>
        <x:v>Interest Rate</x:v>
      </x:c>
      <x:c r="F118" s="27" t="n">
        <x:f>'Inputs_Trades'!G118</x:f>
        <x:v>0</x:v>
      </x:c>
      <x:c r="G118" s="27" t="str">
        <x:f>'Inputs_Trades'!J118</x:f>
        <x:v>CNY</x:v>
      </x:c>
      <x:c r="H118" s="27" t="str">
        <x:f>'Inputs_Trades'!H118</x:f>
        <x:v>CNY</x:v>
      </x:c>
      <x:c r="I118" s="27" t="str">
        <x:f>'Inputs_Trades'!I118</x:f>
        <x:v>CNY</x:v>
      </x:c>
      <x:c r="J118" s="27" t="str">
        <x:f>'Inputs_Trades'!M118</x:f>
        <x:v>CNY</x:v>
      </x:c>
      <x:c r="K118" s="27" t="n">
        <x:f>'Inputs_Trades'!N118</x:f>
        <x:v>0</x:v>
      </x:c>
      <x:c r="L118" s="27" t="n">
        <x:f>'Inputs_Trades'!O118</x:f>
        <x:v>0</x:v>
      </x:c>
      <x:c r="M118" s="39" t="n">
        <x:f>'Inputs_Trades'!A118</x:f>
        <x:v>45702</x:v>
      </x:c>
      <x:c r="N118" s="39" t="n">
        <x:f>'Inputs_Trades'!P118</x:f>
        <x:v>46644</x:v>
      </x:c>
      <x:c r="O118" s="39" t="n">
        <x:f>'Inputs_Trades'!Q118</x:f>
        <x:v>45590</x:v>
      </x:c>
      <x:c r="P118" s="39" t="n">
        <x:f>'Inputs_Trades'!R118</x:f>
        <x:v>46644</x:v>
      </x:c>
      <x:c r="Q118" s="40" t="n">
        <x:f>'Inputs_Trades'!U118</x:f>
        <x:v>876000000</x:v>
      </x:c>
      <x:c r="R118" s="40" t="n">
        <x:f>'Inputs_Trades'!S118</x:f>
        <x:v>6257142857.14</x:v>
      </x:c>
      <x:c r="S118" s="40" t="n">
        <x:f>'Inputs_Trades'!T118</x:f>
        <x:v>6257142857.14</x:v>
      </x:c>
      <x:c r="T118" s="27" t="str">
        <x:f>'Inputs_Trades'!V118</x:f>
        <x:v>M</x:v>
      </x:c>
      <x:c r="U118" s="27" t="str">
        <x:f>'Inputs_Trades'!W118</x:f>
        <x:v>N</x:v>
      </x:c>
      <x:c r="V118" s="27" t="n">
        <x:f>'Inputs_Trades'!X118</x:f>
        <x:v>10</x:v>
      </x:c>
      <x:c r="W118" s="27" t="str">
        <x:f>'Inputs_Trades'!Y118</x:f>
        <x:v>B</x:v>
      </x:c>
      <x:c r="X118" s="27" t="n">
        <x:f>'Inputs_Trades'!AA118</x:f>
        <x:v>0</x:v>
      </x:c>
      <x:c r="Y118" s="27" t="n">
        <x:f>'Inputs_Trades'!AB118</x:f>
        <x:v>0</x:v>
      </x:c>
      <x:c r="Z118" s="27" t="n">
        <x:f>'Inputs_Trades'!AC118</x:f>
        <x:v>0</x:v>
      </x:c>
      <x:c r="AA118" s="39" t="n">
        <x:f>'Inputs_Trades'!Z118</x:f>
        <x:v>0</x:v>
      </x:c>
      <x:c r="AB118" s="40" t="n">
        <x:f>'Inputs_Trades'!AD118</x:f>
        <x:v>2817216</x:v>
      </x:c>
      <x:c r="AC118" s="27" t="n">
        <x:f>'Inputs_Trades'!K118</x:f>
        <x:v>0</x:v>
      </x:c>
      <x:c r="AD118" s="27" t="n">
        <x:f>N118-M118</x:f>
        <x:v>942</x:v>
      </x:c>
      <x:c r="AE118" s="41" t="n">
        <x:f>AD118/365</x:f>
        <x:v>2.580821917808219</x:v>
      </x:c>
      <x:c r="AF118" s="27" t="str">
        <x:f>IF(AE118&lt;1,"&lt;1Y",IF(AE118&lt;=5,"1Y-5Y","&gt;5Y"))</x:f>
        <x:v>1Y-5Y</x:v>
      </x:c>
      <x:c r="AG118" s="27" t="str">
        <x:f>IF(E118="Commodity",IFERROR(VLOOKUP(F118,Parameters!$P$4:$Q$12,2,FALSE),"Other"),"")</x:f>
      </x:c>
      <x:c r="AH118" s="27" t="str">
        <x:f>IF(F118="","Unknown",F118)</x:f>
        <x:v>Unknown</x:v>
      </x:c>
      <x:c r="AI118" s="27" t="str">
        <x:f>IF(E118="Interest Rate",G118&amp;IF(OR(LOWER(AC118)="basis",LOWER(AC118)="volatility"),"_"&amp;AC118,""),IF(E118="FX",IF(H118&lt;I118,H118&amp;"/"&amp;I118,I118&amp;"/"&amp;H118)&amp;IF(OR(LOWER(AC118)="basis",LOWER(AC118)="volatility"),"_"&amp;AC118,""),IF(OR(E118="Credit",E118="Equity"),J118&amp;IF(OR(LOWER(AC118)="basis",LOWER(AC118)="volatility"),"_"&amp;AC118,""),IF(E118="Commodity",AG118&amp;IF(OR(LOWER(AC118)="basis",LOWER(AC118)="volatility"),"_"&amp;AC118,""),"UNKNOWN"))))</x:f>
        <x:v>CNY</x:v>
      </x:c>
      <x:c r="AJ118" s="27" t="str">
        <x:f>T118</x:f>
        <x:v>M</x:v>
      </x:c>
      <x:c r="AK118" s="41" t="n">
        <x:f>IF(E118="Interest Rate",VLOOKUP("Interest Rate",Parameters!$D$4:$E$12,2,FALSE),IF(E118="FX",VLOOKUP("FX",Parameters!$D$4:$E$12,2,FALSE),IF(E118="Credit",IFERROR(VLOOKUP(L118,Parameters!$G$4:$H$12,2,FALSE),VLOOKUP("BBB",Parameters!$G$4:$H$12,2,FALSE)),IF(E118="Equity",VLOOKUP(IF(LOWER(K118)="index","Equity Index","Equity Single Name"),Parameters!$D$4:$E$12,2,FALSE),IF(E118="Commodity",VLOOKUP(IFERROR(VLOOKUP(F118,Parameters!$S$4:$T$12,2,FALSE),"Commodity Other"),Parameters!$D$4:$E$12,2,FALSE),0)))))</x:f>
        <x:v>0.005</x:v>
      </x:c>
      <x:c r="AL118" s="42" t="n">
        <x:f>IF(LOWER(AC118)="basis",Parameters!$B$8,IF(LOWER(AC118)="volatility",Parameters!$B$9,1))</x:f>
        <x:v>1</x:v>
      </x:c>
      <x:c r="AM118" s="41" t="n">
        <x:f>AK118*AL118</x:f>
        <x:v>0.005</x:v>
      </x:c>
      <x:c r="AN118" s="42" t="str">
        <x:f>IF(E118="Credit",VLOOKUP(IF(LOWER(K118)="index","Credit Index","Credit Single Name"),Parameters!$J$4:$K$8,2,FALSE),IF(E118="Equity",VLOOKUP(IF(LOWER(K118)="index","Equity Index","Equity Single Name"),Parameters!$J$4:$K$8,2,FALSE),IF(E118="Commodity",VLOOKUP("Commodity",Parameters!$J$4:$K$8,2,FALSE),"")))</x:f>
      </x:c>
      <x:c r="AO118" s="27" t="n">
        <x:f>MAX((O118-M118)/365,0)</x:f>
        <x:v>0</x:v>
      </x:c>
      <x:c r="AP118" s="27" t="n">
        <x:f>MAX((P118-M118)/365,10/Parameters!$B$6)</x:f>
        <x:v>2.580821917808219</x:v>
      </x:c>
      <x:c r="AQ118" s="27" t="n">
        <x:f>IF(AP118&lt;=AO118,AO118+10/Parameters!$B$6,AP118)</x:f>
        <x:v>2.580821917808219</x:v>
      </x:c>
      <x:c r="AR118" s="41" t="n">
        <x:f>IF(OR(E118="Interest Rate",E118="Credit"),(EXP(-Parameters!$B$7*AO118)-EXP(-Parameters!$B$7*AQ118))/Parameters!$B$7,1)</x:f>
        <x:v>2.421243118599037</x:v>
      </x:c>
      <x:c r="AS118" s="40" t="n">
        <x:f>IF(OR(E118="Interest Rate",E118="Credit"),ABS(Q118)*AR118,IF(E118="FX",IF(Q118&gt;0,Q118,MAX(ABS(R118),ABS(S118),ABS(Q118))),ABS(Q118)))</x:f>
        <x:v>2121008971.8927562</x:v>
      </x:c>
      <x:c r="AT118" s="42" t="n">
        <x:f>IF(OR(E118="Interest Rate",E118="FX"),VLOOKUP(E118,Parameters!$M$4:$N$11,2,FALSE),IF(E118="Credit",VLOOKUP(IF(LOWER(K118)="index","Credit Index","Credit Single Name"),Parameters!$M$4:$N$11,2,FALSE),IF(E118="Equity",VLOOKUP(IF(LOWER(K118)="index","Equity Index","Equity Single Name"),Parameters!$M$4:$N$11,2,FALSE),IF(E118="Commodity",VLOOKUP(IF(F118="Electricity","Commodity Electricity","Commodity Other"),Parameters!$M$4:$N$11,2,FALSE),1))))</x:f>
        <x:v>0.5</x:v>
      </x:c>
      <x:c r="AU118" s="27" t="n">
        <x:f>IF(W118="B",1,-1)</x:f>
        <x:v>1</x:v>
      </x:c>
      <x:c r="AV118" s="27" t="n">
        <x:f>IF(OR(AA118="",M118=""),MAX(AE118,1/365),MAX((AA118-M118)/365,1/365))</x:f>
        <x:v>2.580821917808219</x:v>
      </x:c>
      <x:c r="AW118" s="41" t="str">
        <x:f>IF(OR(Z118&lt;=0,Y118&lt;=0,AT118&lt;=0,AV118&lt;=0),"",(LN(Z118/Y118)+0.5*AT118^2*AV118)/(AT118*SQRT(AV118)))</x:f>
      </x:c>
      <x:c r="AX118" s="41" t="n">
        <x:f>IF(AND(X118&lt;&gt;"C",X118&lt;&gt;"P"),AU118,IF(AW118="",AU118,IF(X118="C",AU118*0.5*(1+ERF(AW118/SQRT(2))),-AU118*0.5*(1+ERF(-AW118/SQRT(2))))))</x:f>
        <x:v>1</x:v>
      </x:c>
      <x:c r="AY118" s="41" t="n">
        <x:f>IF(AJ118="M",1.5*SQRT(MAX(IF(U118="Y",5,10),IF(V118="",10,V118))/Parameters!$B$6),SQRT(MIN(MAX(AE118,10/Parameters!$B$6),1)))</x:f>
        <x:v>0.30000000000000004</x:v>
      </x:c>
      <x:c r="AZ118" s="40" t="n">
        <x:f>AS118*AX118*AY118</x:f>
        <x:v>636302691.567827</x:v>
      </x:c>
      <x:c r="BA118" s="40" t="n">
        <x:f>'Python_Trade_Output'!AZ118</x:f>
        <x:v>636302691.5678264</x:v>
      </x:c>
      <x:c r="BB118" s="43" t="n">
        <x:f>AZ118-BA118</x:f>
        <x:v>5.960464477539062e-7</x:v>
      </x:c>
    </x:row>
    <x:row r="119">
      <x:c r="A119" s="27" t="str">
        <x:f>'Inputs_Trades'!D119</x:f>
        <x:v>IND-000116</x:v>
      </x:c>
      <x:c r="B119" s="27" t="str">
        <x:f>'Inputs_Trades'!B119</x:f>
        <x:v>IND_HEDGE_FUND_001</x:v>
      </x:c>
      <x:c r="C119" s="27" t="n">
        <x:f>'Inputs_Trades'!C119</x:f>
        <x:v>3345</x:v>
      </x:c>
      <x:c r="D119" s="27" t="str">
        <x:f>'Inputs_Trades'!E119</x:f>
        <x:v>Interest Rate Swap</x:v>
      </x:c>
      <x:c r="E119" s="27" t="str">
        <x:f>'Inputs_Trades'!F119</x:f>
        <x:v>Interest Rate</x:v>
      </x:c>
      <x:c r="F119" s="27" t="n">
        <x:f>'Inputs_Trades'!G119</x:f>
        <x:v>0</x:v>
      </x:c>
      <x:c r="G119" s="27" t="str">
        <x:f>'Inputs_Trades'!J119</x:f>
        <x:v>CNY</x:v>
      </x:c>
      <x:c r="H119" s="27" t="str">
        <x:f>'Inputs_Trades'!H119</x:f>
        <x:v>CNY</x:v>
      </x:c>
      <x:c r="I119" s="27" t="str">
        <x:f>'Inputs_Trades'!I119</x:f>
        <x:v>CNY</x:v>
      </x:c>
      <x:c r="J119" s="27" t="str">
        <x:f>'Inputs_Trades'!M119</x:f>
        <x:v>CNY</x:v>
      </x:c>
      <x:c r="K119" s="27" t="n">
        <x:f>'Inputs_Trades'!N119</x:f>
        <x:v>0</x:v>
      </x:c>
      <x:c r="L119" s="27" t="n">
        <x:f>'Inputs_Trades'!O119</x:f>
        <x:v>0</x:v>
      </x:c>
      <x:c r="M119" s="39" t="n">
        <x:f>'Inputs_Trades'!A119</x:f>
        <x:v>45702</x:v>
      </x:c>
      <x:c r="N119" s="39" t="n">
        <x:f>'Inputs_Trades'!P119</x:f>
        <x:v>48954</x:v>
      </x:c>
      <x:c r="O119" s="39" t="n">
        <x:f>'Inputs_Trades'!Q119</x:f>
        <x:v>45160</x:v>
      </x:c>
      <x:c r="P119" s="39" t="n">
        <x:f>'Inputs_Trades'!R119</x:f>
        <x:v>48954</x:v>
      </x:c>
      <x:c r="Q119" s="40" t="n">
        <x:f>'Inputs_Trades'!U119</x:f>
        <x:v>866000000</x:v>
      </x:c>
      <x:c r="R119" s="40" t="n">
        <x:f>'Inputs_Trades'!S119</x:f>
        <x:v>6185714285.71</x:v>
      </x:c>
      <x:c r="S119" s="40" t="n">
        <x:f>'Inputs_Trades'!T119</x:f>
        <x:v>6185714285.71</x:v>
      </x:c>
      <x:c r="T119" s="27" t="str">
        <x:f>'Inputs_Trades'!V119</x:f>
        <x:v>M</x:v>
      </x:c>
      <x:c r="U119" s="27" t="str">
        <x:f>'Inputs_Trades'!W119</x:f>
        <x:v>Y</x:v>
      </x:c>
      <x:c r="V119" s="27" t="n">
        <x:f>'Inputs_Trades'!X119</x:f>
        <x:v>5</x:v>
      </x:c>
      <x:c r="W119" s="27" t="str">
        <x:f>'Inputs_Trades'!Y119</x:f>
        <x:v>B</x:v>
      </x:c>
      <x:c r="X119" s="27" t="n">
        <x:f>'Inputs_Trades'!AA119</x:f>
        <x:v>0</x:v>
      </x:c>
      <x:c r="Y119" s="27" t="n">
        <x:f>'Inputs_Trades'!AB119</x:f>
        <x:v>0</x:v>
      </x:c>
      <x:c r="Z119" s="27" t="n">
        <x:f>'Inputs_Trades'!AC119</x:f>
        <x:v>0</x:v>
      </x:c>
      <x:c r="AA119" s="39" t="n">
        <x:f>'Inputs_Trades'!Z119</x:f>
        <x:v>0</x:v>
      </x:c>
      <x:c r="AB119" s="40" t="n">
        <x:f>'Inputs_Trades'!AD119</x:f>
        <x:v>3143580</x:v>
      </x:c>
      <x:c r="AC119" s="27" t="n">
        <x:f>'Inputs_Trades'!K119</x:f>
        <x:v>0</x:v>
      </x:c>
      <x:c r="AD119" s="27" t="n">
        <x:f>N119-M119</x:f>
        <x:v>3252</x:v>
      </x:c>
      <x:c r="AE119" s="41" t="n">
        <x:f>AD119/365</x:f>
        <x:v>8.90958904109589</x:v>
      </x:c>
      <x:c r="AF119" s="27" t="str">
        <x:f>IF(AE119&lt;1,"&lt;1Y",IF(AE119&lt;=5,"1Y-5Y","&gt;5Y"))</x:f>
        <x:v>&gt;5Y</x:v>
      </x:c>
      <x:c r="AG119" s="27" t="str">
        <x:f>IF(E119="Commodity",IFERROR(VLOOKUP(F119,Parameters!$P$4:$Q$12,2,FALSE),"Other"),"")</x:f>
      </x:c>
      <x:c r="AH119" s="27" t="str">
        <x:f>IF(F119="","Unknown",F119)</x:f>
        <x:v>Unknown</x:v>
      </x:c>
      <x:c r="AI119" s="27" t="str">
        <x:f>IF(E119="Interest Rate",G119&amp;IF(OR(LOWER(AC119)="basis",LOWER(AC119)="volatility"),"_"&amp;AC119,""),IF(E119="FX",IF(H119&lt;I119,H119&amp;"/"&amp;I119,I119&amp;"/"&amp;H119)&amp;IF(OR(LOWER(AC119)="basis",LOWER(AC119)="volatility"),"_"&amp;AC119,""),IF(OR(E119="Credit",E119="Equity"),J119&amp;IF(OR(LOWER(AC119)="basis",LOWER(AC119)="volatility"),"_"&amp;AC119,""),IF(E119="Commodity",AG119&amp;IF(OR(LOWER(AC119)="basis",LOWER(AC119)="volatility"),"_"&amp;AC119,""),"UNKNOWN"))))</x:f>
        <x:v>CNY</x:v>
      </x:c>
      <x:c r="AJ119" s="27" t="str">
        <x:f>T119</x:f>
        <x:v>M</x:v>
      </x:c>
      <x:c r="AK119" s="41" t="n">
        <x:f>IF(E119="Interest Rate",VLOOKUP("Interest Rate",Parameters!$D$4:$E$12,2,FALSE),IF(E119="FX",VLOOKUP("FX",Parameters!$D$4:$E$12,2,FALSE),IF(E119="Credit",IFERROR(VLOOKUP(L119,Parameters!$G$4:$H$12,2,FALSE),VLOOKUP("BBB",Parameters!$G$4:$H$12,2,FALSE)),IF(E119="Equity",VLOOKUP(IF(LOWER(K119)="index","Equity Index","Equity Single Name"),Parameters!$D$4:$E$12,2,FALSE),IF(E119="Commodity",VLOOKUP(IFERROR(VLOOKUP(F119,Parameters!$S$4:$T$12,2,FALSE),"Commodity Other"),Parameters!$D$4:$E$12,2,FALSE),0)))))</x:f>
        <x:v>0.005</x:v>
      </x:c>
      <x:c r="AL119" s="42" t="n">
        <x:f>IF(LOWER(AC119)="basis",Parameters!$B$8,IF(LOWER(AC119)="volatility",Parameters!$B$9,1))</x:f>
        <x:v>1</x:v>
      </x:c>
      <x:c r="AM119" s="41" t="n">
        <x:f>AK119*AL119</x:f>
        <x:v>0.005</x:v>
      </x:c>
      <x:c r="AN119" s="42" t="str">
        <x:f>IF(E119="Credit",VLOOKUP(IF(LOWER(K119)="index","Credit Index","Credit Single Name"),Parameters!$J$4:$K$8,2,FALSE),IF(E119="Equity",VLOOKUP(IF(LOWER(K119)="index","Equity Index","Equity Single Name"),Parameters!$J$4:$K$8,2,FALSE),IF(E119="Commodity",VLOOKUP("Commodity",Parameters!$J$4:$K$8,2,FALSE),"")))</x:f>
      </x:c>
      <x:c r="AO119" s="27" t="n">
        <x:f>MAX((O119-M119)/365,0)</x:f>
        <x:v>0</x:v>
      </x:c>
      <x:c r="AP119" s="27" t="n">
        <x:f>MAX((P119-M119)/365,10/Parameters!$B$6)</x:f>
        <x:v>8.90958904109589</x:v>
      </x:c>
      <x:c r="AQ119" s="27" t="n">
        <x:f>IF(AP119&lt;=AO119,AO119+10/Parameters!$B$6,AP119)</x:f>
        <x:v>8.90958904109589</x:v>
      </x:c>
      <x:c r="AR119" s="41" t="n">
        <x:f>IF(OR(E119="Interest Rate",E119="Credit"),(EXP(-Parameters!$B$7*AO119)-EXP(-Parameters!$B$7*AQ119))/Parameters!$B$7,1)</x:f>
        <x:v>7.189657896816994</x:v>
      </x:c>
      <x:c r="AS119" s="40" t="n">
        <x:f>IF(OR(E119="Interest Rate",E119="Credit"),ABS(Q119)*AR119,IF(E119="FX",IF(Q119&gt;0,Q119,MAX(ABS(R119),ABS(S119),ABS(Q119))),ABS(Q119)))</x:f>
        <x:v>6226243738.6435175</x:v>
      </x:c>
      <x:c r="AT119" s="42" t="n">
        <x:f>IF(OR(E119="Interest Rate",E119="FX"),VLOOKUP(E119,Parameters!$M$4:$N$11,2,FALSE),IF(E119="Credit",VLOOKUP(IF(LOWER(K119)="index","Credit Index","Credit Single Name"),Parameters!$M$4:$N$11,2,FALSE),IF(E119="Equity",VLOOKUP(IF(LOWER(K119)="index","Equity Index","Equity Single Name"),Parameters!$M$4:$N$11,2,FALSE),IF(E119="Commodity",VLOOKUP(IF(F119="Electricity","Commodity Electricity","Commodity Other"),Parameters!$M$4:$N$11,2,FALSE),1))))</x:f>
        <x:v>0.5</x:v>
      </x:c>
      <x:c r="AU119" s="27" t="n">
        <x:f>IF(W119="B",1,-1)</x:f>
        <x:v>1</x:v>
      </x:c>
      <x:c r="AV119" s="27" t="n">
        <x:f>IF(OR(AA119="",M119=""),MAX(AE119,1/365),MAX((AA119-M119)/365,1/365))</x:f>
        <x:v>8.90958904109589</x:v>
      </x:c>
      <x:c r="AW119" s="41" t="str">
        <x:f>IF(OR(Z119&lt;=0,Y119&lt;=0,AT119&lt;=0,AV119&lt;=0),"",(LN(Z119/Y119)+0.5*AT119^2*AV119)/(AT119*SQRT(AV119)))</x:f>
      </x:c>
      <x:c r="AX119" s="41" t="n">
        <x:f>IF(AND(X119&lt;&gt;"C",X119&lt;&gt;"P"),AU119,IF(AW119="",AU119,IF(X119="C",AU119*0.5*(1+ERF(AW119/SQRT(2))),-AU119*0.5*(1+ERF(-AW119/SQRT(2))))))</x:f>
        <x:v>1</x:v>
      </x:c>
      <x:c r="AY119" s="41" t="n">
        <x:f>IF(AJ119="M",1.5*SQRT(MAX(IF(U119="Y",5,10),IF(V119="",10,V119))/Parameters!$B$6),SQRT(MIN(MAX(AE119,10/Parameters!$B$6),1)))</x:f>
        <x:v>0.21213203435596426</x:v>
      </x:c>
      <x:c r="AZ119" s="40" t="n">
        <x:f>AS119*AX119*AY119</x:f>
        <x:v>1320785750.674534</x:v>
      </x:c>
      <x:c r="BA119" s="40" t="n">
        <x:f>'Python_Trade_Output'!AZ119</x:f>
        <x:v>1320785750.674534</x:v>
      </x:c>
      <x:c r="BB119" s="43" t="n">
        <x:f>AZ119-BA119</x:f>
        <x:v>0</x:v>
      </x:c>
    </x:row>
    <x:row r="120">
      <x:c r="A120" s="27" t="str">
        <x:f>'Inputs_Trades'!D120</x:f>
        <x:v>IND-000117</x:v>
      </x:c>
      <x:c r="B120" s="27" t="str">
        <x:f>'Inputs_Trades'!B120</x:f>
        <x:v>IND_HEDGE_FUND_001</x:v>
      </x:c>
      <x:c r="C120" s="27" t="n">
        <x:f>'Inputs_Trades'!C120</x:f>
        <x:v>3345</x:v>
      </x:c>
      <x:c r="D120" s="27" t="str">
        <x:f>'Inputs_Trades'!E120</x:f>
        <x:v>Interest Rate Swap</x:v>
      </x:c>
      <x:c r="E120" s="27" t="str">
        <x:f>'Inputs_Trades'!F120</x:f>
        <x:v>Interest Rate</x:v>
      </x:c>
      <x:c r="F120" s="27" t="n">
        <x:f>'Inputs_Trades'!G120</x:f>
        <x:v>0</x:v>
      </x:c>
      <x:c r="G120" s="27" t="str">
        <x:f>'Inputs_Trades'!J120</x:f>
        <x:v>CNY</x:v>
      </x:c>
      <x:c r="H120" s="27" t="str">
        <x:f>'Inputs_Trades'!H120</x:f>
        <x:v>CNY</x:v>
      </x:c>
      <x:c r="I120" s="27" t="str">
        <x:f>'Inputs_Trades'!I120</x:f>
        <x:v>CNY</x:v>
      </x:c>
      <x:c r="J120" s="27" t="str">
        <x:f>'Inputs_Trades'!M120</x:f>
        <x:v>CNY</x:v>
      </x:c>
      <x:c r="K120" s="27" t="n">
        <x:f>'Inputs_Trades'!N120</x:f>
        <x:v>0</x:v>
      </x:c>
      <x:c r="L120" s="27" t="n">
        <x:f>'Inputs_Trades'!O120</x:f>
        <x:v>0</x:v>
      </x:c>
      <x:c r="M120" s="39" t="n">
        <x:f>'Inputs_Trades'!A120</x:f>
        <x:v>45702</x:v>
      </x:c>
      <x:c r="N120" s="39" t="n">
        <x:f>'Inputs_Trades'!P120</x:f>
        <x:v>47437</x:v>
      </x:c>
      <x:c r="O120" s="39" t="n">
        <x:f>'Inputs_Trades'!Q120</x:f>
        <x:v>44916</x:v>
      </x:c>
      <x:c r="P120" s="39" t="n">
        <x:f>'Inputs_Trades'!R120</x:f>
        <x:v>47437</x:v>
      </x:c>
      <x:c r="Q120" s="40" t="n">
        <x:f>'Inputs_Trades'!U120</x:f>
        <x:v>417000000</x:v>
      </x:c>
      <x:c r="R120" s="40" t="n">
        <x:f>'Inputs_Trades'!S120</x:f>
        <x:v>2978571428.57</x:v>
      </x:c>
      <x:c r="S120" s="40" t="n">
        <x:f>'Inputs_Trades'!T120</x:f>
        <x:v>2978571428.57</x:v>
      </x:c>
      <x:c r="T120" s="27" t="str">
        <x:f>'Inputs_Trades'!V120</x:f>
        <x:v>M</x:v>
      </x:c>
      <x:c r="U120" s="27" t="str">
        <x:f>'Inputs_Trades'!W120</x:f>
        <x:v>N</x:v>
      </x:c>
      <x:c r="V120" s="27" t="n">
        <x:f>'Inputs_Trades'!X120</x:f>
        <x:v>10</x:v>
      </x:c>
      <x:c r="W120" s="27" t="str">
        <x:f>'Inputs_Trades'!Y120</x:f>
        <x:v>S</x:v>
      </x:c>
      <x:c r="X120" s="27" t="n">
        <x:f>'Inputs_Trades'!AA120</x:f>
        <x:v>0</x:v>
      </x:c>
      <x:c r="Y120" s="27" t="n">
        <x:f>'Inputs_Trades'!AB120</x:f>
        <x:v>0</x:v>
      </x:c>
      <x:c r="Z120" s="27" t="n">
        <x:f>'Inputs_Trades'!AC120</x:f>
        <x:v>0</x:v>
      </x:c>
      <x:c r="AA120" s="39" t="n">
        <x:f>'Inputs_Trades'!Z120</x:f>
        <x:v>0</x:v>
      </x:c>
      <x:c r="AB120" s="40" t="n">
        <x:f>'Inputs_Trades'!AD120</x:f>
        <x:v>-2084166</x:v>
      </x:c>
      <x:c r="AC120" s="27" t="n">
        <x:f>'Inputs_Trades'!K120</x:f>
        <x:v>0</x:v>
      </x:c>
      <x:c r="AD120" s="27" t="n">
        <x:f>N120-M120</x:f>
        <x:v>1735</x:v>
      </x:c>
      <x:c r="AE120" s="41" t="n">
        <x:f>AD120/365</x:f>
        <x:v>4.7534246575342465</x:v>
      </x:c>
      <x:c r="AF120" s="27" t="str">
        <x:f>IF(AE120&lt;1,"&lt;1Y",IF(AE120&lt;=5,"1Y-5Y","&gt;5Y"))</x:f>
        <x:v>1Y-5Y</x:v>
      </x:c>
      <x:c r="AG120" s="27" t="str">
        <x:f>IF(E120="Commodity",IFERROR(VLOOKUP(F120,Parameters!$P$4:$Q$12,2,FALSE),"Other"),"")</x:f>
      </x:c>
      <x:c r="AH120" s="27" t="str">
        <x:f>IF(F120="","Unknown",F120)</x:f>
        <x:v>Unknown</x:v>
      </x:c>
      <x:c r="AI120" s="27" t="str">
        <x:f>IF(E120="Interest Rate",G120&amp;IF(OR(LOWER(AC120)="basis",LOWER(AC120)="volatility"),"_"&amp;AC120,""),IF(E120="FX",IF(H120&lt;I120,H120&amp;"/"&amp;I120,I120&amp;"/"&amp;H120)&amp;IF(OR(LOWER(AC120)="basis",LOWER(AC120)="volatility"),"_"&amp;AC120,""),IF(OR(E120="Credit",E120="Equity"),J120&amp;IF(OR(LOWER(AC120)="basis",LOWER(AC120)="volatility"),"_"&amp;AC120,""),IF(E120="Commodity",AG120&amp;IF(OR(LOWER(AC120)="basis",LOWER(AC120)="volatility"),"_"&amp;AC120,""),"UNKNOWN"))))</x:f>
        <x:v>CNY</x:v>
      </x:c>
      <x:c r="AJ120" s="27" t="str">
        <x:f>T120</x:f>
        <x:v>M</x:v>
      </x:c>
      <x:c r="AK120" s="41" t="n">
        <x:f>IF(E120="Interest Rate",VLOOKUP("Interest Rate",Parameters!$D$4:$E$12,2,FALSE),IF(E120="FX",VLOOKUP("FX",Parameters!$D$4:$E$12,2,FALSE),IF(E120="Credit",IFERROR(VLOOKUP(L120,Parameters!$G$4:$H$12,2,FALSE),VLOOKUP("BBB",Parameters!$G$4:$H$12,2,FALSE)),IF(E120="Equity",VLOOKUP(IF(LOWER(K120)="index","Equity Index","Equity Single Name"),Parameters!$D$4:$E$12,2,FALSE),IF(E120="Commodity",VLOOKUP(IFERROR(VLOOKUP(F120,Parameters!$S$4:$T$12,2,FALSE),"Commodity Other"),Parameters!$D$4:$E$12,2,FALSE),0)))))</x:f>
        <x:v>0.005</x:v>
      </x:c>
      <x:c r="AL120" s="42" t="n">
        <x:f>IF(LOWER(AC120)="basis",Parameters!$B$8,IF(LOWER(AC120)="volatility",Parameters!$B$9,1))</x:f>
        <x:v>1</x:v>
      </x:c>
      <x:c r="AM120" s="41" t="n">
        <x:f>AK120*AL120</x:f>
        <x:v>0.005</x:v>
      </x:c>
      <x:c r="AN120" s="42" t="str">
        <x:f>IF(E120="Credit",VLOOKUP(IF(LOWER(K120)="index","Credit Index","Credit Single Name"),Parameters!$J$4:$K$8,2,FALSE),IF(E120="Equity",VLOOKUP(IF(LOWER(K120)="index","Equity Index","Equity Single Name"),Parameters!$J$4:$K$8,2,FALSE),IF(E120="Commodity",VLOOKUP("Commodity",Parameters!$J$4:$K$8,2,FALSE),"")))</x:f>
      </x:c>
      <x:c r="AO120" s="27" t="n">
        <x:f>MAX((O120-M120)/365,0)</x:f>
        <x:v>0</x:v>
      </x:c>
      <x:c r="AP120" s="27" t="n">
        <x:f>MAX((P120-M120)/365,10/Parameters!$B$6)</x:f>
        <x:v>4.7534246575342465</x:v>
      </x:c>
      <x:c r="AQ120" s="27" t="n">
        <x:f>IF(AP120&lt;=AO120,AO120+10/Parameters!$B$6,AP120)</x:f>
        <x:v>4.7534246575342465</x:v>
      </x:c>
      <x:c r="AR120" s="41" t="n">
        <x:f>IF(OR(E120="Interest Rate",E120="Credit"),(EXP(-Parameters!$B$7*AO120)-EXP(-Parameters!$B$7*AQ120))/Parameters!$B$7,1)</x:f>
        <x:v>4.230762623453732</x:v>
      </x:c>
      <x:c r="AS120" s="40" t="n">
        <x:f>IF(OR(E120="Interest Rate",E120="Credit"),ABS(Q120)*AR120,IF(E120="FX",IF(Q120&gt;0,Q120,MAX(ABS(R120),ABS(S120),ABS(Q120))),ABS(Q120)))</x:f>
        <x:v>1764228013.980206</x:v>
      </x:c>
      <x:c r="AT120" s="42" t="n">
        <x:f>IF(OR(E120="Interest Rate",E120="FX"),VLOOKUP(E120,Parameters!$M$4:$N$11,2,FALSE),IF(E120="Credit",VLOOKUP(IF(LOWER(K120)="index","Credit Index","Credit Single Name"),Parameters!$M$4:$N$11,2,FALSE),IF(E120="Equity",VLOOKUP(IF(LOWER(K120)="index","Equity Index","Equity Single Name"),Parameters!$M$4:$N$11,2,FALSE),IF(E120="Commodity",VLOOKUP(IF(F120="Electricity","Commodity Electricity","Commodity Other"),Parameters!$M$4:$N$11,2,FALSE),1))))</x:f>
        <x:v>0.5</x:v>
      </x:c>
      <x:c r="AU120" s="27" t="n">
        <x:f>IF(W120="B",1,-1)</x:f>
        <x:v>-1</x:v>
      </x:c>
      <x:c r="AV120" s="27" t="n">
        <x:f>IF(OR(AA120="",M120=""),MAX(AE120,1/365),MAX((AA120-M120)/365,1/365))</x:f>
        <x:v>4.7534246575342465</x:v>
      </x:c>
      <x:c r="AW120" s="41" t="str">
        <x:f>IF(OR(Z120&lt;=0,Y120&lt;=0,AT120&lt;=0,AV120&lt;=0),"",(LN(Z120/Y120)+0.5*AT120^2*AV120)/(AT120*SQRT(AV120)))</x:f>
      </x:c>
      <x:c r="AX120" s="41" t="n">
        <x:f>IF(AND(X120&lt;&gt;"C",X120&lt;&gt;"P"),AU120,IF(AW120="",AU120,IF(X120="C",AU120*0.5*(1+ERF(AW120/SQRT(2))),-AU120*0.5*(1+ERF(-AW120/SQRT(2))))))</x:f>
        <x:v>-1</x:v>
      </x:c>
      <x:c r="AY120" s="41" t="n">
        <x:f>IF(AJ120="M",1.5*SQRT(MAX(IF(U120="Y",5,10),IF(V120="",10,V120))/Parameters!$B$6),SQRT(MIN(MAX(AE120,10/Parameters!$B$6),1)))</x:f>
        <x:v>0.30000000000000004</x:v>
      </x:c>
      <x:c r="AZ120" s="40" t="n">
        <x:f>AS120*AX120*AY120</x:f>
        <x:v>-529268404.1940619</x:v>
      </x:c>
      <x:c r="BA120" s="40" t="n">
        <x:f>'Python_Trade_Output'!AZ120</x:f>
        <x:v>-529268404.1940619</x:v>
      </x:c>
      <x:c r="BB120" s="43" t="n">
        <x:f>AZ120-BA120</x:f>
        <x:v>0</x:v>
      </x:c>
    </x:row>
    <x:row r="121">
      <x:c r="A121" s="27" t="str">
        <x:f>'Inputs_Trades'!D121</x:f>
        <x:v>IND-000118</x:v>
      </x:c>
      <x:c r="B121" s="27" t="str">
        <x:f>'Inputs_Trades'!B121</x:f>
        <x:v>IND_PENSION_001</x:v>
      </x:c>
      <x:c r="C121" s="27" t="n">
        <x:f>'Inputs_Trades'!C121</x:f>
        <x:v>3103</x:v>
      </x:c>
      <x:c r="D121" s="27" t="str">
        <x:f>'Inputs_Trades'!E121</x:f>
        <x:v>Interest Rate Swap</x:v>
      </x:c>
      <x:c r="E121" s="27" t="str">
        <x:f>'Inputs_Trades'!F121</x:f>
        <x:v>Interest Rate</x:v>
      </x:c>
      <x:c r="F121" s="27" t="n">
        <x:f>'Inputs_Trades'!G121</x:f>
        <x:v>0</x:v>
      </x:c>
      <x:c r="G121" s="27" t="str">
        <x:f>'Inputs_Trades'!J121</x:f>
        <x:v>USD</x:v>
      </x:c>
      <x:c r="H121" s="27" t="str">
        <x:f>'Inputs_Trades'!H121</x:f>
        <x:v>USD</x:v>
      </x:c>
      <x:c r="I121" s="27" t="str">
        <x:f>'Inputs_Trades'!I121</x:f>
        <x:v>USD</x:v>
      </x:c>
      <x:c r="J121" s="27" t="str">
        <x:f>'Inputs_Trades'!M121</x:f>
        <x:v>USD</x:v>
      </x:c>
      <x:c r="K121" s="27" t="n">
        <x:f>'Inputs_Trades'!N121</x:f>
        <x:v>0</x:v>
      </x:c>
      <x:c r="L121" s="27" t="n">
        <x:f>'Inputs_Trades'!O121</x:f>
        <x:v>0</x:v>
      </x:c>
      <x:c r="M121" s="39" t="n">
        <x:f>'Inputs_Trades'!A121</x:f>
        <x:v>45702</x:v>
      </x:c>
      <x:c r="N121" s="39" t="n">
        <x:f>'Inputs_Trades'!P121</x:f>
        <x:v>48902</x:v>
      </x:c>
      <x:c r="O121" s="39" t="n">
        <x:f>'Inputs_Trades'!Q121</x:f>
        <x:v>45125</x:v>
      </x:c>
      <x:c r="P121" s="39" t="n">
        <x:f>'Inputs_Trades'!R121</x:f>
        <x:v>48902</x:v>
      </x:c>
      <x:c r="Q121" s="40" t="n">
        <x:f>'Inputs_Trades'!U121</x:f>
        <x:v>1389000000</x:v>
      </x:c>
      <x:c r="R121" s="40" t="n">
        <x:f>'Inputs_Trades'!S121</x:f>
        <x:v>1389000000</x:v>
      </x:c>
      <x:c r="S121" s="40" t="n">
        <x:f>'Inputs_Trades'!T121</x:f>
        <x:v>1389000000</x:v>
      </x:c>
      <x:c r="T121" s="27" t="str">
        <x:f>'Inputs_Trades'!V121</x:f>
        <x:v>M</x:v>
      </x:c>
      <x:c r="U121" s="27" t="str">
        <x:f>'Inputs_Trades'!W121</x:f>
        <x:v>N</x:v>
      </x:c>
      <x:c r="V121" s="27" t="n">
        <x:f>'Inputs_Trades'!X121</x:f>
        <x:v>10</x:v>
      </x:c>
      <x:c r="W121" s="27" t="str">
        <x:f>'Inputs_Trades'!Y121</x:f>
        <x:v>B</x:v>
      </x:c>
      <x:c r="X121" s="27" t="n">
        <x:f>'Inputs_Trades'!AA121</x:f>
        <x:v>0</x:v>
      </x:c>
      <x:c r="Y121" s="27" t="n">
        <x:f>'Inputs_Trades'!AB121</x:f>
        <x:v>0</x:v>
      </x:c>
      <x:c r="Z121" s="27" t="n">
        <x:f>'Inputs_Trades'!AC121</x:f>
        <x:v>0</x:v>
      </x:c>
      <x:c r="AA121" s="39" t="n">
        <x:f>'Inputs_Trades'!Z121</x:f>
        <x:v>0</x:v>
      </x:c>
      <x:c r="AB121" s="40" t="n">
        <x:f>'Inputs_Trades'!AD121</x:f>
        <x:v>-4958730</x:v>
      </x:c>
      <x:c r="AC121" s="27" t="n">
        <x:f>'Inputs_Trades'!K121</x:f>
        <x:v>0</x:v>
      </x:c>
      <x:c r="AD121" s="27" t="n">
        <x:f>N121-M121</x:f>
        <x:v>3200</x:v>
      </x:c>
      <x:c r="AE121" s="41" t="n">
        <x:f>AD121/365</x:f>
        <x:v>8.767123287671232</x:v>
      </x:c>
      <x:c r="AF121" s="27" t="str">
        <x:f>IF(AE121&lt;1,"&lt;1Y",IF(AE121&lt;=5,"1Y-5Y","&gt;5Y"))</x:f>
        <x:v>&gt;5Y</x:v>
      </x:c>
      <x:c r="AG121" s="27" t="str">
        <x:f>IF(E121="Commodity",IFERROR(VLOOKUP(F121,Parameters!$P$4:$Q$12,2,FALSE),"Other"),"")</x:f>
      </x:c>
      <x:c r="AH121" s="27" t="str">
        <x:f>IF(F121="","Unknown",F121)</x:f>
        <x:v>Unknown</x:v>
      </x:c>
      <x:c r="AI121" s="27" t="str">
        <x:f>IF(E121="Interest Rate",G121&amp;IF(OR(LOWER(AC121)="basis",LOWER(AC121)="volatility"),"_"&amp;AC121,""),IF(E121="FX",IF(H121&lt;I121,H121&amp;"/"&amp;I121,I121&amp;"/"&amp;H121)&amp;IF(OR(LOWER(AC121)="basis",LOWER(AC121)="volatility"),"_"&amp;AC121,""),IF(OR(E121="Credit",E121="Equity"),J121&amp;IF(OR(LOWER(AC121)="basis",LOWER(AC121)="volatility"),"_"&amp;AC121,""),IF(E121="Commodity",AG121&amp;IF(OR(LOWER(AC121)="basis",LOWER(AC121)="volatility"),"_"&amp;AC121,""),"UNKNOWN"))))</x:f>
        <x:v>USD</x:v>
      </x:c>
      <x:c r="AJ121" s="27" t="str">
        <x:f>T121</x:f>
        <x:v>M</x:v>
      </x:c>
      <x:c r="AK121" s="41" t="n">
        <x:f>IF(E121="Interest Rate",VLOOKUP("Interest Rate",Parameters!$D$4:$E$12,2,FALSE),IF(E121="FX",VLOOKUP("FX",Parameters!$D$4:$E$12,2,FALSE),IF(E121="Credit",IFERROR(VLOOKUP(L121,Parameters!$G$4:$H$12,2,FALSE),VLOOKUP("BBB",Parameters!$G$4:$H$12,2,FALSE)),IF(E121="Equity",VLOOKUP(IF(LOWER(K121)="index","Equity Index","Equity Single Name"),Parameters!$D$4:$E$12,2,FALSE),IF(E121="Commodity",VLOOKUP(IFERROR(VLOOKUP(F121,Parameters!$S$4:$T$12,2,FALSE),"Commodity Other"),Parameters!$D$4:$E$12,2,FALSE),0)))))</x:f>
        <x:v>0.005</x:v>
      </x:c>
      <x:c r="AL121" s="42" t="n">
        <x:f>IF(LOWER(AC121)="basis",Parameters!$B$8,IF(LOWER(AC121)="volatility",Parameters!$B$9,1))</x:f>
        <x:v>1</x:v>
      </x:c>
      <x:c r="AM121" s="41" t="n">
        <x:f>AK121*AL121</x:f>
        <x:v>0.005</x:v>
      </x:c>
      <x:c r="AN121" s="42" t="str">
        <x:f>IF(E121="Credit",VLOOKUP(IF(LOWER(K121)="index","Credit Index","Credit Single Name"),Parameters!$J$4:$K$8,2,FALSE),IF(E121="Equity",VLOOKUP(IF(LOWER(K121)="index","Equity Index","Equity Single Name"),Parameters!$J$4:$K$8,2,FALSE),IF(E121="Commodity",VLOOKUP("Commodity",Parameters!$J$4:$K$8,2,FALSE),"")))</x:f>
      </x:c>
      <x:c r="AO121" s="27" t="n">
        <x:f>MAX((O121-M121)/365,0)</x:f>
        <x:v>0</x:v>
      </x:c>
      <x:c r="AP121" s="27" t="n">
        <x:f>MAX((P121-M121)/365,10/Parameters!$B$6)</x:f>
        <x:v>8.767123287671232</x:v>
      </x:c>
      <x:c r="AQ121" s="27" t="n">
        <x:f>IF(AP121&lt;=AO121,AO121+10/Parameters!$B$6,AP121)</x:f>
        <x:v>8.767123287671232</x:v>
      </x:c>
      <x:c r="AR121" s="41" t="n">
        <x:f>IF(OR(E121="Interest Rate",E121="Credit"),(EXP(-Parameters!$B$7*AO121)-EXP(-Parameters!$B$7*AQ121))/Parameters!$B$7,1)</x:f>
        <x:v>7.0980803655286895</x:v>
      </x:c>
      <x:c r="AS121" s="40" t="n">
        <x:f>IF(OR(E121="Interest Rate",E121="Credit"),ABS(Q121)*AR121,IF(E121="FX",IF(Q121&gt;0,Q121,MAX(ABS(R121),ABS(S121),ABS(Q121))),ABS(Q121)))</x:f>
        <x:v>9859233627.719349</x:v>
      </x:c>
      <x:c r="AT121" s="42" t="n">
        <x:f>IF(OR(E121="Interest Rate",E121="FX"),VLOOKUP(E121,Parameters!$M$4:$N$11,2,FALSE),IF(E121="Credit",VLOOKUP(IF(LOWER(K121)="index","Credit Index","Credit Single Name"),Parameters!$M$4:$N$11,2,FALSE),IF(E121="Equity",VLOOKUP(IF(LOWER(K121)="index","Equity Index","Equity Single Name"),Parameters!$M$4:$N$11,2,FALSE),IF(E121="Commodity",VLOOKUP(IF(F121="Electricity","Commodity Electricity","Commodity Other"),Parameters!$M$4:$N$11,2,FALSE),1))))</x:f>
        <x:v>0.5</x:v>
      </x:c>
      <x:c r="AU121" s="27" t="n">
        <x:f>IF(W121="B",1,-1)</x:f>
        <x:v>1</x:v>
      </x:c>
      <x:c r="AV121" s="27" t="n">
        <x:f>IF(OR(AA121="",M121=""),MAX(AE121,1/365),MAX((AA121-M121)/365,1/365))</x:f>
        <x:v>8.767123287671232</x:v>
      </x:c>
      <x:c r="AW121" s="41" t="str">
        <x:f>IF(OR(Z121&lt;=0,Y121&lt;=0,AT121&lt;=0,AV121&lt;=0),"",(LN(Z121/Y121)+0.5*AT121^2*AV121)/(AT121*SQRT(AV121)))</x:f>
      </x:c>
      <x:c r="AX121" s="41" t="n">
        <x:f>IF(AND(X121&lt;&gt;"C",X121&lt;&gt;"P"),AU121,IF(AW121="",AU121,IF(X121="C",AU121*0.5*(1+ERF(AW121/SQRT(2))),-AU121*0.5*(1+ERF(-AW121/SQRT(2))))))</x:f>
        <x:v>1</x:v>
      </x:c>
      <x:c r="AY121" s="41" t="n">
        <x:f>IF(AJ121="M",1.5*SQRT(MAX(IF(U121="Y",5,10),IF(V121="",10,V121))/Parameters!$B$6),SQRT(MIN(MAX(AE121,10/Parameters!$B$6),1)))</x:f>
        <x:v>0.30000000000000004</x:v>
      </x:c>
      <x:c r="AZ121" s="40" t="n">
        <x:f>AS121*AX121*AY121</x:f>
        <x:v>2957770088.315805</x:v>
      </x:c>
      <x:c r="BA121" s="40" t="n">
        <x:f>'Python_Trade_Output'!AZ121</x:f>
        <x:v>2957770088.315804</x:v>
      </x:c>
      <x:c r="BB121" s="43" t="n">
        <x:f>AZ121-BA121</x:f>
        <x:v>9.5367431640625e-7</x:v>
      </x:c>
    </x:row>
    <x:row r="122">
      <x:c r="A122" s="27" t="str">
        <x:f>'Inputs_Trades'!D122</x:f>
        <x:v>IND-000119</x:v>
      </x:c>
      <x:c r="B122" s="27" t="str">
        <x:f>'Inputs_Trades'!B122</x:f>
        <x:v>IND_PENSION_001</x:v>
      </x:c>
      <x:c r="C122" s="27" t="n">
        <x:f>'Inputs_Trades'!C122</x:f>
        <x:v>3103</x:v>
      </x:c>
      <x:c r="D122" s="27" t="str">
        <x:f>'Inputs_Trades'!E122</x:f>
        <x:v>Cross Currency Swap</x:v>
      </x:c>
      <x:c r="E122" s="27" t="str">
        <x:f>'Inputs_Trades'!F122</x:f>
        <x:v>Interest Rate</x:v>
      </x:c>
      <x:c r="F122" s="27" t="n">
        <x:f>'Inputs_Trades'!G122</x:f>
        <x:v>0</x:v>
      </x:c>
      <x:c r="G122" s="27" t="str">
        <x:f>'Inputs_Trades'!J122</x:f>
        <x:v>USD</x:v>
      </x:c>
      <x:c r="H122" s="27" t="str">
        <x:f>'Inputs_Trades'!H122</x:f>
        <x:v>USD</x:v>
      </x:c>
      <x:c r="I122" s="27" t="str">
        <x:f>'Inputs_Trades'!I122</x:f>
        <x:v>CNY</x:v>
      </x:c>
      <x:c r="J122" s="27" t="str">
        <x:f>'Inputs_Trades'!M122</x:f>
        <x:v>USD/CNY</x:v>
      </x:c>
      <x:c r="K122" s="27" t="n">
        <x:f>'Inputs_Trades'!N122</x:f>
        <x:v>0</x:v>
      </x:c>
      <x:c r="L122" s="27" t="n">
        <x:f>'Inputs_Trades'!O122</x:f>
        <x:v>0</x:v>
      </x:c>
      <x:c r="M122" s="39" t="n">
        <x:f>'Inputs_Trades'!A122</x:f>
        <x:v>45702</x:v>
      </x:c>
      <x:c r="N122" s="39" t="n">
        <x:f>'Inputs_Trades'!P122</x:f>
        <x:v>46471</x:v>
      </x:c>
      <x:c r="O122" s="39" t="n">
        <x:f>'Inputs_Trades'!Q122</x:f>
        <x:v>45402</x:v>
      </x:c>
      <x:c r="P122" s="39" t="n">
        <x:f>'Inputs_Trades'!R122</x:f>
        <x:v>46471</x:v>
      </x:c>
      <x:c r="Q122" s="40" t="n">
        <x:f>'Inputs_Trades'!U122</x:f>
        <x:v>74200000</x:v>
      </x:c>
      <x:c r="R122" s="40" t="n">
        <x:f>'Inputs_Trades'!S122</x:f>
        <x:v>74200000</x:v>
      </x:c>
      <x:c r="S122" s="40" t="n">
        <x:f>'Inputs_Trades'!T122</x:f>
        <x:v>530000000</x:v>
      </x:c>
      <x:c r="T122" s="27" t="str">
        <x:f>'Inputs_Trades'!V122</x:f>
        <x:v>M</x:v>
      </x:c>
      <x:c r="U122" s="27" t="str">
        <x:f>'Inputs_Trades'!W122</x:f>
        <x:v>Y</x:v>
      </x:c>
      <x:c r="V122" s="27" t="n">
        <x:f>'Inputs_Trades'!X122</x:f>
        <x:v>5</x:v>
      </x:c>
      <x:c r="W122" s="27" t="str">
        <x:f>'Inputs_Trades'!Y122</x:f>
        <x:v>B</x:v>
      </x:c>
      <x:c r="X122" s="27" t="n">
        <x:f>'Inputs_Trades'!AA122</x:f>
        <x:v>0</x:v>
      </x:c>
      <x:c r="Y122" s="27" t="n">
        <x:f>'Inputs_Trades'!AB122</x:f>
        <x:v>0</x:v>
      </x:c>
      <x:c r="Z122" s="27" t="n">
        <x:f>'Inputs_Trades'!AC122</x:f>
        <x:v>0</x:v>
      </x:c>
      <x:c r="AA122" s="39" t="n">
        <x:f>'Inputs_Trades'!Z122</x:f>
        <x:v>0</x:v>
      </x:c>
      <x:c r="AB122" s="40" t="n">
        <x:f>'Inputs_Trades'!AD122</x:f>
        <x:v>414481.2</x:v>
      </x:c>
      <x:c r="AC122" s="27" t="n">
        <x:f>'Inputs_Trades'!K122</x:f>
        <x:v>0</x:v>
      </x:c>
      <x:c r="AD122" s="27" t="n">
        <x:f>N122-M122</x:f>
        <x:v>769</x:v>
      </x:c>
      <x:c r="AE122" s="41" t="n">
        <x:f>AD122/365</x:f>
        <x:v>2.106849315068493</x:v>
      </x:c>
      <x:c r="AF122" s="27" t="str">
        <x:f>IF(AE122&lt;1,"&lt;1Y",IF(AE122&lt;=5,"1Y-5Y","&gt;5Y"))</x:f>
        <x:v>1Y-5Y</x:v>
      </x:c>
      <x:c r="AG122" s="27" t="str">
        <x:f>IF(E122="Commodity",IFERROR(VLOOKUP(F122,Parameters!$P$4:$Q$12,2,FALSE),"Other"),"")</x:f>
      </x:c>
      <x:c r="AH122" s="27" t="str">
        <x:f>IF(F122="","Unknown",F122)</x:f>
        <x:v>Unknown</x:v>
      </x:c>
      <x:c r="AI122" s="27" t="str">
        <x:f>IF(E122="Interest Rate",G122&amp;IF(OR(LOWER(AC122)="basis",LOWER(AC122)="volatility"),"_"&amp;AC122,""),IF(E122="FX",IF(H122&lt;I122,H122&amp;"/"&amp;I122,I122&amp;"/"&amp;H122)&amp;IF(OR(LOWER(AC122)="basis",LOWER(AC122)="volatility"),"_"&amp;AC122,""),IF(OR(E122="Credit",E122="Equity"),J122&amp;IF(OR(LOWER(AC122)="basis",LOWER(AC122)="volatility"),"_"&amp;AC122,""),IF(E122="Commodity",AG122&amp;IF(OR(LOWER(AC122)="basis",LOWER(AC122)="volatility"),"_"&amp;AC122,""),"UNKNOWN"))))</x:f>
        <x:v>USD</x:v>
      </x:c>
      <x:c r="AJ122" s="27" t="str">
        <x:f>T122</x:f>
        <x:v>M</x:v>
      </x:c>
      <x:c r="AK122" s="41" t="n">
        <x:f>IF(E122="Interest Rate",VLOOKUP("Interest Rate",Parameters!$D$4:$E$12,2,FALSE),IF(E122="FX",VLOOKUP("FX",Parameters!$D$4:$E$12,2,FALSE),IF(E122="Credit",IFERROR(VLOOKUP(L122,Parameters!$G$4:$H$12,2,FALSE),VLOOKUP("BBB",Parameters!$G$4:$H$12,2,FALSE)),IF(E122="Equity",VLOOKUP(IF(LOWER(K122)="index","Equity Index","Equity Single Name"),Parameters!$D$4:$E$12,2,FALSE),IF(E122="Commodity",VLOOKUP(IFERROR(VLOOKUP(F122,Parameters!$S$4:$T$12,2,FALSE),"Commodity Other"),Parameters!$D$4:$E$12,2,FALSE),0)))))</x:f>
        <x:v>0.005</x:v>
      </x:c>
      <x:c r="AL122" s="42" t="n">
        <x:f>IF(LOWER(AC122)="basis",Parameters!$B$8,IF(LOWER(AC122)="volatility",Parameters!$B$9,1))</x:f>
        <x:v>1</x:v>
      </x:c>
      <x:c r="AM122" s="41" t="n">
        <x:f>AK122*AL122</x:f>
        <x:v>0.005</x:v>
      </x:c>
      <x:c r="AN122" s="42" t="str">
        <x:f>IF(E122="Credit",VLOOKUP(IF(LOWER(K122)="index","Credit Index","Credit Single Name"),Parameters!$J$4:$K$8,2,FALSE),IF(E122="Equity",VLOOKUP(IF(LOWER(K122)="index","Equity Index","Equity Single Name"),Parameters!$J$4:$K$8,2,FALSE),IF(E122="Commodity",VLOOKUP("Commodity",Parameters!$J$4:$K$8,2,FALSE),"")))</x:f>
      </x:c>
      <x:c r="AO122" s="27" t="n">
        <x:f>MAX((O122-M122)/365,0)</x:f>
        <x:v>0</x:v>
      </x:c>
      <x:c r="AP122" s="27" t="n">
        <x:f>MAX((P122-M122)/365,10/Parameters!$B$6)</x:f>
        <x:v>2.106849315068493</x:v>
      </x:c>
      <x:c r="AQ122" s="27" t="n">
        <x:f>IF(AP122&lt;=AO122,AO122+10/Parameters!$B$6,AP122)</x:f>
        <x:v>2.106849315068493</x:v>
      </x:c>
      <x:c r="AR122" s="41" t="n">
        <x:f>IF(OR(E122="Interest Rate",E122="Credit"),(EXP(-Parameters!$B$7*AO122)-EXP(-Parameters!$B$7*AQ122))/Parameters!$B$7,1)</x:f>
        <x:v>1.9996750987885603</x:v>
      </x:c>
      <x:c r="AS122" s="40" t="n">
        <x:f>IF(OR(E122="Interest Rate",E122="Credit"),ABS(Q122)*AR122,IF(E122="FX",IF(Q122&gt;0,Q122,MAX(ABS(R122),ABS(S122),ABS(Q122))),ABS(Q122)))</x:f>
        <x:v>148375892.33011118</x:v>
      </x:c>
      <x:c r="AT122" s="42" t="n">
        <x:f>IF(OR(E122="Interest Rate",E122="FX"),VLOOKUP(E122,Parameters!$M$4:$N$11,2,FALSE),IF(E122="Credit",VLOOKUP(IF(LOWER(K122)="index","Credit Index","Credit Single Name"),Parameters!$M$4:$N$11,2,FALSE),IF(E122="Equity",VLOOKUP(IF(LOWER(K122)="index","Equity Index","Equity Single Name"),Parameters!$M$4:$N$11,2,FALSE),IF(E122="Commodity",VLOOKUP(IF(F122="Electricity","Commodity Electricity","Commodity Other"),Parameters!$M$4:$N$11,2,FALSE),1))))</x:f>
        <x:v>0.5</x:v>
      </x:c>
      <x:c r="AU122" s="27" t="n">
        <x:f>IF(W122="B",1,-1)</x:f>
        <x:v>1</x:v>
      </x:c>
      <x:c r="AV122" s="27" t="n">
        <x:f>IF(OR(AA122="",M122=""),MAX(AE122,1/365),MAX((AA122-M122)/365,1/365))</x:f>
        <x:v>2.106849315068493</x:v>
      </x:c>
      <x:c r="AW122" s="41" t="str">
        <x:f>IF(OR(Z122&lt;=0,Y122&lt;=0,AT122&lt;=0,AV122&lt;=0),"",(LN(Z122/Y122)+0.5*AT122^2*AV122)/(AT122*SQRT(AV122)))</x:f>
      </x:c>
      <x:c r="AX122" s="41" t="n">
        <x:f>IF(AND(X122&lt;&gt;"C",X122&lt;&gt;"P"),AU122,IF(AW122="",AU122,IF(X122="C",AU122*0.5*(1+ERF(AW122/SQRT(2))),-AU122*0.5*(1+ERF(-AW122/SQRT(2))))))</x:f>
        <x:v>1</x:v>
      </x:c>
      <x:c r="AY122" s="41" t="n">
        <x:f>IF(AJ122="M",1.5*SQRT(MAX(IF(U122="Y",5,10),IF(V122="",10,V122))/Parameters!$B$6),SQRT(MIN(MAX(AE122,10/Parameters!$B$6),1)))</x:f>
        <x:v>0.21213203435596426</x:v>
      </x:c>
      <x:c r="AZ122" s="40" t="n">
        <x:f>AS122*AX122*AY122</x:f>
        <x:v>31475279.889367998</x:v>
      </x:c>
      <x:c r="BA122" s="40" t="n">
        <x:f>'Python_Trade_Output'!AZ122</x:f>
        <x:v>31475279.889367998</x:v>
      </x:c>
      <x:c r="BB122" s="43" t="n">
        <x:f>AZ122-BA122</x:f>
        <x:v>0</x:v>
      </x:c>
    </x:row>
    <x:row r="123">
      <x:c r="A123" s="27" t="str">
        <x:f>'Inputs_Trades'!D123</x:f>
        <x:v>IND-000120</x:v>
      </x:c>
      <x:c r="B123" s="27" t="str">
        <x:f>'Inputs_Trades'!B123</x:f>
        <x:v>IND_PENSION_001</x:v>
      </x:c>
      <x:c r="C123" s="27" t="n">
        <x:f>'Inputs_Trades'!C123</x:f>
        <x:v>3103</x:v>
      </x:c>
      <x:c r="D123" s="27" t="str">
        <x:f>'Inputs_Trades'!E123</x:f>
        <x:v>Cross Currency Swap</x:v>
      </x:c>
      <x:c r="E123" s="27" t="str">
        <x:f>'Inputs_Trades'!F123</x:f>
        <x:v>Interest Rate</x:v>
      </x:c>
      <x:c r="F123" s="27" t="n">
        <x:f>'Inputs_Trades'!G123</x:f>
        <x:v>0</x:v>
      </x:c>
      <x:c r="G123" s="27" t="str">
        <x:f>'Inputs_Trades'!J123</x:f>
        <x:v>USD</x:v>
      </x:c>
      <x:c r="H123" s="27" t="str">
        <x:f>'Inputs_Trades'!H123</x:f>
        <x:v>USD</x:v>
      </x:c>
      <x:c r="I123" s="27" t="str">
        <x:f>'Inputs_Trades'!I123</x:f>
        <x:v>CNY</x:v>
      </x:c>
      <x:c r="J123" s="27" t="str">
        <x:f>'Inputs_Trades'!M123</x:f>
        <x:v>USD/CNY</x:v>
      </x:c>
      <x:c r="K123" s="27" t="n">
        <x:f>'Inputs_Trades'!N123</x:f>
        <x:v>0</x:v>
      </x:c>
      <x:c r="L123" s="27" t="n">
        <x:f>'Inputs_Trades'!O123</x:f>
        <x:v>0</x:v>
      </x:c>
      <x:c r="M123" s="39" t="n">
        <x:f>'Inputs_Trades'!A123</x:f>
        <x:v>45702</x:v>
      </x:c>
      <x:c r="N123" s="39" t="n">
        <x:f>'Inputs_Trades'!P123</x:f>
        <x:v>47224</x:v>
      </x:c>
      <x:c r="O123" s="39" t="n">
        <x:f>'Inputs_Trades'!Q123</x:f>
        <x:v>45319</x:v>
      </x:c>
      <x:c r="P123" s="39" t="n">
        <x:f>'Inputs_Trades'!R123</x:f>
        <x:v>47224</x:v>
      </x:c>
      <x:c r="Q123" s="40" t="n">
        <x:f>'Inputs_Trades'!U123</x:f>
        <x:v>656000000</x:v>
      </x:c>
      <x:c r="R123" s="40" t="n">
        <x:f>'Inputs_Trades'!S123</x:f>
        <x:v>656000000</x:v>
      </x:c>
      <x:c r="S123" s="40" t="n">
        <x:f>'Inputs_Trades'!T123</x:f>
        <x:v>4685714285.71</x:v>
      </x:c>
      <x:c r="T123" s="27" t="str">
        <x:f>'Inputs_Trades'!V123</x:f>
        <x:v>M</x:v>
      </x:c>
      <x:c r="U123" s="27" t="str">
        <x:f>'Inputs_Trades'!W123</x:f>
        <x:v>N</x:v>
      </x:c>
      <x:c r="V123" s="27" t="n">
        <x:f>'Inputs_Trades'!X123</x:f>
        <x:v>10</x:v>
      </x:c>
      <x:c r="W123" s="27" t="str">
        <x:f>'Inputs_Trades'!Y123</x:f>
        <x:v>S</x:v>
      </x:c>
      <x:c r="X123" s="27" t="n">
        <x:f>'Inputs_Trades'!AA123</x:f>
        <x:v>0</x:v>
      </x:c>
      <x:c r="Y123" s="27" t="n">
        <x:f>'Inputs_Trades'!AB123</x:f>
        <x:v>0</x:v>
      </x:c>
      <x:c r="Z123" s="27" t="n">
        <x:f>'Inputs_Trades'!AC123</x:f>
        <x:v>0</x:v>
      </x:c>
      <x:c r="AA123" s="39" t="n">
        <x:f>'Inputs_Trades'!Z123</x:f>
        <x:v>0</x:v>
      </x:c>
      <x:c r="AB123" s="40" t="n">
        <x:f>'Inputs_Trades'!AD123</x:f>
        <x:v>-2696160</x:v>
      </x:c>
      <x:c r="AC123" s="27" t="n">
        <x:f>'Inputs_Trades'!K123</x:f>
        <x:v>0</x:v>
      </x:c>
      <x:c r="AD123" s="27" t="n">
        <x:f>N123-M123</x:f>
        <x:v>1522</x:v>
      </x:c>
      <x:c r="AE123" s="41" t="n">
        <x:f>AD123/365</x:f>
        <x:v>4.16986301369863</x:v>
      </x:c>
      <x:c r="AF123" s="27" t="str">
        <x:f>IF(AE123&lt;1,"&lt;1Y",IF(AE123&lt;=5,"1Y-5Y","&gt;5Y"))</x:f>
        <x:v>1Y-5Y</x:v>
      </x:c>
      <x:c r="AG123" s="27" t="str">
        <x:f>IF(E123="Commodity",IFERROR(VLOOKUP(F123,Parameters!$P$4:$Q$12,2,FALSE),"Other"),"")</x:f>
      </x:c>
      <x:c r="AH123" s="27" t="str">
        <x:f>IF(F123="","Unknown",F123)</x:f>
        <x:v>Unknown</x:v>
      </x:c>
      <x:c r="AI123" s="27" t="str">
        <x:f>IF(E123="Interest Rate",G123&amp;IF(OR(LOWER(AC123)="basis",LOWER(AC123)="volatility"),"_"&amp;AC123,""),IF(E123="FX",IF(H123&lt;I123,H123&amp;"/"&amp;I123,I123&amp;"/"&amp;H123)&amp;IF(OR(LOWER(AC123)="basis",LOWER(AC123)="volatility"),"_"&amp;AC123,""),IF(OR(E123="Credit",E123="Equity"),J123&amp;IF(OR(LOWER(AC123)="basis",LOWER(AC123)="volatility"),"_"&amp;AC123,""),IF(E123="Commodity",AG123&amp;IF(OR(LOWER(AC123)="basis",LOWER(AC123)="volatility"),"_"&amp;AC123,""),"UNKNOWN"))))</x:f>
        <x:v>USD</x:v>
      </x:c>
      <x:c r="AJ123" s="27" t="str">
        <x:f>T123</x:f>
        <x:v>M</x:v>
      </x:c>
      <x:c r="AK123" s="41" t="n">
        <x:f>IF(E123="Interest Rate",VLOOKUP("Interest Rate",Parameters!$D$4:$E$12,2,FALSE),IF(E123="FX",VLOOKUP("FX",Parameters!$D$4:$E$12,2,FALSE),IF(E123="Credit",IFERROR(VLOOKUP(L123,Parameters!$G$4:$H$12,2,FALSE),VLOOKUP("BBB",Parameters!$G$4:$H$12,2,FALSE)),IF(E123="Equity",VLOOKUP(IF(LOWER(K123)="index","Equity Index","Equity Single Name"),Parameters!$D$4:$E$12,2,FALSE),IF(E123="Commodity",VLOOKUP(IFERROR(VLOOKUP(F123,Parameters!$S$4:$T$12,2,FALSE),"Commodity Other"),Parameters!$D$4:$E$12,2,FALSE),0)))))</x:f>
        <x:v>0.005</x:v>
      </x:c>
      <x:c r="AL123" s="42" t="n">
        <x:f>IF(LOWER(AC123)="basis",Parameters!$B$8,IF(LOWER(AC123)="volatility",Parameters!$B$9,1))</x:f>
        <x:v>1</x:v>
      </x:c>
      <x:c r="AM123" s="41" t="n">
        <x:f>AK123*AL123</x:f>
        <x:v>0.005</x:v>
      </x:c>
      <x:c r="AN123" s="42" t="str">
        <x:f>IF(E123="Credit",VLOOKUP(IF(LOWER(K123)="index","Credit Index","Credit Single Name"),Parameters!$J$4:$K$8,2,FALSE),IF(E123="Equity",VLOOKUP(IF(LOWER(K123)="index","Equity Index","Equity Single Name"),Parameters!$J$4:$K$8,2,FALSE),IF(E123="Commodity",VLOOKUP("Commodity",Parameters!$J$4:$K$8,2,FALSE),"")))</x:f>
      </x:c>
      <x:c r="AO123" s="27" t="n">
        <x:f>MAX((O123-M123)/365,0)</x:f>
        <x:v>0</x:v>
      </x:c>
      <x:c r="AP123" s="27" t="n">
        <x:f>MAX((P123-M123)/365,10/Parameters!$B$6)</x:f>
        <x:v>4.16986301369863</x:v>
      </x:c>
      <x:c r="AQ123" s="27" t="n">
        <x:f>IF(AP123&lt;=AO123,AO123+10/Parameters!$B$6,AP123)</x:f>
        <x:v>4.16986301369863</x:v>
      </x:c>
      <x:c r="AR123" s="41" t="n">
        <x:f>IF(OR(E123="Interest Rate",E123="Credit"),(EXP(-Parameters!$B$7*AO123)-EXP(-Parameters!$B$7*AQ123))/Parameters!$B$7,1)</x:f>
        <x:v>3.763868099947092</x:v>
      </x:c>
      <x:c r="AS123" s="40" t="n">
        <x:f>IF(OR(E123="Interest Rate",E123="Credit"),ABS(Q123)*AR123,IF(E123="FX",IF(Q123&gt;0,Q123,MAX(ABS(R123),ABS(S123),ABS(Q123))),ABS(Q123)))</x:f>
        <x:v>2469097473.5652924</x:v>
      </x:c>
      <x:c r="AT123" s="42" t="n">
        <x:f>IF(OR(E123="Interest Rate",E123="FX"),VLOOKUP(E123,Parameters!$M$4:$N$11,2,FALSE),IF(E123="Credit",VLOOKUP(IF(LOWER(K123)="index","Credit Index","Credit Single Name"),Parameters!$M$4:$N$11,2,FALSE),IF(E123="Equity",VLOOKUP(IF(LOWER(K123)="index","Equity Index","Equity Single Name"),Parameters!$M$4:$N$11,2,FALSE),IF(E123="Commodity",VLOOKUP(IF(F123="Electricity","Commodity Electricity","Commodity Other"),Parameters!$M$4:$N$11,2,FALSE),1))))</x:f>
        <x:v>0.5</x:v>
      </x:c>
      <x:c r="AU123" s="27" t="n">
        <x:f>IF(W123="B",1,-1)</x:f>
        <x:v>-1</x:v>
      </x:c>
      <x:c r="AV123" s="27" t="n">
        <x:f>IF(OR(AA123="",M123=""),MAX(AE123,1/365),MAX((AA123-M123)/365,1/365))</x:f>
        <x:v>4.16986301369863</x:v>
      </x:c>
      <x:c r="AW123" s="41" t="str">
        <x:f>IF(OR(Z123&lt;=0,Y123&lt;=0,AT123&lt;=0,AV123&lt;=0),"",(LN(Z123/Y123)+0.5*AT123^2*AV123)/(AT123*SQRT(AV123)))</x:f>
      </x:c>
      <x:c r="AX123" s="41" t="n">
        <x:f>IF(AND(X123&lt;&gt;"C",X123&lt;&gt;"P"),AU123,IF(AW123="",AU123,IF(X123="C",AU123*0.5*(1+ERF(AW123/SQRT(2))),-AU123*0.5*(1+ERF(-AW123/SQRT(2))))))</x:f>
        <x:v>-1</x:v>
      </x:c>
      <x:c r="AY123" s="41" t="n">
        <x:f>IF(AJ123="M",1.5*SQRT(MAX(IF(U123="Y",5,10),IF(V123="",10,V123))/Parameters!$B$6),SQRT(MIN(MAX(AE123,10/Parameters!$B$6),1)))</x:f>
        <x:v>0.30000000000000004</x:v>
      </x:c>
      <x:c r="AZ123" s="40" t="n">
        <x:f>AS123*AX123*AY123</x:f>
        <x:v>-740729242.0695878</x:v>
      </x:c>
      <x:c r="BA123" s="40" t="n">
        <x:f>'Python_Trade_Output'!AZ123</x:f>
        <x:v>-740729242.0695873</x:v>
      </x:c>
      <x:c r="BB123" s="43" t="n">
        <x:f>AZ123-BA123</x:f>
        <x:v>-4.76837158203125e-7</x:v>
      </x:c>
    </x:row>
    <x:row r="124">
      <x:c r="A124" s="27" t="str">
        <x:f>'Inputs_Trades'!D124</x:f>
        <x:v>IND-000121</x:v>
      </x:c>
      <x:c r="B124" s="27" t="str">
        <x:f>'Inputs_Trades'!B124</x:f>
        <x:v>IND_HEDGE_FUND_001</x:v>
      </x:c>
      <x:c r="C124" s="27" t="n">
        <x:f>'Inputs_Trades'!C124</x:f>
        <x:v>3345</x:v>
      </x:c>
      <x:c r="D124" s="27" t="str">
        <x:f>'Inputs_Trades'!E124</x:f>
        <x:v>Cross Currency Swap</x:v>
      </x:c>
      <x:c r="E124" s="27" t="str">
        <x:f>'Inputs_Trades'!F124</x:f>
        <x:v>Interest Rate</x:v>
      </x:c>
      <x:c r="F124" s="27" t="n">
        <x:f>'Inputs_Trades'!G124</x:f>
        <x:v>0</x:v>
      </x:c>
      <x:c r="G124" s="27" t="str">
        <x:f>'Inputs_Trades'!J124</x:f>
        <x:v>USD</x:v>
      </x:c>
      <x:c r="H124" s="27" t="str">
        <x:f>'Inputs_Trades'!H124</x:f>
        <x:v>EUR</x:v>
      </x:c>
      <x:c r="I124" s="27" t="str">
        <x:f>'Inputs_Trades'!I124</x:f>
        <x:v>USD</x:v>
      </x:c>
      <x:c r="J124" s="27" t="str">
        <x:f>'Inputs_Trades'!M124</x:f>
        <x:v>EUR/USD</x:v>
      </x:c>
      <x:c r="K124" s="27" t="n">
        <x:f>'Inputs_Trades'!N124</x:f>
        <x:v>0</x:v>
      </x:c>
      <x:c r="L124" s="27" t="n">
        <x:f>'Inputs_Trades'!O124</x:f>
        <x:v>0</x:v>
      </x:c>
      <x:c r="M124" s="39" t="n">
        <x:f>'Inputs_Trades'!A124</x:f>
        <x:v>45702</x:v>
      </x:c>
      <x:c r="N124" s="39" t="n">
        <x:f>'Inputs_Trades'!P124</x:f>
        <x:v>48275</x:v>
      </x:c>
      <x:c r="O124" s="39" t="n">
        <x:f>'Inputs_Trades'!Q124</x:f>
        <x:v>45313</x:v>
      </x:c>
      <x:c r="P124" s="39" t="n">
        <x:f>'Inputs_Trades'!R124</x:f>
        <x:v>48275</x:v>
      </x:c>
      <x:c r="Q124" s="40" t="n">
        <x:f>'Inputs_Trades'!U124</x:f>
        <x:v>757000000</x:v>
      </x:c>
      <x:c r="R124" s="40" t="n">
        <x:f>'Inputs_Trades'!S124</x:f>
        <x:v>720952380.95</x:v>
      </x:c>
      <x:c r="S124" s="40" t="n">
        <x:f>'Inputs_Trades'!T124</x:f>
        <x:v>757000000</x:v>
      </x:c>
      <x:c r="T124" s="27" t="str">
        <x:f>'Inputs_Trades'!V124</x:f>
        <x:v>M</x:v>
      </x:c>
      <x:c r="U124" s="27" t="str">
        <x:f>'Inputs_Trades'!W124</x:f>
        <x:v>N</x:v>
      </x:c>
      <x:c r="V124" s="27" t="n">
        <x:f>'Inputs_Trades'!X124</x:f>
        <x:v>10</x:v>
      </x:c>
      <x:c r="W124" s="27" t="str">
        <x:f>'Inputs_Trades'!Y124</x:f>
        <x:v>S</x:v>
      </x:c>
      <x:c r="X124" s="27" t="n">
        <x:f>'Inputs_Trades'!AA124</x:f>
        <x:v>0</x:v>
      </x:c>
      <x:c r="Y124" s="27" t="n">
        <x:f>'Inputs_Trades'!AB124</x:f>
        <x:v>0</x:v>
      </x:c>
      <x:c r="Z124" s="27" t="n">
        <x:f>'Inputs_Trades'!AC124</x:f>
        <x:v>0</x:v>
      </x:c>
      <x:c r="AA124" s="39" t="n">
        <x:f>'Inputs_Trades'!Z124</x:f>
        <x:v>0</x:v>
      </x:c>
      <x:c r="AB124" s="40" t="n">
        <x:f>'Inputs_Trades'!AD124</x:f>
        <x:v>3302034</x:v>
      </x:c>
      <x:c r="AC124" s="27" t="n">
        <x:f>'Inputs_Trades'!K124</x:f>
        <x:v>0</x:v>
      </x:c>
      <x:c r="AD124" s="27" t="n">
        <x:f>N124-M124</x:f>
        <x:v>2573</x:v>
      </x:c>
      <x:c r="AE124" s="41" t="n">
        <x:f>AD124/365</x:f>
        <x:v>7.049315068493151</x:v>
      </x:c>
      <x:c r="AF124" s="27" t="str">
        <x:f>IF(AE124&lt;1,"&lt;1Y",IF(AE124&lt;=5,"1Y-5Y","&gt;5Y"))</x:f>
        <x:v>&gt;5Y</x:v>
      </x:c>
      <x:c r="AG124" s="27" t="str">
        <x:f>IF(E124="Commodity",IFERROR(VLOOKUP(F124,Parameters!$P$4:$Q$12,2,FALSE),"Other"),"")</x:f>
      </x:c>
      <x:c r="AH124" s="27" t="str">
        <x:f>IF(F124="","Unknown",F124)</x:f>
        <x:v>Unknown</x:v>
      </x:c>
      <x:c r="AI124" s="27" t="str">
        <x:f>IF(E124="Interest Rate",G124&amp;IF(OR(LOWER(AC124)="basis",LOWER(AC124)="volatility"),"_"&amp;AC124,""),IF(E124="FX",IF(H124&lt;I124,H124&amp;"/"&amp;I124,I124&amp;"/"&amp;H124)&amp;IF(OR(LOWER(AC124)="basis",LOWER(AC124)="volatility"),"_"&amp;AC124,""),IF(OR(E124="Credit",E124="Equity"),J124&amp;IF(OR(LOWER(AC124)="basis",LOWER(AC124)="volatility"),"_"&amp;AC124,""),IF(E124="Commodity",AG124&amp;IF(OR(LOWER(AC124)="basis",LOWER(AC124)="volatility"),"_"&amp;AC124,""),"UNKNOWN"))))</x:f>
        <x:v>USD</x:v>
      </x:c>
      <x:c r="AJ124" s="27" t="str">
        <x:f>T124</x:f>
        <x:v>M</x:v>
      </x:c>
      <x:c r="AK124" s="41" t="n">
        <x:f>IF(E124="Interest Rate",VLOOKUP("Interest Rate",Parameters!$D$4:$E$12,2,FALSE),IF(E124="FX",VLOOKUP("FX",Parameters!$D$4:$E$12,2,FALSE),IF(E124="Credit",IFERROR(VLOOKUP(L124,Parameters!$G$4:$H$12,2,FALSE),VLOOKUP("BBB",Parameters!$G$4:$H$12,2,FALSE)),IF(E124="Equity",VLOOKUP(IF(LOWER(K124)="index","Equity Index","Equity Single Name"),Parameters!$D$4:$E$12,2,FALSE),IF(E124="Commodity",VLOOKUP(IFERROR(VLOOKUP(F124,Parameters!$S$4:$T$12,2,FALSE),"Commodity Other"),Parameters!$D$4:$E$12,2,FALSE),0)))))</x:f>
        <x:v>0.005</x:v>
      </x:c>
      <x:c r="AL124" s="42" t="n">
        <x:f>IF(LOWER(AC124)="basis",Parameters!$B$8,IF(LOWER(AC124)="volatility",Parameters!$B$9,1))</x:f>
        <x:v>1</x:v>
      </x:c>
      <x:c r="AM124" s="41" t="n">
        <x:f>AK124*AL124</x:f>
        <x:v>0.005</x:v>
      </x:c>
      <x:c r="AN124" s="42" t="str">
        <x:f>IF(E124="Credit",VLOOKUP(IF(LOWER(K124)="index","Credit Index","Credit Single Name"),Parameters!$J$4:$K$8,2,FALSE),IF(E124="Equity",VLOOKUP(IF(LOWER(K124)="index","Equity Index","Equity Single Name"),Parameters!$J$4:$K$8,2,FALSE),IF(E124="Commodity",VLOOKUP("Commodity",Parameters!$J$4:$K$8,2,FALSE),"")))</x:f>
      </x:c>
      <x:c r="AO124" s="27" t="n">
        <x:f>MAX((O124-M124)/365,0)</x:f>
        <x:v>0</x:v>
      </x:c>
      <x:c r="AP124" s="27" t="n">
        <x:f>MAX((P124-M124)/365,10/Parameters!$B$6)</x:f>
        <x:v>7.049315068493151</x:v>
      </x:c>
      <x:c r="AQ124" s="27" t="n">
        <x:f>IF(AP124&lt;=AO124,AO124+10/Parameters!$B$6,AP124)</x:f>
        <x:v>7.049315068493151</x:v>
      </x:c>
      <x:c r="AR124" s="41" t="n">
        <x:f>IF(OR(E124="Interest Rate",E124="Credit"),(EXP(-Parameters!$B$7*AO124)-EXP(-Parameters!$B$7*AQ124))/Parameters!$B$7,1)</x:f>
        <x:v>5.940947137616872</x:v>
      </x:c>
      <x:c r="AS124" s="40" t="n">
        <x:f>IF(OR(E124="Interest Rate",E124="Credit"),ABS(Q124)*AR124,IF(E124="FX",IF(Q124&gt;0,Q124,MAX(ABS(R124),ABS(S124),ABS(Q124))),ABS(Q124)))</x:f>
        <x:v>4497296983.175972</x:v>
      </x:c>
      <x:c r="AT124" s="42" t="n">
        <x:f>IF(OR(E124="Interest Rate",E124="FX"),VLOOKUP(E124,Parameters!$M$4:$N$11,2,FALSE),IF(E124="Credit",VLOOKUP(IF(LOWER(K124)="index","Credit Index","Credit Single Name"),Parameters!$M$4:$N$11,2,FALSE),IF(E124="Equity",VLOOKUP(IF(LOWER(K124)="index","Equity Index","Equity Single Name"),Parameters!$M$4:$N$11,2,FALSE),IF(E124="Commodity",VLOOKUP(IF(F124="Electricity","Commodity Electricity","Commodity Other"),Parameters!$M$4:$N$11,2,FALSE),1))))</x:f>
        <x:v>0.5</x:v>
      </x:c>
      <x:c r="AU124" s="27" t="n">
        <x:f>IF(W124="B",1,-1)</x:f>
        <x:v>-1</x:v>
      </x:c>
      <x:c r="AV124" s="27" t="n">
        <x:f>IF(OR(AA124="",M124=""),MAX(AE124,1/365),MAX((AA124-M124)/365,1/365))</x:f>
        <x:v>7.049315068493151</x:v>
      </x:c>
      <x:c r="AW124" s="41" t="str">
        <x:f>IF(OR(Z124&lt;=0,Y124&lt;=0,AT124&lt;=0,AV124&lt;=0),"",(LN(Z124/Y124)+0.5*AT124^2*AV124)/(AT124*SQRT(AV124)))</x:f>
      </x:c>
      <x:c r="AX124" s="41" t="n">
        <x:f>IF(AND(X124&lt;&gt;"C",X124&lt;&gt;"P"),AU124,IF(AW124="",AU124,IF(X124="C",AU124*0.5*(1+ERF(AW124/SQRT(2))),-AU124*0.5*(1+ERF(-AW124/SQRT(2))))))</x:f>
        <x:v>-1</x:v>
      </x:c>
      <x:c r="AY124" s="41" t="n">
        <x:f>IF(AJ124="M",1.5*SQRT(MAX(IF(U124="Y",5,10),IF(V124="",10,V124))/Parameters!$B$6),SQRT(MIN(MAX(AE124,10/Parameters!$B$6),1)))</x:f>
        <x:v>0.30000000000000004</x:v>
      </x:c>
      <x:c r="AZ124" s="40" t="n">
        <x:f>AS124*AX124*AY124</x:f>
        <x:v>-1349189094.9527917</x:v>
      </x:c>
      <x:c r="BA124" s="40" t="n">
        <x:f>'Python_Trade_Output'!AZ124</x:f>
        <x:v>-1349189094.9527917</x:v>
      </x:c>
      <x:c r="BB124" s="43" t="n">
        <x:f>AZ124-BA124</x:f>
        <x:v>0</x:v>
      </x:c>
    </x:row>
    <x:row r="125">
      <x:c r="A125" s="27" t="str">
        <x:f>'Inputs_Trades'!D125</x:f>
        <x:v>IND-000122</x:v>
      </x:c>
      <x:c r="B125" s="27" t="str">
        <x:f>'Inputs_Trades'!B125</x:f>
        <x:v>IND_SOVEREIGN_001</x:v>
      </x:c>
      <x:c r="C125" s="27" t="n">
        <x:f>'Inputs_Trades'!C125</x:f>
        <x:v>3065</x:v>
      </x:c>
      <x:c r="D125" s="27" t="str">
        <x:f>'Inputs_Trades'!E125</x:f>
        <x:v>Cross Currency Swap</x:v>
      </x:c>
      <x:c r="E125" s="27" t="str">
        <x:f>'Inputs_Trades'!F125</x:f>
        <x:v>Interest Rate</x:v>
      </x:c>
      <x:c r="F125" s="27" t="n">
        <x:f>'Inputs_Trades'!G125</x:f>
        <x:v>0</x:v>
      </x:c>
      <x:c r="G125" s="27" t="str">
        <x:f>'Inputs_Trades'!J125</x:f>
        <x:v>USD</x:v>
      </x:c>
      <x:c r="H125" s="27" t="str">
        <x:f>'Inputs_Trades'!H125</x:f>
        <x:v>USD</x:v>
      </x:c>
      <x:c r="I125" s="27" t="str">
        <x:f>'Inputs_Trades'!I125</x:f>
        <x:v>JPY</x:v>
      </x:c>
      <x:c r="J125" s="27" t="str">
        <x:f>'Inputs_Trades'!M125</x:f>
        <x:v>USD/JPY</x:v>
      </x:c>
      <x:c r="K125" s="27" t="n">
        <x:f>'Inputs_Trades'!N125</x:f>
        <x:v>0</x:v>
      </x:c>
      <x:c r="L125" s="27" t="n">
        <x:f>'Inputs_Trades'!O125</x:f>
        <x:v>0</x:v>
      </x:c>
      <x:c r="M125" s="39" t="n">
        <x:f>'Inputs_Trades'!A125</x:f>
        <x:v>45702</x:v>
      </x:c>
      <x:c r="N125" s="39" t="n">
        <x:f>'Inputs_Trades'!P125</x:f>
        <x:v>48131</x:v>
      </x:c>
      <x:c r="O125" s="39" t="n">
        <x:f>'Inputs_Trades'!Q125</x:f>
        <x:v>44999</x:v>
      </x:c>
      <x:c r="P125" s="39" t="n">
        <x:f>'Inputs_Trades'!R125</x:f>
        <x:v>48131</x:v>
      </x:c>
      <x:c r="Q125" s="40" t="n">
        <x:f>'Inputs_Trades'!U125</x:f>
        <x:v>206000000</x:v>
      </x:c>
      <x:c r="R125" s="40" t="n">
        <x:f>'Inputs_Trades'!S125</x:f>
        <x:v>206000000</x:v>
      </x:c>
      <x:c r="S125" s="40" t="n">
        <x:f>'Inputs_Trades'!T125</x:f>
        <x:v>30746268656.72</x:v>
      </x:c>
      <x:c r="T125" s="27" t="str">
        <x:f>'Inputs_Trades'!V125</x:f>
        <x:v>U</x:v>
      </x:c>
      <x:c r="U125" s="27" t="str">
        <x:f>'Inputs_Trades'!W125</x:f>
        <x:v>N</x:v>
      </x:c>
      <x:c r="V125" s="27" t="n">
        <x:f>'Inputs_Trades'!X125</x:f>
        <x:v>0</x:v>
      </x:c>
      <x:c r="W125" s="27" t="str">
        <x:f>'Inputs_Trades'!Y125</x:f>
        <x:v>B</x:v>
      </x:c>
      <x:c r="X125" s="27" t="n">
        <x:f>'Inputs_Trades'!AA125</x:f>
        <x:v>0</x:v>
      </x:c>
      <x:c r="Y125" s="27" t="n">
        <x:f>'Inputs_Trades'!AB125</x:f>
        <x:v>0</x:v>
      </x:c>
      <x:c r="Z125" s="27" t="n">
        <x:f>'Inputs_Trades'!AC125</x:f>
        <x:v>0</x:v>
      </x:c>
      <x:c r="AA125" s="39" t="n">
        <x:f>'Inputs_Trades'!Z125</x:f>
        <x:v>0</x:v>
      </x:c>
      <x:c r="AB125" s="40" t="n">
        <x:f>'Inputs_Trades'!AD125</x:f>
        <x:v>917112</x:v>
      </x:c>
      <x:c r="AC125" s="27" t="n">
        <x:f>'Inputs_Trades'!K125</x:f>
        <x:v>0</x:v>
      </x:c>
      <x:c r="AD125" s="27" t="n">
        <x:f>N125-M125</x:f>
        <x:v>2429</x:v>
      </x:c>
      <x:c r="AE125" s="41" t="n">
        <x:f>AD125/365</x:f>
        <x:v>6.654794520547945</x:v>
      </x:c>
      <x:c r="AF125" s="27" t="str">
        <x:f>IF(AE125&lt;1,"&lt;1Y",IF(AE125&lt;=5,"1Y-5Y","&gt;5Y"))</x:f>
        <x:v>&gt;5Y</x:v>
      </x:c>
      <x:c r="AG125" s="27" t="str">
        <x:f>IF(E125="Commodity",IFERROR(VLOOKUP(F125,Parameters!$P$4:$Q$12,2,FALSE),"Other"),"")</x:f>
      </x:c>
      <x:c r="AH125" s="27" t="str">
        <x:f>IF(F125="","Unknown",F125)</x:f>
        <x:v>Unknown</x:v>
      </x:c>
      <x:c r="AI125" s="27" t="str">
        <x:f>IF(E125="Interest Rate",G125&amp;IF(OR(LOWER(AC125)="basis",LOWER(AC125)="volatility"),"_"&amp;AC125,""),IF(E125="FX",IF(H125&lt;I125,H125&amp;"/"&amp;I125,I125&amp;"/"&amp;H125)&amp;IF(OR(LOWER(AC125)="basis",LOWER(AC125)="volatility"),"_"&amp;AC125,""),IF(OR(E125="Credit",E125="Equity"),J125&amp;IF(OR(LOWER(AC125)="basis",LOWER(AC125)="volatility"),"_"&amp;AC125,""),IF(E125="Commodity",AG125&amp;IF(OR(LOWER(AC125)="basis",LOWER(AC125)="volatility"),"_"&amp;AC125,""),"UNKNOWN"))))</x:f>
        <x:v>USD</x:v>
      </x:c>
      <x:c r="AJ125" s="27" t="str">
        <x:f>T125</x:f>
        <x:v>U</x:v>
      </x:c>
      <x:c r="AK125" s="41" t="n">
        <x:f>IF(E125="Interest Rate",VLOOKUP("Interest Rate",Parameters!$D$4:$E$12,2,FALSE),IF(E125="FX",VLOOKUP("FX",Parameters!$D$4:$E$12,2,FALSE),IF(E125="Credit",IFERROR(VLOOKUP(L125,Parameters!$G$4:$H$12,2,FALSE),VLOOKUP("BBB",Parameters!$G$4:$H$12,2,FALSE)),IF(E125="Equity",VLOOKUP(IF(LOWER(K125)="index","Equity Index","Equity Single Name"),Parameters!$D$4:$E$12,2,FALSE),IF(E125="Commodity",VLOOKUP(IFERROR(VLOOKUP(F125,Parameters!$S$4:$T$12,2,FALSE),"Commodity Other"),Parameters!$D$4:$E$12,2,FALSE),0)))))</x:f>
        <x:v>0.005</x:v>
      </x:c>
      <x:c r="AL125" s="42" t="n">
        <x:f>IF(LOWER(AC125)="basis",Parameters!$B$8,IF(LOWER(AC125)="volatility",Parameters!$B$9,1))</x:f>
        <x:v>1</x:v>
      </x:c>
      <x:c r="AM125" s="41" t="n">
        <x:f>AK125*AL125</x:f>
        <x:v>0.005</x:v>
      </x:c>
      <x:c r="AN125" s="42" t="str">
        <x:f>IF(E125="Credit",VLOOKUP(IF(LOWER(K125)="index","Credit Index","Credit Single Name"),Parameters!$J$4:$K$8,2,FALSE),IF(E125="Equity",VLOOKUP(IF(LOWER(K125)="index","Equity Index","Equity Single Name"),Parameters!$J$4:$K$8,2,FALSE),IF(E125="Commodity",VLOOKUP("Commodity",Parameters!$J$4:$K$8,2,FALSE),"")))</x:f>
      </x:c>
      <x:c r="AO125" s="27" t="n">
        <x:f>MAX((O125-M125)/365,0)</x:f>
        <x:v>0</x:v>
      </x:c>
      <x:c r="AP125" s="27" t="n">
        <x:f>MAX((P125-M125)/365,10/Parameters!$B$6)</x:f>
        <x:v>6.654794520547945</x:v>
      </x:c>
      <x:c r="AQ125" s="27" t="n">
        <x:f>IF(AP125&lt;=AO125,AO125+10/Parameters!$B$6,AP125)</x:f>
        <x:v>6.654794520547945</x:v>
      </x:c>
      <x:c r="AR125" s="41" t="n">
        <x:f>IF(OR(E125="Interest Rate",E125="Credit"),(EXP(-Parameters!$B$7*AO125)-EXP(-Parameters!$B$7*AQ125))/Parameters!$B$7,1)</x:f>
        <x:v>5.660864498768028</x:v>
      </x:c>
      <x:c r="AS125" s="40" t="n">
        <x:f>IF(OR(E125="Interest Rate",E125="Credit"),ABS(Q125)*AR125,IF(E125="FX",IF(Q125&gt;0,Q125,MAX(ABS(R125),ABS(S125),ABS(Q125))),ABS(Q125)))</x:f>
        <x:v>1166138086.7462137</x:v>
      </x:c>
      <x:c r="AT125" s="42" t="n">
        <x:f>IF(OR(E125="Interest Rate",E125="FX"),VLOOKUP(E125,Parameters!$M$4:$N$11,2,FALSE),IF(E125="Credit",VLOOKUP(IF(LOWER(K125)="index","Credit Index","Credit Single Name"),Parameters!$M$4:$N$11,2,FALSE),IF(E125="Equity",VLOOKUP(IF(LOWER(K125)="index","Equity Index","Equity Single Name"),Parameters!$M$4:$N$11,2,FALSE),IF(E125="Commodity",VLOOKUP(IF(F125="Electricity","Commodity Electricity","Commodity Other"),Parameters!$M$4:$N$11,2,FALSE),1))))</x:f>
        <x:v>0.5</x:v>
      </x:c>
      <x:c r="AU125" s="27" t="n">
        <x:f>IF(W125="B",1,-1)</x:f>
        <x:v>1</x:v>
      </x:c>
      <x:c r="AV125" s="27" t="n">
        <x:f>IF(OR(AA125="",M125=""),MAX(AE125,1/365),MAX((AA125-M125)/365,1/365))</x:f>
        <x:v>6.654794520547945</x:v>
      </x:c>
      <x:c r="AW125" s="41" t="str">
        <x:f>IF(OR(Z125&lt;=0,Y125&lt;=0,AT125&lt;=0,AV125&lt;=0),"",(LN(Z125/Y125)+0.5*AT125^2*AV125)/(AT125*SQRT(AV125)))</x:f>
      </x:c>
      <x:c r="AX125" s="41" t="n">
        <x:f>IF(AND(X125&lt;&gt;"C",X125&lt;&gt;"P"),AU125,IF(AW125="",AU125,IF(X125="C",AU125*0.5*(1+ERF(AW125/SQRT(2))),-AU125*0.5*(1+ERF(-AW125/SQRT(2))))))</x:f>
        <x:v>1</x:v>
      </x:c>
      <x:c r="AY125" s="41" t="n">
        <x:f>IF(AJ125="M",1.5*SQRT(MAX(IF(U125="Y",5,10),IF(V125="",10,V125))/Parameters!$B$6),SQRT(MIN(MAX(AE125,10/Parameters!$B$6),1)))</x:f>
        <x:v>1</x:v>
      </x:c>
      <x:c r="AZ125" s="40" t="n">
        <x:f>AS125*AX125*AY125</x:f>
        <x:v>1166138086.7462137</x:v>
      </x:c>
      <x:c r="BA125" s="40" t="n">
        <x:f>'Python_Trade_Output'!AZ125</x:f>
        <x:v>1166138086.7462137</x:v>
      </x:c>
      <x:c r="BB125" s="43" t="n">
        <x:f>AZ125-BA125</x:f>
        <x:v>0</x:v>
      </x:c>
    </x:row>
    <x:row r="126">
      <x:c r="A126" s="27" t="str">
        <x:f>'Inputs_Trades'!D126</x:f>
        <x:v>IND-000123</x:v>
      </x:c>
      <x:c r="B126" s="27" t="str">
        <x:f>'Inputs_Trades'!B126</x:f>
        <x:v>IND_REGIONAL_BANK_001</x:v>
      </x:c>
      <x:c r="C126" s="27" t="n">
        <x:f>'Inputs_Trades'!C126</x:f>
        <x:v>3315</x:v>
      </x:c>
      <x:c r="D126" s="27" t="str">
        <x:f>'Inputs_Trades'!E126</x:f>
        <x:v>Cross Currency Swap</x:v>
      </x:c>
      <x:c r="E126" s="27" t="str">
        <x:f>'Inputs_Trades'!F126</x:f>
        <x:v>Interest Rate</x:v>
      </x:c>
      <x:c r="F126" s="27" t="n">
        <x:f>'Inputs_Trades'!G126</x:f>
        <x:v>0</x:v>
      </x:c>
      <x:c r="G126" s="27" t="str">
        <x:f>'Inputs_Trades'!J126</x:f>
        <x:v>USD</x:v>
      </x:c>
      <x:c r="H126" s="27" t="str">
        <x:f>'Inputs_Trades'!H126</x:f>
        <x:v>USD</x:v>
      </x:c>
      <x:c r="I126" s="27" t="str">
        <x:f>'Inputs_Trades'!I126</x:f>
        <x:v>JPY</x:v>
      </x:c>
      <x:c r="J126" s="27" t="str">
        <x:f>'Inputs_Trades'!M126</x:f>
        <x:v>USD/JPY</x:v>
      </x:c>
      <x:c r="K126" s="27" t="n">
        <x:f>'Inputs_Trades'!N126</x:f>
        <x:v>0</x:v>
      </x:c>
      <x:c r="L126" s="27" t="n">
        <x:f>'Inputs_Trades'!O126</x:f>
        <x:v>0</x:v>
      </x:c>
      <x:c r="M126" s="39" t="n">
        <x:f>'Inputs_Trades'!A126</x:f>
        <x:v>45702</x:v>
      </x:c>
      <x:c r="N126" s="39" t="n">
        <x:f>'Inputs_Trades'!P126</x:f>
        <x:v>49518</x:v>
      </x:c>
      <x:c r="O126" s="39" t="n">
        <x:f>'Inputs_Trades'!Q126</x:f>
        <x:v>45487</x:v>
      </x:c>
      <x:c r="P126" s="39" t="n">
        <x:f>'Inputs_Trades'!R126</x:f>
        <x:v>49518</x:v>
      </x:c>
      <x:c r="Q126" s="40" t="n">
        <x:f>'Inputs_Trades'!U126</x:f>
        <x:v>298000000</x:v>
      </x:c>
      <x:c r="R126" s="40" t="n">
        <x:f>'Inputs_Trades'!S126</x:f>
        <x:v>298000000</x:v>
      </x:c>
      <x:c r="S126" s="40" t="n">
        <x:f>'Inputs_Trades'!T126</x:f>
        <x:v>44477611940.3</x:v>
      </x:c>
      <x:c r="T126" s="27" t="str">
        <x:f>'Inputs_Trades'!V126</x:f>
        <x:v>M</x:v>
      </x:c>
      <x:c r="U126" s="27" t="str">
        <x:f>'Inputs_Trades'!W126</x:f>
        <x:v>N</x:v>
      </x:c>
      <x:c r="V126" s="27" t="n">
        <x:f>'Inputs_Trades'!X126</x:f>
        <x:v>10</x:v>
      </x:c>
      <x:c r="W126" s="27" t="str">
        <x:f>'Inputs_Trades'!Y126</x:f>
        <x:v>S</x:v>
      </x:c>
      <x:c r="X126" s="27" t="n">
        <x:f>'Inputs_Trades'!AA126</x:f>
        <x:v>0</x:v>
      </x:c>
      <x:c r="Y126" s="27" t="n">
        <x:f>'Inputs_Trades'!AB126</x:f>
        <x:v>0</x:v>
      </x:c>
      <x:c r="Z126" s="27" t="n">
        <x:f>'Inputs_Trades'!AC126</x:f>
        <x:v>0</x:v>
      </x:c>
      <x:c r="AA126" s="39" t="n">
        <x:f>'Inputs_Trades'!Z126</x:f>
        <x:v>0</x:v>
      </x:c>
      <x:c r="AB126" s="40" t="n">
        <x:f>'Inputs_Trades'!AD126</x:f>
        <x:v>668712</x:v>
      </x:c>
      <x:c r="AC126" s="27" t="n">
        <x:f>'Inputs_Trades'!K126</x:f>
        <x:v>0</x:v>
      </x:c>
      <x:c r="AD126" s="27" t="n">
        <x:f>N126-M126</x:f>
        <x:v>3816</x:v>
      </x:c>
      <x:c r="AE126" s="41" t="n">
        <x:f>AD126/365</x:f>
        <x:v>10.454794520547946</x:v>
      </x:c>
      <x:c r="AF126" s="27" t="str">
        <x:f>IF(AE126&lt;1,"&lt;1Y",IF(AE126&lt;=5,"1Y-5Y","&gt;5Y"))</x:f>
        <x:v>&gt;5Y</x:v>
      </x:c>
      <x:c r="AG126" s="27" t="str">
        <x:f>IF(E126="Commodity",IFERROR(VLOOKUP(F126,Parameters!$P$4:$Q$12,2,FALSE),"Other"),"")</x:f>
      </x:c>
      <x:c r="AH126" s="27" t="str">
        <x:f>IF(F126="","Unknown",F126)</x:f>
        <x:v>Unknown</x:v>
      </x:c>
      <x:c r="AI126" s="27" t="str">
        <x:f>IF(E126="Interest Rate",G126&amp;IF(OR(LOWER(AC126)="basis",LOWER(AC126)="volatility"),"_"&amp;AC126,""),IF(E126="FX",IF(H126&lt;I126,H126&amp;"/"&amp;I126,I126&amp;"/"&amp;H126)&amp;IF(OR(LOWER(AC126)="basis",LOWER(AC126)="volatility"),"_"&amp;AC126,""),IF(OR(E126="Credit",E126="Equity"),J126&amp;IF(OR(LOWER(AC126)="basis",LOWER(AC126)="volatility"),"_"&amp;AC126,""),IF(E126="Commodity",AG126&amp;IF(OR(LOWER(AC126)="basis",LOWER(AC126)="volatility"),"_"&amp;AC126,""),"UNKNOWN"))))</x:f>
        <x:v>USD</x:v>
      </x:c>
      <x:c r="AJ126" s="27" t="str">
        <x:f>T126</x:f>
        <x:v>M</x:v>
      </x:c>
      <x:c r="AK126" s="41" t="n">
        <x:f>IF(E126="Interest Rate",VLOOKUP("Interest Rate",Parameters!$D$4:$E$12,2,FALSE),IF(E126="FX",VLOOKUP("FX",Parameters!$D$4:$E$12,2,FALSE),IF(E126="Credit",IFERROR(VLOOKUP(L126,Parameters!$G$4:$H$12,2,FALSE),VLOOKUP("BBB",Parameters!$G$4:$H$12,2,FALSE)),IF(E126="Equity",VLOOKUP(IF(LOWER(K126)="index","Equity Index","Equity Single Name"),Parameters!$D$4:$E$12,2,FALSE),IF(E126="Commodity",VLOOKUP(IFERROR(VLOOKUP(F126,Parameters!$S$4:$T$12,2,FALSE),"Commodity Other"),Parameters!$D$4:$E$12,2,FALSE),0)))))</x:f>
        <x:v>0.005</x:v>
      </x:c>
      <x:c r="AL126" s="42" t="n">
        <x:f>IF(LOWER(AC126)="basis",Parameters!$B$8,IF(LOWER(AC126)="volatility",Parameters!$B$9,1))</x:f>
        <x:v>1</x:v>
      </x:c>
      <x:c r="AM126" s="41" t="n">
        <x:f>AK126*AL126</x:f>
        <x:v>0.005</x:v>
      </x:c>
      <x:c r="AN126" s="42" t="str">
        <x:f>IF(E126="Credit",VLOOKUP(IF(LOWER(K126)="index","Credit Index","Credit Single Name"),Parameters!$J$4:$K$8,2,FALSE),IF(E126="Equity",VLOOKUP(IF(LOWER(K126)="index","Equity Index","Equity Single Name"),Parameters!$J$4:$K$8,2,FALSE),IF(E126="Commodity",VLOOKUP("Commodity",Parameters!$J$4:$K$8,2,FALSE),"")))</x:f>
      </x:c>
      <x:c r="AO126" s="27" t="n">
        <x:f>MAX((O126-M126)/365,0)</x:f>
        <x:v>0</x:v>
      </x:c>
      <x:c r="AP126" s="27" t="n">
        <x:f>MAX((P126-M126)/365,10/Parameters!$B$6)</x:f>
        <x:v>10.454794520547946</x:v>
      </x:c>
      <x:c r="AQ126" s="27" t="n">
        <x:f>IF(AP126&lt;=AO126,AO126+10/Parameters!$B$6,AP126)</x:f>
        <x:v>10.454794520547946</x:v>
      </x:c>
      <x:c r="AR126" s="41" t="n">
        <x:f>IF(OR(E126="Interest Rate",E126="Credit"),(EXP(-Parameters!$B$7*AO126)-EXP(-Parameters!$B$7*AQ126))/Parameters!$B$7,1)</x:f>
        <x:v>8.142120924404686</x:v>
      </x:c>
      <x:c r="AS126" s="40" t="n">
        <x:f>IF(OR(E126="Interest Rate",E126="Credit"),ABS(Q126)*AR126,IF(E126="FX",IF(Q126&gt;0,Q126,MAX(ABS(R126),ABS(S126),ABS(Q126))),ABS(Q126)))</x:f>
        <x:v>2426352035.4725966</x:v>
      </x:c>
      <x:c r="AT126" s="42" t="n">
        <x:f>IF(OR(E126="Interest Rate",E126="FX"),VLOOKUP(E126,Parameters!$M$4:$N$11,2,FALSE),IF(E126="Credit",VLOOKUP(IF(LOWER(K126)="index","Credit Index","Credit Single Name"),Parameters!$M$4:$N$11,2,FALSE),IF(E126="Equity",VLOOKUP(IF(LOWER(K126)="index","Equity Index","Equity Single Name"),Parameters!$M$4:$N$11,2,FALSE),IF(E126="Commodity",VLOOKUP(IF(F126="Electricity","Commodity Electricity","Commodity Other"),Parameters!$M$4:$N$11,2,FALSE),1))))</x:f>
        <x:v>0.5</x:v>
      </x:c>
      <x:c r="AU126" s="27" t="n">
        <x:f>IF(W126="B",1,-1)</x:f>
        <x:v>-1</x:v>
      </x:c>
      <x:c r="AV126" s="27" t="n">
        <x:f>IF(OR(AA126="",M126=""),MAX(AE126,1/365),MAX((AA126-M126)/365,1/365))</x:f>
        <x:v>10.454794520547946</x:v>
      </x:c>
      <x:c r="AW126" s="41" t="str">
        <x:f>IF(OR(Z126&lt;=0,Y126&lt;=0,AT126&lt;=0,AV126&lt;=0),"",(LN(Z126/Y126)+0.5*AT126^2*AV126)/(AT126*SQRT(AV126)))</x:f>
      </x:c>
      <x:c r="AX126" s="41" t="n">
        <x:f>IF(AND(X126&lt;&gt;"C",X126&lt;&gt;"P"),AU126,IF(AW126="",AU126,IF(X126="C",AU126*0.5*(1+ERF(AW126/SQRT(2))),-AU126*0.5*(1+ERF(-AW126/SQRT(2))))))</x:f>
        <x:v>-1</x:v>
      </x:c>
      <x:c r="AY126" s="41" t="n">
        <x:f>IF(AJ126="M",1.5*SQRT(MAX(IF(U126="Y",5,10),IF(V126="",10,V126))/Parameters!$B$6),SQRT(MIN(MAX(AE126,10/Parameters!$B$6),1)))</x:f>
        <x:v>0.30000000000000004</x:v>
      </x:c>
      <x:c r="AZ126" s="40" t="n">
        <x:f>AS126*AX126*AY126</x:f>
        <x:v>-727905610.6417791</x:v>
      </x:c>
      <x:c r="BA126" s="40" t="n">
        <x:f>'Python_Trade_Output'!AZ126</x:f>
        <x:v>-727905610.6417791</x:v>
      </x:c>
      <x:c r="BB126" s="43" t="n">
        <x:f>AZ126-BA126</x:f>
        <x:v>0</x:v>
      </x:c>
    </x:row>
    <x:row r="127">
      <x:c r="A127" s="27" t="str">
        <x:f>'Inputs_Trades'!D127</x:f>
        <x:v>IND-000124</x:v>
      </x:c>
      <x:c r="B127" s="27" t="str">
        <x:f>'Inputs_Trades'!B127</x:f>
        <x:v>IND_CORPORATE_002</x:v>
      </x:c>
      <x:c r="C127" s="27" t="n">
        <x:f>'Inputs_Trades'!C127</x:f>
        <x:v>3074</x:v>
      </x:c>
      <x:c r="D127" s="27" t="str">
        <x:f>'Inputs_Trades'!E127</x:f>
        <x:v>Cross Currency Swap</x:v>
      </x:c>
      <x:c r="E127" s="27" t="str">
        <x:f>'Inputs_Trades'!F127</x:f>
        <x:v>Interest Rate</x:v>
      </x:c>
      <x:c r="F127" s="27" t="n">
        <x:f>'Inputs_Trades'!G127</x:f>
        <x:v>0</x:v>
      </x:c>
      <x:c r="G127" s="27" t="str">
        <x:f>'Inputs_Trades'!J127</x:f>
        <x:v>USD</x:v>
      </x:c>
      <x:c r="H127" s="27" t="str">
        <x:f>'Inputs_Trades'!H127</x:f>
        <x:v>USD</x:v>
      </x:c>
      <x:c r="I127" s="27" t="str">
        <x:f>'Inputs_Trades'!I127</x:f>
        <x:v>CNY</x:v>
      </x:c>
      <x:c r="J127" s="27" t="str">
        <x:f>'Inputs_Trades'!M127</x:f>
        <x:v>USD/CNY</x:v>
      </x:c>
      <x:c r="K127" s="27" t="n">
        <x:f>'Inputs_Trades'!N127</x:f>
        <x:v>0</x:v>
      </x:c>
      <x:c r="L127" s="27" t="n">
        <x:f>'Inputs_Trades'!O127</x:f>
        <x:v>0</x:v>
      </x:c>
      <x:c r="M127" s="39" t="n">
        <x:f>'Inputs_Trades'!A127</x:f>
        <x:v>45702</x:v>
      </x:c>
      <x:c r="N127" s="39" t="n">
        <x:f>'Inputs_Trades'!P127</x:f>
        <x:v>48487</x:v>
      </x:c>
      <x:c r="O127" s="39" t="n">
        <x:f>'Inputs_Trades'!Q127</x:f>
        <x:v>45337</x:v>
      </x:c>
      <x:c r="P127" s="39" t="n">
        <x:f>'Inputs_Trades'!R127</x:f>
        <x:v>48487</x:v>
      </x:c>
      <x:c r="Q127" s="40" t="n">
        <x:f>'Inputs_Trades'!U127</x:f>
        <x:v>223000000</x:v>
      </x:c>
      <x:c r="R127" s="40" t="n">
        <x:f>'Inputs_Trades'!S127</x:f>
        <x:v>223000000</x:v>
      </x:c>
      <x:c r="S127" s="40" t="n">
        <x:f>'Inputs_Trades'!T127</x:f>
        <x:v>1592857142.86</x:v>
      </x:c>
      <x:c r="T127" s="27" t="str">
        <x:f>'Inputs_Trades'!V127</x:f>
        <x:v>M</x:v>
      </x:c>
      <x:c r="U127" s="27" t="str">
        <x:f>'Inputs_Trades'!W127</x:f>
        <x:v>N</x:v>
      </x:c>
      <x:c r="V127" s="27" t="n">
        <x:f>'Inputs_Trades'!X127</x:f>
        <x:v>10</x:v>
      </x:c>
      <x:c r="W127" s="27" t="str">
        <x:f>'Inputs_Trades'!Y127</x:f>
        <x:v>S</x:v>
      </x:c>
      <x:c r="X127" s="27" t="n">
        <x:f>'Inputs_Trades'!AA127</x:f>
        <x:v>0</x:v>
      </x:c>
      <x:c r="Y127" s="27" t="n">
        <x:f>'Inputs_Trades'!AB127</x:f>
        <x:v>0</x:v>
      </x:c>
      <x:c r="Z127" s="27" t="n">
        <x:f>'Inputs_Trades'!AC127</x:f>
        <x:v>0</x:v>
      </x:c>
      <x:c r="AA127" s="39" t="n">
        <x:f>'Inputs_Trades'!Z127</x:f>
        <x:v>0</x:v>
      </x:c>
      <x:c r="AB127" s="40" t="n">
        <x:f>'Inputs_Trades'!AD127</x:f>
        <x:v>-388020</x:v>
      </x:c>
      <x:c r="AC127" s="27" t="n">
        <x:f>'Inputs_Trades'!K127</x:f>
        <x:v>0</x:v>
      </x:c>
      <x:c r="AD127" s="27" t="n">
        <x:f>N127-M127</x:f>
        <x:v>2785</x:v>
      </x:c>
      <x:c r="AE127" s="41" t="n">
        <x:f>AD127/365</x:f>
        <x:v>7.63013698630137</x:v>
      </x:c>
      <x:c r="AF127" s="27" t="str">
        <x:f>IF(AE127&lt;1,"&lt;1Y",IF(AE127&lt;=5,"1Y-5Y","&gt;5Y"))</x:f>
        <x:v>&gt;5Y</x:v>
      </x:c>
      <x:c r="AG127" s="27" t="str">
        <x:f>IF(E127="Commodity",IFERROR(VLOOKUP(F127,Parameters!$P$4:$Q$12,2,FALSE),"Other"),"")</x:f>
      </x:c>
      <x:c r="AH127" s="27" t="str">
        <x:f>IF(F127="","Unknown",F127)</x:f>
        <x:v>Unknown</x:v>
      </x:c>
      <x:c r="AI127" s="27" t="str">
        <x:f>IF(E127="Interest Rate",G127&amp;IF(OR(LOWER(AC127)="basis",LOWER(AC127)="volatility"),"_"&amp;AC127,""),IF(E127="FX",IF(H127&lt;I127,H127&amp;"/"&amp;I127,I127&amp;"/"&amp;H127)&amp;IF(OR(LOWER(AC127)="basis",LOWER(AC127)="volatility"),"_"&amp;AC127,""),IF(OR(E127="Credit",E127="Equity"),J127&amp;IF(OR(LOWER(AC127)="basis",LOWER(AC127)="volatility"),"_"&amp;AC127,""),IF(E127="Commodity",AG127&amp;IF(OR(LOWER(AC127)="basis",LOWER(AC127)="volatility"),"_"&amp;AC127,""),"UNKNOWN"))))</x:f>
        <x:v>USD</x:v>
      </x:c>
      <x:c r="AJ127" s="27" t="str">
        <x:f>T127</x:f>
        <x:v>M</x:v>
      </x:c>
      <x:c r="AK127" s="41" t="n">
        <x:f>IF(E127="Interest Rate",VLOOKUP("Interest Rate",Parameters!$D$4:$E$12,2,FALSE),IF(E127="FX",VLOOKUP("FX",Parameters!$D$4:$E$12,2,FALSE),IF(E127="Credit",IFERROR(VLOOKUP(L127,Parameters!$G$4:$H$12,2,FALSE),VLOOKUP("BBB",Parameters!$G$4:$H$12,2,FALSE)),IF(E127="Equity",VLOOKUP(IF(LOWER(K127)="index","Equity Index","Equity Single Name"),Parameters!$D$4:$E$12,2,FALSE),IF(E127="Commodity",VLOOKUP(IFERROR(VLOOKUP(F127,Parameters!$S$4:$T$12,2,FALSE),"Commodity Other"),Parameters!$D$4:$E$12,2,FALSE),0)))))</x:f>
        <x:v>0.005</x:v>
      </x:c>
      <x:c r="AL127" s="42" t="n">
        <x:f>IF(LOWER(AC127)="basis",Parameters!$B$8,IF(LOWER(AC127)="volatility",Parameters!$B$9,1))</x:f>
        <x:v>1</x:v>
      </x:c>
      <x:c r="AM127" s="41" t="n">
        <x:f>AK127*AL127</x:f>
        <x:v>0.005</x:v>
      </x:c>
      <x:c r="AN127" s="42" t="str">
        <x:f>IF(E127="Credit",VLOOKUP(IF(LOWER(K127)="index","Credit Index","Credit Single Name"),Parameters!$J$4:$K$8,2,FALSE),IF(E127="Equity",VLOOKUP(IF(LOWER(K127)="index","Equity Index","Equity Single Name"),Parameters!$J$4:$K$8,2,FALSE),IF(E127="Commodity",VLOOKUP("Commodity",Parameters!$J$4:$K$8,2,FALSE),"")))</x:f>
      </x:c>
      <x:c r="AO127" s="27" t="n">
        <x:f>MAX((O127-M127)/365,0)</x:f>
        <x:v>0</x:v>
      </x:c>
      <x:c r="AP127" s="27" t="n">
        <x:f>MAX((P127-M127)/365,10/Parameters!$B$6)</x:f>
        <x:v>7.63013698630137</x:v>
      </x:c>
      <x:c r="AQ127" s="27" t="n">
        <x:f>IF(AP127&lt;=AO127,AO127+10/Parameters!$B$6,AP127)</x:f>
        <x:v>7.63013698630137</x:v>
      </x:c>
      <x:c r="AR127" s="41" t="n">
        <x:f>IF(OR(E127="Interest Rate",E127="Credit"),(EXP(-Parameters!$B$7*AO127)-EXP(-Parameters!$B$7*AQ127))/Parameters!$B$7,1)</x:f>
        <x:v>6.3433658177487295</x:v>
      </x:c>
      <x:c r="AS127" s="40" t="n">
        <x:f>IF(OR(E127="Interest Rate",E127="Credit"),ABS(Q127)*AR127,IF(E127="FX",IF(Q127&gt;0,Q127,MAX(ABS(R127),ABS(S127),ABS(Q127))),ABS(Q127)))</x:f>
        <x:v>1414570577.3579667</x:v>
      </x:c>
      <x:c r="AT127" s="42" t="n">
        <x:f>IF(OR(E127="Interest Rate",E127="FX"),VLOOKUP(E127,Parameters!$M$4:$N$11,2,FALSE),IF(E127="Credit",VLOOKUP(IF(LOWER(K127)="index","Credit Index","Credit Single Name"),Parameters!$M$4:$N$11,2,FALSE),IF(E127="Equity",VLOOKUP(IF(LOWER(K127)="index","Equity Index","Equity Single Name"),Parameters!$M$4:$N$11,2,FALSE),IF(E127="Commodity",VLOOKUP(IF(F127="Electricity","Commodity Electricity","Commodity Other"),Parameters!$M$4:$N$11,2,FALSE),1))))</x:f>
        <x:v>0.5</x:v>
      </x:c>
      <x:c r="AU127" s="27" t="n">
        <x:f>IF(W127="B",1,-1)</x:f>
        <x:v>-1</x:v>
      </x:c>
      <x:c r="AV127" s="27" t="n">
        <x:f>IF(OR(AA127="",M127=""),MAX(AE127,1/365),MAX((AA127-M127)/365,1/365))</x:f>
        <x:v>7.63013698630137</x:v>
      </x:c>
      <x:c r="AW127" s="41" t="str">
        <x:f>IF(OR(Z127&lt;=0,Y127&lt;=0,AT127&lt;=0,AV127&lt;=0),"",(LN(Z127/Y127)+0.5*AT127^2*AV127)/(AT127*SQRT(AV127)))</x:f>
      </x:c>
      <x:c r="AX127" s="41" t="n">
        <x:f>IF(AND(X127&lt;&gt;"C",X127&lt;&gt;"P"),AU127,IF(AW127="",AU127,IF(X127="C",AU127*0.5*(1+ERF(AW127/SQRT(2))),-AU127*0.5*(1+ERF(-AW127/SQRT(2))))))</x:f>
        <x:v>-1</x:v>
      </x:c>
      <x:c r="AY127" s="41" t="n">
        <x:f>IF(AJ127="M",1.5*SQRT(MAX(IF(U127="Y",5,10),IF(V127="",10,V127))/Parameters!$B$6),SQRT(MIN(MAX(AE127,10/Parameters!$B$6),1)))</x:f>
        <x:v>0.30000000000000004</x:v>
      </x:c>
      <x:c r="AZ127" s="40" t="n">
        <x:f>AS127*AX127*AY127</x:f>
        <x:v>-424371173.20739007</x:v>
      </x:c>
      <x:c r="BA127" s="40" t="n">
        <x:f>'Python_Trade_Output'!AZ127</x:f>
        <x:v>-424371173.2073902</x:v>
      </x:c>
      <x:c r="BB127" s="43" t="n">
        <x:f>AZ127-BA127</x:f>
        <x:v>1.1920928955078125e-7</x:v>
      </x:c>
    </x:row>
    <x:row r="128">
      <x:c r="A128" s="27" t="str">
        <x:f>'Inputs_Trades'!D128</x:f>
        <x:v>IND-000125</x:v>
      </x:c>
      <x:c r="B128" s="27" t="str">
        <x:f>'Inputs_Trades'!B128</x:f>
        <x:v>IND_CORPORATE_001</x:v>
      </x:c>
      <x:c r="C128" s="27" t="n">
        <x:f>'Inputs_Trades'!C128</x:f>
        <x:v>3161</x:v>
      </x:c>
      <x:c r="D128" s="27" t="str">
        <x:f>'Inputs_Trades'!E128</x:f>
        <x:v>Cross Currency Swap</x:v>
      </x:c>
      <x:c r="E128" s="27" t="str">
        <x:f>'Inputs_Trades'!F128</x:f>
        <x:v>Interest Rate</x:v>
      </x:c>
      <x:c r="F128" s="27" t="n">
        <x:f>'Inputs_Trades'!G128</x:f>
        <x:v>0</x:v>
      </x:c>
      <x:c r="G128" s="27" t="str">
        <x:f>'Inputs_Trades'!J128</x:f>
        <x:v>USD</x:v>
      </x:c>
      <x:c r="H128" s="27" t="str">
        <x:f>'Inputs_Trades'!H128</x:f>
        <x:v>USD</x:v>
      </x:c>
      <x:c r="I128" s="27" t="str">
        <x:f>'Inputs_Trades'!I128</x:f>
        <x:v>JPY</x:v>
      </x:c>
      <x:c r="J128" s="27" t="str">
        <x:f>'Inputs_Trades'!M128</x:f>
        <x:v>USD/JPY</x:v>
      </x:c>
      <x:c r="K128" s="27" t="n">
        <x:f>'Inputs_Trades'!N128</x:f>
        <x:v>0</x:v>
      </x:c>
      <x:c r="L128" s="27" t="n">
        <x:f>'Inputs_Trades'!O128</x:f>
        <x:v>0</x:v>
      </x:c>
      <x:c r="M128" s="39" t="n">
        <x:f>'Inputs_Trades'!A128</x:f>
        <x:v>45702</x:v>
      </x:c>
      <x:c r="N128" s="39" t="n">
        <x:f>'Inputs_Trades'!P128</x:f>
        <x:v>46882</x:v>
      </x:c>
      <x:c r="O128" s="39" t="n">
        <x:f>'Inputs_Trades'!Q128</x:f>
        <x:v>44944</x:v>
      </x:c>
      <x:c r="P128" s="39" t="n">
        <x:f>'Inputs_Trades'!R128</x:f>
        <x:v>46882</x:v>
      </x:c>
      <x:c r="Q128" s="40" t="n">
        <x:f>'Inputs_Trades'!U128</x:f>
        <x:v>20900000</x:v>
      </x:c>
      <x:c r="R128" s="40" t="n">
        <x:f>'Inputs_Trades'!S128</x:f>
        <x:v>20900000</x:v>
      </x:c>
      <x:c r="S128" s="40" t="n">
        <x:f>'Inputs_Trades'!T128</x:f>
        <x:v>3119402985.07</x:v>
      </x:c>
      <x:c r="T128" s="27" t="str">
        <x:f>'Inputs_Trades'!V128</x:f>
        <x:v>U</x:v>
      </x:c>
      <x:c r="U128" s="27" t="str">
        <x:f>'Inputs_Trades'!W128</x:f>
        <x:v>N</x:v>
      </x:c>
      <x:c r="V128" s="27" t="n">
        <x:f>'Inputs_Trades'!X128</x:f>
        <x:v>0</x:v>
      </x:c>
      <x:c r="W128" s="27" t="str">
        <x:f>'Inputs_Trades'!Y128</x:f>
        <x:v>B</x:v>
      </x:c>
      <x:c r="X128" s="27" t="n">
        <x:f>'Inputs_Trades'!AA128</x:f>
        <x:v>0</x:v>
      </x:c>
      <x:c r="Y128" s="27" t="n">
        <x:f>'Inputs_Trades'!AB128</x:f>
        <x:v>0</x:v>
      </x:c>
      <x:c r="Z128" s="27" t="n">
        <x:f>'Inputs_Trades'!AC128</x:f>
        <x:v>0</x:v>
      </x:c>
      <x:c r="AA128" s="39" t="n">
        <x:f>'Inputs_Trades'!Z128</x:f>
        <x:v>0</x:v>
      </x:c>
      <x:c r="AB128" s="40" t="n">
        <x:f>'Inputs_Trades'!AD128</x:f>
        <x:v>-66336.6</x:v>
      </x:c>
      <x:c r="AC128" s="27" t="n">
        <x:f>'Inputs_Trades'!K128</x:f>
        <x:v>0</x:v>
      </x:c>
      <x:c r="AD128" s="27" t="n">
        <x:f>N128-M128</x:f>
        <x:v>1180</x:v>
      </x:c>
      <x:c r="AE128" s="41" t="n">
        <x:f>AD128/365</x:f>
        <x:v>3.232876712328767</x:v>
      </x:c>
      <x:c r="AF128" s="27" t="str">
        <x:f>IF(AE128&lt;1,"&lt;1Y",IF(AE128&lt;=5,"1Y-5Y","&gt;5Y"))</x:f>
        <x:v>1Y-5Y</x:v>
      </x:c>
      <x:c r="AG128" s="27" t="str">
        <x:f>IF(E128="Commodity",IFERROR(VLOOKUP(F128,Parameters!$P$4:$Q$12,2,FALSE),"Other"),"")</x:f>
      </x:c>
      <x:c r="AH128" s="27" t="str">
        <x:f>IF(F128="","Unknown",F128)</x:f>
        <x:v>Unknown</x:v>
      </x:c>
      <x:c r="AI128" s="27" t="str">
        <x:f>IF(E128="Interest Rate",G128&amp;IF(OR(LOWER(AC128)="basis",LOWER(AC128)="volatility"),"_"&amp;AC128,""),IF(E128="FX",IF(H128&lt;I128,H128&amp;"/"&amp;I128,I128&amp;"/"&amp;H128)&amp;IF(OR(LOWER(AC128)="basis",LOWER(AC128)="volatility"),"_"&amp;AC128,""),IF(OR(E128="Credit",E128="Equity"),J128&amp;IF(OR(LOWER(AC128)="basis",LOWER(AC128)="volatility"),"_"&amp;AC128,""),IF(E128="Commodity",AG128&amp;IF(OR(LOWER(AC128)="basis",LOWER(AC128)="volatility"),"_"&amp;AC128,""),"UNKNOWN"))))</x:f>
        <x:v>USD</x:v>
      </x:c>
      <x:c r="AJ128" s="27" t="str">
        <x:f>T128</x:f>
        <x:v>U</x:v>
      </x:c>
      <x:c r="AK128" s="41" t="n">
        <x:f>IF(E128="Interest Rate",VLOOKUP("Interest Rate",Parameters!$D$4:$E$12,2,FALSE),IF(E128="FX",VLOOKUP("FX",Parameters!$D$4:$E$12,2,FALSE),IF(E128="Credit",IFERROR(VLOOKUP(L128,Parameters!$G$4:$H$12,2,FALSE),VLOOKUP("BBB",Parameters!$G$4:$H$12,2,FALSE)),IF(E128="Equity",VLOOKUP(IF(LOWER(K128)="index","Equity Index","Equity Single Name"),Parameters!$D$4:$E$12,2,FALSE),IF(E128="Commodity",VLOOKUP(IFERROR(VLOOKUP(F128,Parameters!$S$4:$T$12,2,FALSE),"Commodity Other"),Parameters!$D$4:$E$12,2,FALSE),0)))))</x:f>
        <x:v>0.005</x:v>
      </x:c>
      <x:c r="AL128" s="42" t="n">
        <x:f>IF(LOWER(AC128)="basis",Parameters!$B$8,IF(LOWER(AC128)="volatility",Parameters!$B$9,1))</x:f>
        <x:v>1</x:v>
      </x:c>
      <x:c r="AM128" s="41" t="n">
        <x:f>AK128*AL128</x:f>
        <x:v>0.005</x:v>
      </x:c>
      <x:c r="AN128" s="42" t="str">
        <x:f>IF(E128="Credit",VLOOKUP(IF(LOWER(K128)="index","Credit Index","Credit Single Name"),Parameters!$J$4:$K$8,2,FALSE),IF(E128="Equity",VLOOKUP(IF(LOWER(K128)="index","Equity Index","Equity Single Name"),Parameters!$J$4:$K$8,2,FALSE),IF(E128="Commodity",VLOOKUP("Commodity",Parameters!$J$4:$K$8,2,FALSE),"")))</x:f>
      </x:c>
      <x:c r="AO128" s="27" t="n">
        <x:f>MAX((O128-M128)/365,0)</x:f>
        <x:v>0</x:v>
      </x:c>
      <x:c r="AP128" s="27" t="n">
        <x:f>MAX((P128-M128)/365,10/Parameters!$B$6)</x:f>
        <x:v>3.232876712328767</x:v>
      </x:c>
      <x:c r="AQ128" s="27" t="n">
        <x:f>IF(AP128&lt;=AO128,AO128+10/Parameters!$B$6,AP128)</x:f>
        <x:v>3.232876712328767</x:v>
      </x:c>
      <x:c r="AR128" s="41" t="n">
        <x:f>IF(OR(E128="Interest Rate",E128="Credit"),(EXP(-Parameters!$B$7*AO128)-EXP(-Parameters!$B$7*AQ128))/Parameters!$B$7,1)</x:f>
        <x:v>2.985116892909081</x:v>
      </x:c>
      <x:c r="AS128" s="40" t="n">
        <x:f>IF(OR(E128="Interest Rate",E128="Credit"),ABS(Q128)*AR128,IF(E128="FX",IF(Q128&gt;0,Q128,MAX(ABS(R128),ABS(S128),ABS(Q128))),ABS(Q128)))</x:f>
        <x:v>62388943.061799794</x:v>
      </x:c>
      <x:c r="AT128" s="42" t="n">
        <x:f>IF(OR(E128="Interest Rate",E128="FX"),VLOOKUP(E128,Parameters!$M$4:$N$11,2,FALSE),IF(E128="Credit",VLOOKUP(IF(LOWER(K128)="index","Credit Index","Credit Single Name"),Parameters!$M$4:$N$11,2,FALSE),IF(E128="Equity",VLOOKUP(IF(LOWER(K128)="index","Equity Index","Equity Single Name"),Parameters!$M$4:$N$11,2,FALSE),IF(E128="Commodity",VLOOKUP(IF(F128="Electricity","Commodity Electricity","Commodity Other"),Parameters!$M$4:$N$11,2,FALSE),1))))</x:f>
        <x:v>0.5</x:v>
      </x:c>
      <x:c r="AU128" s="27" t="n">
        <x:f>IF(W128="B",1,-1)</x:f>
        <x:v>1</x:v>
      </x:c>
      <x:c r="AV128" s="27" t="n">
        <x:f>IF(OR(AA128="",M128=""),MAX(AE128,1/365),MAX((AA128-M128)/365,1/365))</x:f>
        <x:v>3.232876712328767</x:v>
      </x:c>
      <x:c r="AW128" s="41" t="str">
        <x:f>IF(OR(Z128&lt;=0,Y128&lt;=0,AT128&lt;=0,AV128&lt;=0),"",(LN(Z128/Y128)+0.5*AT128^2*AV128)/(AT128*SQRT(AV128)))</x:f>
      </x:c>
      <x:c r="AX128" s="41" t="n">
        <x:f>IF(AND(X128&lt;&gt;"C",X128&lt;&gt;"P"),AU128,IF(AW128="",AU128,IF(X128="C",AU128*0.5*(1+ERF(AW128/SQRT(2))),-AU128*0.5*(1+ERF(-AW128/SQRT(2))))))</x:f>
        <x:v>1</x:v>
      </x:c>
      <x:c r="AY128" s="41" t="n">
        <x:f>IF(AJ128="M",1.5*SQRT(MAX(IF(U128="Y",5,10),IF(V128="",10,V128))/Parameters!$B$6),SQRT(MIN(MAX(AE128,10/Parameters!$B$6),1)))</x:f>
        <x:v>1</x:v>
      </x:c>
      <x:c r="AZ128" s="40" t="n">
        <x:f>AS128*AX128*AY128</x:f>
        <x:v>62388943.061799794</x:v>
      </x:c>
      <x:c r="BA128" s="40" t="n">
        <x:f>'Python_Trade_Output'!AZ128</x:f>
        <x:v>62388943.061799794</x:v>
      </x:c>
      <x:c r="BB128" s="43" t="n">
        <x:f>AZ128-BA128</x:f>
        <x:v>0</x:v>
      </x:c>
    </x:row>
    <x:row r="129">
      <x:c r="A129" s="27" t="str">
        <x:f>'Inputs_Trades'!D129</x:f>
        <x:v>IND-000126</x:v>
      </x:c>
      <x:c r="B129" s="27" t="str">
        <x:f>'Inputs_Trades'!B129</x:f>
        <x:v>IND_CORPORATE_001</x:v>
      </x:c>
      <x:c r="C129" s="27" t="n">
        <x:f>'Inputs_Trades'!C129</x:f>
        <x:v>3161</x:v>
      </x:c>
      <x:c r="D129" s="27" t="str">
        <x:f>'Inputs_Trades'!E129</x:f>
        <x:v>Cross Currency Swap</x:v>
      </x:c>
      <x:c r="E129" s="27" t="str">
        <x:f>'Inputs_Trades'!F129</x:f>
        <x:v>Interest Rate</x:v>
      </x:c>
      <x:c r="F129" s="27" t="n">
        <x:f>'Inputs_Trades'!G129</x:f>
        <x:v>0</x:v>
      </x:c>
      <x:c r="G129" s="27" t="str">
        <x:f>'Inputs_Trades'!J129</x:f>
        <x:v>USD</x:v>
      </x:c>
      <x:c r="H129" s="27" t="str">
        <x:f>'Inputs_Trades'!H129</x:f>
        <x:v>USD</x:v>
      </x:c>
      <x:c r="I129" s="27" t="str">
        <x:f>'Inputs_Trades'!I129</x:f>
        <x:v>JPY</x:v>
      </x:c>
      <x:c r="J129" s="27" t="str">
        <x:f>'Inputs_Trades'!M129</x:f>
        <x:v>USD/JPY</x:v>
      </x:c>
      <x:c r="K129" s="27" t="n">
        <x:f>'Inputs_Trades'!N129</x:f>
        <x:v>0</x:v>
      </x:c>
      <x:c r="L129" s="27" t="n">
        <x:f>'Inputs_Trades'!O129</x:f>
        <x:v>0</x:v>
      </x:c>
      <x:c r="M129" s="39" t="n">
        <x:f>'Inputs_Trades'!A129</x:f>
        <x:v>45702</x:v>
      </x:c>
      <x:c r="N129" s="39" t="n">
        <x:f>'Inputs_Trades'!P129</x:f>
        <x:v>47084</x:v>
      </x:c>
      <x:c r="O129" s="39" t="n">
        <x:f>'Inputs_Trades'!Q129</x:f>
        <x:v>44973</x:v>
      </x:c>
      <x:c r="P129" s="39" t="n">
        <x:f>'Inputs_Trades'!R129</x:f>
        <x:v>47084</x:v>
      </x:c>
      <x:c r="Q129" s="40" t="n">
        <x:f>'Inputs_Trades'!U129</x:f>
        <x:v>499000000</x:v>
      </x:c>
      <x:c r="R129" s="40" t="n">
        <x:f>'Inputs_Trades'!S129</x:f>
        <x:v>499000000</x:v>
      </x:c>
      <x:c r="S129" s="40" t="n">
        <x:f>'Inputs_Trades'!T129</x:f>
        <x:v>74477611940.3</x:v>
      </x:c>
      <x:c r="T129" s="27" t="str">
        <x:f>'Inputs_Trades'!V129</x:f>
        <x:v>U</x:v>
      </x:c>
      <x:c r="U129" s="27" t="str">
        <x:f>'Inputs_Trades'!W129</x:f>
        <x:v>N</x:v>
      </x:c>
      <x:c r="V129" s="27" t="n">
        <x:f>'Inputs_Trades'!X129</x:f>
        <x:v>0</x:v>
      </x:c>
      <x:c r="W129" s="27" t="str">
        <x:f>'Inputs_Trades'!Y129</x:f>
        <x:v>S</x:v>
      </x:c>
      <x:c r="X129" s="27" t="n">
        <x:f>'Inputs_Trades'!AA129</x:f>
        <x:v>0</x:v>
      </x:c>
      <x:c r="Y129" s="27" t="n">
        <x:f>'Inputs_Trades'!AB129</x:f>
        <x:v>0</x:v>
      </x:c>
      <x:c r="Z129" s="27" t="n">
        <x:f>'Inputs_Trades'!AC129</x:f>
        <x:v>0</x:v>
      </x:c>
      <x:c r="AA129" s="39" t="n">
        <x:f>'Inputs_Trades'!Z129</x:f>
        <x:v>0</x:v>
      </x:c>
      <x:c r="AB129" s="40" t="n">
        <x:f>'Inputs_Trades'!AD129</x:f>
        <x:v>-248502</x:v>
      </x:c>
      <x:c r="AC129" s="27" t="n">
        <x:f>'Inputs_Trades'!K129</x:f>
        <x:v>0</x:v>
      </x:c>
      <x:c r="AD129" s="27" t="n">
        <x:f>N129-M129</x:f>
        <x:v>1382</x:v>
      </x:c>
      <x:c r="AE129" s="41" t="n">
        <x:f>AD129/365</x:f>
        <x:v>3.786301369863014</x:v>
      </x:c>
      <x:c r="AF129" s="27" t="str">
        <x:f>IF(AE129&lt;1,"&lt;1Y",IF(AE129&lt;=5,"1Y-5Y","&gt;5Y"))</x:f>
        <x:v>1Y-5Y</x:v>
      </x:c>
      <x:c r="AG129" s="27" t="str">
        <x:f>IF(E129="Commodity",IFERROR(VLOOKUP(F129,Parameters!$P$4:$Q$12,2,FALSE),"Other"),"")</x:f>
      </x:c>
      <x:c r="AH129" s="27" t="str">
        <x:f>IF(F129="","Unknown",F129)</x:f>
        <x:v>Unknown</x:v>
      </x:c>
      <x:c r="AI129" s="27" t="str">
        <x:f>IF(E129="Interest Rate",G129&amp;IF(OR(LOWER(AC129)="basis",LOWER(AC129)="volatility"),"_"&amp;AC129,""),IF(E129="FX",IF(H129&lt;I129,H129&amp;"/"&amp;I129,I129&amp;"/"&amp;H129)&amp;IF(OR(LOWER(AC129)="basis",LOWER(AC129)="volatility"),"_"&amp;AC129,""),IF(OR(E129="Credit",E129="Equity"),J129&amp;IF(OR(LOWER(AC129)="basis",LOWER(AC129)="volatility"),"_"&amp;AC129,""),IF(E129="Commodity",AG129&amp;IF(OR(LOWER(AC129)="basis",LOWER(AC129)="volatility"),"_"&amp;AC129,""),"UNKNOWN"))))</x:f>
        <x:v>USD</x:v>
      </x:c>
      <x:c r="AJ129" s="27" t="str">
        <x:f>T129</x:f>
        <x:v>U</x:v>
      </x:c>
      <x:c r="AK129" s="41" t="n">
        <x:f>IF(E129="Interest Rate",VLOOKUP("Interest Rate",Parameters!$D$4:$E$12,2,FALSE),IF(E129="FX",VLOOKUP("FX",Parameters!$D$4:$E$12,2,FALSE),IF(E129="Credit",IFERROR(VLOOKUP(L129,Parameters!$G$4:$H$12,2,FALSE),VLOOKUP("BBB",Parameters!$G$4:$H$12,2,FALSE)),IF(E129="Equity",VLOOKUP(IF(LOWER(K129)="index","Equity Index","Equity Single Name"),Parameters!$D$4:$E$12,2,FALSE),IF(E129="Commodity",VLOOKUP(IFERROR(VLOOKUP(F129,Parameters!$S$4:$T$12,2,FALSE),"Commodity Other"),Parameters!$D$4:$E$12,2,FALSE),0)))))</x:f>
        <x:v>0.005</x:v>
      </x:c>
      <x:c r="AL129" s="42" t="n">
        <x:f>IF(LOWER(AC129)="basis",Parameters!$B$8,IF(LOWER(AC129)="volatility",Parameters!$B$9,1))</x:f>
        <x:v>1</x:v>
      </x:c>
      <x:c r="AM129" s="41" t="n">
        <x:f>AK129*AL129</x:f>
        <x:v>0.005</x:v>
      </x:c>
      <x:c r="AN129" s="42" t="str">
        <x:f>IF(E129="Credit",VLOOKUP(IF(LOWER(K129)="index","Credit Index","Credit Single Name"),Parameters!$J$4:$K$8,2,FALSE),IF(E129="Equity",VLOOKUP(IF(LOWER(K129)="index","Equity Index","Equity Single Name"),Parameters!$J$4:$K$8,2,FALSE),IF(E129="Commodity",VLOOKUP("Commodity",Parameters!$J$4:$K$8,2,FALSE),"")))</x:f>
      </x:c>
      <x:c r="AO129" s="27" t="n">
        <x:f>MAX((O129-M129)/365,0)</x:f>
        <x:v>0</x:v>
      </x:c>
      <x:c r="AP129" s="27" t="n">
        <x:f>MAX((P129-M129)/365,10/Parameters!$B$6)</x:f>
        <x:v>3.786301369863014</x:v>
      </x:c>
      <x:c r="AQ129" s="27" t="n">
        <x:f>IF(AP129&lt;=AO129,AO129+10/Parameters!$B$6,AP129)</x:f>
        <x:v>3.786301369863014</x:v>
      </x:c>
      <x:c r="AR129" s="41" t="n">
        <x:f>IF(OR(E129="Interest Rate",E129="Credit"),(EXP(-Parameters!$B$7*AO129)-EXP(-Parameters!$B$7*AQ129))/Parameters!$B$7,1)</x:f>
        <x:v>3.4494852334095216</x:v>
      </x:c>
      <x:c r="AS129" s="40" t="n">
        <x:f>IF(OR(E129="Interest Rate",E129="Credit"),ABS(Q129)*AR129,IF(E129="FX",IF(Q129&gt;0,Q129,MAX(ABS(R129),ABS(S129),ABS(Q129))),ABS(Q129)))</x:f>
        <x:v>1721293131.4713514</x:v>
      </x:c>
      <x:c r="AT129" s="42" t="n">
        <x:f>IF(OR(E129="Interest Rate",E129="FX"),VLOOKUP(E129,Parameters!$M$4:$N$11,2,FALSE),IF(E129="Credit",VLOOKUP(IF(LOWER(K129)="index","Credit Index","Credit Single Name"),Parameters!$M$4:$N$11,2,FALSE),IF(E129="Equity",VLOOKUP(IF(LOWER(K129)="index","Equity Index","Equity Single Name"),Parameters!$M$4:$N$11,2,FALSE),IF(E129="Commodity",VLOOKUP(IF(F129="Electricity","Commodity Electricity","Commodity Other"),Parameters!$M$4:$N$11,2,FALSE),1))))</x:f>
        <x:v>0.5</x:v>
      </x:c>
      <x:c r="AU129" s="27" t="n">
        <x:f>IF(W129="B",1,-1)</x:f>
        <x:v>-1</x:v>
      </x:c>
      <x:c r="AV129" s="27" t="n">
        <x:f>IF(OR(AA129="",M129=""),MAX(AE129,1/365),MAX((AA129-M129)/365,1/365))</x:f>
        <x:v>3.786301369863014</x:v>
      </x:c>
      <x:c r="AW129" s="41" t="str">
        <x:f>IF(OR(Z129&lt;=0,Y129&lt;=0,AT129&lt;=0,AV129&lt;=0),"",(LN(Z129/Y129)+0.5*AT129^2*AV129)/(AT129*SQRT(AV129)))</x:f>
      </x:c>
      <x:c r="AX129" s="41" t="n">
        <x:f>IF(AND(X129&lt;&gt;"C",X129&lt;&gt;"P"),AU129,IF(AW129="",AU129,IF(X129="C",AU129*0.5*(1+ERF(AW129/SQRT(2))),-AU129*0.5*(1+ERF(-AW129/SQRT(2))))))</x:f>
        <x:v>-1</x:v>
      </x:c>
      <x:c r="AY129" s="41" t="n">
        <x:f>IF(AJ129="M",1.5*SQRT(MAX(IF(U129="Y",5,10),IF(V129="",10,V129))/Parameters!$B$6),SQRT(MIN(MAX(AE129,10/Parameters!$B$6),1)))</x:f>
        <x:v>1</x:v>
      </x:c>
      <x:c r="AZ129" s="40" t="n">
        <x:f>AS129*AX129*AY129</x:f>
        <x:v>-1721293131.4713514</x:v>
      </x:c>
      <x:c r="BA129" s="40" t="n">
        <x:f>'Python_Trade_Output'!AZ129</x:f>
        <x:v>-1721293131.4713514</x:v>
      </x:c>
      <x:c r="BB129" s="43" t="n">
        <x:f>AZ129-BA129</x:f>
        <x:v>0</x:v>
      </x:c>
    </x:row>
    <x:row r="130">
      <x:c r="A130" s="27" t="str">
        <x:f>'Inputs_Trades'!D130</x:f>
        <x:v>IND-000127</x:v>
      </x:c>
      <x:c r="B130" s="27" t="str">
        <x:f>'Inputs_Trades'!B130</x:f>
        <x:v>IND_BANK_001</x:v>
      </x:c>
      <x:c r="C130" s="27" t="n">
        <x:f>'Inputs_Trades'!C130</x:f>
        <x:v>3324</x:v>
      </x:c>
      <x:c r="D130" s="27" t="str">
        <x:f>'Inputs_Trades'!E130</x:f>
        <x:v>Cross Currency Swap</x:v>
      </x:c>
      <x:c r="E130" s="27" t="str">
        <x:f>'Inputs_Trades'!F130</x:f>
        <x:v>Interest Rate</x:v>
      </x:c>
      <x:c r="F130" s="27" t="n">
        <x:f>'Inputs_Trades'!G130</x:f>
        <x:v>0</x:v>
      </x:c>
      <x:c r="G130" s="27" t="str">
        <x:f>'Inputs_Trades'!J130</x:f>
        <x:v>USD</x:v>
      </x:c>
      <x:c r="H130" s="27" t="str">
        <x:f>'Inputs_Trades'!H130</x:f>
        <x:v>USD</x:v>
      </x:c>
      <x:c r="I130" s="27" t="str">
        <x:f>'Inputs_Trades'!I130</x:f>
        <x:v>CNY</x:v>
      </x:c>
      <x:c r="J130" s="27" t="str">
        <x:f>'Inputs_Trades'!M130</x:f>
        <x:v>USD/CNY</x:v>
      </x:c>
      <x:c r="K130" s="27" t="n">
        <x:f>'Inputs_Trades'!N130</x:f>
        <x:v>0</x:v>
      </x:c>
      <x:c r="L130" s="27" t="n">
        <x:f>'Inputs_Trades'!O130</x:f>
        <x:v>0</x:v>
      </x:c>
      <x:c r="M130" s="39" t="n">
        <x:f>'Inputs_Trades'!A130</x:f>
        <x:v>45702</x:v>
      </x:c>
      <x:c r="N130" s="39" t="n">
        <x:f>'Inputs_Trades'!P130</x:f>
        <x:v>47708</x:v>
      </x:c>
      <x:c r="O130" s="39" t="n">
        <x:f>'Inputs_Trades'!Q130</x:f>
        <x:v>44979</x:v>
      </x:c>
      <x:c r="P130" s="39" t="n">
        <x:f>'Inputs_Trades'!R130</x:f>
        <x:v>47708</x:v>
      </x:c>
      <x:c r="Q130" s="40" t="n">
        <x:f>'Inputs_Trades'!U130</x:f>
        <x:v>33500000</x:v>
      </x:c>
      <x:c r="R130" s="40" t="n">
        <x:f>'Inputs_Trades'!S130</x:f>
        <x:v>33500000</x:v>
      </x:c>
      <x:c r="S130" s="40" t="n">
        <x:f>'Inputs_Trades'!T130</x:f>
        <x:v>239285714.29</x:v>
      </x:c>
      <x:c r="T130" s="27" t="str">
        <x:f>'Inputs_Trades'!V130</x:f>
        <x:v>U</x:v>
      </x:c>
      <x:c r="U130" s="27" t="str">
        <x:f>'Inputs_Trades'!W130</x:f>
        <x:v>Y</x:v>
      </x:c>
      <x:c r="V130" s="27" t="n">
        <x:f>'Inputs_Trades'!X130</x:f>
        <x:v>5</x:v>
      </x:c>
      <x:c r="W130" s="27" t="str">
        <x:f>'Inputs_Trades'!Y130</x:f>
        <x:v>S</x:v>
      </x:c>
      <x:c r="X130" s="27" t="n">
        <x:f>'Inputs_Trades'!AA130</x:f>
        <x:v>0</x:v>
      </x:c>
      <x:c r="Y130" s="27" t="n">
        <x:f>'Inputs_Trades'!AB130</x:f>
        <x:v>0</x:v>
      </x:c>
      <x:c r="Z130" s="27" t="n">
        <x:f>'Inputs_Trades'!AC130</x:f>
        <x:v>0</x:v>
      </x:c>
      <x:c r="AA130" s="39" t="n">
        <x:f>'Inputs_Trades'!Z130</x:f>
        <x:v>0</x:v>
      </x:c>
      <x:c r="AB130" s="40" t="n">
        <x:f>'Inputs_Trades'!AD130</x:f>
        <x:v>-176277</x:v>
      </x:c>
      <x:c r="AC130" s="27" t="n">
        <x:f>'Inputs_Trades'!K130</x:f>
        <x:v>0</x:v>
      </x:c>
      <x:c r="AD130" s="27" t="n">
        <x:f>N130-M130</x:f>
        <x:v>2006</x:v>
      </x:c>
      <x:c r="AE130" s="41" t="n">
        <x:f>AD130/365</x:f>
        <x:v>5.495890410958904</x:v>
      </x:c>
      <x:c r="AF130" s="27" t="str">
        <x:f>IF(AE130&lt;1,"&lt;1Y",IF(AE130&lt;=5,"1Y-5Y","&gt;5Y"))</x:f>
        <x:v>&gt;5Y</x:v>
      </x:c>
      <x:c r="AG130" s="27" t="str">
        <x:f>IF(E130="Commodity",IFERROR(VLOOKUP(F130,Parameters!$P$4:$Q$12,2,FALSE),"Other"),"")</x:f>
      </x:c>
      <x:c r="AH130" s="27" t="str">
        <x:f>IF(F130="","Unknown",F130)</x:f>
        <x:v>Unknown</x:v>
      </x:c>
      <x:c r="AI130" s="27" t="str">
        <x:f>IF(E130="Interest Rate",G130&amp;IF(OR(LOWER(AC130)="basis",LOWER(AC130)="volatility"),"_"&amp;AC130,""),IF(E130="FX",IF(H130&lt;I130,H130&amp;"/"&amp;I130,I130&amp;"/"&amp;H130)&amp;IF(OR(LOWER(AC130)="basis",LOWER(AC130)="volatility"),"_"&amp;AC130,""),IF(OR(E130="Credit",E130="Equity"),J130&amp;IF(OR(LOWER(AC130)="basis",LOWER(AC130)="volatility"),"_"&amp;AC130,""),IF(E130="Commodity",AG130&amp;IF(OR(LOWER(AC130)="basis",LOWER(AC130)="volatility"),"_"&amp;AC130,""),"UNKNOWN"))))</x:f>
        <x:v>USD</x:v>
      </x:c>
      <x:c r="AJ130" s="27" t="str">
        <x:f>T130</x:f>
        <x:v>U</x:v>
      </x:c>
      <x:c r="AK130" s="41" t="n">
        <x:f>IF(E130="Interest Rate",VLOOKUP("Interest Rate",Parameters!$D$4:$E$12,2,FALSE),IF(E130="FX",VLOOKUP("FX",Parameters!$D$4:$E$12,2,FALSE),IF(E130="Credit",IFERROR(VLOOKUP(L130,Parameters!$G$4:$H$12,2,FALSE),VLOOKUP("BBB",Parameters!$G$4:$H$12,2,FALSE)),IF(E130="Equity",VLOOKUP(IF(LOWER(K130)="index","Equity Index","Equity Single Name"),Parameters!$D$4:$E$12,2,FALSE),IF(E130="Commodity",VLOOKUP(IFERROR(VLOOKUP(F130,Parameters!$S$4:$T$12,2,FALSE),"Commodity Other"),Parameters!$D$4:$E$12,2,FALSE),0)))))</x:f>
        <x:v>0.005</x:v>
      </x:c>
      <x:c r="AL130" s="42" t="n">
        <x:f>IF(LOWER(AC130)="basis",Parameters!$B$8,IF(LOWER(AC130)="volatility",Parameters!$B$9,1))</x:f>
        <x:v>1</x:v>
      </x:c>
      <x:c r="AM130" s="41" t="n">
        <x:f>AK130*AL130</x:f>
        <x:v>0.005</x:v>
      </x:c>
      <x:c r="AN130" s="42" t="str">
        <x:f>IF(E130="Credit",VLOOKUP(IF(LOWER(K130)="index","Credit Index","Credit Single Name"),Parameters!$J$4:$K$8,2,FALSE),IF(E130="Equity",VLOOKUP(IF(LOWER(K130)="index","Equity Index","Equity Single Name"),Parameters!$J$4:$K$8,2,FALSE),IF(E130="Commodity",VLOOKUP("Commodity",Parameters!$J$4:$K$8,2,FALSE),"")))</x:f>
      </x:c>
      <x:c r="AO130" s="27" t="n">
        <x:f>MAX((O130-M130)/365,0)</x:f>
        <x:v>0</x:v>
      </x:c>
      <x:c r="AP130" s="27" t="n">
        <x:f>MAX((P130-M130)/365,10/Parameters!$B$6)</x:f>
        <x:v>5.495890410958904</x:v>
      </x:c>
      <x:c r="AQ130" s="27" t="n">
        <x:f>IF(AP130&lt;=AO130,AO130+10/Parameters!$B$6,AP130)</x:f>
        <x:v>5.495890410958904</x:v>
      </x:c>
      <x:c r="AR130" s="41" t="n">
        <x:f>IF(OR(E130="Interest Rate",E130="Credit"),(EXP(-Parameters!$B$7*AO130)-EXP(-Parameters!$B$7*AQ130))/Parameters!$B$7,1)</x:f>
        <x:v>4.805435685500075</x:v>
      </x:c>
      <x:c r="AS130" s="40" t="n">
        <x:f>IF(OR(E130="Interest Rate",E130="Credit"),ABS(Q130)*AR130,IF(E130="FX",IF(Q130&gt;0,Q130,MAX(ABS(R130),ABS(S130),ABS(Q130))),ABS(Q130)))</x:f>
        <x:v>160982095.4642525</x:v>
      </x:c>
      <x:c r="AT130" s="42" t="n">
        <x:f>IF(OR(E130="Interest Rate",E130="FX"),VLOOKUP(E130,Parameters!$M$4:$N$11,2,FALSE),IF(E130="Credit",VLOOKUP(IF(LOWER(K130)="index","Credit Index","Credit Single Name"),Parameters!$M$4:$N$11,2,FALSE),IF(E130="Equity",VLOOKUP(IF(LOWER(K130)="index","Equity Index","Equity Single Name"),Parameters!$M$4:$N$11,2,FALSE),IF(E130="Commodity",VLOOKUP(IF(F130="Electricity","Commodity Electricity","Commodity Other"),Parameters!$M$4:$N$11,2,FALSE),1))))</x:f>
        <x:v>0.5</x:v>
      </x:c>
      <x:c r="AU130" s="27" t="n">
        <x:f>IF(W130="B",1,-1)</x:f>
        <x:v>-1</x:v>
      </x:c>
      <x:c r="AV130" s="27" t="n">
        <x:f>IF(OR(AA130="",M130=""),MAX(AE130,1/365),MAX((AA130-M130)/365,1/365))</x:f>
        <x:v>5.495890410958904</x:v>
      </x:c>
      <x:c r="AW130" s="41" t="str">
        <x:f>IF(OR(Z130&lt;=0,Y130&lt;=0,AT130&lt;=0,AV130&lt;=0),"",(LN(Z130/Y130)+0.5*AT130^2*AV130)/(AT130*SQRT(AV130)))</x:f>
      </x:c>
      <x:c r="AX130" s="41" t="n">
        <x:f>IF(AND(X130&lt;&gt;"C",X130&lt;&gt;"P"),AU130,IF(AW130="",AU130,IF(X130="C",AU130*0.5*(1+ERF(AW130/SQRT(2))),-AU130*0.5*(1+ERF(-AW130/SQRT(2))))))</x:f>
        <x:v>-1</x:v>
      </x:c>
      <x:c r="AY130" s="41" t="n">
        <x:f>IF(AJ130="M",1.5*SQRT(MAX(IF(U130="Y",5,10),IF(V130="",10,V130))/Parameters!$B$6),SQRT(MIN(MAX(AE130,10/Parameters!$B$6),1)))</x:f>
        <x:v>1</x:v>
      </x:c>
      <x:c r="AZ130" s="40" t="n">
        <x:f>AS130*AX130*AY130</x:f>
        <x:v>-160982095.4642525</x:v>
      </x:c>
      <x:c r="BA130" s="40" t="n">
        <x:f>'Python_Trade_Output'!AZ130</x:f>
        <x:v>-160982095.4642525</x:v>
      </x:c>
      <x:c r="BB130" s="43" t="n">
        <x:f>AZ130-BA130</x:f>
        <x:v>0</x:v>
      </x:c>
    </x:row>
    <x:row r="131">
      <x:c r="A131" s="27" t="str">
        <x:f>'Inputs_Trades'!D131</x:f>
        <x:v>IND-000128</x:v>
      </x:c>
      <x:c r="B131" s="27" t="str">
        <x:f>'Inputs_Trades'!B131</x:f>
        <x:v>IND_ASSET_MANAGER_001</x:v>
      </x:c>
      <x:c r="C131" s="27" t="n">
        <x:f>'Inputs_Trades'!C131</x:f>
        <x:v>3050</x:v>
      </x:c>
      <x:c r="D131" s="27" t="str">
        <x:f>'Inputs_Trades'!E131</x:f>
        <x:v>Cross Currency Swap</x:v>
      </x:c>
      <x:c r="E131" s="27" t="str">
        <x:f>'Inputs_Trades'!F131</x:f>
        <x:v>Interest Rate</x:v>
      </x:c>
      <x:c r="F131" s="27" t="n">
        <x:f>'Inputs_Trades'!G131</x:f>
        <x:v>0</x:v>
      </x:c>
      <x:c r="G131" s="27" t="str">
        <x:f>'Inputs_Trades'!J131</x:f>
        <x:v>USD</x:v>
      </x:c>
      <x:c r="H131" s="27" t="str">
        <x:f>'Inputs_Trades'!H131</x:f>
        <x:v>USD</x:v>
      </x:c>
      <x:c r="I131" s="27" t="str">
        <x:f>'Inputs_Trades'!I131</x:f>
        <x:v>CNY</x:v>
      </x:c>
      <x:c r="J131" s="27" t="str">
        <x:f>'Inputs_Trades'!M131</x:f>
        <x:v>USD/CNY</x:v>
      </x:c>
      <x:c r="K131" s="27" t="n">
        <x:f>'Inputs_Trades'!N131</x:f>
        <x:v>0</x:v>
      </x:c>
      <x:c r="L131" s="27" t="n">
        <x:f>'Inputs_Trades'!O131</x:f>
        <x:v>0</x:v>
      </x:c>
      <x:c r="M131" s="39" t="n">
        <x:f>'Inputs_Trades'!A131</x:f>
        <x:v>45702</x:v>
      </x:c>
      <x:c r="N131" s="39" t="n">
        <x:f>'Inputs_Trades'!P131</x:f>
        <x:v>47010</x:v>
      </x:c>
      <x:c r="O131" s="39" t="n">
        <x:f>'Inputs_Trades'!Q131</x:f>
        <x:v>45074</x:v>
      </x:c>
      <x:c r="P131" s="39" t="n">
        <x:f>'Inputs_Trades'!R131</x:f>
        <x:v>47010</x:v>
      </x:c>
      <x:c r="Q131" s="40" t="n">
        <x:f>'Inputs_Trades'!U131</x:f>
        <x:v>252000000</x:v>
      </x:c>
      <x:c r="R131" s="40" t="n">
        <x:f>'Inputs_Trades'!S131</x:f>
        <x:v>252000000</x:v>
      </x:c>
      <x:c r="S131" s="40" t="n">
        <x:f>'Inputs_Trades'!T131</x:f>
        <x:v>1800000000</x:v>
      </x:c>
      <x:c r="T131" s="27" t="str">
        <x:f>'Inputs_Trades'!V131</x:f>
        <x:v>M</x:v>
      </x:c>
      <x:c r="U131" s="27" t="str">
        <x:f>'Inputs_Trades'!W131</x:f>
        <x:v>N</x:v>
      </x:c>
      <x:c r="V131" s="27" t="n">
        <x:f>'Inputs_Trades'!X131</x:f>
        <x:v>10</x:v>
      </x:c>
      <x:c r="W131" s="27" t="str">
        <x:f>'Inputs_Trades'!Y131</x:f>
        <x:v>B</x:v>
      </x:c>
      <x:c r="X131" s="27" t="n">
        <x:f>'Inputs_Trades'!AA131</x:f>
        <x:v>0</x:v>
      </x:c>
      <x:c r="Y131" s="27" t="n">
        <x:f>'Inputs_Trades'!AB131</x:f>
        <x:v>0</x:v>
      </x:c>
      <x:c r="Z131" s="27" t="n">
        <x:f>'Inputs_Trades'!AC131</x:f>
        <x:v>0</x:v>
      </x:c>
      <x:c r="AA131" s="39" t="n">
        <x:f>'Inputs_Trades'!Z131</x:f>
        <x:v>0</x:v>
      </x:c>
      <x:c r="AB131" s="40" t="n">
        <x:f>'Inputs_Trades'!AD131</x:f>
        <x:v>1489320</x:v>
      </x:c>
      <x:c r="AC131" s="27" t="n">
        <x:f>'Inputs_Trades'!K131</x:f>
        <x:v>0</x:v>
      </x:c>
      <x:c r="AD131" s="27" t="n">
        <x:f>N131-M131</x:f>
        <x:v>1308</x:v>
      </x:c>
      <x:c r="AE131" s="41" t="n">
        <x:f>AD131/365</x:f>
        <x:v>3.5835616438356164</x:v>
      </x:c>
      <x:c r="AF131" s="27" t="str">
        <x:f>IF(AE131&lt;1,"&lt;1Y",IF(AE131&lt;=5,"1Y-5Y","&gt;5Y"))</x:f>
        <x:v>1Y-5Y</x:v>
      </x:c>
      <x:c r="AG131" s="27" t="str">
        <x:f>IF(E131="Commodity",IFERROR(VLOOKUP(F131,Parameters!$P$4:$Q$12,2,FALSE),"Other"),"")</x:f>
      </x:c>
      <x:c r="AH131" s="27" t="str">
        <x:f>IF(F131="","Unknown",F131)</x:f>
        <x:v>Unknown</x:v>
      </x:c>
      <x:c r="AI131" s="27" t="str">
        <x:f>IF(E131="Interest Rate",G131&amp;IF(OR(LOWER(AC131)="basis",LOWER(AC131)="volatility"),"_"&amp;AC131,""),IF(E131="FX",IF(H131&lt;I131,H131&amp;"/"&amp;I131,I131&amp;"/"&amp;H131)&amp;IF(OR(LOWER(AC131)="basis",LOWER(AC131)="volatility"),"_"&amp;AC131,""),IF(OR(E131="Credit",E131="Equity"),J131&amp;IF(OR(LOWER(AC131)="basis",LOWER(AC131)="volatility"),"_"&amp;AC131,""),IF(E131="Commodity",AG131&amp;IF(OR(LOWER(AC131)="basis",LOWER(AC131)="volatility"),"_"&amp;AC131,""),"UNKNOWN"))))</x:f>
        <x:v>USD</x:v>
      </x:c>
      <x:c r="AJ131" s="27" t="str">
        <x:f>T131</x:f>
        <x:v>M</x:v>
      </x:c>
      <x:c r="AK131" s="41" t="n">
        <x:f>IF(E131="Interest Rate",VLOOKUP("Interest Rate",Parameters!$D$4:$E$12,2,FALSE),IF(E131="FX",VLOOKUP("FX",Parameters!$D$4:$E$12,2,FALSE),IF(E131="Credit",IFERROR(VLOOKUP(L131,Parameters!$G$4:$H$12,2,FALSE),VLOOKUP("BBB",Parameters!$G$4:$H$12,2,FALSE)),IF(E131="Equity",VLOOKUP(IF(LOWER(K131)="index","Equity Index","Equity Single Name"),Parameters!$D$4:$E$12,2,FALSE),IF(E131="Commodity",VLOOKUP(IFERROR(VLOOKUP(F131,Parameters!$S$4:$T$12,2,FALSE),"Commodity Other"),Parameters!$D$4:$E$12,2,FALSE),0)))))</x:f>
        <x:v>0.005</x:v>
      </x:c>
      <x:c r="AL131" s="42" t="n">
        <x:f>IF(LOWER(AC131)="basis",Parameters!$B$8,IF(LOWER(AC131)="volatility",Parameters!$B$9,1))</x:f>
        <x:v>1</x:v>
      </x:c>
      <x:c r="AM131" s="41" t="n">
        <x:f>AK131*AL131</x:f>
        <x:v>0.005</x:v>
      </x:c>
      <x:c r="AN131" s="42" t="str">
        <x:f>IF(E131="Credit",VLOOKUP(IF(LOWER(K131)="index","Credit Index","Credit Single Name"),Parameters!$J$4:$K$8,2,FALSE),IF(E131="Equity",VLOOKUP(IF(LOWER(K131)="index","Equity Index","Equity Single Name"),Parameters!$J$4:$K$8,2,FALSE),IF(E131="Commodity",VLOOKUP("Commodity",Parameters!$J$4:$K$8,2,FALSE),"")))</x:f>
      </x:c>
      <x:c r="AO131" s="27" t="n">
        <x:f>MAX((O131-M131)/365,0)</x:f>
        <x:v>0</x:v>
      </x:c>
      <x:c r="AP131" s="27" t="n">
        <x:f>MAX((P131-M131)/365,10/Parameters!$B$6)</x:f>
        <x:v>3.5835616438356164</x:v>
      </x:c>
      <x:c r="AQ131" s="27" t="n">
        <x:f>IF(AP131&lt;=AO131,AO131+10/Parameters!$B$6,AP131)</x:f>
        <x:v>3.5835616438356164</x:v>
      </x:c>
      <x:c r="AR131" s="41" t="n">
        <x:f>IF(OR(E131="Interest Rate",E131="Credit"),(EXP(-Parameters!$B$7*AO131)-EXP(-Parameters!$B$7*AQ131))/Parameters!$B$7,1)</x:f>
        <x:v>3.280859658341042</x:v>
      </x:c>
      <x:c r="AS131" s="40" t="n">
        <x:f>IF(OR(E131="Interest Rate",E131="Credit"),ABS(Q131)*AR131,IF(E131="FX",IF(Q131&gt;0,Q131,MAX(ABS(R131),ABS(S131),ABS(Q131))),ABS(Q131)))</x:f>
        <x:v>826776633.9019426</x:v>
      </x:c>
      <x:c r="AT131" s="42" t="n">
        <x:f>IF(OR(E131="Interest Rate",E131="FX"),VLOOKUP(E131,Parameters!$M$4:$N$11,2,FALSE),IF(E131="Credit",VLOOKUP(IF(LOWER(K131)="index","Credit Index","Credit Single Name"),Parameters!$M$4:$N$11,2,FALSE),IF(E131="Equity",VLOOKUP(IF(LOWER(K131)="index","Equity Index","Equity Single Name"),Parameters!$M$4:$N$11,2,FALSE),IF(E131="Commodity",VLOOKUP(IF(F131="Electricity","Commodity Electricity","Commodity Other"),Parameters!$M$4:$N$11,2,FALSE),1))))</x:f>
        <x:v>0.5</x:v>
      </x:c>
      <x:c r="AU131" s="27" t="n">
        <x:f>IF(W131="B",1,-1)</x:f>
        <x:v>1</x:v>
      </x:c>
      <x:c r="AV131" s="27" t="n">
        <x:f>IF(OR(AA131="",M131=""),MAX(AE131,1/365),MAX((AA131-M131)/365,1/365))</x:f>
        <x:v>3.5835616438356164</x:v>
      </x:c>
      <x:c r="AW131" s="41" t="str">
        <x:f>IF(OR(Z131&lt;=0,Y131&lt;=0,AT131&lt;=0,AV131&lt;=0),"",(LN(Z131/Y131)+0.5*AT131^2*AV131)/(AT131*SQRT(AV131)))</x:f>
      </x:c>
      <x:c r="AX131" s="41" t="n">
        <x:f>IF(AND(X131&lt;&gt;"C",X131&lt;&gt;"P"),AU131,IF(AW131="",AU131,IF(X131="C",AU131*0.5*(1+ERF(AW131/SQRT(2))),-AU131*0.5*(1+ERF(-AW131/SQRT(2))))))</x:f>
        <x:v>1</x:v>
      </x:c>
      <x:c r="AY131" s="41" t="n">
        <x:f>IF(AJ131="M",1.5*SQRT(MAX(IF(U131="Y",5,10),IF(V131="",10,V131))/Parameters!$B$6),SQRT(MIN(MAX(AE131,10/Parameters!$B$6),1)))</x:f>
        <x:v>0.30000000000000004</x:v>
      </x:c>
      <x:c r="AZ131" s="40" t="n">
        <x:f>AS131*AX131*AY131</x:f>
        <x:v>248032990.17058283</x:v>
      </x:c>
      <x:c r="BA131" s="40" t="n">
        <x:f>'Python_Trade_Output'!AZ131</x:f>
        <x:v>248032990.17058283</x:v>
      </x:c>
      <x:c r="BB131" s="43" t="n">
        <x:f>AZ131-BA131</x:f>
        <x:v>0</x:v>
      </x:c>
    </x:row>
    <x:row r="132">
      <x:c r="A132" s="27" t="str">
        <x:f>'Inputs_Trades'!D132</x:f>
        <x:v>IND-000129</x:v>
      </x:c>
      <x:c r="B132" s="27" t="str">
        <x:f>'Inputs_Trades'!B132</x:f>
        <x:v>IND_ASSET_MANAGER_001</x:v>
      </x:c>
      <x:c r="C132" s="27" t="n">
        <x:f>'Inputs_Trades'!C132</x:f>
        <x:v>3050</x:v>
      </x:c>
      <x:c r="D132" s="27" t="str">
        <x:f>'Inputs_Trades'!E132</x:f>
        <x:v>Cross Currency Swap</x:v>
      </x:c>
      <x:c r="E132" s="27" t="str">
        <x:f>'Inputs_Trades'!F132</x:f>
        <x:v>Interest Rate</x:v>
      </x:c>
      <x:c r="F132" s="27" t="n">
        <x:f>'Inputs_Trades'!G132</x:f>
        <x:v>0</x:v>
      </x:c>
      <x:c r="G132" s="27" t="str">
        <x:f>'Inputs_Trades'!J132</x:f>
        <x:v>USD</x:v>
      </x:c>
      <x:c r="H132" s="27" t="str">
        <x:f>'Inputs_Trades'!H132</x:f>
        <x:v>USD</x:v>
      </x:c>
      <x:c r="I132" s="27" t="str">
        <x:f>'Inputs_Trades'!I132</x:f>
        <x:v>CNY</x:v>
      </x:c>
      <x:c r="J132" s="27" t="str">
        <x:f>'Inputs_Trades'!M132</x:f>
        <x:v>USD/CNY</x:v>
      </x:c>
      <x:c r="K132" s="27" t="n">
        <x:f>'Inputs_Trades'!N132</x:f>
        <x:v>0</x:v>
      </x:c>
      <x:c r="L132" s="27" t="n">
        <x:f>'Inputs_Trades'!O132</x:f>
        <x:v>0</x:v>
      </x:c>
      <x:c r="M132" s="39" t="n">
        <x:f>'Inputs_Trades'!A132</x:f>
        <x:v>45702</x:v>
      </x:c>
      <x:c r="N132" s="39" t="n">
        <x:f>'Inputs_Trades'!P132</x:f>
        <x:v>47213</x:v>
      </x:c>
      <x:c r="O132" s="39" t="n">
        <x:f>'Inputs_Trades'!Q132</x:f>
        <x:v>45296</x:v>
      </x:c>
      <x:c r="P132" s="39" t="n">
        <x:f>'Inputs_Trades'!R132</x:f>
        <x:v>47213</x:v>
      </x:c>
      <x:c r="Q132" s="40" t="n">
        <x:f>'Inputs_Trades'!U132</x:f>
        <x:v>893000000</x:v>
      </x:c>
      <x:c r="R132" s="40" t="n">
        <x:f>'Inputs_Trades'!S132</x:f>
        <x:v>893000000</x:v>
      </x:c>
      <x:c r="S132" s="40" t="n">
        <x:f>'Inputs_Trades'!T132</x:f>
        <x:v>6378571428.57</x:v>
      </x:c>
      <x:c r="T132" s="27" t="str">
        <x:f>'Inputs_Trades'!V132</x:f>
        <x:v>M</x:v>
      </x:c>
      <x:c r="U132" s="27" t="str">
        <x:f>'Inputs_Trades'!W132</x:f>
        <x:v>N</x:v>
      </x:c>
      <x:c r="V132" s="27" t="n">
        <x:f>'Inputs_Trades'!X132</x:f>
        <x:v>10</x:v>
      </x:c>
      <x:c r="W132" s="27" t="str">
        <x:f>'Inputs_Trades'!Y132</x:f>
        <x:v>S</x:v>
      </x:c>
      <x:c r="X132" s="27" t="n">
        <x:f>'Inputs_Trades'!AA132</x:f>
        <x:v>0</x:v>
      </x:c>
      <x:c r="Y132" s="27" t="n">
        <x:f>'Inputs_Trades'!AB132</x:f>
        <x:v>0</x:v>
      </x:c>
      <x:c r="Z132" s="27" t="n">
        <x:f>'Inputs_Trades'!AC132</x:f>
        <x:v>0</x:v>
      </x:c>
      <x:c r="AA132" s="39" t="n">
        <x:f>'Inputs_Trades'!Z132</x:f>
        <x:v>0</x:v>
      </x:c>
      <x:c r="AB132" s="40" t="n">
        <x:f>'Inputs_Trades'!AD132</x:f>
        <x:v>3450552</x:v>
      </x:c>
      <x:c r="AC132" s="27" t="n">
        <x:f>'Inputs_Trades'!K132</x:f>
        <x:v>0</x:v>
      </x:c>
      <x:c r="AD132" s="27" t="n">
        <x:f>N132-M132</x:f>
        <x:v>1511</x:v>
      </x:c>
      <x:c r="AE132" s="41" t="n">
        <x:f>AD132/365</x:f>
        <x:v>4.13972602739726</x:v>
      </x:c>
      <x:c r="AF132" s="27" t="str">
        <x:f>IF(AE132&lt;1,"&lt;1Y",IF(AE132&lt;=5,"1Y-5Y","&gt;5Y"))</x:f>
        <x:v>1Y-5Y</x:v>
      </x:c>
      <x:c r="AG132" s="27" t="str">
        <x:f>IF(E132="Commodity",IFERROR(VLOOKUP(F132,Parameters!$P$4:$Q$12,2,FALSE),"Other"),"")</x:f>
      </x:c>
      <x:c r="AH132" s="27" t="str">
        <x:f>IF(F132="","Unknown",F132)</x:f>
        <x:v>Unknown</x:v>
      </x:c>
      <x:c r="AI132" s="27" t="str">
        <x:f>IF(E132="Interest Rate",G132&amp;IF(OR(LOWER(AC132)="basis",LOWER(AC132)="volatility"),"_"&amp;AC132,""),IF(E132="FX",IF(H132&lt;I132,H132&amp;"/"&amp;I132,I132&amp;"/"&amp;H132)&amp;IF(OR(LOWER(AC132)="basis",LOWER(AC132)="volatility"),"_"&amp;AC132,""),IF(OR(E132="Credit",E132="Equity"),J132&amp;IF(OR(LOWER(AC132)="basis",LOWER(AC132)="volatility"),"_"&amp;AC132,""),IF(E132="Commodity",AG132&amp;IF(OR(LOWER(AC132)="basis",LOWER(AC132)="volatility"),"_"&amp;AC132,""),"UNKNOWN"))))</x:f>
        <x:v>USD</x:v>
      </x:c>
      <x:c r="AJ132" s="27" t="str">
        <x:f>T132</x:f>
        <x:v>M</x:v>
      </x:c>
      <x:c r="AK132" s="41" t="n">
        <x:f>IF(E132="Interest Rate",VLOOKUP("Interest Rate",Parameters!$D$4:$E$12,2,FALSE),IF(E132="FX",VLOOKUP("FX",Parameters!$D$4:$E$12,2,FALSE),IF(E132="Credit",IFERROR(VLOOKUP(L132,Parameters!$G$4:$H$12,2,FALSE),VLOOKUP("BBB",Parameters!$G$4:$H$12,2,FALSE)),IF(E132="Equity",VLOOKUP(IF(LOWER(K132)="index","Equity Index","Equity Single Name"),Parameters!$D$4:$E$12,2,FALSE),IF(E132="Commodity",VLOOKUP(IFERROR(VLOOKUP(F132,Parameters!$S$4:$T$12,2,FALSE),"Commodity Other"),Parameters!$D$4:$E$12,2,FALSE),0)))))</x:f>
        <x:v>0.005</x:v>
      </x:c>
      <x:c r="AL132" s="42" t="n">
        <x:f>IF(LOWER(AC132)="basis",Parameters!$B$8,IF(LOWER(AC132)="volatility",Parameters!$B$9,1))</x:f>
        <x:v>1</x:v>
      </x:c>
      <x:c r="AM132" s="41" t="n">
        <x:f>AK132*AL132</x:f>
        <x:v>0.005</x:v>
      </x:c>
      <x:c r="AN132" s="42" t="str">
        <x:f>IF(E132="Credit",VLOOKUP(IF(LOWER(K132)="index","Credit Index","Credit Single Name"),Parameters!$J$4:$K$8,2,FALSE),IF(E132="Equity",VLOOKUP(IF(LOWER(K132)="index","Equity Index","Equity Single Name"),Parameters!$J$4:$K$8,2,FALSE),IF(E132="Commodity",VLOOKUP("Commodity",Parameters!$J$4:$K$8,2,FALSE),"")))</x:f>
      </x:c>
      <x:c r="AO132" s="27" t="n">
        <x:f>MAX((O132-M132)/365,0)</x:f>
        <x:v>0</x:v>
      </x:c>
      <x:c r="AP132" s="27" t="n">
        <x:f>MAX((P132-M132)/365,10/Parameters!$B$6)</x:f>
        <x:v>4.13972602739726</x:v>
      </x:c>
      <x:c r="AQ132" s="27" t="n">
        <x:f>IF(AP132&lt;=AO132,AO132+10/Parameters!$B$6,AP132)</x:f>
        <x:v>4.13972602739726</x:v>
      </x:c>
      <x:c r="AR132" s="41" t="n">
        <x:f>IF(OR(E132="Interest Rate",E132="Credit"),(EXP(-Parameters!$B$7*AO132)-EXP(-Parameters!$B$7*AQ132))/Parameters!$B$7,1)</x:f>
        <x:v>3.739384253613336</x:v>
      </x:c>
      <x:c r="AS132" s="40" t="n">
        <x:f>IF(OR(E132="Interest Rate",E132="Credit"),ABS(Q132)*AR132,IF(E132="FX",IF(Q132&gt;0,Q132,MAX(ABS(R132),ABS(S132),ABS(Q132))),ABS(Q132)))</x:f>
        <x:v>3339270138.476709</x:v>
      </x:c>
      <x:c r="AT132" s="42" t="n">
        <x:f>IF(OR(E132="Interest Rate",E132="FX"),VLOOKUP(E132,Parameters!$M$4:$N$11,2,FALSE),IF(E132="Credit",VLOOKUP(IF(LOWER(K132)="index","Credit Index","Credit Single Name"),Parameters!$M$4:$N$11,2,FALSE),IF(E132="Equity",VLOOKUP(IF(LOWER(K132)="index","Equity Index","Equity Single Name"),Parameters!$M$4:$N$11,2,FALSE),IF(E132="Commodity",VLOOKUP(IF(F132="Electricity","Commodity Electricity","Commodity Other"),Parameters!$M$4:$N$11,2,FALSE),1))))</x:f>
        <x:v>0.5</x:v>
      </x:c>
      <x:c r="AU132" s="27" t="n">
        <x:f>IF(W132="B",1,-1)</x:f>
        <x:v>-1</x:v>
      </x:c>
      <x:c r="AV132" s="27" t="n">
        <x:f>IF(OR(AA132="",M132=""),MAX(AE132,1/365),MAX((AA132-M132)/365,1/365))</x:f>
        <x:v>4.13972602739726</x:v>
      </x:c>
      <x:c r="AW132" s="41" t="str">
        <x:f>IF(OR(Z132&lt;=0,Y132&lt;=0,AT132&lt;=0,AV132&lt;=0),"",(LN(Z132/Y132)+0.5*AT132^2*AV132)/(AT132*SQRT(AV132)))</x:f>
      </x:c>
      <x:c r="AX132" s="41" t="n">
        <x:f>IF(AND(X132&lt;&gt;"C",X132&lt;&gt;"P"),AU132,IF(AW132="",AU132,IF(X132="C",AU132*0.5*(1+ERF(AW132/SQRT(2))),-AU132*0.5*(1+ERF(-AW132/SQRT(2))))))</x:f>
        <x:v>-1</x:v>
      </x:c>
      <x:c r="AY132" s="41" t="n">
        <x:f>IF(AJ132="M",1.5*SQRT(MAX(IF(U132="Y",5,10),IF(V132="",10,V132))/Parameters!$B$6),SQRT(MIN(MAX(AE132,10/Parameters!$B$6),1)))</x:f>
        <x:v>0.30000000000000004</x:v>
      </x:c>
      <x:c r="AZ132" s="40" t="n">
        <x:f>AS132*AX132*AY132</x:f>
        <x:v>-1001781041.5430129</x:v>
      </x:c>
      <x:c r="BA132" s="40" t="n">
        <x:f>'Python_Trade_Output'!AZ132</x:f>
        <x:v>-1001781041.5430129</x:v>
      </x:c>
      <x:c r="BB132" s="43" t="n">
        <x:f>AZ132-BA132</x:f>
        <x:v>0</x:v>
      </x:c>
    </x:row>
    <x:row r="133">
      <x:c r="A133" s="27" t="str">
        <x:f>'Inputs_Trades'!D133</x:f>
        <x:v>IND-000130</x:v>
      </x:c>
      <x:c r="B133" s="27" t="str">
        <x:f>'Inputs_Trades'!B133</x:f>
        <x:v>IND_ASSET_MANAGER_001</x:v>
      </x:c>
      <x:c r="C133" s="27" t="n">
        <x:f>'Inputs_Trades'!C133</x:f>
        <x:v>3050</x:v>
      </x:c>
      <x:c r="D133" s="27" t="str">
        <x:f>'Inputs_Trades'!E133</x:f>
        <x:v>Cross Currency Swap</x:v>
      </x:c>
      <x:c r="E133" s="27" t="str">
        <x:f>'Inputs_Trades'!F133</x:f>
        <x:v>Interest Rate</x:v>
      </x:c>
      <x:c r="F133" s="27" t="n">
        <x:f>'Inputs_Trades'!G133</x:f>
        <x:v>0</x:v>
      </x:c>
      <x:c r="G133" s="27" t="str">
        <x:f>'Inputs_Trades'!J133</x:f>
        <x:v>USD</x:v>
      </x:c>
      <x:c r="H133" s="27" t="str">
        <x:f>'Inputs_Trades'!H133</x:f>
        <x:v>USD</x:v>
      </x:c>
      <x:c r="I133" s="27" t="str">
        <x:f>'Inputs_Trades'!I133</x:f>
        <x:v>CNY</x:v>
      </x:c>
      <x:c r="J133" s="27" t="str">
        <x:f>'Inputs_Trades'!M133</x:f>
        <x:v>USD/CNY</x:v>
      </x:c>
      <x:c r="K133" s="27" t="n">
        <x:f>'Inputs_Trades'!N133</x:f>
        <x:v>0</x:v>
      </x:c>
      <x:c r="L133" s="27" t="n">
        <x:f>'Inputs_Trades'!O133</x:f>
        <x:v>0</x:v>
      </x:c>
      <x:c r="M133" s="39" t="n">
        <x:f>'Inputs_Trades'!A133</x:f>
        <x:v>45702</x:v>
      </x:c>
      <x:c r="N133" s="39" t="n">
        <x:f>'Inputs_Trades'!P133</x:f>
        <x:v>47454</x:v>
      </x:c>
      <x:c r="O133" s="39" t="n">
        <x:f>'Inputs_Trades'!Q133</x:f>
        <x:v>45607</x:v>
      </x:c>
      <x:c r="P133" s="39" t="n">
        <x:f>'Inputs_Trades'!R133</x:f>
        <x:v>47454</x:v>
      </x:c>
      <x:c r="Q133" s="40" t="n">
        <x:f>'Inputs_Trades'!U133</x:f>
        <x:v>32900000</x:v>
      </x:c>
      <x:c r="R133" s="40" t="n">
        <x:f>'Inputs_Trades'!S133</x:f>
        <x:v>32900000</x:v>
      </x:c>
      <x:c r="S133" s="40" t="n">
        <x:f>'Inputs_Trades'!T133</x:f>
        <x:v>235000000</x:v>
      </x:c>
      <x:c r="T133" s="27" t="str">
        <x:f>'Inputs_Trades'!V133</x:f>
        <x:v>M</x:v>
      </x:c>
      <x:c r="U133" s="27" t="str">
        <x:f>'Inputs_Trades'!W133</x:f>
        <x:v>N</x:v>
      </x:c>
      <x:c r="V133" s="27" t="n">
        <x:f>'Inputs_Trades'!X133</x:f>
        <x:v>10</x:v>
      </x:c>
      <x:c r="W133" s="27" t="str">
        <x:f>'Inputs_Trades'!Y133</x:f>
        <x:v>B</x:v>
      </x:c>
      <x:c r="X133" s="27" t="n">
        <x:f>'Inputs_Trades'!AA133</x:f>
        <x:v>0</x:v>
      </x:c>
      <x:c r="Y133" s="27" t="n">
        <x:f>'Inputs_Trades'!AB133</x:f>
        <x:v>0</x:v>
      </x:c>
      <x:c r="Z133" s="27" t="n">
        <x:f>'Inputs_Trades'!AC133</x:f>
        <x:v>0</x:v>
      </x:c>
      <x:c r="AA133" s="39" t="n">
        <x:f>'Inputs_Trades'!Z133</x:f>
        <x:v>0</x:v>
      </x:c>
      <x:c r="AB133" s="40" t="n">
        <x:f>'Inputs_Trades'!AD133</x:f>
        <x:v>-31584</x:v>
      </x:c>
      <x:c r="AC133" s="27" t="n">
        <x:f>'Inputs_Trades'!K133</x:f>
        <x:v>0</x:v>
      </x:c>
      <x:c r="AD133" s="27" t="n">
        <x:f>N133-M133</x:f>
        <x:v>1752</x:v>
      </x:c>
      <x:c r="AE133" s="41" t="n">
        <x:f>AD133/365</x:f>
        <x:v>4.8</x:v>
      </x:c>
      <x:c r="AF133" s="27" t="str">
        <x:f>IF(AE133&lt;1,"&lt;1Y",IF(AE133&lt;=5,"1Y-5Y","&gt;5Y"))</x:f>
        <x:v>1Y-5Y</x:v>
      </x:c>
      <x:c r="AG133" s="27" t="str">
        <x:f>IF(E133="Commodity",IFERROR(VLOOKUP(F133,Parameters!$P$4:$Q$12,2,FALSE),"Other"),"")</x:f>
      </x:c>
      <x:c r="AH133" s="27" t="str">
        <x:f>IF(F133="","Unknown",F133)</x:f>
        <x:v>Unknown</x:v>
      </x:c>
      <x:c r="AI133" s="27" t="str">
        <x:f>IF(E133="Interest Rate",G133&amp;IF(OR(LOWER(AC133)="basis",LOWER(AC133)="volatility"),"_"&amp;AC133,""),IF(E133="FX",IF(H133&lt;I133,H133&amp;"/"&amp;I133,I133&amp;"/"&amp;H133)&amp;IF(OR(LOWER(AC133)="basis",LOWER(AC133)="volatility"),"_"&amp;AC133,""),IF(OR(E133="Credit",E133="Equity"),J133&amp;IF(OR(LOWER(AC133)="basis",LOWER(AC133)="volatility"),"_"&amp;AC133,""),IF(E133="Commodity",AG133&amp;IF(OR(LOWER(AC133)="basis",LOWER(AC133)="volatility"),"_"&amp;AC133,""),"UNKNOWN"))))</x:f>
        <x:v>USD</x:v>
      </x:c>
      <x:c r="AJ133" s="27" t="str">
        <x:f>T133</x:f>
        <x:v>M</x:v>
      </x:c>
      <x:c r="AK133" s="41" t="n">
        <x:f>IF(E133="Interest Rate",VLOOKUP("Interest Rate",Parameters!$D$4:$E$12,2,FALSE),IF(E133="FX",VLOOKUP("FX",Parameters!$D$4:$E$12,2,FALSE),IF(E133="Credit",IFERROR(VLOOKUP(L133,Parameters!$G$4:$H$12,2,FALSE),VLOOKUP("BBB",Parameters!$G$4:$H$12,2,FALSE)),IF(E133="Equity",VLOOKUP(IF(LOWER(K133)="index","Equity Index","Equity Single Name"),Parameters!$D$4:$E$12,2,FALSE),IF(E133="Commodity",VLOOKUP(IFERROR(VLOOKUP(F133,Parameters!$S$4:$T$12,2,FALSE),"Commodity Other"),Parameters!$D$4:$E$12,2,FALSE),0)))))</x:f>
        <x:v>0.005</x:v>
      </x:c>
      <x:c r="AL133" s="42" t="n">
        <x:f>IF(LOWER(AC133)="basis",Parameters!$B$8,IF(LOWER(AC133)="volatility",Parameters!$B$9,1))</x:f>
        <x:v>1</x:v>
      </x:c>
      <x:c r="AM133" s="41" t="n">
        <x:f>AK133*AL133</x:f>
        <x:v>0.005</x:v>
      </x:c>
      <x:c r="AN133" s="42" t="str">
        <x:f>IF(E133="Credit",VLOOKUP(IF(LOWER(K133)="index","Credit Index","Credit Single Name"),Parameters!$J$4:$K$8,2,FALSE),IF(E133="Equity",VLOOKUP(IF(LOWER(K133)="index","Equity Index","Equity Single Name"),Parameters!$J$4:$K$8,2,FALSE),IF(E133="Commodity",VLOOKUP("Commodity",Parameters!$J$4:$K$8,2,FALSE),"")))</x:f>
      </x:c>
      <x:c r="AO133" s="27" t="n">
        <x:f>MAX((O133-M133)/365,0)</x:f>
        <x:v>0</x:v>
      </x:c>
      <x:c r="AP133" s="27" t="n">
        <x:f>MAX((P133-M133)/365,10/Parameters!$B$6)</x:f>
        <x:v>4.8</x:v>
      </x:c>
      <x:c r="AQ133" s="27" t="n">
        <x:f>IF(AP133&lt;=AO133,AO133+10/Parameters!$B$6,AP133)</x:f>
        <x:v>4.8</x:v>
      </x:c>
      <x:c r="AR133" s="41" t="n">
        <x:f>IF(OR(E133="Interest Rate",E133="Credit"),(EXP(-Parameters!$B$7*AO133)-EXP(-Parameters!$B$7*AQ133))/Parameters!$B$7,1)</x:f>
        <x:v>4.267442778668933</x:v>
      </x:c>
      <x:c r="AS133" s="40" t="n">
        <x:f>IF(OR(E133="Interest Rate",E133="Credit"),ABS(Q133)*AR133,IF(E133="FX",IF(Q133&gt;0,Q133,MAX(ABS(R133),ABS(S133),ABS(Q133))),ABS(Q133)))</x:f>
        <x:v>140398867.41820788</x:v>
      </x:c>
      <x:c r="AT133" s="42" t="n">
        <x:f>IF(OR(E133="Interest Rate",E133="FX"),VLOOKUP(E133,Parameters!$M$4:$N$11,2,FALSE),IF(E133="Credit",VLOOKUP(IF(LOWER(K133)="index","Credit Index","Credit Single Name"),Parameters!$M$4:$N$11,2,FALSE),IF(E133="Equity",VLOOKUP(IF(LOWER(K133)="index","Equity Index","Equity Single Name"),Parameters!$M$4:$N$11,2,FALSE),IF(E133="Commodity",VLOOKUP(IF(F133="Electricity","Commodity Electricity","Commodity Other"),Parameters!$M$4:$N$11,2,FALSE),1))))</x:f>
        <x:v>0.5</x:v>
      </x:c>
      <x:c r="AU133" s="27" t="n">
        <x:f>IF(W133="B",1,-1)</x:f>
        <x:v>1</x:v>
      </x:c>
      <x:c r="AV133" s="27" t="n">
        <x:f>IF(OR(AA133="",M133=""),MAX(AE133,1/365),MAX((AA133-M133)/365,1/365))</x:f>
        <x:v>4.8</x:v>
      </x:c>
      <x:c r="AW133" s="41" t="str">
        <x:f>IF(OR(Z133&lt;=0,Y133&lt;=0,AT133&lt;=0,AV133&lt;=0),"",(LN(Z133/Y133)+0.5*AT133^2*AV133)/(AT133*SQRT(AV133)))</x:f>
      </x:c>
      <x:c r="AX133" s="41" t="n">
        <x:f>IF(AND(X133&lt;&gt;"C",X133&lt;&gt;"P"),AU133,IF(AW133="",AU133,IF(X133="C",AU133*0.5*(1+ERF(AW133/SQRT(2))),-AU133*0.5*(1+ERF(-AW133/SQRT(2))))))</x:f>
        <x:v>1</x:v>
      </x:c>
      <x:c r="AY133" s="41" t="n">
        <x:f>IF(AJ133="M",1.5*SQRT(MAX(IF(U133="Y",5,10),IF(V133="",10,V133))/Parameters!$B$6),SQRT(MIN(MAX(AE133,10/Parameters!$B$6),1)))</x:f>
        <x:v>0.30000000000000004</x:v>
      </x:c>
      <x:c r="AZ133" s="40" t="n">
        <x:f>AS133*AX133*AY133</x:f>
        <x:v>42119660.22546237</x:v>
      </x:c>
      <x:c r="BA133" s="40" t="n">
        <x:f>'Python_Trade_Output'!AZ133</x:f>
        <x:v>42119660.22546235</x:v>
      </x:c>
      <x:c r="BB133" s="43" t="n">
        <x:f>AZ133-BA133</x:f>
        <x:v>2.2351741790771484e-8</x:v>
      </x:c>
    </x:row>
    <x:row r="134">
      <x:c r="A134" s="27" t="str">
        <x:f>'Inputs_Trades'!D134</x:f>
        <x:v>IND-000131</x:v>
      </x:c>
      <x:c r="B134" s="27" t="str">
        <x:f>'Inputs_Trades'!B134</x:f>
        <x:v>IND_BROKER_001</x:v>
      </x:c>
      <x:c r="C134" s="27" t="n">
        <x:f>'Inputs_Trades'!C134</x:f>
        <x:v>3332</x:v>
      </x:c>
      <x:c r="D134" s="27" t="str">
        <x:f>'Inputs_Trades'!E134</x:f>
        <x:v>Cross Currency Swap</x:v>
      </x:c>
      <x:c r="E134" s="27" t="str">
        <x:f>'Inputs_Trades'!F134</x:f>
        <x:v>Interest Rate</x:v>
      </x:c>
      <x:c r="F134" s="27" t="n">
        <x:f>'Inputs_Trades'!G134</x:f>
        <x:v>0</x:v>
      </x:c>
      <x:c r="G134" s="27" t="str">
        <x:f>'Inputs_Trades'!J134</x:f>
        <x:v>USD</x:v>
      </x:c>
      <x:c r="H134" s="27" t="str">
        <x:f>'Inputs_Trades'!H134</x:f>
        <x:v>USD</x:v>
      </x:c>
      <x:c r="I134" s="27" t="str">
        <x:f>'Inputs_Trades'!I134</x:f>
        <x:v>JPY</x:v>
      </x:c>
      <x:c r="J134" s="27" t="str">
        <x:f>'Inputs_Trades'!M134</x:f>
        <x:v>USD/JPY</x:v>
      </x:c>
      <x:c r="K134" s="27" t="n">
        <x:f>'Inputs_Trades'!N134</x:f>
        <x:v>0</x:v>
      </x:c>
      <x:c r="L134" s="27" t="n">
        <x:f>'Inputs_Trades'!O134</x:f>
        <x:v>0</x:v>
      </x:c>
      <x:c r="M134" s="39" t="n">
        <x:f>'Inputs_Trades'!A134</x:f>
        <x:v>45702</x:v>
      </x:c>
      <x:c r="N134" s="39" t="n">
        <x:f>'Inputs_Trades'!P134</x:f>
        <x:v>46093</x:v>
      </x:c>
      <x:c r="O134" s="39" t="n">
        <x:f>'Inputs_Trades'!Q134</x:f>
        <x:v>45645</x:v>
      </x:c>
      <x:c r="P134" s="39" t="n">
        <x:f>'Inputs_Trades'!R134</x:f>
        <x:v>46093</x:v>
      </x:c>
      <x:c r="Q134" s="40" t="n">
        <x:f>'Inputs_Trades'!U134</x:f>
        <x:v>72900000</x:v>
      </x:c>
      <x:c r="R134" s="40" t="n">
        <x:f>'Inputs_Trades'!S134</x:f>
        <x:v>72900000</x:v>
      </x:c>
      <x:c r="S134" s="40" t="n">
        <x:f>'Inputs_Trades'!T134</x:f>
        <x:v>10880597014.93</x:v>
      </x:c>
      <x:c r="T134" s="27" t="str">
        <x:f>'Inputs_Trades'!V134</x:f>
        <x:v>M</x:v>
      </x:c>
      <x:c r="U134" s="27" t="str">
        <x:f>'Inputs_Trades'!W134</x:f>
        <x:v>N</x:v>
      </x:c>
      <x:c r="V134" s="27" t="n">
        <x:f>'Inputs_Trades'!X134</x:f>
        <x:v>10</x:v>
      </x:c>
      <x:c r="W134" s="27" t="str">
        <x:f>'Inputs_Trades'!Y134</x:f>
        <x:v>S</x:v>
      </x:c>
      <x:c r="X134" s="27" t="n">
        <x:f>'Inputs_Trades'!AA134</x:f>
        <x:v>0</x:v>
      </x:c>
      <x:c r="Y134" s="27" t="n">
        <x:f>'Inputs_Trades'!AB134</x:f>
        <x:v>0</x:v>
      </x:c>
      <x:c r="Z134" s="27" t="n">
        <x:f>'Inputs_Trades'!AC134</x:f>
        <x:v>0</x:v>
      </x:c>
      <x:c r="AA134" s="39" t="n">
        <x:f>'Inputs_Trades'!Z134</x:f>
        <x:v>0</x:v>
      </x:c>
      <x:c r="AB134" s="40" t="n">
        <x:f>'Inputs_Trades'!AD134</x:f>
        <x:v>-339859.8</x:v>
      </x:c>
      <x:c r="AC134" s="27" t="n">
        <x:f>'Inputs_Trades'!K134</x:f>
        <x:v>0</x:v>
      </x:c>
      <x:c r="AD134" s="27" t="n">
        <x:f>N134-M134</x:f>
        <x:v>391</x:v>
      </x:c>
      <x:c r="AE134" s="41" t="n">
        <x:f>AD134/365</x:f>
        <x:v>1.0712328767123287</x:v>
      </x:c>
      <x:c r="AF134" s="27" t="str">
        <x:f>IF(AE134&lt;1,"&lt;1Y",IF(AE134&lt;=5,"1Y-5Y","&gt;5Y"))</x:f>
        <x:v>1Y-5Y</x:v>
      </x:c>
      <x:c r="AG134" s="27" t="str">
        <x:f>IF(E134="Commodity",IFERROR(VLOOKUP(F134,Parameters!$P$4:$Q$12,2,FALSE),"Other"),"")</x:f>
      </x:c>
      <x:c r="AH134" s="27" t="str">
        <x:f>IF(F134="","Unknown",F134)</x:f>
        <x:v>Unknown</x:v>
      </x:c>
      <x:c r="AI134" s="27" t="str">
        <x:f>IF(E134="Interest Rate",G134&amp;IF(OR(LOWER(AC134)="basis",LOWER(AC134)="volatility"),"_"&amp;AC134,""),IF(E134="FX",IF(H134&lt;I134,H134&amp;"/"&amp;I134,I134&amp;"/"&amp;H134)&amp;IF(OR(LOWER(AC134)="basis",LOWER(AC134)="volatility"),"_"&amp;AC134,""),IF(OR(E134="Credit",E134="Equity"),J134&amp;IF(OR(LOWER(AC134)="basis",LOWER(AC134)="volatility"),"_"&amp;AC134,""),IF(E134="Commodity",AG134&amp;IF(OR(LOWER(AC134)="basis",LOWER(AC134)="volatility"),"_"&amp;AC134,""),"UNKNOWN"))))</x:f>
        <x:v>USD</x:v>
      </x:c>
      <x:c r="AJ134" s="27" t="str">
        <x:f>T134</x:f>
        <x:v>M</x:v>
      </x:c>
      <x:c r="AK134" s="41" t="n">
        <x:f>IF(E134="Interest Rate",VLOOKUP("Interest Rate",Parameters!$D$4:$E$12,2,FALSE),IF(E134="FX",VLOOKUP("FX",Parameters!$D$4:$E$12,2,FALSE),IF(E134="Credit",IFERROR(VLOOKUP(L134,Parameters!$G$4:$H$12,2,FALSE),VLOOKUP("BBB",Parameters!$G$4:$H$12,2,FALSE)),IF(E134="Equity",VLOOKUP(IF(LOWER(K134)="index","Equity Index","Equity Single Name"),Parameters!$D$4:$E$12,2,FALSE),IF(E134="Commodity",VLOOKUP(IFERROR(VLOOKUP(F134,Parameters!$S$4:$T$12,2,FALSE),"Commodity Other"),Parameters!$D$4:$E$12,2,FALSE),0)))))</x:f>
        <x:v>0.005</x:v>
      </x:c>
      <x:c r="AL134" s="42" t="n">
        <x:f>IF(LOWER(AC134)="basis",Parameters!$B$8,IF(LOWER(AC134)="volatility",Parameters!$B$9,1))</x:f>
        <x:v>1</x:v>
      </x:c>
      <x:c r="AM134" s="41" t="n">
        <x:f>AK134*AL134</x:f>
        <x:v>0.005</x:v>
      </x:c>
      <x:c r="AN134" s="42" t="str">
        <x:f>IF(E134="Credit",VLOOKUP(IF(LOWER(K134)="index","Credit Index","Credit Single Name"),Parameters!$J$4:$K$8,2,FALSE),IF(E134="Equity",VLOOKUP(IF(LOWER(K134)="index","Equity Index","Equity Single Name"),Parameters!$J$4:$K$8,2,FALSE),IF(E134="Commodity",VLOOKUP("Commodity",Parameters!$J$4:$K$8,2,FALSE),"")))</x:f>
      </x:c>
      <x:c r="AO134" s="27" t="n">
        <x:f>MAX((O134-M134)/365,0)</x:f>
        <x:v>0</x:v>
      </x:c>
      <x:c r="AP134" s="27" t="n">
        <x:f>MAX((P134-M134)/365,10/Parameters!$B$6)</x:f>
        <x:v>1.0712328767123287</x:v>
      </x:c>
      <x:c r="AQ134" s="27" t="n">
        <x:f>IF(AP134&lt;=AO134,AO134+10/Parameters!$B$6,AP134)</x:f>
        <x:v>1.0712328767123287</x:v>
      </x:c>
      <x:c r="AR134" s="41" t="n">
        <x:f>IF(OR(E134="Interest Rate",E134="Credit"),(EXP(-Parameters!$B$7*AO134)-EXP(-Parameters!$B$7*AQ134))/Parameters!$B$7,1)</x:f>
        <x:v>1.04304979506475</x:v>
      </x:c>
      <x:c r="AS134" s="40" t="n">
        <x:f>IF(OR(E134="Interest Rate",E134="Credit"),ABS(Q134)*AR134,IF(E134="FX",IF(Q134&gt;0,Q134,MAX(ABS(R134),ABS(S134),ABS(Q134))),ABS(Q134)))</x:f>
        <x:v>76038330.06022027</x:v>
      </x:c>
      <x:c r="AT134" s="42" t="n">
        <x:f>IF(OR(E134="Interest Rate",E134="FX"),VLOOKUP(E134,Parameters!$M$4:$N$11,2,FALSE),IF(E134="Credit",VLOOKUP(IF(LOWER(K134)="index","Credit Index","Credit Single Name"),Parameters!$M$4:$N$11,2,FALSE),IF(E134="Equity",VLOOKUP(IF(LOWER(K134)="index","Equity Index","Equity Single Name"),Parameters!$M$4:$N$11,2,FALSE),IF(E134="Commodity",VLOOKUP(IF(F134="Electricity","Commodity Electricity","Commodity Other"),Parameters!$M$4:$N$11,2,FALSE),1))))</x:f>
        <x:v>0.5</x:v>
      </x:c>
      <x:c r="AU134" s="27" t="n">
        <x:f>IF(W134="B",1,-1)</x:f>
        <x:v>-1</x:v>
      </x:c>
      <x:c r="AV134" s="27" t="n">
        <x:f>IF(OR(AA134="",M134=""),MAX(AE134,1/365),MAX((AA134-M134)/365,1/365))</x:f>
        <x:v>1.0712328767123287</x:v>
      </x:c>
      <x:c r="AW134" s="41" t="str">
        <x:f>IF(OR(Z134&lt;=0,Y134&lt;=0,AT134&lt;=0,AV134&lt;=0),"",(LN(Z134/Y134)+0.5*AT134^2*AV134)/(AT134*SQRT(AV134)))</x:f>
      </x:c>
      <x:c r="AX134" s="41" t="n">
        <x:f>IF(AND(X134&lt;&gt;"C",X134&lt;&gt;"P"),AU134,IF(AW134="",AU134,IF(X134="C",AU134*0.5*(1+ERF(AW134/SQRT(2))),-AU134*0.5*(1+ERF(-AW134/SQRT(2))))))</x:f>
        <x:v>-1</x:v>
      </x:c>
      <x:c r="AY134" s="41" t="n">
        <x:f>IF(AJ134="M",1.5*SQRT(MAX(IF(U134="Y",5,10),IF(V134="",10,V134))/Parameters!$B$6),SQRT(MIN(MAX(AE134,10/Parameters!$B$6),1)))</x:f>
        <x:v>0.30000000000000004</x:v>
      </x:c>
      <x:c r="AZ134" s="40" t="n">
        <x:f>AS134*AX134*AY134</x:f>
        <x:v>-22811499.018066086</x:v>
      </x:c>
      <x:c r="BA134" s="40" t="n">
        <x:f>'Python_Trade_Output'!AZ134</x:f>
        <x:v>-22811499.018066037</x:v>
      </x:c>
      <x:c r="BB134" s="43" t="n">
        <x:f>AZ134-BA134</x:f>
        <x:v>-4.842877388000488e-8</x:v>
      </x:c>
    </x:row>
    <x:row r="135">
      <x:c r="A135" s="27" t="str">
        <x:f>'Inputs_Trades'!D135</x:f>
        <x:v>IND-000132</x:v>
      </x:c>
      <x:c r="B135" s="27" t="str">
        <x:f>'Inputs_Trades'!B135</x:f>
        <x:v>IND_REGIONAL_BANK_001</x:v>
      </x:c>
      <x:c r="C135" s="27" t="n">
        <x:f>'Inputs_Trades'!C135</x:f>
        <x:v>3315</x:v>
      </x:c>
      <x:c r="D135" s="27" t="str">
        <x:f>'Inputs_Trades'!E135</x:f>
        <x:v>Cross Currency Swap</x:v>
      </x:c>
      <x:c r="E135" s="27" t="str">
        <x:f>'Inputs_Trades'!F135</x:f>
        <x:v>Interest Rate</x:v>
      </x:c>
      <x:c r="F135" s="27" t="n">
        <x:f>'Inputs_Trades'!G135</x:f>
        <x:v>0</x:v>
      </x:c>
      <x:c r="G135" s="27" t="str">
        <x:f>'Inputs_Trades'!J135</x:f>
        <x:v>USD</x:v>
      </x:c>
      <x:c r="H135" s="27" t="str">
        <x:f>'Inputs_Trades'!H135</x:f>
        <x:v>USD</x:v>
      </x:c>
      <x:c r="I135" s="27" t="str">
        <x:f>'Inputs_Trades'!I135</x:f>
        <x:v>JPY</x:v>
      </x:c>
      <x:c r="J135" s="27" t="str">
        <x:f>'Inputs_Trades'!M135</x:f>
        <x:v>USD/JPY</x:v>
      </x:c>
      <x:c r="K135" s="27" t="n">
        <x:f>'Inputs_Trades'!N135</x:f>
        <x:v>0</x:v>
      </x:c>
      <x:c r="L135" s="27" t="n">
        <x:f>'Inputs_Trades'!O135</x:f>
        <x:v>0</x:v>
      </x:c>
      <x:c r="M135" s="39" t="n">
        <x:f>'Inputs_Trades'!A135</x:f>
        <x:v>45702</x:v>
      </x:c>
      <x:c r="N135" s="39" t="n">
        <x:f>'Inputs_Trades'!P135</x:f>
        <x:v>49024</x:v>
      </x:c>
      <x:c r="O135" s="39" t="n">
        <x:f>'Inputs_Trades'!Q135</x:f>
        <x:v>45228</x:v>
      </x:c>
      <x:c r="P135" s="39" t="n">
        <x:f>'Inputs_Trades'!R135</x:f>
        <x:v>49024</x:v>
      </x:c>
      <x:c r="Q135" s="40" t="n">
        <x:f>'Inputs_Trades'!U135</x:f>
        <x:v>222000000</x:v>
      </x:c>
      <x:c r="R135" s="40" t="n">
        <x:f>'Inputs_Trades'!S135</x:f>
        <x:v>222000000</x:v>
      </x:c>
      <x:c r="S135" s="40" t="n">
        <x:f>'Inputs_Trades'!T135</x:f>
        <x:v>33134328358.21</x:v>
      </x:c>
      <x:c r="T135" s="27" t="str">
        <x:f>'Inputs_Trades'!V135</x:f>
        <x:v>M</x:v>
      </x:c>
      <x:c r="U135" s="27" t="str">
        <x:f>'Inputs_Trades'!W135</x:f>
        <x:v>N</x:v>
      </x:c>
      <x:c r="V135" s="27" t="n">
        <x:f>'Inputs_Trades'!X135</x:f>
        <x:v>10</x:v>
      </x:c>
      <x:c r="W135" s="27" t="str">
        <x:f>'Inputs_Trades'!Y135</x:f>
        <x:v>B</x:v>
      </x:c>
      <x:c r="X135" s="27" t="n">
        <x:f>'Inputs_Trades'!AA135</x:f>
        <x:v>0</x:v>
      </x:c>
      <x:c r="Y135" s="27" t="n">
        <x:f>'Inputs_Trades'!AB135</x:f>
        <x:v>0</x:v>
      </x:c>
      <x:c r="Z135" s="27" t="n">
        <x:f>'Inputs_Trades'!AC135</x:f>
        <x:v>0</x:v>
      </x:c>
      <x:c r="AA135" s="39" t="n">
        <x:f>'Inputs_Trades'!Z135</x:f>
        <x:v>0</x:v>
      </x:c>
      <x:c r="AB135" s="40" t="n">
        <x:f>'Inputs_Trades'!AD135</x:f>
        <x:v>712620</x:v>
      </x:c>
      <x:c r="AC135" s="27" t="n">
        <x:f>'Inputs_Trades'!K135</x:f>
        <x:v>0</x:v>
      </x:c>
      <x:c r="AD135" s="27" t="n">
        <x:f>N135-M135</x:f>
        <x:v>3322</x:v>
      </x:c>
      <x:c r="AE135" s="41" t="n">
        <x:f>AD135/365</x:f>
        <x:v>9.101369863013698</x:v>
      </x:c>
      <x:c r="AF135" s="27" t="str">
        <x:f>IF(AE135&lt;1,"&lt;1Y",IF(AE135&lt;=5,"1Y-5Y","&gt;5Y"))</x:f>
        <x:v>&gt;5Y</x:v>
      </x:c>
      <x:c r="AG135" s="27" t="str">
        <x:f>IF(E135="Commodity",IFERROR(VLOOKUP(F135,Parameters!$P$4:$Q$12,2,FALSE),"Other"),"")</x:f>
      </x:c>
      <x:c r="AH135" s="27" t="str">
        <x:f>IF(F135="","Unknown",F135)</x:f>
        <x:v>Unknown</x:v>
      </x:c>
      <x:c r="AI135" s="27" t="str">
        <x:f>IF(E135="Interest Rate",G135&amp;IF(OR(LOWER(AC135)="basis",LOWER(AC135)="volatility"),"_"&amp;AC135,""),IF(E135="FX",IF(H135&lt;I135,H135&amp;"/"&amp;I135,I135&amp;"/"&amp;H135)&amp;IF(OR(LOWER(AC135)="basis",LOWER(AC135)="volatility"),"_"&amp;AC135,""),IF(OR(E135="Credit",E135="Equity"),J135&amp;IF(OR(LOWER(AC135)="basis",LOWER(AC135)="volatility"),"_"&amp;AC135,""),IF(E135="Commodity",AG135&amp;IF(OR(LOWER(AC135)="basis",LOWER(AC135)="volatility"),"_"&amp;AC135,""),"UNKNOWN"))))</x:f>
        <x:v>USD</x:v>
      </x:c>
      <x:c r="AJ135" s="27" t="str">
        <x:f>T135</x:f>
        <x:v>M</x:v>
      </x:c>
      <x:c r="AK135" s="41" t="n">
        <x:f>IF(E135="Interest Rate",VLOOKUP("Interest Rate",Parameters!$D$4:$E$12,2,FALSE),IF(E135="FX",VLOOKUP("FX",Parameters!$D$4:$E$12,2,FALSE),IF(E135="Credit",IFERROR(VLOOKUP(L135,Parameters!$G$4:$H$12,2,FALSE),VLOOKUP("BBB",Parameters!$G$4:$H$12,2,FALSE)),IF(E135="Equity",VLOOKUP(IF(LOWER(K135)="index","Equity Index","Equity Single Name"),Parameters!$D$4:$E$12,2,FALSE),IF(E135="Commodity",VLOOKUP(IFERROR(VLOOKUP(F135,Parameters!$S$4:$T$12,2,FALSE),"Commodity Other"),Parameters!$D$4:$E$12,2,FALSE),0)))))</x:f>
        <x:v>0.005</x:v>
      </x:c>
      <x:c r="AL135" s="42" t="n">
        <x:f>IF(LOWER(AC135)="basis",Parameters!$B$8,IF(LOWER(AC135)="volatility",Parameters!$B$9,1))</x:f>
        <x:v>1</x:v>
      </x:c>
      <x:c r="AM135" s="41" t="n">
        <x:f>AK135*AL135</x:f>
        <x:v>0.005</x:v>
      </x:c>
      <x:c r="AN135" s="42" t="str">
        <x:f>IF(E135="Credit",VLOOKUP(IF(LOWER(K135)="index","Credit Index","Credit Single Name"),Parameters!$J$4:$K$8,2,FALSE),IF(E135="Equity",VLOOKUP(IF(LOWER(K135)="index","Equity Index","Equity Single Name"),Parameters!$J$4:$K$8,2,FALSE),IF(E135="Commodity",VLOOKUP("Commodity",Parameters!$J$4:$K$8,2,FALSE),"")))</x:f>
      </x:c>
      <x:c r="AO135" s="27" t="n">
        <x:f>MAX((O135-M135)/365,0)</x:f>
        <x:v>0</x:v>
      </x:c>
      <x:c r="AP135" s="27" t="n">
        <x:f>MAX((P135-M135)/365,10/Parameters!$B$6)</x:f>
        <x:v>9.101369863013698</x:v>
      </x:c>
      <x:c r="AQ135" s="27" t="n">
        <x:f>IF(AP135&lt;=AO135,AO135+10/Parameters!$B$6,AP135)</x:f>
        <x:v>9.101369863013698</x:v>
      </x:c>
      <x:c r="AR135" s="41" t="n">
        <x:f>IF(OR(E135="Interest Rate",E135="Credit"),(EXP(-Parameters!$B$7*AO135)-EXP(-Parameters!$B$7*AQ135))/Parameters!$B$7,1)</x:f>
        <x:v>7.311909718077594</x:v>
      </x:c>
      <x:c r="AS135" s="40" t="n">
        <x:f>IF(OR(E135="Interest Rate",E135="Credit"),ABS(Q135)*AR135,IF(E135="FX",IF(Q135&gt;0,Q135,MAX(ABS(R135),ABS(S135),ABS(Q135))),ABS(Q135)))</x:f>
        <x:v>1623243957.413226</x:v>
      </x:c>
      <x:c r="AT135" s="42" t="n">
        <x:f>IF(OR(E135="Interest Rate",E135="FX"),VLOOKUP(E135,Parameters!$M$4:$N$11,2,FALSE),IF(E135="Credit",VLOOKUP(IF(LOWER(K135)="index","Credit Index","Credit Single Name"),Parameters!$M$4:$N$11,2,FALSE),IF(E135="Equity",VLOOKUP(IF(LOWER(K135)="index","Equity Index","Equity Single Name"),Parameters!$M$4:$N$11,2,FALSE),IF(E135="Commodity",VLOOKUP(IF(F135="Electricity","Commodity Electricity","Commodity Other"),Parameters!$M$4:$N$11,2,FALSE),1))))</x:f>
        <x:v>0.5</x:v>
      </x:c>
      <x:c r="AU135" s="27" t="n">
        <x:f>IF(W135="B",1,-1)</x:f>
        <x:v>1</x:v>
      </x:c>
      <x:c r="AV135" s="27" t="n">
        <x:f>IF(OR(AA135="",M135=""),MAX(AE135,1/365),MAX((AA135-M135)/365,1/365))</x:f>
        <x:v>9.101369863013698</x:v>
      </x:c>
      <x:c r="AW135" s="41" t="str">
        <x:f>IF(OR(Z135&lt;=0,Y135&lt;=0,AT135&lt;=0,AV135&lt;=0),"",(LN(Z135/Y135)+0.5*AT135^2*AV135)/(AT135*SQRT(AV135)))</x:f>
      </x:c>
      <x:c r="AX135" s="41" t="n">
        <x:f>IF(AND(X135&lt;&gt;"C",X135&lt;&gt;"P"),AU135,IF(AW135="",AU135,IF(X135="C",AU135*0.5*(1+ERF(AW135/SQRT(2))),-AU135*0.5*(1+ERF(-AW135/SQRT(2))))))</x:f>
        <x:v>1</x:v>
      </x:c>
      <x:c r="AY135" s="41" t="n">
        <x:f>IF(AJ135="M",1.5*SQRT(MAX(IF(U135="Y",5,10),IF(V135="",10,V135))/Parameters!$B$6),SQRT(MIN(MAX(AE135,10/Parameters!$B$6),1)))</x:f>
        <x:v>0.30000000000000004</x:v>
      </x:c>
      <x:c r="AZ135" s="40" t="n">
        <x:f>AS135*AX135*AY135</x:f>
        <x:v>486973187.22396785</x:v>
      </x:c>
      <x:c r="BA135" s="40" t="n">
        <x:f>'Python_Trade_Output'!AZ135</x:f>
        <x:v>486973187.2239676</x:v>
      </x:c>
      <x:c r="BB135" s="43" t="n">
        <x:f>AZ135-BA135</x:f>
        <x:v>2.384185791015625e-7</x:v>
      </x:c>
    </x:row>
    <x:row r="136">
      <x:c r="A136" s="27" t="str">
        <x:f>'Inputs_Trades'!D136</x:f>
        <x:v>IND-000133</x:v>
      </x:c>
      <x:c r="B136" s="27" t="str">
        <x:f>'Inputs_Trades'!B136</x:f>
        <x:v>IND_BANK_002</x:v>
      </x:c>
      <x:c r="C136" s="27" t="n">
        <x:f>'Inputs_Trades'!C136</x:f>
        <x:v>3132</x:v>
      </x:c>
      <x:c r="D136" s="27" t="str">
        <x:f>'Inputs_Trades'!E136</x:f>
        <x:v>Cross Currency Swap</x:v>
      </x:c>
      <x:c r="E136" s="27" t="str">
        <x:f>'Inputs_Trades'!F136</x:f>
        <x:v>Interest Rate</x:v>
      </x:c>
      <x:c r="F136" s="27" t="n">
        <x:f>'Inputs_Trades'!G136</x:f>
        <x:v>0</x:v>
      </x:c>
      <x:c r="G136" s="27" t="str">
        <x:f>'Inputs_Trades'!J136</x:f>
        <x:v>USD</x:v>
      </x:c>
      <x:c r="H136" s="27" t="str">
        <x:f>'Inputs_Trades'!H136</x:f>
        <x:v>EUR</x:v>
      </x:c>
      <x:c r="I136" s="27" t="str">
        <x:f>'Inputs_Trades'!I136</x:f>
        <x:v>USD</x:v>
      </x:c>
      <x:c r="J136" s="27" t="str">
        <x:f>'Inputs_Trades'!M136</x:f>
        <x:v>EUR/USD</x:v>
      </x:c>
      <x:c r="K136" s="27" t="n">
        <x:f>'Inputs_Trades'!N136</x:f>
        <x:v>0</x:v>
      </x:c>
      <x:c r="L136" s="27" t="n">
        <x:f>'Inputs_Trades'!O136</x:f>
        <x:v>0</x:v>
      </x:c>
      <x:c r="M136" s="39" t="n">
        <x:f>'Inputs_Trades'!A136</x:f>
        <x:v>45702</x:v>
      </x:c>
      <x:c r="N136" s="39" t="n">
        <x:f>'Inputs_Trades'!P136</x:f>
        <x:v>46742</x:v>
      </x:c>
      <x:c r="O136" s="39" t="n">
        <x:f>'Inputs_Trades'!Q136</x:f>
        <x:v>45400</x:v>
      </x:c>
      <x:c r="P136" s="39" t="n">
        <x:f>'Inputs_Trades'!R136</x:f>
        <x:v>46742</x:v>
      </x:c>
      <x:c r="Q136" s="40" t="n">
        <x:f>'Inputs_Trades'!U136</x:f>
        <x:v>213000000</x:v>
      </x:c>
      <x:c r="R136" s="40" t="n">
        <x:f>'Inputs_Trades'!S136</x:f>
        <x:v>202857142.86</x:v>
      </x:c>
      <x:c r="S136" s="40" t="n">
        <x:f>'Inputs_Trades'!T136</x:f>
        <x:v>213000000</x:v>
      </x:c>
      <x:c r="T136" s="27" t="str">
        <x:f>'Inputs_Trades'!V136</x:f>
        <x:v>U</x:v>
      </x:c>
      <x:c r="U136" s="27" t="str">
        <x:f>'Inputs_Trades'!W136</x:f>
        <x:v>N</x:v>
      </x:c>
      <x:c r="V136" s="27" t="n">
        <x:f>'Inputs_Trades'!X136</x:f>
        <x:v>0</x:v>
      </x:c>
      <x:c r="W136" s="27" t="str">
        <x:f>'Inputs_Trades'!Y136</x:f>
        <x:v>B</x:v>
      </x:c>
      <x:c r="X136" s="27" t="n">
        <x:f>'Inputs_Trades'!AA136</x:f>
        <x:v>0</x:v>
      </x:c>
      <x:c r="Y136" s="27" t="n">
        <x:f>'Inputs_Trades'!AB136</x:f>
        <x:v>0</x:v>
      </x:c>
      <x:c r="Z136" s="27" t="n">
        <x:f>'Inputs_Trades'!AC136</x:f>
        <x:v>0</x:v>
      </x:c>
      <x:c r="AA136" s="39" t="n">
        <x:f>'Inputs_Trades'!Z136</x:f>
        <x:v>0</x:v>
      </x:c>
      <x:c r="AB136" s="40" t="n">
        <x:f>'Inputs_Trades'!AD136</x:f>
        <x:v>-779580</x:v>
      </x:c>
      <x:c r="AC136" s="27" t="n">
        <x:f>'Inputs_Trades'!K136</x:f>
        <x:v>0</x:v>
      </x:c>
      <x:c r="AD136" s="27" t="n">
        <x:f>N136-M136</x:f>
        <x:v>1040</x:v>
      </x:c>
      <x:c r="AE136" s="41" t="n">
        <x:f>AD136/365</x:f>
        <x:v>2.8493150684931505</x:v>
      </x:c>
      <x:c r="AF136" s="27" t="str">
        <x:f>IF(AE136&lt;1,"&lt;1Y",IF(AE136&lt;=5,"1Y-5Y","&gt;5Y"))</x:f>
        <x:v>1Y-5Y</x:v>
      </x:c>
      <x:c r="AG136" s="27" t="str">
        <x:f>IF(E136="Commodity",IFERROR(VLOOKUP(F136,Parameters!$P$4:$Q$12,2,FALSE),"Other"),"")</x:f>
      </x:c>
      <x:c r="AH136" s="27" t="str">
        <x:f>IF(F136="","Unknown",F136)</x:f>
        <x:v>Unknown</x:v>
      </x:c>
      <x:c r="AI136" s="27" t="str">
        <x:f>IF(E136="Interest Rate",G136&amp;IF(OR(LOWER(AC136)="basis",LOWER(AC136)="volatility"),"_"&amp;AC136,""),IF(E136="FX",IF(H136&lt;I136,H136&amp;"/"&amp;I136,I136&amp;"/"&amp;H136)&amp;IF(OR(LOWER(AC136)="basis",LOWER(AC136)="volatility"),"_"&amp;AC136,""),IF(OR(E136="Credit",E136="Equity"),J136&amp;IF(OR(LOWER(AC136)="basis",LOWER(AC136)="volatility"),"_"&amp;AC136,""),IF(E136="Commodity",AG136&amp;IF(OR(LOWER(AC136)="basis",LOWER(AC136)="volatility"),"_"&amp;AC136,""),"UNKNOWN"))))</x:f>
        <x:v>USD</x:v>
      </x:c>
      <x:c r="AJ136" s="27" t="str">
        <x:f>T136</x:f>
        <x:v>U</x:v>
      </x:c>
      <x:c r="AK136" s="41" t="n">
        <x:f>IF(E136="Interest Rate",VLOOKUP("Interest Rate",Parameters!$D$4:$E$12,2,FALSE),IF(E136="FX",VLOOKUP("FX",Parameters!$D$4:$E$12,2,FALSE),IF(E136="Credit",IFERROR(VLOOKUP(L136,Parameters!$G$4:$H$12,2,FALSE),VLOOKUP("BBB",Parameters!$G$4:$H$12,2,FALSE)),IF(E136="Equity",VLOOKUP(IF(LOWER(K136)="index","Equity Index","Equity Single Name"),Parameters!$D$4:$E$12,2,FALSE),IF(E136="Commodity",VLOOKUP(IFERROR(VLOOKUP(F136,Parameters!$S$4:$T$12,2,FALSE),"Commodity Other"),Parameters!$D$4:$E$12,2,FALSE),0)))))</x:f>
        <x:v>0.005</x:v>
      </x:c>
      <x:c r="AL136" s="42" t="n">
        <x:f>IF(LOWER(AC136)="basis",Parameters!$B$8,IF(LOWER(AC136)="volatility",Parameters!$B$9,1))</x:f>
        <x:v>1</x:v>
      </x:c>
      <x:c r="AM136" s="41" t="n">
        <x:f>AK136*AL136</x:f>
        <x:v>0.005</x:v>
      </x:c>
      <x:c r="AN136" s="42" t="str">
        <x:f>IF(E136="Credit",VLOOKUP(IF(LOWER(K136)="index","Credit Index","Credit Single Name"),Parameters!$J$4:$K$8,2,FALSE),IF(E136="Equity",VLOOKUP(IF(LOWER(K136)="index","Equity Index","Equity Single Name"),Parameters!$J$4:$K$8,2,FALSE),IF(E136="Commodity",VLOOKUP("Commodity",Parameters!$J$4:$K$8,2,FALSE),"")))</x:f>
      </x:c>
      <x:c r="AO136" s="27" t="n">
        <x:f>MAX((O136-M136)/365,0)</x:f>
        <x:v>0</x:v>
      </x:c>
      <x:c r="AP136" s="27" t="n">
        <x:f>MAX((P136-M136)/365,10/Parameters!$B$6)</x:f>
        <x:v>2.8493150684931505</x:v>
      </x:c>
      <x:c r="AQ136" s="27" t="n">
        <x:f>IF(AP136&lt;=AO136,AO136+10/Parameters!$B$6,AP136)</x:f>
        <x:v>2.8493150684931505</x:v>
      </x:c>
      <x:c r="AR136" s="41" t="n">
        <x:f>IF(OR(E136="Interest Rate",E136="Credit"),(EXP(-Parameters!$B$7*AO136)-EXP(-Parameters!$B$7*AQ136))/Parameters!$B$7,1)</x:f>
        <x:v>2.655654939905885</x:v>
      </x:c>
      <x:c r="AS136" s="40" t="n">
        <x:f>IF(OR(E136="Interest Rate",E136="Credit"),ABS(Q136)*AR136,IF(E136="FX",IF(Q136&gt;0,Q136,MAX(ABS(R136),ABS(S136),ABS(Q136))),ABS(Q136)))</x:f>
        <x:v>565654502.1999534</x:v>
      </x:c>
      <x:c r="AT136" s="42" t="n">
        <x:f>IF(OR(E136="Interest Rate",E136="FX"),VLOOKUP(E136,Parameters!$M$4:$N$11,2,FALSE),IF(E136="Credit",VLOOKUP(IF(LOWER(K136)="index","Credit Index","Credit Single Name"),Parameters!$M$4:$N$11,2,FALSE),IF(E136="Equity",VLOOKUP(IF(LOWER(K136)="index","Equity Index","Equity Single Name"),Parameters!$M$4:$N$11,2,FALSE),IF(E136="Commodity",VLOOKUP(IF(F136="Electricity","Commodity Electricity","Commodity Other"),Parameters!$M$4:$N$11,2,FALSE),1))))</x:f>
        <x:v>0.5</x:v>
      </x:c>
      <x:c r="AU136" s="27" t="n">
        <x:f>IF(W136="B",1,-1)</x:f>
        <x:v>1</x:v>
      </x:c>
      <x:c r="AV136" s="27" t="n">
        <x:f>IF(OR(AA136="",M136=""),MAX(AE136,1/365),MAX((AA136-M136)/365,1/365))</x:f>
        <x:v>2.8493150684931505</x:v>
      </x:c>
      <x:c r="AW136" s="41" t="str">
        <x:f>IF(OR(Z136&lt;=0,Y136&lt;=0,AT136&lt;=0,AV136&lt;=0),"",(LN(Z136/Y136)+0.5*AT136^2*AV136)/(AT136*SQRT(AV136)))</x:f>
      </x:c>
      <x:c r="AX136" s="41" t="n">
        <x:f>IF(AND(X136&lt;&gt;"C",X136&lt;&gt;"P"),AU136,IF(AW136="",AU136,IF(X136="C",AU136*0.5*(1+ERF(AW136/SQRT(2))),-AU136*0.5*(1+ERF(-AW136/SQRT(2))))))</x:f>
        <x:v>1</x:v>
      </x:c>
      <x:c r="AY136" s="41" t="n">
        <x:f>IF(AJ136="M",1.5*SQRT(MAX(IF(U136="Y",5,10),IF(V136="",10,V136))/Parameters!$B$6),SQRT(MIN(MAX(AE136,10/Parameters!$B$6),1)))</x:f>
        <x:v>1</x:v>
      </x:c>
      <x:c r="AZ136" s="40" t="n">
        <x:f>AS136*AX136*AY136</x:f>
        <x:v>565654502.1999534</x:v>
      </x:c>
      <x:c r="BA136" s="40" t="n">
        <x:f>'Python_Trade_Output'!AZ136</x:f>
        <x:v>565654502.1999534</x:v>
      </x:c>
      <x:c r="BB136" s="43" t="n">
        <x:f>AZ136-BA136</x:f>
        <x:v>0</x:v>
      </x:c>
    </x:row>
    <x:row r="137">
      <x:c r="A137" s="27" t="str">
        <x:f>'Inputs_Trades'!D137</x:f>
        <x:v>IND-000134</x:v>
      </x:c>
      <x:c r="B137" s="27" t="str">
        <x:f>'Inputs_Trades'!B137</x:f>
        <x:v>IND_HEDGE_FUND_001</x:v>
      </x:c>
      <x:c r="C137" s="27" t="n">
        <x:f>'Inputs_Trades'!C137</x:f>
        <x:v>3345</x:v>
      </x:c>
      <x:c r="D137" s="27" t="str">
        <x:f>'Inputs_Trades'!E137</x:f>
        <x:v>Cross Currency Swap</x:v>
      </x:c>
      <x:c r="E137" s="27" t="str">
        <x:f>'Inputs_Trades'!F137</x:f>
        <x:v>Interest Rate</x:v>
      </x:c>
      <x:c r="F137" s="27" t="n">
        <x:f>'Inputs_Trades'!G137</x:f>
        <x:v>0</x:v>
      </x:c>
      <x:c r="G137" s="27" t="str">
        <x:f>'Inputs_Trades'!J137</x:f>
        <x:v>USD</x:v>
      </x:c>
      <x:c r="H137" s="27" t="str">
        <x:f>'Inputs_Trades'!H137</x:f>
        <x:v>EUR</x:v>
      </x:c>
      <x:c r="I137" s="27" t="str">
        <x:f>'Inputs_Trades'!I137</x:f>
        <x:v>USD</x:v>
      </x:c>
      <x:c r="J137" s="27" t="str">
        <x:f>'Inputs_Trades'!M137</x:f>
        <x:v>EUR/USD</x:v>
      </x:c>
      <x:c r="K137" s="27" t="n">
        <x:f>'Inputs_Trades'!N137</x:f>
        <x:v>0</x:v>
      </x:c>
      <x:c r="L137" s="27" t="n">
        <x:f>'Inputs_Trades'!O137</x:f>
        <x:v>0</x:v>
      </x:c>
      <x:c r="M137" s="39" t="n">
        <x:f>'Inputs_Trades'!A137</x:f>
        <x:v>45702</x:v>
      </x:c>
      <x:c r="N137" s="39" t="n">
        <x:f>'Inputs_Trades'!P137</x:f>
        <x:v>48067</x:v>
      </x:c>
      <x:c r="O137" s="39" t="n">
        <x:f>'Inputs_Trades'!Q137</x:f>
        <x:v>45088</x:v>
      </x:c>
      <x:c r="P137" s="39" t="n">
        <x:f>'Inputs_Trades'!R137</x:f>
        <x:v>48067</x:v>
      </x:c>
      <x:c r="Q137" s="40" t="n">
        <x:f>'Inputs_Trades'!U137</x:f>
        <x:v>160000000</x:v>
      </x:c>
      <x:c r="R137" s="40" t="n">
        <x:f>'Inputs_Trades'!S137</x:f>
        <x:v>152380952.38</x:v>
      </x:c>
      <x:c r="S137" s="40" t="n">
        <x:f>'Inputs_Trades'!T137</x:f>
        <x:v>160000000</x:v>
      </x:c>
      <x:c r="T137" s="27" t="str">
        <x:f>'Inputs_Trades'!V137</x:f>
        <x:v>M</x:v>
      </x:c>
      <x:c r="U137" s="27" t="str">
        <x:f>'Inputs_Trades'!W137</x:f>
        <x:v>N</x:v>
      </x:c>
      <x:c r="V137" s="27" t="n">
        <x:f>'Inputs_Trades'!X137</x:f>
        <x:v>10</x:v>
      </x:c>
      <x:c r="W137" s="27" t="str">
        <x:f>'Inputs_Trades'!Y137</x:f>
        <x:v>S</x:v>
      </x:c>
      <x:c r="X137" s="27" t="n">
        <x:f>'Inputs_Trades'!AA137</x:f>
        <x:v>0</x:v>
      </x:c>
      <x:c r="Y137" s="27" t="n">
        <x:f>'Inputs_Trades'!AB137</x:f>
        <x:v>0</x:v>
      </x:c>
      <x:c r="Z137" s="27" t="n">
        <x:f>'Inputs_Trades'!AC137</x:f>
        <x:v>0</x:v>
      </x:c>
      <x:c r="AA137" s="39" t="n">
        <x:f>'Inputs_Trades'!Z137</x:f>
        <x:v>0</x:v>
      </x:c>
      <x:c r="AB137" s="40" t="n">
        <x:f>'Inputs_Trades'!AD137</x:f>
        <x:v>1920</x:v>
      </x:c>
      <x:c r="AC137" s="27" t="n">
        <x:f>'Inputs_Trades'!K137</x:f>
        <x:v>0</x:v>
      </x:c>
      <x:c r="AD137" s="27" t="n">
        <x:f>N137-M137</x:f>
        <x:v>2365</x:v>
      </x:c>
      <x:c r="AE137" s="41" t="n">
        <x:f>AD137/365</x:f>
        <x:v>6.47945205479452</x:v>
      </x:c>
      <x:c r="AF137" s="27" t="str">
        <x:f>IF(AE137&lt;1,"&lt;1Y",IF(AE137&lt;=5,"1Y-5Y","&gt;5Y"))</x:f>
        <x:v>&gt;5Y</x:v>
      </x:c>
      <x:c r="AG137" s="27" t="str">
        <x:f>IF(E137="Commodity",IFERROR(VLOOKUP(F137,Parameters!$P$4:$Q$12,2,FALSE),"Other"),"")</x:f>
      </x:c>
      <x:c r="AH137" s="27" t="str">
        <x:f>IF(F137="","Unknown",F137)</x:f>
        <x:v>Unknown</x:v>
      </x:c>
      <x:c r="AI137" s="27" t="str">
        <x:f>IF(E137="Interest Rate",G137&amp;IF(OR(LOWER(AC137)="basis",LOWER(AC137)="volatility"),"_"&amp;AC137,""),IF(E137="FX",IF(H137&lt;I137,H137&amp;"/"&amp;I137,I137&amp;"/"&amp;H137)&amp;IF(OR(LOWER(AC137)="basis",LOWER(AC137)="volatility"),"_"&amp;AC137,""),IF(OR(E137="Credit",E137="Equity"),J137&amp;IF(OR(LOWER(AC137)="basis",LOWER(AC137)="volatility"),"_"&amp;AC137,""),IF(E137="Commodity",AG137&amp;IF(OR(LOWER(AC137)="basis",LOWER(AC137)="volatility"),"_"&amp;AC137,""),"UNKNOWN"))))</x:f>
        <x:v>USD</x:v>
      </x:c>
      <x:c r="AJ137" s="27" t="str">
        <x:f>T137</x:f>
        <x:v>M</x:v>
      </x:c>
      <x:c r="AK137" s="41" t="n">
        <x:f>IF(E137="Interest Rate",VLOOKUP("Interest Rate",Parameters!$D$4:$E$12,2,FALSE),IF(E137="FX",VLOOKUP("FX",Parameters!$D$4:$E$12,2,FALSE),IF(E137="Credit",IFERROR(VLOOKUP(L137,Parameters!$G$4:$H$12,2,FALSE),VLOOKUP("BBB",Parameters!$G$4:$H$12,2,FALSE)),IF(E137="Equity",VLOOKUP(IF(LOWER(K137)="index","Equity Index","Equity Single Name"),Parameters!$D$4:$E$12,2,FALSE),IF(E137="Commodity",VLOOKUP(IFERROR(VLOOKUP(F137,Parameters!$S$4:$T$12,2,FALSE),"Commodity Other"),Parameters!$D$4:$E$12,2,FALSE),0)))))</x:f>
        <x:v>0.005</x:v>
      </x:c>
      <x:c r="AL137" s="42" t="n">
        <x:f>IF(LOWER(AC137)="basis",Parameters!$B$8,IF(LOWER(AC137)="volatility",Parameters!$B$9,1))</x:f>
        <x:v>1</x:v>
      </x:c>
      <x:c r="AM137" s="41" t="n">
        <x:f>AK137*AL137</x:f>
        <x:v>0.005</x:v>
      </x:c>
      <x:c r="AN137" s="42" t="str">
        <x:f>IF(E137="Credit",VLOOKUP(IF(LOWER(K137)="index","Credit Index","Credit Single Name"),Parameters!$J$4:$K$8,2,FALSE),IF(E137="Equity",VLOOKUP(IF(LOWER(K137)="index","Equity Index","Equity Single Name"),Parameters!$J$4:$K$8,2,FALSE),IF(E137="Commodity",VLOOKUP("Commodity",Parameters!$J$4:$K$8,2,FALSE),"")))</x:f>
      </x:c>
      <x:c r="AO137" s="27" t="n">
        <x:f>MAX((O137-M137)/365,0)</x:f>
        <x:v>0</x:v>
      </x:c>
      <x:c r="AP137" s="27" t="n">
        <x:f>MAX((P137-M137)/365,10/Parameters!$B$6)</x:f>
        <x:v>6.47945205479452</x:v>
      </x:c>
      <x:c r="AQ137" s="27" t="n">
        <x:f>IF(AP137&lt;=AO137,AO137+10/Parameters!$B$6,AP137)</x:f>
        <x:v>6.47945205479452</x:v>
      </x:c>
      <x:c r="AR137" s="41" t="n">
        <x:f>IF(OR(E137="Interest Rate",E137="Credit"),(EXP(-Parameters!$B$7*AO137)-EXP(-Parameters!$B$7*AQ137))/Parameters!$B$7,1)</x:f>
        <x:v>5.534598845471641</x:v>
      </x:c>
      <x:c r="AS137" s="40" t="n">
        <x:f>IF(OR(E137="Interest Rate",E137="Credit"),ABS(Q137)*AR137,IF(E137="FX",IF(Q137&gt;0,Q137,MAX(ABS(R137),ABS(S137),ABS(Q137))),ABS(Q137)))</x:f>
        <x:v>885535815.2754625</x:v>
      </x:c>
      <x:c r="AT137" s="42" t="n">
        <x:f>IF(OR(E137="Interest Rate",E137="FX"),VLOOKUP(E137,Parameters!$M$4:$N$11,2,FALSE),IF(E137="Credit",VLOOKUP(IF(LOWER(K137)="index","Credit Index","Credit Single Name"),Parameters!$M$4:$N$11,2,FALSE),IF(E137="Equity",VLOOKUP(IF(LOWER(K137)="index","Equity Index","Equity Single Name"),Parameters!$M$4:$N$11,2,FALSE),IF(E137="Commodity",VLOOKUP(IF(F137="Electricity","Commodity Electricity","Commodity Other"),Parameters!$M$4:$N$11,2,FALSE),1))))</x:f>
        <x:v>0.5</x:v>
      </x:c>
      <x:c r="AU137" s="27" t="n">
        <x:f>IF(W137="B",1,-1)</x:f>
        <x:v>-1</x:v>
      </x:c>
      <x:c r="AV137" s="27" t="n">
        <x:f>IF(OR(AA137="",M137=""),MAX(AE137,1/365),MAX((AA137-M137)/365,1/365))</x:f>
        <x:v>6.47945205479452</x:v>
      </x:c>
      <x:c r="AW137" s="41" t="str">
        <x:f>IF(OR(Z137&lt;=0,Y137&lt;=0,AT137&lt;=0,AV137&lt;=0),"",(LN(Z137/Y137)+0.5*AT137^2*AV137)/(AT137*SQRT(AV137)))</x:f>
      </x:c>
      <x:c r="AX137" s="41" t="n">
        <x:f>IF(AND(X137&lt;&gt;"C",X137&lt;&gt;"P"),AU137,IF(AW137="",AU137,IF(X137="C",AU137*0.5*(1+ERF(AW137/SQRT(2))),-AU137*0.5*(1+ERF(-AW137/SQRT(2))))))</x:f>
        <x:v>-1</x:v>
      </x:c>
      <x:c r="AY137" s="41" t="n">
        <x:f>IF(AJ137="M",1.5*SQRT(MAX(IF(U137="Y",5,10),IF(V137="",10,V137))/Parameters!$B$6),SQRT(MIN(MAX(AE137,10/Parameters!$B$6),1)))</x:f>
        <x:v>0.30000000000000004</x:v>
      </x:c>
      <x:c r="AZ137" s="40" t="n">
        <x:f>AS137*AX137*AY137</x:f>
        <x:v>-265660744.5826388</x:v>
      </x:c>
      <x:c r="BA137" s="40" t="n">
        <x:f>'Python_Trade_Output'!AZ137</x:f>
        <x:v>-265660744.5826388</x:v>
      </x:c>
      <x:c r="BB137" s="43" t="n">
        <x:f>AZ137-BA137</x:f>
        <x:v>0</x:v>
      </x:c>
    </x:row>
    <x:row r="138">
      <x:c r="A138" s="27" t="str">
        <x:f>'Inputs_Trades'!D138</x:f>
        <x:v>IND-000135</x:v>
      </x:c>
      <x:c r="B138" s="27" t="str">
        <x:f>'Inputs_Trades'!B138</x:f>
        <x:v>IND_SOVEREIGN_001</x:v>
      </x:c>
      <x:c r="C138" s="27" t="n">
        <x:f>'Inputs_Trades'!C138</x:f>
        <x:v>3065</x:v>
      </x:c>
      <x:c r="D138" s="27" t="str">
        <x:f>'Inputs_Trades'!E138</x:f>
        <x:v>Interest Rate FRA</x:v>
      </x:c>
      <x:c r="E138" s="27" t="str">
        <x:f>'Inputs_Trades'!F138</x:f>
        <x:v>Interest Rate</x:v>
      </x:c>
      <x:c r="F138" s="27" t="n">
        <x:f>'Inputs_Trades'!G138</x:f>
        <x:v>0</x:v>
      </x:c>
      <x:c r="G138" s="27" t="str">
        <x:f>'Inputs_Trades'!J138</x:f>
        <x:v>EUR</x:v>
      </x:c>
      <x:c r="H138" s="27" t="str">
        <x:f>'Inputs_Trades'!H138</x:f>
        <x:v>EUR</x:v>
      </x:c>
      <x:c r="I138" s="27" t="str">
        <x:f>'Inputs_Trades'!I138</x:f>
        <x:v>EUR</x:v>
      </x:c>
      <x:c r="J138" s="27" t="str">
        <x:f>'Inputs_Trades'!M138</x:f>
        <x:v>EUR</x:v>
      </x:c>
      <x:c r="K138" s="27" t="n">
        <x:f>'Inputs_Trades'!N138</x:f>
        <x:v>0</x:v>
      </x:c>
      <x:c r="L138" s="27" t="n">
        <x:f>'Inputs_Trades'!O138</x:f>
        <x:v>0</x:v>
      </x:c>
      <x:c r="M138" s="39" t="n">
        <x:f>'Inputs_Trades'!A138</x:f>
        <x:v>45702</x:v>
      </x:c>
      <x:c r="N138" s="39" t="n">
        <x:f>'Inputs_Trades'!P138</x:f>
        <x:v>46060</x:v>
      </x:c>
      <x:c r="O138" s="39" t="n">
        <x:f>'Inputs_Trades'!Q138</x:f>
        <x:v>45567</x:v>
      </x:c>
      <x:c r="P138" s="39" t="n">
        <x:f>'Inputs_Trades'!R138</x:f>
        <x:v>46060</x:v>
      </x:c>
      <x:c r="Q138" s="40" t="n">
        <x:f>'Inputs_Trades'!U138</x:f>
        <x:v>17400000</x:v>
      </x:c>
      <x:c r="R138" s="40" t="n">
        <x:f>'Inputs_Trades'!S138</x:f>
        <x:v>16571428.57</x:v>
      </x:c>
      <x:c r="S138" s="40" t="n">
        <x:f>'Inputs_Trades'!T138</x:f>
        <x:v>16571428.57</x:v>
      </x:c>
      <x:c r="T138" s="27" t="str">
        <x:f>'Inputs_Trades'!V138</x:f>
        <x:v>U</x:v>
      </x:c>
      <x:c r="U138" s="27" t="str">
        <x:f>'Inputs_Trades'!W138</x:f>
        <x:v>N</x:v>
      </x:c>
      <x:c r="V138" s="27" t="n">
        <x:f>'Inputs_Trades'!X138</x:f>
        <x:v>0</x:v>
      </x:c>
      <x:c r="W138" s="27" t="str">
        <x:f>'Inputs_Trades'!Y138</x:f>
        <x:v>B</x:v>
      </x:c>
      <x:c r="X138" s="27" t="n">
        <x:f>'Inputs_Trades'!AA138</x:f>
        <x:v>0</x:v>
      </x:c>
      <x:c r="Y138" s="27" t="n">
        <x:f>'Inputs_Trades'!AB138</x:f>
        <x:v>0</x:v>
      </x:c>
      <x:c r="Z138" s="27" t="n">
        <x:f>'Inputs_Trades'!AC138</x:f>
        <x:v>0</x:v>
      </x:c>
      <x:c r="AA138" s="39" t="n">
        <x:f>'Inputs_Trades'!Z138</x:f>
        <x:v>0</x:v>
      </x:c>
      <x:c r="AB138" s="40" t="n">
        <x:f>'Inputs_Trades'!AD138</x:f>
        <x:v>87800.4</x:v>
      </x:c>
      <x:c r="AC138" s="27" t="n">
        <x:f>'Inputs_Trades'!K138</x:f>
        <x:v>0</x:v>
      </x:c>
      <x:c r="AD138" s="27" t="n">
        <x:f>N138-M138</x:f>
        <x:v>358</x:v>
      </x:c>
      <x:c r="AE138" s="41" t="n">
        <x:f>AD138/365</x:f>
        <x:v>0.9808219178082191</x:v>
      </x:c>
      <x:c r="AF138" s="27" t="str">
        <x:f>IF(AE138&lt;1,"&lt;1Y",IF(AE138&lt;=5,"1Y-5Y","&gt;5Y"))</x:f>
        <x:v>&lt;1Y</x:v>
      </x:c>
      <x:c r="AG138" s="27" t="str">
        <x:f>IF(E138="Commodity",IFERROR(VLOOKUP(F138,Parameters!$P$4:$Q$12,2,FALSE),"Other"),"")</x:f>
      </x:c>
      <x:c r="AH138" s="27" t="str">
        <x:f>IF(F138="","Unknown",F138)</x:f>
        <x:v>Unknown</x:v>
      </x:c>
      <x:c r="AI138" s="27" t="str">
        <x:f>IF(E138="Interest Rate",G138&amp;IF(OR(LOWER(AC138)="basis",LOWER(AC138)="volatility"),"_"&amp;AC138,""),IF(E138="FX",IF(H138&lt;I138,H138&amp;"/"&amp;I138,I138&amp;"/"&amp;H138)&amp;IF(OR(LOWER(AC138)="basis",LOWER(AC138)="volatility"),"_"&amp;AC138,""),IF(OR(E138="Credit",E138="Equity"),J138&amp;IF(OR(LOWER(AC138)="basis",LOWER(AC138)="volatility"),"_"&amp;AC138,""),IF(E138="Commodity",AG138&amp;IF(OR(LOWER(AC138)="basis",LOWER(AC138)="volatility"),"_"&amp;AC138,""),"UNKNOWN"))))</x:f>
        <x:v>EUR</x:v>
      </x:c>
      <x:c r="AJ138" s="27" t="str">
        <x:f>T138</x:f>
        <x:v>U</x:v>
      </x:c>
      <x:c r="AK138" s="41" t="n">
        <x:f>IF(E138="Interest Rate",VLOOKUP("Interest Rate",Parameters!$D$4:$E$12,2,FALSE),IF(E138="FX",VLOOKUP("FX",Parameters!$D$4:$E$12,2,FALSE),IF(E138="Credit",IFERROR(VLOOKUP(L138,Parameters!$G$4:$H$12,2,FALSE),VLOOKUP("BBB",Parameters!$G$4:$H$12,2,FALSE)),IF(E138="Equity",VLOOKUP(IF(LOWER(K138)="index","Equity Index","Equity Single Name"),Parameters!$D$4:$E$12,2,FALSE),IF(E138="Commodity",VLOOKUP(IFERROR(VLOOKUP(F138,Parameters!$S$4:$T$12,2,FALSE),"Commodity Other"),Parameters!$D$4:$E$12,2,FALSE),0)))))</x:f>
        <x:v>0.005</x:v>
      </x:c>
      <x:c r="AL138" s="42" t="n">
        <x:f>IF(LOWER(AC138)="basis",Parameters!$B$8,IF(LOWER(AC138)="volatility",Parameters!$B$9,1))</x:f>
        <x:v>1</x:v>
      </x:c>
      <x:c r="AM138" s="41" t="n">
        <x:f>AK138*AL138</x:f>
        <x:v>0.005</x:v>
      </x:c>
      <x:c r="AN138" s="42" t="str">
        <x:f>IF(E138="Credit",VLOOKUP(IF(LOWER(K138)="index","Credit Index","Credit Single Name"),Parameters!$J$4:$K$8,2,FALSE),IF(E138="Equity",VLOOKUP(IF(LOWER(K138)="index","Equity Index","Equity Single Name"),Parameters!$J$4:$K$8,2,FALSE),IF(E138="Commodity",VLOOKUP("Commodity",Parameters!$J$4:$K$8,2,FALSE),"")))</x:f>
      </x:c>
      <x:c r="AO138" s="27" t="n">
        <x:f>MAX((O138-M138)/365,0)</x:f>
        <x:v>0</x:v>
      </x:c>
      <x:c r="AP138" s="27" t="n">
        <x:f>MAX((P138-M138)/365,10/Parameters!$B$6)</x:f>
        <x:v>0.9808219178082191</x:v>
      </x:c>
      <x:c r="AQ138" s="27" t="n">
        <x:f>IF(AP138&lt;=AO138,AO138+10/Parameters!$B$6,AP138)</x:f>
        <x:v>0.9808219178082191</x:v>
      </x:c>
      <x:c r="AR138" s="41" t="n">
        <x:f>IF(OR(E138="Interest Rate",E138="Credit"),(EXP(-Parameters!$B$7*AO138)-EXP(-Parameters!$B$7*AQ138))/Parameters!$B$7,1)</x:f>
        <x:v>0.9571600045761497</x:v>
      </x:c>
      <x:c r="AS138" s="40" t="n">
        <x:f>IF(OR(E138="Interest Rate",E138="Credit"),ABS(Q138)*AR138,IF(E138="FX",IF(Q138&gt;0,Q138,MAX(ABS(R138),ABS(S138),ABS(Q138))),ABS(Q138)))</x:f>
        <x:v>16654584.079625005</x:v>
      </x:c>
      <x:c r="AT138" s="42" t="n">
        <x:f>IF(OR(E138="Interest Rate",E138="FX"),VLOOKUP(E138,Parameters!$M$4:$N$11,2,FALSE),IF(E138="Credit",VLOOKUP(IF(LOWER(K138)="index","Credit Index","Credit Single Name"),Parameters!$M$4:$N$11,2,FALSE),IF(E138="Equity",VLOOKUP(IF(LOWER(K138)="index","Equity Index","Equity Single Name"),Parameters!$M$4:$N$11,2,FALSE),IF(E138="Commodity",VLOOKUP(IF(F138="Electricity","Commodity Electricity","Commodity Other"),Parameters!$M$4:$N$11,2,FALSE),1))))</x:f>
        <x:v>0.5</x:v>
      </x:c>
      <x:c r="AU138" s="27" t="n">
        <x:f>IF(W138="B",1,-1)</x:f>
        <x:v>1</x:v>
      </x:c>
      <x:c r="AV138" s="27" t="n">
        <x:f>IF(OR(AA138="",M138=""),MAX(AE138,1/365),MAX((AA138-M138)/365,1/365))</x:f>
        <x:v>0.9808219178082191</x:v>
      </x:c>
      <x:c r="AW138" s="41" t="str">
        <x:f>IF(OR(Z138&lt;=0,Y138&lt;=0,AT138&lt;=0,AV138&lt;=0),"",(LN(Z138/Y138)+0.5*AT138^2*AV138)/(AT138*SQRT(AV138)))</x:f>
      </x:c>
      <x:c r="AX138" s="41" t="n">
        <x:f>IF(AND(X138&lt;&gt;"C",X138&lt;&gt;"P"),AU138,IF(AW138="",AU138,IF(X138="C",AU138*0.5*(1+ERF(AW138/SQRT(2))),-AU138*0.5*(1+ERF(-AW138/SQRT(2))))))</x:f>
        <x:v>1</x:v>
      </x:c>
      <x:c r="AY138" s="41" t="n">
        <x:f>IF(AJ138="M",1.5*SQRT(MAX(IF(U138="Y",5,10),IF(V138="",10,V138))/Parameters!$B$6),SQRT(MIN(MAX(AE138,10/Parameters!$B$6),1)))</x:f>
        <x:v>0.9903645378385775</x:v>
      </x:c>
      <x:c r="AZ138" s="40" t="n">
        <x:f>AS138*AX138*AY138</x:f>
        <x:v>16494109.464911548</x:v>
      </x:c>
      <x:c r="BA138" s="40" t="n">
        <x:f>'Python_Trade_Output'!AZ138</x:f>
        <x:v>16494109.464911548</x:v>
      </x:c>
      <x:c r="BB138" s="43" t="n">
        <x:f>AZ138-BA138</x:f>
        <x:v>0</x:v>
      </x:c>
    </x:row>
    <x:row r="139">
      <x:c r="A139" s="27" t="str">
        <x:f>'Inputs_Trades'!D139</x:f>
        <x:v>IND-000136</x:v>
      </x:c>
      <x:c r="B139" s="27" t="str">
        <x:f>'Inputs_Trades'!B139</x:f>
        <x:v>IND_BANK_002</x:v>
      </x:c>
      <x:c r="C139" s="27" t="n">
        <x:f>'Inputs_Trades'!C139</x:f>
        <x:v>3132</x:v>
      </x:c>
      <x:c r="D139" s="27" t="str">
        <x:f>'Inputs_Trades'!E139</x:f>
        <x:v>Interest Rate FRA</x:v>
      </x:c>
      <x:c r="E139" s="27" t="str">
        <x:f>'Inputs_Trades'!F139</x:f>
        <x:v>Interest Rate</x:v>
      </x:c>
      <x:c r="F139" s="27" t="n">
        <x:f>'Inputs_Trades'!G139</x:f>
        <x:v>0</x:v>
      </x:c>
      <x:c r="G139" s="27" t="str">
        <x:f>'Inputs_Trades'!J139</x:f>
        <x:v>USD</x:v>
      </x:c>
      <x:c r="H139" s="27" t="str">
        <x:f>'Inputs_Trades'!H139</x:f>
        <x:v>USD</x:v>
      </x:c>
      <x:c r="I139" s="27" t="str">
        <x:f>'Inputs_Trades'!I139</x:f>
        <x:v>USD</x:v>
      </x:c>
      <x:c r="J139" s="27" t="str">
        <x:f>'Inputs_Trades'!M139</x:f>
        <x:v>USD</x:v>
      </x:c>
      <x:c r="K139" s="27" t="n">
        <x:f>'Inputs_Trades'!N139</x:f>
        <x:v>0</x:v>
      </x:c>
      <x:c r="L139" s="27" t="n">
        <x:f>'Inputs_Trades'!O139</x:f>
        <x:v>0</x:v>
      </x:c>
      <x:c r="M139" s="39" t="n">
        <x:f>'Inputs_Trades'!A139</x:f>
        <x:v>45702</x:v>
      </x:c>
      <x:c r="N139" s="39" t="n">
        <x:f>'Inputs_Trades'!P139</x:f>
        <x:v>45993</x:v>
      </x:c>
      <x:c r="O139" s="39" t="n">
        <x:f>'Inputs_Trades'!Q139</x:f>
        <x:v>45211</x:v>
      </x:c>
      <x:c r="P139" s="39" t="n">
        <x:f>'Inputs_Trades'!R139</x:f>
        <x:v>45993</x:v>
      </x:c>
      <x:c r="Q139" s="40" t="n">
        <x:f>'Inputs_Trades'!U139</x:f>
        <x:v>158000000</x:v>
      </x:c>
      <x:c r="R139" s="40" t="n">
        <x:f>'Inputs_Trades'!S139</x:f>
        <x:v>158000000</x:v>
      </x:c>
      <x:c r="S139" s="40" t="n">
        <x:f>'Inputs_Trades'!T139</x:f>
        <x:v>158000000</x:v>
      </x:c>
      <x:c r="T139" s="27" t="str">
        <x:f>'Inputs_Trades'!V139</x:f>
        <x:v>U</x:v>
      </x:c>
      <x:c r="U139" s="27" t="str">
        <x:f>'Inputs_Trades'!W139</x:f>
        <x:v>N</x:v>
      </x:c>
      <x:c r="V139" s="27" t="n">
        <x:f>'Inputs_Trades'!X139</x:f>
        <x:v>0</x:v>
      </x:c>
      <x:c r="W139" s="27" t="str">
        <x:f>'Inputs_Trades'!Y139</x:f>
        <x:v>B</x:v>
      </x:c>
      <x:c r="X139" s="27" t="n">
        <x:f>'Inputs_Trades'!AA139</x:f>
        <x:v>0</x:v>
      </x:c>
      <x:c r="Y139" s="27" t="n">
        <x:f>'Inputs_Trades'!AB139</x:f>
        <x:v>0</x:v>
      </x:c>
      <x:c r="Z139" s="27" t="n">
        <x:f>'Inputs_Trades'!AC139</x:f>
        <x:v>0</x:v>
      </x:c>
      <x:c r="AA139" s="39" t="n">
        <x:f>'Inputs_Trades'!Z139</x:f>
        <x:v>0</x:v>
      </x:c>
      <x:c r="AB139" s="40" t="n">
        <x:f>'Inputs_Trades'!AD139</x:f>
        <x:v>-756504</x:v>
      </x:c>
      <x:c r="AC139" s="27" t="n">
        <x:f>'Inputs_Trades'!K139</x:f>
        <x:v>0</x:v>
      </x:c>
      <x:c r="AD139" s="27" t="n">
        <x:f>N139-M139</x:f>
        <x:v>291</x:v>
      </x:c>
      <x:c r="AE139" s="41" t="n">
        <x:f>AD139/365</x:f>
        <x:v>0.7972602739726027</x:v>
      </x:c>
      <x:c r="AF139" s="27" t="str">
        <x:f>IF(AE139&lt;1,"&lt;1Y",IF(AE139&lt;=5,"1Y-5Y","&gt;5Y"))</x:f>
        <x:v>&lt;1Y</x:v>
      </x:c>
      <x:c r="AG139" s="27" t="str">
        <x:f>IF(E139="Commodity",IFERROR(VLOOKUP(F139,Parameters!$P$4:$Q$12,2,FALSE),"Other"),"")</x:f>
      </x:c>
      <x:c r="AH139" s="27" t="str">
        <x:f>IF(F139="","Unknown",F139)</x:f>
        <x:v>Unknown</x:v>
      </x:c>
      <x:c r="AI139" s="27" t="str">
        <x:f>IF(E139="Interest Rate",G139&amp;IF(OR(LOWER(AC139)="basis",LOWER(AC139)="volatility"),"_"&amp;AC139,""),IF(E139="FX",IF(H139&lt;I139,H139&amp;"/"&amp;I139,I139&amp;"/"&amp;H139)&amp;IF(OR(LOWER(AC139)="basis",LOWER(AC139)="volatility"),"_"&amp;AC139,""),IF(OR(E139="Credit",E139="Equity"),J139&amp;IF(OR(LOWER(AC139)="basis",LOWER(AC139)="volatility"),"_"&amp;AC139,""),IF(E139="Commodity",AG139&amp;IF(OR(LOWER(AC139)="basis",LOWER(AC139)="volatility"),"_"&amp;AC139,""),"UNKNOWN"))))</x:f>
        <x:v>USD</x:v>
      </x:c>
      <x:c r="AJ139" s="27" t="str">
        <x:f>T139</x:f>
        <x:v>U</x:v>
      </x:c>
      <x:c r="AK139" s="41" t="n">
        <x:f>IF(E139="Interest Rate",VLOOKUP("Interest Rate",Parameters!$D$4:$E$12,2,FALSE),IF(E139="FX",VLOOKUP("FX",Parameters!$D$4:$E$12,2,FALSE),IF(E139="Credit",IFERROR(VLOOKUP(L139,Parameters!$G$4:$H$12,2,FALSE),VLOOKUP("BBB",Parameters!$G$4:$H$12,2,FALSE)),IF(E139="Equity",VLOOKUP(IF(LOWER(K139)="index","Equity Index","Equity Single Name"),Parameters!$D$4:$E$12,2,FALSE),IF(E139="Commodity",VLOOKUP(IFERROR(VLOOKUP(F139,Parameters!$S$4:$T$12,2,FALSE),"Commodity Other"),Parameters!$D$4:$E$12,2,FALSE),0)))))</x:f>
        <x:v>0.005</x:v>
      </x:c>
      <x:c r="AL139" s="42" t="n">
        <x:f>IF(LOWER(AC139)="basis",Parameters!$B$8,IF(LOWER(AC139)="volatility",Parameters!$B$9,1))</x:f>
        <x:v>1</x:v>
      </x:c>
      <x:c r="AM139" s="41" t="n">
        <x:f>AK139*AL139</x:f>
        <x:v>0.005</x:v>
      </x:c>
      <x:c r="AN139" s="42" t="str">
        <x:f>IF(E139="Credit",VLOOKUP(IF(LOWER(K139)="index","Credit Index","Credit Single Name"),Parameters!$J$4:$K$8,2,FALSE),IF(E139="Equity",VLOOKUP(IF(LOWER(K139)="index","Equity Index","Equity Single Name"),Parameters!$J$4:$K$8,2,FALSE),IF(E139="Commodity",VLOOKUP("Commodity",Parameters!$J$4:$K$8,2,FALSE),"")))</x:f>
      </x:c>
      <x:c r="AO139" s="27" t="n">
        <x:f>MAX((O139-M139)/365,0)</x:f>
        <x:v>0</x:v>
      </x:c>
      <x:c r="AP139" s="27" t="n">
        <x:f>MAX((P139-M139)/365,10/Parameters!$B$6)</x:f>
        <x:v>0.7972602739726027</x:v>
      </x:c>
      <x:c r="AQ139" s="27" t="n">
        <x:f>IF(AP139&lt;=AO139,AO139+10/Parameters!$B$6,AP139)</x:f>
        <x:v>0.7972602739726027</x:v>
      </x:c>
      <x:c r="AR139" s="41" t="n">
        <x:f>IF(OR(E139="Interest Rate",E139="Credit"),(EXP(-Parameters!$B$7*AO139)-EXP(-Parameters!$B$7*AQ139))/Parameters!$B$7,1)</x:f>
        <x:v>0.7815787368174987</x:v>
      </x:c>
      <x:c r="AS139" s="40" t="n">
        <x:f>IF(OR(E139="Interest Rate",E139="Credit"),ABS(Q139)*AR139,IF(E139="FX",IF(Q139&gt;0,Q139,MAX(ABS(R139),ABS(S139),ABS(Q139))),ABS(Q139)))</x:f>
        <x:v>123489440.41716479</x:v>
      </x:c>
      <x:c r="AT139" s="42" t="n">
        <x:f>IF(OR(E139="Interest Rate",E139="FX"),VLOOKUP(E139,Parameters!$M$4:$N$11,2,FALSE),IF(E139="Credit",VLOOKUP(IF(LOWER(K139)="index","Credit Index","Credit Single Name"),Parameters!$M$4:$N$11,2,FALSE),IF(E139="Equity",VLOOKUP(IF(LOWER(K139)="index","Equity Index","Equity Single Name"),Parameters!$M$4:$N$11,2,FALSE),IF(E139="Commodity",VLOOKUP(IF(F139="Electricity","Commodity Electricity","Commodity Other"),Parameters!$M$4:$N$11,2,FALSE),1))))</x:f>
        <x:v>0.5</x:v>
      </x:c>
      <x:c r="AU139" s="27" t="n">
        <x:f>IF(W139="B",1,-1)</x:f>
        <x:v>1</x:v>
      </x:c>
      <x:c r="AV139" s="27" t="n">
        <x:f>IF(OR(AA139="",M139=""),MAX(AE139,1/365),MAX((AA139-M139)/365,1/365))</x:f>
        <x:v>0.7972602739726027</x:v>
      </x:c>
      <x:c r="AW139" s="41" t="str">
        <x:f>IF(OR(Z139&lt;=0,Y139&lt;=0,AT139&lt;=0,AV139&lt;=0),"",(LN(Z139/Y139)+0.5*AT139^2*AV139)/(AT139*SQRT(AV139)))</x:f>
      </x:c>
      <x:c r="AX139" s="41" t="n">
        <x:f>IF(AND(X139&lt;&gt;"C",X139&lt;&gt;"P"),AU139,IF(AW139="",AU139,IF(X139="C",AU139*0.5*(1+ERF(AW139/SQRT(2))),-AU139*0.5*(1+ERF(-AW139/SQRT(2))))))</x:f>
        <x:v>1</x:v>
      </x:c>
      <x:c r="AY139" s="41" t="n">
        <x:f>IF(AJ139="M",1.5*SQRT(MAX(IF(U139="Y",5,10),IF(V139="",10,V139))/Parameters!$B$6),SQRT(MIN(MAX(AE139,10/Parameters!$B$6),1)))</x:f>
        <x:v>0.8928943240790607</x:v>
      </x:c>
      <x:c r="AZ139" s="40" t="n">
        <x:f>AS139*AX139*AY139</x:f>
        <x:v>110263020.43218578</x:v>
      </x:c>
      <x:c r="BA139" s="40" t="n">
        <x:f>'Python_Trade_Output'!AZ139</x:f>
        <x:v>110263020.43218578</x:v>
      </x:c>
      <x:c r="BB139" s="43" t="n">
        <x:f>AZ139-BA139</x:f>
        <x:v>0</x:v>
      </x:c>
    </x:row>
    <x:row r="140">
      <x:c r="A140" s="27" t="str">
        <x:f>'Inputs_Trades'!D140</x:f>
        <x:v>IND-000137</x:v>
      </x:c>
      <x:c r="B140" s="27" t="str">
        <x:f>'Inputs_Trades'!B140</x:f>
        <x:v>IND_CORPORATE_002</x:v>
      </x:c>
      <x:c r="C140" s="27" t="n">
        <x:f>'Inputs_Trades'!C140</x:f>
        <x:v>3074</x:v>
      </x:c>
      <x:c r="D140" s="27" t="str">
        <x:f>'Inputs_Trades'!E140</x:f>
        <x:v>Interest Rate FRA</x:v>
      </x:c>
      <x:c r="E140" s="27" t="str">
        <x:f>'Inputs_Trades'!F140</x:f>
        <x:v>Interest Rate</x:v>
      </x:c>
      <x:c r="F140" s="27" t="n">
        <x:f>'Inputs_Trades'!G140</x:f>
        <x:v>0</x:v>
      </x:c>
      <x:c r="G140" s="27" t="str">
        <x:f>'Inputs_Trades'!J140</x:f>
        <x:v>CNY</x:v>
      </x:c>
      <x:c r="H140" s="27" t="str">
        <x:f>'Inputs_Trades'!H140</x:f>
        <x:v>CNY</x:v>
      </x:c>
      <x:c r="I140" s="27" t="str">
        <x:f>'Inputs_Trades'!I140</x:f>
        <x:v>CNY</x:v>
      </x:c>
      <x:c r="J140" s="27" t="str">
        <x:f>'Inputs_Trades'!M140</x:f>
        <x:v>CNY</x:v>
      </x:c>
      <x:c r="K140" s="27" t="n">
        <x:f>'Inputs_Trades'!N140</x:f>
        <x:v>0</x:v>
      </x:c>
      <x:c r="L140" s="27" t="n">
        <x:f>'Inputs_Trades'!O140</x:f>
        <x:v>0</x:v>
      </x:c>
      <x:c r="M140" s="39" t="n">
        <x:f>'Inputs_Trades'!A140</x:f>
        <x:v>45702</x:v>
      </x:c>
      <x:c r="N140" s="39" t="n">
        <x:f>'Inputs_Trades'!P140</x:f>
        <x:v>46039</x:v>
      </x:c>
      <x:c r="O140" s="39" t="n">
        <x:f>'Inputs_Trades'!Q140</x:f>
        <x:v>45431</x:v>
      </x:c>
      <x:c r="P140" s="39" t="n">
        <x:f>'Inputs_Trades'!R140</x:f>
        <x:v>46039</x:v>
      </x:c>
      <x:c r="Q140" s="40" t="n">
        <x:f>'Inputs_Trades'!U140</x:f>
        <x:v>132000000</x:v>
      </x:c>
      <x:c r="R140" s="40" t="n">
        <x:f>'Inputs_Trades'!S140</x:f>
        <x:v>942857142.86</x:v>
      </x:c>
      <x:c r="S140" s="40" t="n">
        <x:f>'Inputs_Trades'!T140</x:f>
        <x:v>942857142.86</x:v>
      </x:c>
      <x:c r="T140" s="27" t="str">
        <x:f>'Inputs_Trades'!V140</x:f>
        <x:v>M</x:v>
      </x:c>
      <x:c r="U140" s="27" t="str">
        <x:f>'Inputs_Trades'!W140</x:f>
        <x:v>N</x:v>
      </x:c>
      <x:c r="V140" s="27" t="n">
        <x:f>'Inputs_Trades'!X140</x:f>
        <x:v>10</x:v>
      </x:c>
      <x:c r="W140" s="27" t="str">
        <x:f>'Inputs_Trades'!Y140</x:f>
        <x:v>S</x:v>
      </x:c>
      <x:c r="X140" s="27" t="n">
        <x:f>'Inputs_Trades'!AA140</x:f>
        <x:v>0</x:v>
      </x:c>
      <x:c r="Y140" s="27" t="n">
        <x:f>'Inputs_Trades'!AB140</x:f>
        <x:v>0</x:v>
      </x:c>
      <x:c r="Z140" s="27" t="n">
        <x:f>'Inputs_Trades'!AC140</x:f>
        <x:v>0</x:v>
      </x:c>
      <x:c r="AA140" s="39" t="n">
        <x:f>'Inputs_Trades'!Z140</x:f>
        <x:v>0</x:v>
      </x:c>
      <x:c r="AB140" s="40" t="n">
        <x:f>'Inputs_Trades'!AD140</x:f>
        <x:v>757944</x:v>
      </x:c>
      <x:c r="AC140" s="27" t="n">
        <x:f>'Inputs_Trades'!K140</x:f>
        <x:v>0</x:v>
      </x:c>
      <x:c r="AD140" s="27" t="n">
        <x:f>N140-M140</x:f>
        <x:v>337</x:v>
      </x:c>
      <x:c r="AE140" s="41" t="n">
        <x:f>AD140/365</x:f>
        <x:v>0.9232876712328767</x:v>
      </x:c>
      <x:c r="AF140" s="27" t="str">
        <x:f>IF(AE140&lt;1,"&lt;1Y",IF(AE140&lt;=5,"1Y-5Y","&gt;5Y"))</x:f>
        <x:v>&lt;1Y</x:v>
      </x:c>
      <x:c r="AG140" s="27" t="str">
        <x:f>IF(E140="Commodity",IFERROR(VLOOKUP(F140,Parameters!$P$4:$Q$12,2,FALSE),"Other"),"")</x:f>
      </x:c>
      <x:c r="AH140" s="27" t="str">
        <x:f>IF(F140="","Unknown",F140)</x:f>
        <x:v>Unknown</x:v>
      </x:c>
      <x:c r="AI140" s="27" t="str">
        <x:f>IF(E140="Interest Rate",G140&amp;IF(OR(LOWER(AC140)="basis",LOWER(AC140)="volatility"),"_"&amp;AC140,""),IF(E140="FX",IF(H140&lt;I140,H140&amp;"/"&amp;I140,I140&amp;"/"&amp;H140)&amp;IF(OR(LOWER(AC140)="basis",LOWER(AC140)="volatility"),"_"&amp;AC140,""),IF(OR(E140="Credit",E140="Equity"),J140&amp;IF(OR(LOWER(AC140)="basis",LOWER(AC140)="volatility"),"_"&amp;AC140,""),IF(E140="Commodity",AG140&amp;IF(OR(LOWER(AC140)="basis",LOWER(AC140)="volatility"),"_"&amp;AC140,""),"UNKNOWN"))))</x:f>
        <x:v>CNY</x:v>
      </x:c>
      <x:c r="AJ140" s="27" t="str">
        <x:f>T140</x:f>
        <x:v>M</x:v>
      </x:c>
      <x:c r="AK140" s="41" t="n">
        <x:f>IF(E140="Interest Rate",VLOOKUP("Interest Rate",Parameters!$D$4:$E$12,2,FALSE),IF(E140="FX",VLOOKUP("FX",Parameters!$D$4:$E$12,2,FALSE),IF(E140="Credit",IFERROR(VLOOKUP(L140,Parameters!$G$4:$H$12,2,FALSE),VLOOKUP("BBB",Parameters!$G$4:$H$12,2,FALSE)),IF(E140="Equity",VLOOKUP(IF(LOWER(K140)="index","Equity Index","Equity Single Name"),Parameters!$D$4:$E$12,2,FALSE),IF(E140="Commodity",VLOOKUP(IFERROR(VLOOKUP(F140,Parameters!$S$4:$T$12,2,FALSE),"Commodity Other"),Parameters!$D$4:$E$12,2,FALSE),0)))))</x:f>
        <x:v>0.005</x:v>
      </x:c>
      <x:c r="AL140" s="42" t="n">
        <x:f>IF(LOWER(AC140)="basis",Parameters!$B$8,IF(LOWER(AC140)="volatility",Parameters!$B$9,1))</x:f>
        <x:v>1</x:v>
      </x:c>
      <x:c r="AM140" s="41" t="n">
        <x:f>AK140*AL140</x:f>
        <x:v>0.005</x:v>
      </x:c>
      <x:c r="AN140" s="42" t="str">
        <x:f>IF(E140="Credit",VLOOKUP(IF(LOWER(K140)="index","Credit Index","Credit Single Name"),Parameters!$J$4:$K$8,2,FALSE),IF(E140="Equity",VLOOKUP(IF(LOWER(K140)="index","Equity Index","Equity Single Name"),Parameters!$J$4:$K$8,2,FALSE),IF(E140="Commodity",VLOOKUP("Commodity",Parameters!$J$4:$K$8,2,FALSE),"")))</x:f>
      </x:c>
      <x:c r="AO140" s="27" t="n">
        <x:f>MAX((O140-M140)/365,0)</x:f>
        <x:v>0</x:v>
      </x:c>
      <x:c r="AP140" s="27" t="n">
        <x:f>MAX((P140-M140)/365,10/Parameters!$B$6)</x:f>
        <x:v>0.9232876712328767</x:v>
      </x:c>
      <x:c r="AQ140" s="27" t="n">
        <x:f>IF(AP140&lt;=AO140,AO140+10/Parameters!$B$6,AP140)</x:f>
        <x:v>0.9232876712328767</x:v>
      </x:c>
      <x:c r="AR140" s="41" t="n">
        <x:f>IF(OR(E140="Interest Rate",E140="Credit"),(EXP(-Parameters!$B$7*AO140)-EXP(-Parameters!$B$7*AQ140))/Parameters!$B$7,1)</x:f>
        <x:v>0.902300362114119</x:v>
      </x:c>
      <x:c r="AS140" s="40" t="n">
        <x:f>IF(OR(E140="Interest Rate",E140="Credit"),ABS(Q140)*AR140,IF(E140="FX",IF(Q140&gt;0,Q140,MAX(ABS(R140),ABS(S140),ABS(Q140))),ABS(Q140)))</x:f>
        <x:v>119103647.79906371</x:v>
      </x:c>
      <x:c r="AT140" s="42" t="n">
        <x:f>IF(OR(E140="Interest Rate",E140="FX"),VLOOKUP(E140,Parameters!$M$4:$N$11,2,FALSE),IF(E140="Credit",VLOOKUP(IF(LOWER(K140)="index","Credit Index","Credit Single Name"),Parameters!$M$4:$N$11,2,FALSE),IF(E140="Equity",VLOOKUP(IF(LOWER(K140)="index","Equity Index","Equity Single Name"),Parameters!$M$4:$N$11,2,FALSE),IF(E140="Commodity",VLOOKUP(IF(F140="Electricity","Commodity Electricity","Commodity Other"),Parameters!$M$4:$N$11,2,FALSE),1))))</x:f>
        <x:v>0.5</x:v>
      </x:c>
      <x:c r="AU140" s="27" t="n">
        <x:f>IF(W140="B",1,-1)</x:f>
        <x:v>-1</x:v>
      </x:c>
      <x:c r="AV140" s="27" t="n">
        <x:f>IF(OR(AA140="",M140=""),MAX(AE140,1/365),MAX((AA140-M140)/365,1/365))</x:f>
        <x:v>0.9232876712328767</x:v>
      </x:c>
      <x:c r="AW140" s="41" t="str">
        <x:f>IF(OR(Z140&lt;=0,Y140&lt;=0,AT140&lt;=0,AV140&lt;=0),"",(LN(Z140/Y140)+0.5*AT140^2*AV140)/(AT140*SQRT(AV140)))</x:f>
      </x:c>
      <x:c r="AX140" s="41" t="n">
        <x:f>IF(AND(X140&lt;&gt;"C",X140&lt;&gt;"P"),AU140,IF(AW140="",AU140,IF(X140="C",AU140*0.5*(1+ERF(AW140/SQRT(2))),-AU140*0.5*(1+ERF(-AW140/SQRT(2))))))</x:f>
        <x:v>-1</x:v>
      </x:c>
      <x:c r="AY140" s="41" t="n">
        <x:f>IF(AJ140="M",1.5*SQRT(MAX(IF(U140="Y",5,10),IF(V140="",10,V140))/Parameters!$B$6),SQRT(MIN(MAX(AE140,10/Parameters!$B$6),1)))</x:f>
        <x:v>0.30000000000000004</x:v>
      </x:c>
      <x:c r="AZ140" s="40" t="n">
        <x:f>AS140*AX140*AY140</x:f>
        <x:v>-35731094.33971912</x:v>
      </x:c>
      <x:c r="BA140" s="40" t="n">
        <x:f>'Python_Trade_Output'!AZ140</x:f>
        <x:v>-35731094.33971912</x:v>
      </x:c>
      <x:c r="BB140" s="43" t="n">
        <x:f>AZ140-BA140</x:f>
        <x:v>0</x:v>
      </x:c>
    </x:row>
    <x:row r="141">
      <x:c r="A141" s="27" t="str">
        <x:f>'Inputs_Trades'!D141</x:f>
        <x:v>IND-000138</x:v>
      </x:c>
      <x:c r="B141" s="27" t="str">
        <x:f>'Inputs_Trades'!B141</x:f>
        <x:v>IND_CORPORATE_001</x:v>
      </x:c>
      <x:c r="C141" s="27" t="n">
        <x:f>'Inputs_Trades'!C141</x:f>
        <x:v>3004</x:v>
      </x:c>
      <x:c r="D141" s="27" t="str">
        <x:f>'Inputs_Trades'!E141</x:f>
        <x:v>Interest Rate FRA</x:v>
      </x:c>
      <x:c r="E141" s="27" t="str">
        <x:f>'Inputs_Trades'!F141</x:f>
        <x:v>Interest Rate</x:v>
      </x:c>
      <x:c r="F141" s="27" t="n">
        <x:f>'Inputs_Trades'!G141</x:f>
        <x:v>0</x:v>
      </x:c>
      <x:c r="G141" s="27" t="str">
        <x:f>'Inputs_Trades'!J141</x:f>
        <x:v>EUR</x:v>
      </x:c>
      <x:c r="H141" s="27" t="str">
        <x:f>'Inputs_Trades'!H141</x:f>
        <x:v>EUR</x:v>
      </x:c>
      <x:c r="I141" s="27" t="str">
        <x:f>'Inputs_Trades'!I141</x:f>
        <x:v>EUR</x:v>
      </x:c>
      <x:c r="J141" s="27" t="str">
        <x:f>'Inputs_Trades'!M141</x:f>
        <x:v>EUR</x:v>
      </x:c>
      <x:c r="K141" s="27" t="n">
        <x:f>'Inputs_Trades'!N141</x:f>
        <x:v>0</x:v>
      </x:c>
      <x:c r="L141" s="27" t="n">
        <x:f>'Inputs_Trades'!O141</x:f>
        <x:v>0</x:v>
      </x:c>
      <x:c r="M141" s="39" t="n">
        <x:f>'Inputs_Trades'!A141</x:f>
        <x:v>45702</x:v>
      </x:c>
      <x:c r="N141" s="39" t="n">
        <x:f>'Inputs_Trades'!P141</x:f>
        <x:v>45984</x:v>
      </x:c>
      <x:c r="O141" s="39" t="n">
        <x:f>'Inputs_Trades'!Q141</x:f>
        <x:v>44891</x:v>
      </x:c>
      <x:c r="P141" s="39" t="n">
        <x:f>'Inputs_Trades'!R141</x:f>
        <x:v>45984</x:v>
      </x:c>
      <x:c r="Q141" s="40" t="n">
        <x:f>'Inputs_Trades'!U141</x:f>
        <x:v>35200000</x:v>
      </x:c>
      <x:c r="R141" s="40" t="n">
        <x:f>'Inputs_Trades'!S141</x:f>
        <x:v>33523809.52</x:v>
      </x:c>
      <x:c r="S141" s="40" t="n">
        <x:f>'Inputs_Trades'!T141</x:f>
        <x:v>33523809.52</x:v>
      </x:c>
      <x:c r="T141" s="27" t="str">
        <x:f>'Inputs_Trades'!V141</x:f>
        <x:v>M</x:v>
      </x:c>
      <x:c r="U141" s="27" t="str">
        <x:f>'Inputs_Trades'!W141</x:f>
        <x:v>N</x:v>
      </x:c>
      <x:c r="V141" s="27" t="n">
        <x:f>'Inputs_Trades'!X141</x:f>
        <x:v>10</x:v>
      </x:c>
      <x:c r="W141" s="27" t="str">
        <x:f>'Inputs_Trades'!Y141</x:f>
        <x:v>S</x:v>
      </x:c>
      <x:c r="X141" s="27" t="n">
        <x:f>'Inputs_Trades'!AA141</x:f>
        <x:v>0</x:v>
      </x:c>
      <x:c r="Y141" s="27" t="n">
        <x:f>'Inputs_Trades'!AB141</x:f>
        <x:v>0</x:v>
      </x:c>
      <x:c r="Z141" s="27" t="n">
        <x:f>'Inputs_Trades'!AC141</x:f>
        <x:v>0</x:v>
      </x:c>
      <x:c r="AA141" s="39" t="n">
        <x:f>'Inputs_Trades'!Z141</x:f>
        <x:v>0</x:v>
      </x:c>
      <x:c r="AB141" s="40" t="n">
        <x:f>'Inputs_Trades'!AD141</x:f>
        <x:v>165792</x:v>
      </x:c>
      <x:c r="AC141" s="27" t="n">
        <x:f>'Inputs_Trades'!K141</x:f>
        <x:v>0</x:v>
      </x:c>
      <x:c r="AD141" s="27" t="n">
        <x:f>N141-M141</x:f>
        <x:v>282</x:v>
      </x:c>
      <x:c r="AE141" s="41" t="n">
        <x:f>AD141/365</x:f>
        <x:v>0.7726027397260274</x:v>
      </x:c>
      <x:c r="AF141" s="27" t="str">
        <x:f>IF(AE141&lt;1,"&lt;1Y",IF(AE141&lt;=5,"1Y-5Y","&gt;5Y"))</x:f>
        <x:v>&lt;1Y</x:v>
      </x:c>
      <x:c r="AG141" s="27" t="str">
        <x:f>IF(E141="Commodity",IFERROR(VLOOKUP(F141,Parameters!$P$4:$Q$12,2,FALSE),"Other"),"")</x:f>
      </x:c>
      <x:c r="AH141" s="27" t="str">
        <x:f>IF(F141="","Unknown",F141)</x:f>
        <x:v>Unknown</x:v>
      </x:c>
      <x:c r="AI141" s="27" t="str">
        <x:f>IF(E141="Interest Rate",G141&amp;IF(OR(LOWER(AC141)="basis",LOWER(AC141)="volatility"),"_"&amp;AC141,""),IF(E141="FX",IF(H141&lt;I141,H141&amp;"/"&amp;I141,I141&amp;"/"&amp;H141)&amp;IF(OR(LOWER(AC141)="basis",LOWER(AC141)="volatility"),"_"&amp;AC141,""),IF(OR(E141="Credit",E141="Equity"),J141&amp;IF(OR(LOWER(AC141)="basis",LOWER(AC141)="volatility"),"_"&amp;AC141,""),IF(E141="Commodity",AG141&amp;IF(OR(LOWER(AC141)="basis",LOWER(AC141)="volatility"),"_"&amp;AC141,""),"UNKNOWN"))))</x:f>
        <x:v>EUR</x:v>
      </x:c>
      <x:c r="AJ141" s="27" t="str">
        <x:f>T141</x:f>
        <x:v>M</x:v>
      </x:c>
      <x:c r="AK141" s="41" t="n">
        <x:f>IF(E141="Interest Rate",VLOOKUP("Interest Rate",Parameters!$D$4:$E$12,2,FALSE),IF(E141="FX",VLOOKUP("FX",Parameters!$D$4:$E$12,2,FALSE),IF(E141="Credit",IFERROR(VLOOKUP(L141,Parameters!$G$4:$H$12,2,FALSE),VLOOKUP("BBB",Parameters!$G$4:$H$12,2,FALSE)),IF(E141="Equity",VLOOKUP(IF(LOWER(K141)="index","Equity Index","Equity Single Name"),Parameters!$D$4:$E$12,2,FALSE),IF(E141="Commodity",VLOOKUP(IFERROR(VLOOKUP(F141,Parameters!$S$4:$T$12,2,FALSE),"Commodity Other"),Parameters!$D$4:$E$12,2,FALSE),0)))))</x:f>
        <x:v>0.005</x:v>
      </x:c>
      <x:c r="AL141" s="42" t="n">
        <x:f>IF(LOWER(AC141)="basis",Parameters!$B$8,IF(LOWER(AC141)="volatility",Parameters!$B$9,1))</x:f>
        <x:v>1</x:v>
      </x:c>
      <x:c r="AM141" s="41" t="n">
        <x:f>AK141*AL141</x:f>
        <x:v>0.005</x:v>
      </x:c>
      <x:c r="AN141" s="42" t="str">
        <x:f>IF(E141="Credit",VLOOKUP(IF(LOWER(K141)="index","Credit Index","Credit Single Name"),Parameters!$J$4:$K$8,2,FALSE),IF(E141="Equity",VLOOKUP(IF(LOWER(K141)="index","Equity Index","Equity Single Name"),Parameters!$J$4:$K$8,2,FALSE),IF(E141="Commodity",VLOOKUP("Commodity",Parameters!$J$4:$K$8,2,FALSE),"")))</x:f>
      </x:c>
      <x:c r="AO141" s="27" t="n">
        <x:f>MAX((O141-M141)/365,0)</x:f>
        <x:v>0</x:v>
      </x:c>
      <x:c r="AP141" s="27" t="n">
        <x:f>MAX((P141-M141)/365,10/Parameters!$B$6)</x:f>
        <x:v>0.7726027397260274</x:v>
      </x:c>
      <x:c r="AQ141" s="27" t="n">
        <x:f>IF(AP141&lt;=AO141,AO141+10/Parameters!$B$6,AP141)</x:f>
        <x:v>0.7726027397260274</x:v>
      </x:c>
      <x:c r="AR141" s="41" t="n">
        <x:f>IF(OR(E141="Interest Rate",E141="Credit"),(EXP(-Parameters!$B$7*AO141)-EXP(-Parameters!$B$7*AQ141))/Parameters!$B$7,1)</x:f>
        <x:v>0.757870180934237</x:v>
      </x:c>
      <x:c r="AS141" s="40" t="n">
        <x:f>IF(OR(E141="Interest Rate",E141="Credit"),ABS(Q141)*AR141,IF(E141="FX",IF(Q141&gt;0,Q141,MAX(ABS(R141),ABS(S141),ABS(Q141))),ABS(Q141)))</x:f>
        <x:v>26677030.36888514</x:v>
      </x:c>
      <x:c r="AT141" s="42" t="n">
        <x:f>IF(OR(E141="Interest Rate",E141="FX"),VLOOKUP(E141,Parameters!$M$4:$N$11,2,FALSE),IF(E141="Credit",VLOOKUP(IF(LOWER(K141)="index","Credit Index","Credit Single Name"),Parameters!$M$4:$N$11,2,FALSE),IF(E141="Equity",VLOOKUP(IF(LOWER(K141)="index","Equity Index","Equity Single Name"),Parameters!$M$4:$N$11,2,FALSE),IF(E141="Commodity",VLOOKUP(IF(F141="Electricity","Commodity Electricity","Commodity Other"),Parameters!$M$4:$N$11,2,FALSE),1))))</x:f>
        <x:v>0.5</x:v>
      </x:c>
      <x:c r="AU141" s="27" t="n">
        <x:f>IF(W141="B",1,-1)</x:f>
        <x:v>-1</x:v>
      </x:c>
      <x:c r="AV141" s="27" t="n">
        <x:f>IF(OR(AA141="",M141=""),MAX(AE141,1/365),MAX((AA141-M141)/365,1/365))</x:f>
        <x:v>0.7726027397260274</x:v>
      </x:c>
      <x:c r="AW141" s="41" t="str">
        <x:f>IF(OR(Z141&lt;=0,Y141&lt;=0,AT141&lt;=0,AV141&lt;=0),"",(LN(Z141/Y141)+0.5*AT141^2*AV141)/(AT141*SQRT(AV141)))</x:f>
      </x:c>
      <x:c r="AX141" s="41" t="n">
        <x:f>IF(AND(X141&lt;&gt;"C",X141&lt;&gt;"P"),AU141,IF(AW141="",AU141,IF(X141="C",AU141*0.5*(1+ERF(AW141/SQRT(2))),-AU141*0.5*(1+ERF(-AW141/SQRT(2))))))</x:f>
        <x:v>-1</x:v>
      </x:c>
      <x:c r="AY141" s="41" t="n">
        <x:f>IF(AJ141="M",1.5*SQRT(MAX(IF(U141="Y",5,10),IF(V141="",10,V141))/Parameters!$B$6),SQRT(MIN(MAX(AE141,10/Parameters!$B$6),1)))</x:f>
        <x:v>0.30000000000000004</x:v>
      </x:c>
      <x:c r="AZ141" s="40" t="n">
        <x:f>AS141*AX141*AY141</x:f>
        <x:v>-8003109.110665543</x:v>
      </x:c>
      <x:c r="BA141" s="40" t="n">
        <x:f>'Python_Trade_Output'!AZ141</x:f>
        <x:v>-8003109.110665543</x:v>
      </x:c>
      <x:c r="BB141" s="43" t="n">
        <x:f>AZ141-BA141</x:f>
        <x:v>0</x:v>
      </x:c>
    </x:row>
    <x:row r="142">
      <x:c r="A142" s="27" t="str">
        <x:f>'Inputs_Trades'!D142</x:f>
        <x:v>IND-000139</x:v>
      </x:c>
      <x:c r="B142" s="27" t="str">
        <x:f>'Inputs_Trades'!B142</x:f>
        <x:v>IND_PENSION_001</x:v>
      </x:c>
      <x:c r="C142" s="27" t="n">
        <x:f>'Inputs_Trades'!C142</x:f>
        <x:v>3103</x:v>
      </x:c>
      <x:c r="D142" s="27" t="str">
        <x:f>'Inputs_Trades'!E142</x:f>
        <x:v>Interest Rate FRA</x:v>
      </x:c>
      <x:c r="E142" s="27" t="str">
        <x:f>'Inputs_Trades'!F142</x:f>
        <x:v>Interest Rate</x:v>
      </x:c>
      <x:c r="F142" s="27" t="n">
        <x:f>'Inputs_Trades'!G142</x:f>
        <x:v>0</x:v>
      </x:c>
      <x:c r="G142" s="27" t="str">
        <x:f>'Inputs_Trades'!J142</x:f>
        <x:v>CNY</x:v>
      </x:c>
      <x:c r="H142" s="27" t="str">
        <x:f>'Inputs_Trades'!H142</x:f>
        <x:v>CNY</x:v>
      </x:c>
      <x:c r="I142" s="27" t="str">
        <x:f>'Inputs_Trades'!I142</x:f>
        <x:v>CNY</x:v>
      </x:c>
      <x:c r="J142" s="27" t="str">
        <x:f>'Inputs_Trades'!M142</x:f>
        <x:v>CNY</x:v>
      </x:c>
      <x:c r="K142" s="27" t="n">
        <x:f>'Inputs_Trades'!N142</x:f>
        <x:v>0</x:v>
      </x:c>
      <x:c r="L142" s="27" t="n">
        <x:f>'Inputs_Trades'!O142</x:f>
        <x:v>0</x:v>
      </x:c>
      <x:c r="M142" s="39" t="n">
        <x:f>'Inputs_Trades'!A142</x:f>
        <x:v>45702</x:v>
      </x:c>
      <x:c r="N142" s="39" t="n">
        <x:f>'Inputs_Trades'!P142</x:f>
        <x:v>46008</x:v>
      </x:c>
      <x:c r="O142" s="39" t="n">
        <x:f>'Inputs_Trades'!Q142</x:f>
        <x:v>45265</x:v>
      </x:c>
      <x:c r="P142" s="39" t="n">
        <x:f>'Inputs_Trades'!R142</x:f>
        <x:v>46008</x:v>
      </x:c>
      <x:c r="Q142" s="40" t="n">
        <x:f>'Inputs_Trades'!U142</x:f>
        <x:v>127000000</x:v>
      </x:c>
      <x:c r="R142" s="40" t="n">
        <x:f>'Inputs_Trades'!S142</x:f>
        <x:v>907142857.14</x:v>
      </x:c>
      <x:c r="S142" s="40" t="n">
        <x:f>'Inputs_Trades'!T142</x:f>
        <x:v>907142857.14</x:v>
      </x:c>
      <x:c r="T142" s="27" t="str">
        <x:f>'Inputs_Trades'!V142</x:f>
        <x:v>M</x:v>
      </x:c>
      <x:c r="U142" s="27" t="str">
        <x:f>'Inputs_Trades'!W142</x:f>
        <x:v>N</x:v>
      </x:c>
      <x:c r="V142" s="27" t="n">
        <x:f>'Inputs_Trades'!X142</x:f>
        <x:v>10</x:v>
      </x:c>
      <x:c r="W142" s="27" t="str">
        <x:f>'Inputs_Trades'!Y142</x:f>
        <x:v>S</x:v>
      </x:c>
      <x:c r="X142" s="27" t="n">
        <x:f>'Inputs_Trades'!AA142</x:f>
        <x:v>0</x:v>
      </x:c>
      <x:c r="Y142" s="27" t="n">
        <x:f>'Inputs_Trades'!AB142</x:f>
        <x:v>0</x:v>
      </x:c>
      <x:c r="Z142" s="27" t="n">
        <x:f>'Inputs_Trades'!AC142</x:f>
        <x:v>0</x:v>
      </x:c>
      <x:c r="AA142" s="39" t="n">
        <x:f>'Inputs_Trades'!Z142</x:f>
        <x:v>0</x:v>
      </x:c>
      <x:c r="AB142" s="40" t="n">
        <x:f>'Inputs_Trades'!AD142</x:f>
        <x:v>685038</x:v>
      </x:c>
      <x:c r="AC142" s="27" t="n">
        <x:f>'Inputs_Trades'!K142</x:f>
        <x:v>0</x:v>
      </x:c>
      <x:c r="AD142" s="27" t="n">
        <x:f>N142-M142</x:f>
        <x:v>306</x:v>
      </x:c>
      <x:c r="AE142" s="41" t="n">
        <x:f>AD142/365</x:f>
        <x:v>0.8383561643835616</x:v>
      </x:c>
      <x:c r="AF142" s="27" t="str">
        <x:f>IF(AE142&lt;1,"&lt;1Y",IF(AE142&lt;=5,"1Y-5Y","&gt;5Y"))</x:f>
        <x:v>&lt;1Y</x:v>
      </x:c>
      <x:c r="AG142" s="27" t="str">
        <x:f>IF(E142="Commodity",IFERROR(VLOOKUP(F142,Parameters!$P$4:$Q$12,2,FALSE),"Other"),"")</x:f>
      </x:c>
      <x:c r="AH142" s="27" t="str">
        <x:f>IF(F142="","Unknown",F142)</x:f>
        <x:v>Unknown</x:v>
      </x:c>
      <x:c r="AI142" s="27" t="str">
        <x:f>IF(E142="Interest Rate",G142&amp;IF(OR(LOWER(AC142)="basis",LOWER(AC142)="volatility"),"_"&amp;AC142,""),IF(E142="FX",IF(H142&lt;I142,H142&amp;"/"&amp;I142,I142&amp;"/"&amp;H142)&amp;IF(OR(LOWER(AC142)="basis",LOWER(AC142)="volatility"),"_"&amp;AC142,""),IF(OR(E142="Credit",E142="Equity"),J142&amp;IF(OR(LOWER(AC142)="basis",LOWER(AC142)="volatility"),"_"&amp;AC142,""),IF(E142="Commodity",AG142&amp;IF(OR(LOWER(AC142)="basis",LOWER(AC142)="volatility"),"_"&amp;AC142,""),"UNKNOWN"))))</x:f>
        <x:v>CNY</x:v>
      </x:c>
      <x:c r="AJ142" s="27" t="str">
        <x:f>T142</x:f>
        <x:v>M</x:v>
      </x:c>
      <x:c r="AK142" s="41" t="n">
        <x:f>IF(E142="Interest Rate",VLOOKUP("Interest Rate",Parameters!$D$4:$E$12,2,FALSE),IF(E142="FX",VLOOKUP("FX",Parameters!$D$4:$E$12,2,FALSE),IF(E142="Credit",IFERROR(VLOOKUP(L142,Parameters!$G$4:$H$12,2,FALSE),VLOOKUP("BBB",Parameters!$G$4:$H$12,2,FALSE)),IF(E142="Equity",VLOOKUP(IF(LOWER(K142)="index","Equity Index","Equity Single Name"),Parameters!$D$4:$E$12,2,FALSE),IF(E142="Commodity",VLOOKUP(IFERROR(VLOOKUP(F142,Parameters!$S$4:$T$12,2,FALSE),"Commodity Other"),Parameters!$D$4:$E$12,2,FALSE),0)))))</x:f>
        <x:v>0.005</x:v>
      </x:c>
      <x:c r="AL142" s="42" t="n">
        <x:f>IF(LOWER(AC142)="basis",Parameters!$B$8,IF(LOWER(AC142)="volatility",Parameters!$B$9,1))</x:f>
        <x:v>1</x:v>
      </x:c>
      <x:c r="AM142" s="41" t="n">
        <x:f>AK142*AL142</x:f>
        <x:v>0.005</x:v>
      </x:c>
      <x:c r="AN142" s="42" t="str">
        <x:f>IF(E142="Credit",VLOOKUP(IF(LOWER(K142)="index","Credit Index","Credit Single Name"),Parameters!$J$4:$K$8,2,FALSE),IF(E142="Equity",VLOOKUP(IF(LOWER(K142)="index","Equity Index","Equity Single Name"),Parameters!$J$4:$K$8,2,FALSE),IF(E142="Commodity",VLOOKUP("Commodity",Parameters!$J$4:$K$8,2,FALSE),"")))</x:f>
      </x:c>
      <x:c r="AO142" s="27" t="n">
        <x:f>MAX((O142-M142)/365,0)</x:f>
        <x:v>0</x:v>
      </x:c>
      <x:c r="AP142" s="27" t="n">
        <x:f>MAX((P142-M142)/365,10/Parameters!$B$6)</x:f>
        <x:v>0.8383561643835616</x:v>
      </x:c>
      <x:c r="AQ142" s="27" t="n">
        <x:f>IF(AP142&lt;=AO142,AO142+10/Parameters!$B$6,AP142)</x:f>
        <x:v>0.8383561643835616</x:v>
      </x:c>
      <x:c r="AR142" s="41" t="n">
        <x:f>IF(OR(E142="Interest Rate",E142="Credit"),(EXP(-Parameters!$B$7*AO142)-EXP(-Parameters!$B$7*AQ142))/Parameters!$B$7,1)</x:f>
        <x:v>0.8210280994753627</x:v>
      </x:c>
      <x:c r="AS142" s="40" t="n">
        <x:f>IF(OR(E142="Interest Rate",E142="Credit"),ABS(Q142)*AR142,IF(E142="FX",IF(Q142&gt;0,Q142,MAX(ABS(R142),ABS(S142),ABS(Q142))),ABS(Q142)))</x:f>
        <x:v>104270568.63337107</x:v>
      </x:c>
      <x:c r="AT142" s="42" t="n">
        <x:f>IF(OR(E142="Interest Rate",E142="FX"),VLOOKUP(E142,Parameters!$M$4:$N$11,2,FALSE),IF(E142="Credit",VLOOKUP(IF(LOWER(K142)="index","Credit Index","Credit Single Name"),Parameters!$M$4:$N$11,2,FALSE),IF(E142="Equity",VLOOKUP(IF(LOWER(K142)="index","Equity Index","Equity Single Name"),Parameters!$M$4:$N$11,2,FALSE),IF(E142="Commodity",VLOOKUP(IF(F142="Electricity","Commodity Electricity","Commodity Other"),Parameters!$M$4:$N$11,2,FALSE),1))))</x:f>
        <x:v>0.5</x:v>
      </x:c>
      <x:c r="AU142" s="27" t="n">
        <x:f>IF(W142="B",1,-1)</x:f>
        <x:v>-1</x:v>
      </x:c>
      <x:c r="AV142" s="27" t="n">
        <x:f>IF(OR(AA142="",M142=""),MAX(AE142,1/365),MAX((AA142-M142)/365,1/365))</x:f>
        <x:v>0.8383561643835616</x:v>
      </x:c>
      <x:c r="AW142" s="41" t="str">
        <x:f>IF(OR(Z142&lt;=0,Y142&lt;=0,AT142&lt;=0,AV142&lt;=0),"",(LN(Z142/Y142)+0.5*AT142^2*AV142)/(AT142*SQRT(AV142)))</x:f>
      </x:c>
      <x:c r="AX142" s="41" t="n">
        <x:f>IF(AND(X142&lt;&gt;"C",X142&lt;&gt;"P"),AU142,IF(AW142="",AU142,IF(X142="C",AU142*0.5*(1+ERF(AW142/SQRT(2))),-AU142*0.5*(1+ERF(-AW142/SQRT(2))))))</x:f>
        <x:v>-1</x:v>
      </x:c>
      <x:c r="AY142" s="41" t="n">
        <x:f>IF(AJ142="M",1.5*SQRT(MAX(IF(U142="Y",5,10),IF(V142="",10,V142))/Parameters!$B$6),SQRT(MIN(MAX(AE142,10/Parameters!$B$6),1)))</x:f>
        <x:v>0.30000000000000004</x:v>
      </x:c>
      <x:c r="AZ142" s="40" t="n">
        <x:f>AS142*AX142*AY142</x:f>
        <x:v>-31281170.590011325</x:v>
      </x:c>
      <x:c r="BA142" s="40" t="n">
        <x:f>'Python_Trade_Output'!AZ142</x:f>
        <x:v>-31281170.590011325</x:v>
      </x:c>
      <x:c r="BB142" s="43" t="n">
        <x:f>AZ142-BA142</x:f>
        <x:v>0</x:v>
      </x:c>
    </x:row>
    <x:row r="143">
      <x:c r="A143" s="27" t="str">
        <x:f>'Inputs_Trades'!D143</x:f>
        <x:v>IND-000140</x:v>
      </x:c>
      <x:c r="B143" s="27" t="str">
        <x:f>'Inputs_Trades'!B143</x:f>
        <x:v>IND_INSURER_001</x:v>
      </x:c>
      <x:c r="C143" s="27" t="n">
        <x:f>'Inputs_Trades'!C143</x:f>
        <x:v>3048</x:v>
      </x:c>
      <x:c r="D143" s="27" t="str">
        <x:f>'Inputs_Trades'!E143</x:f>
        <x:v>Interest Rate FRA</x:v>
      </x:c>
      <x:c r="E143" s="27" t="str">
        <x:f>'Inputs_Trades'!F143</x:f>
        <x:v>Interest Rate</x:v>
      </x:c>
      <x:c r="F143" s="27" t="n">
        <x:f>'Inputs_Trades'!G143</x:f>
        <x:v>0</x:v>
      </x:c>
      <x:c r="G143" s="27" t="str">
        <x:f>'Inputs_Trades'!J143</x:f>
        <x:v>USD</x:v>
      </x:c>
      <x:c r="H143" s="27" t="str">
        <x:f>'Inputs_Trades'!H143</x:f>
        <x:v>USD</x:v>
      </x:c>
      <x:c r="I143" s="27" t="str">
        <x:f>'Inputs_Trades'!I143</x:f>
        <x:v>USD</x:v>
      </x:c>
      <x:c r="J143" s="27" t="str">
        <x:f>'Inputs_Trades'!M143</x:f>
        <x:v>USD</x:v>
      </x:c>
      <x:c r="K143" s="27" t="n">
        <x:f>'Inputs_Trades'!N143</x:f>
        <x:v>0</x:v>
      </x:c>
      <x:c r="L143" s="27" t="n">
        <x:f>'Inputs_Trades'!O143</x:f>
        <x:v>0</x:v>
      </x:c>
      <x:c r="M143" s="39" t="n">
        <x:f>'Inputs_Trades'!A143</x:f>
        <x:v>45702</x:v>
      </x:c>
      <x:c r="N143" s="39" t="n">
        <x:f>'Inputs_Trades'!P143</x:f>
        <x:v>45939</x:v>
      </x:c>
      <x:c r="O143" s="39" t="n">
        <x:f>'Inputs_Trades'!Q143</x:f>
        <x:v>45681</x:v>
      </x:c>
      <x:c r="P143" s="39" t="n">
        <x:f>'Inputs_Trades'!R143</x:f>
        <x:v>45939</x:v>
      </x:c>
      <x:c r="Q143" s="40" t="n">
        <x:f>'Inputs_Trades'!U143</x:f>
        <x:v>28200000</x:v>
      </x:c>
      <x:c r="R143" s="40" t="n">
        <x:f>'Inputs_Trades'!S143</x:f>
        <x:v>28200000</x:v>
      </x:c>
      <x:c r="S143" s="40" t="n">
        <x:f>'Inputs_Trades'!T143</x:f>
        <x:v>28200000</x:v>
      </x:c>
      <x:c r="T143" s="27" t="str">
        <x:f>'Inputs_Trades'!V143</x:f>
        <x:v>U</x:v>
      </x:c>
      <x:c r="U143" s="27" t="str">
        <x:f>'Inputs_Trades'!W143</x:f>
        <x:v>N</x:v>
      </x:c>
      <x:c r="V143" s="27" t="n">
        <x:f>'Inputs_Trades'!X143</x:f>
        <x:v>0</x:v>
      </x:c>
      <x:c r="W143" s="27" t="str">
        <x:f>'Inputs_Trades'!Y143</x:f>
        <x:v>S</x:v>
      </x:c>
      <x:c r="X143" s="27" t="n">
        <x:f>'Inputs_Trades'!AA143</x:f>
        <x:v>0</x:v>
      </x:c>
      <x:c r="Y143" s="27" t="n">
        <x:f>'Inputs_Trades'!AB143</x:f>
        <x:v>0</x:v>
      </x:c>
      <x:c r="Z143" s="27" t="n">
        <x:f>'Inputs_Trades'!AC143</x:f>
        <x:v>0</x:v>
      </x:c>
      <x:c r="AA143" s="39" t="n">
        <x:f>'Inputs_Trades'!Z143</x:f>
        <x:v>0</x:v>
      </x:c>
      <x:c r="AB143" s="40" t="n">
        <x:f>'Inputs_Trades'!AD143</x:f>
        <x:v>-47714.4</x:v>
      </x:c>
      <x:c r="AC143" s="27" t="n">
        <x:f>'Inputs_Trades'!K143</x:f>
        <x:v>0</x:v>
      </x:c>
      <x:c r="AD143" s="27" t="n">
        <x:f>N143-M143</x:f>
        <x:v>237</x:v>
      </x:c>
      <x:c r="AE143" s="41" t="n">
        <x:f>AD143/365</x:f>
        <x:v>0.6493150684931507</x:v>
      </x:c>
      <x:c r="AF143" s="27" t="str">
        <x:f>IF(AE143&lt;1,"&lt;1Y",IF(AE143&lt;=5,"1Y-5Y","&gt;5Y"))</x:f>
        <x:v>&lt;1Y</x:v>
      </x:c>
      <x:c r="AG143" s="27" t="str">
        <x:f>IF(E143="Commodity",IFERROR(VLOOKUP(F143,Parameters!$P$4:$Q$12,2,FALSE),"Other"),"")</x:f>
      </x:c>
      <x:c r="AH143" s="27" t="str">
        <x:f>IF(F143="","Unknown",F143)</x:f>
        <x:v>Unknown</x:v>
      </x:c>
      <x:c r="AI143" s="27" t="str">
        <x:f>IF(E143="Interest Rate",G143&amp;IF(OR(LOWER(AC143)="basis",LOWER(AC143)="volatility"),"_"&amp;AC143,""),IF(E143="FX",IF(H143&lt;I143,H143&amp;"/"&amp;I143,I143&amp;"/"&amp;H143)&amp;IF(OR(LOWER(AC143)="basis",LOWER(AC143)="volatility"),"_"&amp;AC143,""),IF(OR(E143="Credit",E143="Equity"),J143&amp;IF(OR(LOWER(AC143)="basis",LOWER(AC143)="volatility"),"_"&amp;AC143,""),IF(E143="Commodity",AG143&amp;IF(OR(LOWER(AC143)="basis",LOWER(AC143)="volatility"),"_"&amp;AC143,""),"UNKNOWN"))))</x:f>
        <x:v>USD</x:v>
      </x:c>
      <x:c r="AJ143" s="27" t="str">
        <x:f>T143</x:f>
        <x:v>U</x:v>
      </x:c>
      <x:c r="AK143" s="41" t="n">
        <x:f>IF(E143="Interest Rate",VLOOKUP("Interest Rate",Parameters!$D$4:$E$12,2,FALSE),IF(E143="FX",VLOOKUP("FX",Parameters!$D$4:$E$12,2,FALSE),IF(E143="Credit",IFERROR(VLOOKUP(L143,Parameters!$G$4:$H$12,2,FALSE),VLOOKUP("BBB",Parameters!$G$4:$H$12,2,FALSE)),IF(E143="Equity",VLOOKUP(IF(LOWER(K143)="index","Equity Index","Equity Single Name"),Parameters!$D$4:$E$12,2,FALSE),IF(E143="Commodity",VLOOKUP(IFERROR(VLOOKUP(F143,Parameters!$S$4:$T$12,2,FALSE),"Commodity Other"),Parameters!$D$4:$E$12,2,FALSE),0)))))</x:f>
        <x:v>0.005</x:v>
      </x:c>
      <x:c r="AL143" s="42" t="n">
        <x:f>IF(LOWER(AC143)="basis",Parameters!$B$8,IF(LOWER(AC143)="volatility",Parameters!$B$9,1))</x:f>
        <x:v>1</x:v>
      </x:c>
      <x:c r="AM143" s="41" t="n">
        <x:f>AK143*AL143</x:f>
        <x:v>0.005</x:v>
      </x:c>
      <x:c r="AN143" s="42" t="str">
        <x:f>IF(E143="Credit",VLOOKUP(IF(LOWER(K143)="index","Credit Index","Credit Single Name"),Parameters!$J$4:$K$8,2,FALSE),IF(E143="Equity",VLOOKUP(IF(LOWER(K143)="index","Equity Index","Equity Single Name"),Parameters!$J$4:$K$8,2,FALSE),IF(E143="Commodity",VLOOKUP("Commodity",Parameters!$J$4:$K$8,2,FALSE),"")))</x:f>
      </x:c>
      <x:c r="AO143" s="27" t="n">
        <x:f>MAX((O143-M143)/365,0)</x:f>
        <x:v>0</x:v>
      </x:c>
      <x:c r="AP143" s="27" t="n">
        <x:f>MAX((P143-M143)/365,10/Parameters!$B$6)</x:f>
        <x:v>0.6493150684931507</x:v>
      </x:c>
      <x:c r="AQ143" s="27" t="n">
        <x:f>IF(AP143&lt;=AO143,AO143+10/Parameters!$B$6,AP143)</x:f>
        <x:v>0.6493150684931507</x:v>
      </x:c>
      <x:c r="AR143" s="41" t="n">
        <x:f>IF(OR(E143="Interest Rate",E143="Credit"),(EXP(-Parameters!$B$7*AO143)-EXP(-Parameters!$B$7*AQ143))/Parameters!$B$7,1)</x:f>
        <x:v>0.6388879629452848</x:v>
      </x:c>
      <x:c r="AS143" s="40" t="n">
        <x:f>IF(OR(E143="Interest Rate",E143="Credit"),ABS(Q143)*AR143,IF(E143="FX",IF(Q143&gt;0,Q143,MAX(ABS(R143),ABS(S143),ABS(Q143))),ABS(Q143)))</x:f>
        <x:v>18016640.555057034</x:v>
      </x:c>
      <x:c r="AT143" s="42" t="n">
        <x:f>IF(OR(E143="Interest Rate",E143="FX"),VLOOKUP(E143,Parameters!$M$4:$N$11,2,FALSE),IF(E143="Credit",VLOOKUP(IF(LOWER(K143)="index","Credit Index","Credit Single Name"),Parameters!$M$4:$N$11,2,FALSE),IF(E143="Equity",VLOOKUP(IF(LOWER(K143)="index","Equity Index","Equity Single Name"),Parameters!$M$4:$N$11,2,FALSE),IF(E143="Commodity",VLOOKUP(IF(F143="Electricity","Commodity Electricity","Commodity Other"),Parameters!$M$4:$N$11,2,FALSE),1))))</x:f>
        <x:v>0.5</x:v>
      </x:c>
      <x:c r="AU143" s="27" t="n">
        <x:f>IF(W143="B",1,-1)</x:f>
        <x:v>-1</x:v>
      </x:c>
      <x:c r="AV143" s="27" t="n">
        <x:f>IF(OR(AA143="",M143=""),MAX(AE143,1/365),MAX((AA143-M143)/365,1/365))</x:f>
        <x:v>0.6493150684931507</x:v>
      </x:c>
      <x:c r="AW143" s="41" t="str">
        <x:f>IF(OR(Z143&lt;=0,Y143&lt;=0,AT143&lt;=0,AV143&lt;=0),"",(LN(Z143/Y143)+0.5*AT143^2*AV143)/(AT143*SQRT(AV143)))</x:f>
      </x:c>
      <x:c r="AX143" s="41" t="n">
        <x:f>IF(AND(X143&lt;&gt;"C",X143&lt;&gt;"P"),AU143,IF(AW143="",AU143,IF(X143="C",AU143*0.5*(1+ERF(AW143/SQRT(2))),-AU143*0.5*(1+ERF(-AW143/SQRT(2))))))</x:f>
        <x:v>-1</x:v>
      </x:c>
      <x:c r="AY143" s="41" t="n">
        <x:f>IF(AJ143="M",1.5*SQRT(MAX(IF(U143="Y",5,10),IF(V143="",10,V143))/Parameters!$B$6),SQRT(MIN(MAX(AE143,10/Parameters!$B$6),1)))</x:f>
        <x:v>0.8058008863814625</x:v>
      </x:c>
      <x:c r="AZ143" s="40" t="n">
        <x:f>AS143*AX143*AY143</x:f>
        <x:v>-14517824.928881163</x:v>
      </x:c>
      <x:c r="BA143" s="40" t="n">
        <x:f>'Python_Trade_Output'!AZ143</x:f>
        <x:v>-14517824.928881163</x:v>
      </x:c>
      <x:c r="BB143" s="43" t="n">
        <x:f>AZ143-BA143</x:f>
        <x:v>0</x:v>
      </x:c>
    </x:row>
    <x:row r="144">
      <x:c r="A144" s="27" t="str">
        <x:f>'Inputs_Trades'!D144</x:f>
        <x:v>IND-000141</x:v>
      </x:c>
      <x:c r="B144" s="27" t="str">
        <x:f>'Inputs_Trades'!B144</x:f>
        <x:v>IND_ASSET_MANAGER_001</x:v>
      </x:c>
      <x:c r="C144" s="27" t="n">
        <x:f>'Inputs_Trades'!C144</x:f>
        <x:v>3050</x:v>
      </x:c>
      <x:c r="D144" s="27" t="str">
        <x:f>'Inputs_Trades'!E144</x:f>
        <x:v>Interest Rate FRA</x:v>
      </x:c>
      <x:c r="E144" s="27" t="str">
        <x:f>'Inputs_Trades'!F144</x:f>
        <x:v>Interest Rate</x:v>
      </x:c>
      <x:c r="F144" s="27" t="n">
        <x:f>'Inputs_Trades'!G144</x:f>
        <x:v>0</x:v>
      </x:c>
      <x:c r="G144" s="27" t="str">
        <x:f>'Inputs_Trades'!J144</x:f>
        <x:v>CNY</x:v>
      </x:c>
      <x:c r="H144" s="27" t="str">
        <x:f>'Inputs_Trades'!H144</x:f>
        <x:v>CNY</x:v>
      </x:c>
      <x:c r="I144" s="27" t="str">
        <x:f>'Inputs_Trades'!I144</x:f>
        <x:v>CNY</x:v>
      </x:c>
      <x:c r="J144" s="27" t="str">
        <x:f>'Inputs_Trades'!M144</x:f>
        <x:v>CNY</x:v>
      </x:c>
      <x:c r="K144" s="27" t="n">
        <x:f>'Inputs_Trades'!N144</x:f>
        <x:v>0</x:v>
      </x:c>
      <x:c r="L144" s="27" t="n">
        <x:f>'Inputs_Trades'!O144</x:f>
        <x:v>0</x:v>
      </x:c>
      <x:c r="M144" s="39" t="n">
        <x:f>'Inputs_Trades'!A144</x:f>
        <x:v>45702</x:v>
      </x:c>
      <x:c r="N144" s="39" t="n">
        <x:f>'Inputs_Trades'!P144</x:f>
        <x:v>45975</x:v>
      </x:c>
      <x:c r="O144" s="39" t="n">
        <x:f>'Inputs_Trades'!Q144</x:f>
        <x:v>45034</x:v>
      </x:c>
      <x:c r="P144" s="39" t="n">
        <x:f>'Inputs_Trades'!R144</x:f>
        <x:v>45975</x:v>
      </x:c>
      <x:c r="Q144" s="40" t="n">
        <x:f>'Inputs_Trades'!U144</x:f>
        <x:v>52000000</x:v>
      </x:c>
      <x:c r="R144" s="40" t="n">
        <x:f>'Inputs_Trades'!S144</x:f>
        <x:v>371428571.43</x:v>
      </x:c>
      <x:c r="S144" s="40" t="n">
        <x:f>'Inputs_Trades'!T144</x:f>
        <x:v>371428571.43</x:v>
      </x:c>
      <x:c r="T144" s="27" t="str">
        <x:f>'Inputs_Trades'!V144</x:f>
        <x:v>M</x:v>
      </x:c>
      <x:c r="U144" s="27" t="str">
        <x:f>'Inputs_Trades'!W144</x:f>
        <x:v>Y</x:v>
      </x:c>
      <x:c r="V144" s="27" t="n">
        <x:f>'Inputs_Trades'!X144</x:f>
        <x:v>5</x:v>
      </x:c>
      <x:c r="W144" s="27" t="str">
        <x:f>'Inputs_Trades'!Y144</x:f>
        <x:v>S</x:v>
      </x:c>
      <x:c r="X144" s="27" t="n">
        <x:f>'Inputs_Trades'!AA144</x:f>
        <x:v>0</x:v>
      </x:c>
      <x:c r="Y144" s="27" t="n">
        <x:f>'Inputs_Trades'!AB144</x:f>
        <x:v>0</x:v>
      </x:c>
      <x:c r="Z144" s="27" t="n">
        <x:f>'Inputs_Trades'!AC144</x:f>
        <x:v>0</x:v>
      </x:c>
      <x:c r="AA144" s="39" t="n">
        <x:f>'Inputs_Trades'!Z144</x:f>
        <x:v>0</x:v>
      </x:c>
      <x:c r="AB144" s="40" t="n">
        <x:f>'Inputs_Trades'!AD144</x:f>
        <x:v>15600</x:v>
      </x:c>
      <x:c r="AC144" s="27" t="n">
        <x:f>'Inputs_Trades'!K144</x:f>
        <x:v>0</x:v>
      </x:c>
      <x:c r="AD144" s="27" t="n">
        <x:f>N144-M144</x:f>
        <x:v>273</x:v>
      </x:c>
      <x:c r="AE144" s="41" t="n">
        <x:f>AD144/365</x:f>
        <x:v>0.7479452054794521</x:v>
      </x:c>
      <x:c r="AF144" s="27" t="str">
        <x:f>IF(AE144&lt;1,"&lt;1Y",IF(AE144&lt;=5,"1Y-5Y","&gt;5Y"))</x:f>
        <x:v>&lt;1Y</x:v>
      </x:c>
      <x:c r="AG144" s="27" t="str">
        <x:f>IF(E144="Commodity",IFERROR(VLOOKUP(F144,Parameters!$P$4:$Q$12,2,FALSE),"Other"),"")</x:f>
      </x:c>
      <x:c r="AH144" s="27" t="str">
        <x:f>IF(F144="","Unknown",F144)</x:f>
        <x:v>Unknown</x:v>
      </x:c>
      <x:c r="AI144" s="27" t="str">
        <x:f>IF(E144="Interest Rate",G144&amp;IF(OR(LOWER(AC144)="basis",LOWER(AC144)="volatility"),"_"&amp;AC144,""),IF(E144="FX",IF(H144&lt;I144,H144&amp;"/"&amp;I144,I144&amp;"/"&amp;H144)&amp;IF(OR(LOWER(AC144)="basis",LOWER(AC144)="volatility"),"_"&amp;AC144,""),IF(OR(E144="Credit",E144="Equity"),J144&amp;IF(OR(LOWER(AC144)="basis",LOWER(AC144)="volatility"),"_"&amp;AC144,""),IF(E144="Commodity",AG144&amp;IF(OR(LOWER(AC144)="basis",LOWER(AC144)="volatility"),"_"&amp;AC144,""),"UNKNOWN"))))</x:f>
        <x:v>CNY</x:v>
      </x:c>
      <x:c r="AJ144" s="27" t="str">
        <x:f>T144</x:f>
        <x:v>M</x:v>
      </x:c>
      <x:c r="AK144" s="41" t="n">
        <x:f>IF(E144="Interest Rate",VLOOKUP("Interest Rate",Parameters!$D$4:$E$12,2,FALSE),IF(E144="FX",VLOOKUP("FX",Parameters!$D$4:$E$12,2,FALSE),IF(E144="Credit",IFERROR(VLOOKUP(L144,Parameters!$G$4:$H$12,2,FALSE),VLOOKUP("BBB",Parameters!$G$4:$H$12,2,FALSE)),IF(E144="Equity",VLOOKUP(IF(LOWER(K144)="index","Equity Index","Equity Single Name"),Parameters!$D$4:$E$12,2,FALSE),IF(E144="Commodity",VLOOKUP(IFERROR(VLOOKUP(F144,Parameters!$S$4:$T$12,2,FALSE),"Commodity Other"),Parameters!$D$4:$E$12,2,FALSE),0)))))</x:f>
        <x:v>0.005</x:v>
      </x:c>
      <x:c r="AL144" s="42" t="n">
        <x:f>IF(LOWER(AC144)="basis",Parameters!$B$8,IF(LOWER(AC144)="volatility",Parameters!$B$9,1))</x:f>
        <x:v>1</x:v>
      </x:c>
      <x:c r="AM144" s="41" t="n">
        <x:f>AK144*AL144</x:f>
        <x:v>0.005</x:v>
      </x:c>
      <x:c r="AN144" s="42" t="str">
        <x:f>IF(E144="Credit",VLOOKUP(IF(LOWER(K144)="index","Credit Index","Credit Single Name"),Parameters!$J$4:$K$8,2,FALSE),IF(E144="Equity",VLOOKUP(IF(LOWER(K144)="index","Equity Index","Equity Single Name"),Parameters!$J$4:$K$8,2,FALSE),IF(E144="Commodity",VLOOKUP("Commodity",Parameters!$J$4:$K$8,2,FALSE),"")))</x:f>
      </x:c>
      <x:c r="AO144" s="27" t="n">
        <x:f>MAX((O144-M144)/365,0)</x:f>
        <x:v>0</x:v>
      </x:c>
      <x:c r="AP144" s="27" t="n">
        <x:f>MAX((P144-M144)/365,10/Parameters!$B$6)</x:f>
        <x:v>0.7479452054794521</x:v>
      </x:c>
      <x:c r="AQ144" s="27" t="n">
        <x:f>IF(AP144&lt;=AO144,AO144+10/Parameters!$B$6,AP144)</x:f>
        <x:v>0.7479452054794521</x:v>
      </x:c>
      <x:c r="AR144" s="41" t="n">
        <x:f>IF(OR(E144="Interest Rate",E144="Credit"),(EXP(-Parameters!$B$7*AO144)-EXP(-Parameters!$B$7*AQ144))/Parameters!$B$7,1)</x:f>
        <x:v>0.7341323772988106</x:v>
      </x:c>
      <x:c r="AS144" s="40" t="n">
        <x:f>IF(OR(E144="Interest Rate",E144="Credit"),ABS(Q144)*AR144,IF(E144="FX",IF(Q144&gt;0,Q144,MAX(ABS(R144),ABS(S144),ABS(Q144))),ABS(Q144)))</x:f>
        <x:v>38174883.61953815</x:v>
      </x:c>
      <x:c r="AT144" s="42" t="n">
        <x:f>IF(OR(E144="Interest Rate",E144="FX"),VLOOKUP(E144,Parameters!$M$4:$N$11,2,FALSE),IF(E144="Credit",VLOOKUP(IF(LOWER(K144)="index","Credit Index","Credit Single Name"),Parameters!$M$4:$N$11,2,FALSE),IF(E144="Equity",VLOOKUP(IF(LOWER(K144)="index","Equity Index","Equity Single Name"),Parameters!$M$4:$N$11,2,FALSE),IF(E144="Commodity",VLOOKUP(IF(F144="Electricity","Commodity Electricity","Commodity Other"),Parameters!$M$4:$N$11,2,FALSE),1))))</x:f>
        <x:v>0.5</x:v>
      </x:c>
      <x:c r="AU144" s="27" t="n">
        <x:f>IF(W144="B",1,-1)</x:f>
        <x:v>-1</x:v>
      </x:c>
      <x:c r="AV144" s="27" t="n">
        <x:f>IF(OR(AA144="",M144=""),MAX(AE144,1/365),MAX((AA144-M144)/365,1/365))</x:f>
        <x:v>0.7479452054794521</x:v>
      </x:c>
      <x:c r="AW144" s="41" t="str">
        <x:f>IF(OR(Z144&lt;=0,Y144&lt;=0,AT144&lt;=0,AV144&lt;=0),"",(LN(Z144/Y144)+0.5*AT144^2*AV144)/(AT144*SQRT(AV144)))</x:f>
      </x:c>
      <x:c r="AX144" s="41" t="n">
        <x:f>IF(AND(X144&lt;&gt;"C",X144&lt;&gt;"P"),AU144,IF(AW144="",AU144,IF(X144="C",AU144*0.5*(1+ERF(AW144/SQRT(2))),-AU144*0.5*(1+ERF(-AW144/SQRT(2))))))</x:f>
        <x:v>-1</x:v>
      </x:c>
      <x:c r="AY144" s="41" t="n">
        <x:f>IF(AJ144="M",1.5*SQRT(MAX(IF(U144="Y",5,10),IF(V144="",10,V144))/Parameters!$B$6),SQRT(MIN(MAX(AE144,10/Parameters!$B$6),1)))</x:f>
        <x:v>0.21213203435596426</x:v>
      </x:c>
      <x:c r="AZ144" s="40" t="n">
        <x:f>AS144*AX144*AY144</x:f>
        <x:v>-8098115.723514804</x:v>
      </x:c>
      <x:c r="BA144" s="40" t="n">
        <x:f>'Python_Trade_Output'!AZ144</x:f>
        <x:v>-8098115.723514804</x:v>
      </x:c>
      <x:c r="BB144" s="43" t="n">
        <x:f>AZ144-BA144</x:f>
        <x:v>0</x:v>
      </x:c>
    </x:row>
    <x:row r="145">
      <x:c r="A145" s="27" t="str">
        <x:f>'Inputs_Trades'!D145</x:f>
        <x:v>IND-000142</x:v>
      </x:c>
      <x:c r="B145" s="27" t="str">
        <x:f>'Inputs_Trades'!B145</x:f>
        <x:v>IND_HEDGE_FUND_001</x:v>
      </x:c>
      <x:c r="C145" s="27" t="n">
        <x:f>'Inputs_Trades'!C145</x:f>
        <x:v>3345</x:v>
      </x:c>
      <x:c r="D145" s="27" t="str">
        <x:f>'Inputs_Trades'!E145</x:f>
        <x:v>Interest Rate FRA</x:v>
      </x:c>
      <x:c r="E145" s="27" t="str">
        <x:f>'Inputs_Trades'!F145</x:f>
        <x:v>Interest Rate</x:v>
      </x:c>
      <x:c r="F145" s="27" t="n">
        <x:f>'Inputs_Trades'!G145</x:f>
        <x:v>0</x:v>
      </x:c>
      <x:c r="G145" s="27" t="str">
        <x:f>'Inputs_Trades'!J145</x:f>
        <x:v>USD</x:v>
      </x:c>
      <x:c r="H145" s="27" t="str">
        <x:f>'Inputs_Trades'!H145</x:f>
        <x:v>USD</x:v>
      </x:c>
      <x:c r="I145" s="27" t="str">
        <x:f>'Inputs_Trades'!I145</x:f>
        <x:v>USD</x:v>
      </x:c>
      <x:c r="J145" s="27" t="str">
        <x:f>'Inputs_Trades'!M145</x:f>
        <x:v>USD</x:v>
      </x:c>
      <x:c r="K145" s="27" t="n">
        <x:f>'Inputs_Trades'!N145</x:f>
        <x:v>0</x:v>
      </x:c>
      <x:c r="L145" s="27" t="n">
        <x:f>'Inputs_Trades'!O145</x:f>
        <x:v>0</x:v>
      </x:c>
      <x:c r="M145" s="39" t="n">
        <x:f>'Inputs_Trades'!A145</x:f>
        <x:v>45702</x:v>
      </x:c>
      <x:c r="N145" s="39" t="n">
        <x:f>'Inputs_Trades'!P145</x:f>
        <x:v>46051</x:v>
      </x:c>
      <x:c r="O145" s="39" t="n">
        <x:f>'Inputs_Trades'!Q145</x:f>
        <x:v>44867</x:v>
      </x:c>
      <x:c r="P145" s="39" t="n">
        <x:f>'Inputs_Trades'!R145</x:f>
        <x:v>46051</x:v>
      </x:c>
      <x:c r="Q145" s="40" t="n">
        <x:f>'Inputs_Trades'!U145</x:f>
        <x:v>315000000</x:v>
      </x:c>
      <x:c r="R145" s="40" t="n">
        <x:f>'Inputs_Trades'!S145</x:f>
        <x:v>315000000</x:v>
      </x:c>
      <x:c r="S145" s="40" t="n">
        <x:f>'Inputs_Trades'!T145</x:f>
        <x:v>315000000</x:v>
      </x:c>
      <x:c r="T145" s="27" t="str">
        <x:f>'Inputs_Trades'!V145</x:f>
        <x:v>M</x:v>
      </x:c>
      <x:c r="U145" s="27" t="str">
        <x:f>'Inputs_Trades'!W145</x:f>
        <x:v>N</x:v>
      </x:c>
      <x:c r="V145" s="27" t="n">
        <x:f>'Inputs_Trades'!X145</x:f>
        <x:v>10</x:v>
      </x:c>
      <x:c r="W145" s="27" t="str">
        <x:f>'Inputs_Trades'!Y145</x:f>
        <x:v>B</x:v>
      </x:c>
      <x:c r="X145" s="27" t="n">
        <x:f>'Inputs_Trades'!AA145</x:f>
        <x:v>0</x:v>
      </x:c>
      <x:c r="Y145" s="27" t="n">
        <x:f>'Inputs_Trades'!AB145</x:f>
        <x:v>0</x:v>
      </x:c>
      <x:c r="Z145" s="27" t="n">
        <x:f>'Inputs_Trades'!AC145</x:f>
        <x:v>0</x:v>
      </x:c>
      <x:c r="AA145" s="39" t="n">
        <x:f>'Inputs_Trades'!Z145</x:f>
        <x:v>0</x:v>
      </x:c>
      <x:c r="AB145" s="40" t="n">
        <x:f>'Inputs_Trades'!AD145</x:f>
        <x:v>-1343790</x:v>
      </x:c>
      <x:c r="AC145" s="27" t="n">
        <x:f>'Inputs_Trades'!K145</x:f>
        <x:v>0</x:v>
      </x:c>
      <x:c r="AD145" s="27" t="n">
        <x:f>N145-M145</x:f>
        <x:v>349</x:v>
      </x:c>
      <x:c r="AE145" s="41" t="n">
        <x:f>AD145/365</x:f>
        <x:v>0.9561643835616438</x:v>
      </x:c>
      <x:c r="AF145" s="27" t="str">
        <x:f>IF(AE145&lt;1,"&lt;1Y",IF(AE145&lt;=5,"1Y-5Y","&gt;5Y"))</x:f>
        <x:v>&lt;1Y</x:v>
      </x:c>
      <x:c r="AG145" s="27" t="str">
        <x:f>IF(E145="Commodity",IFERROR(VLOOKUP(F145,Parameters!$P$4:$Q$12,2,FALSE),"Other"),"")</x:f>
      </x:c>
      <x:c r="AH145" s="27" t="str">
        <x:f>IF(F145="","Unknown",F145)</x:f>
        <x:v>Unknown</x:v>
      </x:c>
      <x:c r="AI145" s="27" t="str">
        <x:f>IF(E145="Interest Rate",G145&amp;IF(OR(LOWER(AC145)="basis",LOWER(AC145)="volatility"),"_"&amp;AC145,""),IF(E145="FX",IF(H145&lt;I145,H145&amp;"/"&amp;I145,I145&amp;"/"&amp;H145)&amp;IF(OR(LOWER(AC145)="basis",LOWER(AC145)="volatility"),"_"&amp;AC145,""),IF(OR(E145="Credit",E145="Equity"),J145&amp;IF(OR(LOWER(AC145)="basis",LOWER(AC145)="volatility"),"_"&amp;AC145,""),IF(E145="Commodity",AG145&amp;IF(OR(LOWER(AC145)="basis",LOWER(AC145)="volatility"),"_"&amp;AC145,""),"UNKNOWN"))))</x:f>
        <x:v>USD</x:v>
      </x:c>
      <x:c r="AJ145" s="27" t="str">
        <x:f>T145</x:f>
        <x:v>M</x:v>
      </x:c>
      <x:c r="AK145" s="41" t="n">
        <x:f>IF(E145="Interest Rate",VLOOKUP("Interest Rate",Parameters!$D$4:$E$12,2,FALSE),IF(E145="FX",VLOOKUP("FX",Parameters!$D$4:$E$12,2,FALSE),IF(E145="Credit",IFERROR(VLOOKUP(L145,Parameters!$G$4:$H$12,2,FALSE),VLOOKUP("BBB",Parameters!$G$4:$H$12,2,FALSE)),IF(E145="Equity",VLOOKUP(IF(LOWER(K145)="index","Equity Index","Equity Single Name"),Parameters!$D$4:$E$12,2,FALSE),IF(E145="Commodity",VLOOKUP(IFERROR(VLOOKUP(F145,Parameters!$S$4:$T$12,2,FALSE),"Commodity Other"),Parameters!$D$4:$E$12,2,FALSE),0)))))</x:f>
        <x:v>0.005</x:v>
      </x:c>
      <x:c r="AL145" s="42" t="n">
        <x:f>IF(LOWER(AC145)="basis",Parameters!$B$8,IF(LOWER(AC145)="volatility",Parameters!$B$9,1))</x:f>
        <x:v>1</x:v>
      </x:c>
      <x:c r="AM145" s="41" t="n">
        <x:f>AK145*AL145</x:f>
        <x:v>0.005</x:v>
      </x:c>
      <x:c r="AN145" s="42" t="str">
        <x:f>IF(E145="Credit",VLOOKUP(IF(LOWER(K145)="index","Credit Index","Credit Single Name"),Parameters!$J$4:$K$8,2,FALSE),IF(E145="Equity",VLOOKUP(IF(LOWER(K145)="index","Equity Index","Equity Single Name"),Parameters!$J$4:$K$8,2,FALSE),IF(E145="Commodity",VLOOKUP("Commodity",Parameters!$J$4:$K$8,2,FALSE),"")))</x:f>
      </x:c>
      <x:c r="AO145" s="27" t="n">
        <x:f>MAX((O145-M145)/365,0)</x:f>
        <x:v>0</x:v>
      </x:c>
      <x:c r="AP145" s="27" t="n">
        <x:f>MAX((P145-M145)/365,10/Parameters!$B$6)</x:f>
        <x:v>0.9561643835616438</x:v>
      </x:c>
      <x:c r="AQ145" s="27" t="n">
        <x:f>IF(AP145&lt;=AO145,AO145+10/Parameters!$B$6,AP145)</x:f>
        <x:v>0.9561643835616438</x:v>
      </x:c>
      <x:c r="AR145" s="41" t="n">
        <x:f>IF(OR(E145="Interest Rate",E145="Credit"),(EXP(-Parameters!$B$7*AO145)-EXP(-Parameters!$B$7*AQ145))/Parameters!$B$7,1)</x:f>
        <x:v>0.9336680522443297</x:v>
      </x:c>
      <x:c r="AS145" s="40" t="n">
        <x:f>IF(OR(E145="Interest Rate",E145="Credit"),ABS(Q145)*AR145,IF(E145="FX",IF(Q145&gt;0,Q145,MAX(ABS(R145),ABS(S145),ABS(Q145))),ABS(Q145)))</x:f>
        <x:v>294105436.45696384</x:v>
      </x:c>
      <x:c r="AT145" s="42" t="n">
        <x:f>IF(OR(E145="Interest Rate",E145="FX"),VLOOKUP(E145,Parameters!$M$4:$N$11,2,FALSE),IF(E145="Credit",VLOOKUP(IF(LOWER(K145)="index","Credit Index","Credit Single Name"),Parameters!$M$4:$N$11,2,FALSE),IF(E145="Equity",VLOOKUP(IF(LOWER(K145)="index","Equity Index","Equity Single Name"),Parameters!$M$4:$N$11,2,FALSE),IF(E145="Commodity",VLOOKUP(IF(F145="Electricity","Commodity Electricity","Commodity Other"),Parameters!$M$4:$N$11,2,FALSE),1))))</x:f>
        <x:v>0.5</x:v>
      </x:c>
      <x:c r="AU145" s="27" t="n">
        <x:f>IF(W145="B",1,-1)</x:f>
        <x:v>1</x:v>
      </x:c>
      <x:c r="AV145" s="27" t="n">
        <x:f>IF(OR(AA145="",M145=""),MAX(AE145,1/365),MAX((AA145-M145)/365,1/365))</x:f>
        <x:v>0.9561643835616438</x:v>
      </x:c>
      <x:c r="AW145" s="41" t="str">
        <x:f>IF(OR(Z145&lt;=0,Y145&lt;=0,AT145&lt;=0,AV145&lt;=0),"",(LN(Z145/Y145)+0.5*AT145^2*AV145)/(AT145*SQRT(AV145)))</x:f>
      </x:c>
      <x:c r="AX145" s="41" t="n">
        <x:f>IF(AND(X145&lt;&gt;"C",X145&lt;&gt;"P"),AU145,IF(AW145="",AU145,IF(X145="C",AU145*0.5*(1+ERF(AW145/SQRT(2))),-AU145*0.5*(1+ERF(-AW145/SQRT(2))))))</x:f>
        <x:v>1</x:v>
      </x:c>
      <x:c r="AY145" s="41" t="n">
        <x:f>IF(AJ145="M",1.5*SQRT(MAX(IF(U145="Y",5,10),IF(V145="",10,V145))/Parameters!$B$6),SQRT(MIN(MAX(AE145,10/Parameters!$B$6),1)))</x:f>
        <x:v>0.30000000000000004</x:v>
      </x:c>
      <x:c r="AZ145" s="40" t="n">
        <x:f>AS145*AX145*AY145</x:f>
        <x:v>88231630.93708916</x:v>
      </x:c>
      <x:c r="BA145" s="40" t="n">
        <x:f>'Python_Trade_Output'!AZ145</x:f>
        <x:v>88231630.93708916</x:v>
      </x:c>
      <x:c r="BB145" s="43" t="n">
        <x:f>AZ145-BA145</x:f>
        <x:v>0</x:v>
      </x:c>
    </x:row>
    <x:row r="146">
      <x:c r="A146" s="27" t="str">
        <x:f>'Inputs_Trades'!D146</x:f>
        <x:v>IND-000143</x:v>
      </x:c>
      <x:c r="B146" s="27" t="str">
        <x:f>'Inputs_Trades'!B146</x:f>
        <x:v>IND_CLEARING_MEMBER_001</x:v>
      </x:c>
      <x:c r="C146" s="27" t="n">
        <x:f>'Inputs_Trades'!C146</x:f>
        <x:v>3020</x:v>
      </x:c>
      <x:c r="D146" s="27" t="str">
        <x:f>'Inputs_Trades'!E146</x:f>
        <x:v>Interest Rate FRA</x:v>
      </x:c>
      <x:c r="E146" s="27" t="str">
        <x:f>'Inputs_Trades'!F146</x:f>
        <x:v>Interest Rate</x:v>
      </x:c>
      <x:c r="F146" s="27" t="n">
        <x:f>'Inputs_Trades'!G146</x:f>
        <x:v>0</x:v>
      </x:c>
      <x:c r="G146" s="27" t="str">
        <x:f>'Inputs_Trades'!J146</x:f>
        <x:v>USD</x:v>
      </x:c>
      <x:c r="H146" s="27" t="str">
        <x:f>'Inputs_Trades'!H146</x:f>
        <x:v>USD</x:v>
      </x:c>
      <x:c r="I146" s="27" t="str">
        <x:f>'Inputs_Trades'!I146</x:f>
        <x:v>USD</x:v>
      </x:c>
      <x:c r="J146" s="27" t="str">
        <x:f>'Inputs_Trades'!M146</x:f>
        <x:v>USD</x:v>
      </x:c>
      <x:c r="K146" s="27" t="n">
        <x:f>'Inputs_Trades'!N146</x:f>
        <x:v>0</x:v>
      </x:c>
      <x:c r="L146" s="27" t="n">
        <x:f>'Inputs_Trades'!O146</x:f>
        <x:v>0</x:v>
      </x:c>
      <x:c r="M146" s="39" t="n">
        <x:f>'Inputs_Trades'!A146</x:f>
        <x:v>45702</x:v>
      </x:c>
      <x:c r="N146" s="39" t="n">
        <x:f>'Inputs_Trades'!P146</x:f>
        <x:v>45980</x:v>
      </x:c>
      <x:c r="O146" s="39" t="n">
        <x:f>'Inputs_Trades'!Q146</x:f>
        <x:v>45259</x:v>
      </x:c>
      <x:c r="P146" s="39" t="n">
        <x:f>'Inputs_Trades'!R146</x:f>
        <x:v>45980</x:v>
      </x:c>
      <x:c r="Q146" s="40" t="n">
        <x:f>'Inputs_Trades'!U146</x:f>
        <x:v>21600000</x:v>
      </x:c>
      <x:c r="R146" s="40" t="n">
        <x:f>'Inputs_Trades'!S146</x:f>
        <x:v>21600000</x:v>
      </x:c>
      <x:c r="S146" s="40" t="n">
        <x:f>'Inputs_Trades'!T146</x:f>
        <x:v>21600000</x:v>
      </x:c>
      <x:c r="T146" s="27" t="str">
        <x:f>'Inputs_Trades'!V146</x:f>
        <x:v>M</x:v>
      </x:c>
      <x:c r="U146" s="27" t="str">
        <x:f>'Inputs_Trades'!W146</x:f>
        <x:v>N</x:v>
      </x:c>
      <x:c r="V146" s="27" t="n">
        <x:f>'Inputs_Trades'!X146</x:f>
        <x:v>10</x:v>
      </x:c>
      <x:c r="W146" s="27" t="str">
        <x:f>'Inputs_Trades'!Y146</x:f>
        <x:v>S</x:v>
      </x:c>
      <x:c r="X146" s="27" t="n">
        <x:f>'Inputs_Trades'!AA146</x:f>
        <x:v>0</x:v>
      </x:c>
      <x:c r="Y146" s="27" t="n">
        <x:f>'Inputs_Trades'!AB146</x:f>
        <x:v>0</x:v>
      </x:c>
      <x:c r="Z146" s="27" t="n">
        <x:f>'Inputs_Trades'!AC146</x:f>
        <x:v>0</x:v>
      </x:c>
      <x:c r="AA146" s="39" t="n">
        <x:f>'Inputs_Trades'!Z146</x:f>
        <x:v>0</x:v>
      </x:c>
      <x:c r="AB146" s="40" t="n">
        <x:f>'Inputs_Trades'!AD146</x:f>
        <x:v>119750.4</x:v>
      </x:c>
      <x:c r="AC146" s="27" t="n">
        <x:f>'Inputs_Trades'!K146</x:f>
        <x:v>0</x:v>
      </x:c>
      <x:c r="AD146" s="27" t="n">
        <x:f>N146-M146</x:f>
        <x:v>278</x:v>
      </x:c>
      <x:c r="AE146" s="41" t="n">
        <x:f>AD146/365</x:f>
        <x:v>0.7616438356164383</x:v>
      </x:c>
      <x:c r="AF146" s="27" t="str">
        <x:f>IF(AE146&lt;1,"&lt;1Y",IF(AE146&lt;=5,"1Y-5Y","&gt;5Y"))</x:f>
        <x:v>&lt;1Y</x:v>
      </x:c>
      <x:c r="AG146" s="27" t="str">
        <x:f>IF(E146="Commodity",IFERROR(VLOOKUP(F146,Parameters!$P$4:$Q$12,2,FALSE),"Other"),"")</x:f>
      </x:c>
      <x:c r="AH146" s="27" t="str">
        <x:f>IF(F146="","Unknown",F146)</x:f>
        <x:v>Unknown</x:v>
      </x:c>
      <x:c r="AI146" s="27" t="str">
        <x:f>IF(E146="Interest Rate",G146&amp;IF(OR(LOWER(AC146)="basis",LOWER(AC146)="volatility"),"_"&amp;AC146,""),IF(E146="FX",IF(H146&lt;I146,H146&amp;"/"&amp;I146,I146&amp;"/"&amp;H146)&amp;IF(OR(LOWER(AC146)="basis",LOWER(AC146)="volatility"),"_"&amp;AC146,""),IF(OR(E146="Credit",E146="Equity"),J146&amp;IF(OR(LOWER(AC146)="basis",LOWER(AC146)="volatility"),"_"&amp;AC146,""),IF(E146="Commodity",AG146&amp;IF(OR(LOWER(AC146)="basis",LOWER(AC146)="volatility"),"_"&amp;AC146,""),"UNKNOWN"))))</x:f>
        <x:v>USD</x:v>
      </x:c>
      <x:c r="AJ146" s="27" t="str">
        <x:f>T146</x:f>
        <x:v>M</x:v>
      </x:c>
      <x:c r="AK146" s="41" t="n">
        <x:f>IF(E146="Interest Rate",VLOOKUP("Interest Rate",Parameters!$D$4:$E$12,2,FALSE),IF(E146="FX",VLOOKUP("FX",Parameters!$D$4:$E$12,2,FALSE),IF(E146="Credit",IFERROR(VLOOKUP(L146,Parameters!$G$4:$H$12,2,FALSE),VLOOKUP("BBB",Parameters!$G$4:$H$12,2,FALSE)),IF(E146="Equity",VLOOKUP(IF(LOWER(K146)="index","Equity Index","Equity Single Name"),Parameters!$D$4:$E$12,2,FALSE),IF(E146="Commodity",VLOOKUP(IFERROR(VLOOKUP(F146,Parameters!$S$4:$T$12,2,FALSE),"Commodity Other"),Parameters!$D$4:$E$12,2,FALSE),0)))))</x:f>
        <x:v>0.005</x:v>
      </x:c>
      <x:c r="AL146" s="42" t="n">
        <x:f>IF(LOWER(AC146)="basis",Parameters!$B$8,IF(LOWER(AC146)="volatility",Parameters!$B$9,1))</x:f>
        <x:v>1</x:v>
      </x:c>
      <x:c r="AM146" s="41" t="n">
        <x:f>AK146*AL146</x:f>
        <x:v>0.005</x:v>
      </x:c>
      <x:c r="AN146" s="42" t="str">
        <x:f>IF(E146="Credit",VLOOKUP(IF(LOWER(K146)="index","Credit Index","Credit Single Name"),Parameters!$J$4:$K$8,2,FALSE),IF(E146="Equity",VLOOKUP(IF(LOWER(K146)="index","Equity Index","Equity Single Name"),Parameters!$J$4:$K$8,2,FALSE),IF(E146="Commodity",VLOOKUP("Commodity",Parameters!$J$4:$K$8,2,FALSE),"")))</x:f>
      </x:c>
      <x:c r="AO146" s="27" t="n">
        <x:f>MAX((O146-M146)/365,0)</x:f>
        <x:v>0</x:v>
      </x:c>
      <x:c r="AP146" s="27" t="n">
        <x:f>MAX((P146-M146)/365,10/Parameters!$B$6)</x:f>
        <x:v>0.7616438356164383</x:v>
      </x:c>
      <x:c r="AQ146" s="27" t="n">
        <x:f>IF(AP146&lt;=AO146,AO146+10/Parameters!$B$6,AP146)</x:f>
        <x:v>0.7616438356164383</x:v>
      </x:c>
      <x:c r="AR146" s="41" t="n">
        <x:f>IF(OR(E146="Interest Rate",E146="Credit"),(EXP(-Parameters!$B$7*AO146)-EXP(-Parameters!$B$7*AQ146))/Parameters!$B$7,1)</x:f>
        <x:v>0.7473236589624688</x:v>
      </x:c>
      <x:c r="AS146" s="40" t="n">
        <x:f>IF(OR(E146="Interest Rate",E146="Credit"),ABS(Q146)*AR146,IF(E146="FX",IF(Q146&gt;0,Q146,MAX(ABS(R146),ABS(S146),ABS(Q146))),ABS(Q146)))</x:f>
        <x:v>16142191.033589326</x:v>
      </x:c>
      <x:c r="AT146" s="42" t="n">
        <x:f>IF(OR(E146="Interest Rate",E146="FX"),VLOOKUP(E146,Parameters!$M$4:$N$11,2,FALSE),IF(E146="Credit",VLOOKUP(IF(LOWER(K146)="index","Credit Index","Credit Single Name"),Parameters!$M$4:$N$11,2,FALSE),IF(E146="Equity",VLOOKUP(IF(LOWER(K146)="index","Equity Index","Equity Single Name"),Parameters!$M$4:$N$11,2,FALSE),IF(E146="Commodity",VLOOKUP(IF(F146="Electricity","Commodity Electricity","Commodity Other"),Parameters!$M$4:$N$11,2,FALSE),1))))</x:f>
        <x:v>0.5</x:v>
      </x:c>
      <x:c r="AU146" s="27" t="n">
        <x:f>IF(W146="B",1,-1)</x:f>
        <x:v>-1</x:v>
      </x:c>
      <x:c r="AV146" s="27" t="n">
        <x:f>IF(OR(AA146="",M146=""),MAX(AE146,1/365),MAX((AA146-M146)/365,1/365))</x:f>
        <x:v>0.7616438356164383</x:v>
      </x:c>
      <x:c r="AW146" s="41" t="str">
        <x:f>IF(OR(Z146&lt;=0,Y146&lt;=0,AT146&lt;=0,AV146&lt;=0),"",(LN(Z146/Y146)+0.5*AT146^2*AV146)/(AT146*SQRT(AV146)))</x:f>
      </x:c>
      <x:c r="AX146" s="41" t="n">
        <x:f>IF(AND(X146&lt;&gt;"C",X146&lt;&gt;"P"),AU146,IF(AW146="",AU146,IF(X146="C",AU146*0.5*(1+ERF(AW146/SQRT(2))),-AU146*0.5*(1+ERF(-AW146/SQRT(2))))))</x:f>
        <x:v>-1</x:v>
      </x:c>
      <x:c r="AY146" s="41" t="n">
        <x:f>IF(AJ146="M",1.5*SQRT(MAX(IF(U146="Y",5,10),IF(V146="",10,V146))/Parameters!$B$6),SQRT(MIN(MAX(AE146,10/Parameters!$B$6),1)))</x:f>
        <x:v>0.30000000000000004</x:v>
      </x:c>
      <x:c r="AZ146" s="40" t="n">
        <x:f>AS146*AX146*AY146</x:f>
        <x:v>-4842657.310076798</x:v>
      </x:c>
      <x:c r="BA146" s="40" t="n">
        <x:f>'Python_Trade_Output'!AZ146</x:f>
        <x:v>-4842657.310076798</x:v>
      </x:c>
      <x:c r="BB146" s="43" t="n">
        <x:f>AZ146-BA146</x:f>
        <x:v>0</x:v>
      </x:c>
    </x:row>
    <x:row r="147">
      <x:c r="A147" s="27" t="str">
        <x:f>'Inputs_Trades'!D147</x:f>
        <x:v>IND-000144</x:v>
      </x:c>
      <x:c r="B147" s="27" t="str">
        <x:f>'Inputs_Trades'!B147</x:f>
        <x:v>IND_BROKER_001</x:v>
      </x:c>
      <x:c r="C147" s="27" t="n">
        <x:f>'Inputs_Trades'!C147</x:f>
        <x:v>3332</x:v>
      </x:c>
      <x:c r="D147" s="27" t="str">
        <x:f>'Inputs_Trades'!E147</x:f>
        <x:v>Interest Rate FRA</x:v>
      </x:c>
      <x:c r="E147" s="27" t="str">
        <x:f>'Inputs_Trades'!F147</x:f>
        <x:v>Interest Rate</x:v>
      </x:c>
      <x:c r="F147" s="27" t="n">
        <x:f>'Inputs_Trades'!G147</x:f>
        <x:v>0</x:v>
      </x:c>
      <x:c r="G147" s="27" t="str">
        <x:f>'Inputs_Trades'!J147</x:f>
        <x:v>EUR</x:v>
      </x:c>
      <x:c r="H147" s="27" t="str">
        <x:f>'Inputs_Trades'!H147</x:f>
        <x:v>EUR</x:v>
      </x:c>
      <x:c r="I147" s="27" t="str">
        <x:f>'Inputs_Trades'!I147</x:f>
        <x:v>EUR</x:v>
      </x:c>
      <x:c r="J147" s="27" t="str">
        <x:f>'Inputs_Trades'!M147</x:f>
        <x:v>EUR</x:v>
      </x:c>
      <x:c r="K147" s="27" t="n">
        <x:f>'Inputs_Trades'!N147</x:f>
        <x:v>0</x:v>
      </x:c>
      <x:c r="L147" s="27" t="n">
        <x:f>'Inputs_Trades'!O147</x:f>
        <x:v>0</x:v>
      </x:c>
      <x:c r="M147" s="39" t="n">
        <x:f>'Inputs_Trades'!A147</x:f>
        <x:v>45702</x:v>
      </x:c>
      <x:c r="N147" s="39" t="n">
        <x:f>'Inputs_Trades'!P147</x:f>
        <x:v>45950</x:v>
      </x:c>
      <x:c r="O147" s="39" t="n">
        <x:f>'Inputs_Trades'!Q147</x:f>
        <x:v>45177</x:v>
      </x:c>
      <x:c r="P147" s="39" t="n">
        <x:f>'Inputs_Trades'!R147</x:f>
        <x:v>45950</x:v>
      </x:c>
      <x:c r="Q147" s="40" t="n">
        <x:f>'Inputs_Trades'!U147</x:f>
        <x:v>13100000</x:v>
      </x:c>
      <x:c r="R147" s="40" t="n">
        <x:f>'Inputs_Trades'!S147</x:f>
        <x:v>12476190.48</x:v>
      </x:c>
      <x:c r="S147" s="40" t="n">
        <x:f>'Inputs_Trades'!T147</x:f>
        <x:v>12476190.48</x:v>
      </x:c>
      <x:c r="T147" s="27" t="str">
        <x:f>'Inputs_Trades'!V147</x:f>
        <x:v>M</x:v>
      </x:c>
      <x:c r="U147" s="27" t="str">
        <x:f>'Inputs_Trades'!W147</x:f>
        <x:v>N</x:v>
      </x:c>
      <x:c r="V147" s="27" t="n">
        <x:f>'Inputs_Trades'!X147</x:f>
        <x:v>10</x:v>
      </x:c>
      <x:c r="W147" s="27" t="str">
        <x:f>'Inputs_Trades'!Y147</x:f>
        <x:v>S</x:v>
      </x:c>
      <x:c r="X147" s="27" t="n">
        <x:f>'Inputs_Trades'!AA147</x:f>
        <x:v>0</x:v>
      </x:c>
      <x:c r="Y147" s="27" t="n">
        <x:f>'Inputs_Trades'!AB147</x:f>
        <x:v>0</x:v>
      </x:c>
      <x:c r="Z147" s="27" t="n">
        <x:f>'Inputs_Trades'!AC147</x:f>
        <x:v>0</x:v>
      </x:c>
      <x:c r="AA147" s="39" t="n">
        <x:f>'Inputs_Trades'!Z147</x:f>
        <x:v>0</x:v>
      </x:c>
      <x:c r="AB147" s="40" t="n">
        <x:f>'Inputs_Trades'!AD147</x:f>
        <x:v>28374.6</x:v>
      </x:c>
      <x:c r="AC147" s="27" t="n">
        <x:f>'Inputs_Trades'!K147</x:f>
        <x:v>0</x:v>
      </x:c>
      <x:c r="AD147" s="27" t="n">
        <x:f>N147-M147</x:f>
        <x:v>248</x:v>
      </x:c>
      <x:c r="AE147" s="41" t="n">
        <x:f>AD147/365</x:f>
        <x:v>0.6794520547945205</x:v>
      </x:c>
      <x:c r="AF147" s="27" t="str">
        <x:f>IF(AE147&lt;1,"&lt;1Y",IF(AE147&lt;=5,"1Y-5Y","&gt;5Y"))</x:f>
        <x:v>&lt;1Y</x:v>
      </x:c>
      <x:c r="AG147" s="27" t="str">
        <x:f>IF(E147="Commodity",IFERROR(VLOOKUP(F147,Parameters!$P$4:$Q$12,2,FALSE),"Other"),"")</x:f>
      </x:c>
      <x:c r="AH147" s="27" t="str">
        <x:f>IF(F147="","Unknown",F147)</x:f>
        <x:v>Unknown</x:v>
      </x:c>
      <x:c r="AI147" s="27" t="str">
        <x:f>IF(E147="Interest Rate",G147&amp;IF(OR(LOWER(AC147)="basis",LOWER(AC147)="volatility"),"_"&amp;AC147,""),IF(E147="FX",IF(H147&lt;I147,H147&amp;"/"&amp;I147,I147&amp;"/"&amp;H147)&amp;IF(OR(LOWER(AC147)="basis",LOWER(AC147)="volatility"),"_"&amp;AC147,""),IF(OR(E147="Credit",E147="Equity"),J147&amp;IF(OR(LOWER(AC147)="basis",LOWER(AC147)="volatility"),"_"&amp;AC147,""),IF(E147="Commodity",AG147&amp;IF(OR(LOWER(AC147)="basis",LOWER(AC147)="volatility"),"_"&amp;AC147,""),"UNKNOWN"))))</x:f>
        <x:v>EUR</x:v>
      </x:c>
      <x:c r="AJ147" s="27" t="str">
        <x:f>T147</x:f>
        <x:v>M</x:v>
      </x:c>
      <x:c r="AK147" s="41" t="n">
        <x:f>IF(E147="Interest Rate",VLOOKUP("Interest Rate",Parameters!$D$4:$E$12,2,FALSE),IF(E147="FX",VLOOKUP("FX",Parameters!$D$4:$E$12,2,FALSE),IF(E147="Credit",IFERROR(VLOOKUP(L147,Parameters!$G$4:$H$12,2,FALSE),VLOOKUP("BBB",Parameters!$G$4:$H$12,2,FALSE)),IF(E147="Equity",VLOOKUP(IF(LOWER(K147)="index","Equity Index","Equity Single Name"),Parameters!$D$4:$E$12,2,FALSE),IF(E147="Commodity",VLOOKUP(IFERROR(VLOOKUP(F147,Parameters!$S$4:$T$12,2,FALSE),"Commodity Other"),Parameters!$D$4:$E$12,2,FALSE),0)))))</x:f>
        <x:v>0.005</x:v>
      </x:c>
      <x:c r="AL147" s="42" t="n">
        <x:f>IF(LOWER(AC147)="basis",Parameters!$B$8,IF(LOWER(AC147)="volatility",Parameters!$B$9,1))</x:f>
        <x:v>1</x:v>
      </x:c>
      <x:c r="AM147" s="41" t="n">
        <x:f>AK147*AL147</x:f>
        <x:v>0.005</x:v>
      </x:c>
      <x:c r="AN147" s="42" t="str">
        <x:f>IF(E147="Credit",VLOOKUP(IF(LOWER(K147)="index","Credit Index","Credit Single Name"),Parameters!$J$4:$K$8,2,FALSE),IF(E147="Equity",VLOOKUP(IF(LOWER(K147)="index","Equity Index","Equity Single Name"),Parameters!$J$4:$K$8,2,FALSE),IF(E147="Commodity",VLOOKUP("Commodity",Parameters!$J$4:$K$8,2,FALSE),"")))</x:f>
      </x:c>
      <x:c r="AO147" s="27" t="n">
        <x:f>MAX((O147-M147)/365,0)</x:f>
        <x:v>0</x:v>
      </x:c>
      <x:c r="AP147" s="27" t="n">
        <x:f>MAX((P147-M147)/365,10/Parameters!$B$6)</x:f>
        <x:v>0.6794520547945205</x:v>
      </x:c>
      <x:c r="AQ147" s="27" t="n">
        <x:f>IF(AP147&lt;=AO147,AO147+10/Parameters!$B$6,AP147)</x:f>
        <x:v>0.6794520547945205</x:v>
      </x:c>
      <x:c r="AR147" s="41" t="n">
        <x:f>IF(OR(E147="Interest Rate",E147="Credit"),(EXP(-Parameters!$B$7*AO147)-EXP(-Parameters!$B$7*AQ147))/Parameters!$B$7,1)</x:f>
        <x:v>0.6680402717729006</x:v>
      </x:c>
      <x:c r="AS147" s="40" t="n">
        <x:f>IF(OR(E147="Interest Rate",E147="Credit"),ABS(Q147)*AR147,IF(E147="FX",IF(Q147&gt;0,Q147,MAX(ABS(R147),ABS(S147),ABS(Q147))),ABS(Q147)))</x:f>
        <x:v>8751327.560224997</x:v>
      </x:c>
      <x:c r="AT147" s="42" t="n">
        <x:f>IF(OR(E147="Interest Rate",E147="FX"),VLOOKUP(E147,Parameters!$M$4:$N$11,2,FALSE),IF(E147="Credit",VLOOKUP(IF(LOWER(K147)="index","Credit Index","Credit Single Name"),Parameters!$M$4:$N$11,2,FALSE),IF(E147="Equity",VLOOKUP(IF(LOWER(K147)="index","Equity Index","Equity Single Name"),Parameters!$M$4:$N$11,2,FALSE),IF(E147="Commodity",VLOOKUP(IF(F147="Electricity","Commodity Electricity","Commodity Other"),Parameters!$M$4:$N$11,2,FALSE),1))))</x:f>
        <x:v>0.5</x:v>
      </x:c>
      <x:c r="AU147" s="27" t="n">
        <x:f>IF(W147="B",1,-1)</x:f>
        <x:v>-1</x:v>
      </x:c>
      <x:c r="AV147" s="27" t="n">
        <x:f>IF(OR(AA147="",M147=""),MAX(AE147,1/365),MAX((AA147-M147)/365,1/365))</x:f>
        <x:v>0.6794520547945205</x:v>
      </x:c>
      <x:c r="AW147" s="41" t="str">
        <x:f>IF(OR(Z147&lt;=0,Y147&lt;=0,AT147&lt;=0,AV147&lt;=0),"",(LN(Z147/Y147)+0.5*AT147^2*AV147)/(AT147*SQRT(AV147)))</x:f>
      </x:c>
      <x:c r="AX147" s="41" t="n">
        <x:f>IF(AND(X147&lt;&gt;"C",X147&lt;&gt;"P"),AU147,IF(AW147="",AU147,IF(X147="C",AU147*0.5*(1+ERF(AW147/SQRT(2))),-AU147*0.5*(1+ERF(-AW147/SQRT(2))))))</x:f>
        <x:v>-1</x:v>
      </x:c>
      <x:c r="AY147" s="41" t="n">
        <x:f>IF(AJ147="M",1.5*SQRT(MAX(IF(U147="Y",5,10),IF(V147="",10,V147))/Parameters!$B$6),SQRT(MIN(MAX(AE147,10/Parameters!$B$6),1)))</x:f>
        <x:v>0.30000000000000004</x:v>
      </x:c>
      <x:c r="AZ147" s="40" t="n">
        <x:f>AS147*AX147*AY147</x:f>
        <x:v>-2625398.2680674996</x:v>
      </x:c>
      <x:c r="BA147" s="40" t="n">
        <x:f>'Python_Trade_Output'!AZ147</x:f>
        <x:v>-2625398.2680674996</x:v>
      </x:c>
      <x:c r="BB147" s="43" t="n">
        <x:f>AZ147-BA147</x:f>
        <x:v>0</x:v>
      </x:c>
    </x:row>
    <x:row r="148">
      <x:c r="A148" s="27" t="str">
        <x:f>'Inputs_Trades'!D148</x:f>
        <x:v>IND-000145</x:v>
      </x:c>
      <x:c r="B148" s="27" t="str">
        <x:f>'Inputs_Trades'!B148</x:f>
        <x:v>IND_HEDGE_FUND_001</x:v>
      </x:c>
      <x:c r="C148" s="27" t="n">
        <x:f>'Inputs_Trades'!C148</x:f>
        <x:v>3345</x:v>
      </x:c>
      <x:c r="D148" s="27" t="str">
        <x:f>'Inputs_Trades'!E148</x:f>
        <x:v>Interest Rate FRA</x:v>
      </x:c>
      <x:c r="E148" s="27" t="str">
        <x:f>'Inputs_Trades'!F148</x:f>
        <x:v>Interest Rate</x:v>
      </x:c>
      <x:c r="F148" s="27" t="n">
        <x:f>'Inputs_Trades'!G148</x:f>
        <x:v>0</x:v>
      </x:c>
      <x:c r="G148" s="27" t="str">
        <x:f>'Inputs_Trades'!J148</x:f>
        <x:v>USD</x:v>
      </x:c>
      <x:c r="H148" s="27" t="str">
        <x:f>'Inputs_Trades'!H148</x:f>
        <x:v>USD</x:v>
      </x:c>
      <x:c r="I148" s="27" t="str">
        <x:f>'Inputs_Trades'!I148</x:f>
        <x:v>USD</x:v>
      </x:c>
      <x:c r="J148" s="27" t="str">
        <x:f>'Inputs_Trades'!M148</x:f>
        <x:v>USD</x:v>
      </x:c>
      <x:c r="K148" s="27" t="n">
        <x:f>'Inputs_Trades'!N148</x:f>
        <x:v>0</x:v>
      </x:c>
      <x:c r="L148" s="27" t="n">
        <x:f>'Inputs_Trades'!O148</x:f>
        <x:v>0</x:v>
      </x:c>
      <x:c r="M148" s="39" t="n">
        <x:f>'Inputs_Trades'!A148</x:f>
        <x:v>45702</x:v>
      </x:c>
      <x:c r="N148" s="39" t="n">
        <x:f>'Inputs_Trades'!P148</x:f>
        <x:v>45929</x:v>
      </x:c>
      <x:c r="O148" s="39" t="n">
        <x:f>'Inputs_Trades'!Q148</x:f>
        <x:v>45175</x:v>
      </x:c>
      <x:c r="P148" s="39" t="n">
        <x:f>'Inputs_Trades'!R148</x:f>
        <x:v>45929</x:v>
      </x:c>
      <x:c r="Q148" s="40" t="n">
        <x:f>'Inputs_Trades'!U148</x:f>
        <x:v>594000000</x:v>
      </x:c>
      <x:c r="R148" s="40" t="n">
        <x:f>'Inputs_Trades'!S148</x:f>
        <x:v>594000000</x:v>
      </x:c>
      <x:c r="S148" s="40" t="n">
        <x:f>'Inputs_Trades'!T148</x:f>
        <x:v>594000000</x:v>
      </x:c>
      <x:c r="T148" s="27" t="str">
        <x:f>'Inputs_Trades'!V148</x:f>
        <x:v>M</x:v>
      </x:c>
      <x:c r="U148" s="27" t="str">
        <x:f>'Inputs_Trades'!W148</x:f>
        <x:v>Y</x:v>
      </x:c>
      <x:c r="V148" s="27" t="n">
        <x:f>'Inputs_Trades'!X148</x:f>
        <x:v>5</x:v>
      </x:c>
      <x:c r="W148" s="27" t="str">
        <x:f>'Inputs_Trades'!Y148</x:f>
        <x:v>S</x:v>
      </x:c>
      <x:c r="X148" s="27" t="n">
        <x:f>'Inputs_Trades'!AA148</x:f>
        <x:v>0</x:v>
      </x:c>
      <x:c r="Y148" s="27" t="n">
        <x:f>'Inputs_Trades'!AB148</x:f>
        <x:v>0</x:v>
      </x:c>
      <x:c r="Z148" s="27" t="n">
        <x:f>'Inputs_Trades'!AC148</x:f>
        <x:v>0</x:v>
      </x:c>
      <x:c r="AA148" s="39" t="n">
        <x:f>'Inputs_Trades'!Z148</x:f>
        <x:v>0</x:v>
      </x:c>
      <x:c r="AB148" s="40" t="n">
        <x:f>'Inputs_Trades'!AD148</x:f>
        <x:v>-912384</x:v>
      </x:c>
      <x:c r="AC148" s="27" t="n">
        <x:f>'Inputs_Trades'!K148</x:f>
        <x:v>0</x:v>
      </x:c>
      <x:c r="AD148" s="27" t="n">
        <x:f>N148-M148</x:f>
        <x:v>227</x:v>
      </x:c>
      <x:c r="AE148" s="41" t="n">
        <x:f>AD148/365</x:f>
        <x:v>0.6219178082191781</x:v>
      </x:c>
      <x:c r="AF148" s="27" t="str">
        <x:f>IF(AE148&lt;1,"&lt;1Y",IF(AE148&lt;=5,"1Y-5Y","&gt;5Y"))</x:f>
        <x:v>&lt;1Y</x:v>
      </x:c>
      <x:c r="AG148" s="27" t="str">
        <x:f>IF(E148="Commodity",IFERROR(VLOOKUP(F148,Parameters!$P$4:$Q$12,2,FALSE),"Other"),"")</x:f>
      </x:c>
      <x:c r="AH148" s="27" t="str">
        <x:f>IF(F148="","Unknown",F148)</x:f>
        <x:v>Unknown</x:v>
      </x:c>
      <x:c r="AI148" s="27" t="str">
        <x:f>IF(E148="Interest Rate",G148&amp;IF(OR(LOWER(AC148)="basis",LOWER(AC148)="volatility"),"_"&amp;AC148,""),IF(E148="FX",IF(H148&lt;I148,H148&amp;"/"&amp;I148,I148&amp;"/"&amp;H148)&amp;IF(OR(LOWER(AC148)="basis",LOWER(AC148)="volatility"),"_"&amp;AC148,""),IF(OR(E148="Credit",E148="Equity"),J148&amp;IF(OR(LOWER(AC148)="basis",LOWER(AC148)="volatility"),"_"&amp;AC148,""),IF(E148="Commodity",AG148&amp;IF(OR(LOWER(AC148)="basis",LOWER(AC148)="volatility"),"_"&amp;AC148,""),"UNKNOWN"))))</x:f>
        <x:v>USD</x:v>
      </x:c>
      <x:c r="AJ148" s="27" t="str">
        <x:f>T148</x:f>
        <x:v>M</x:v>
      </x:c>
      <x:c r="AK148" s="41" t="n">
        <x:f>IF(E148="Interest Rate",VLOOKUP("Interest Rate",Parameters!$D$4:$E$12,2,FALSE),IF(E148="FX",VLOOKUP("FX",Parameters!$D$4:$E$12,2,FALSE),IF(E148="Credit",IFERROR(VLOOKUP(L148,Parameters!$G$4:$H$12,2,FALSE),VLOOKUP("BBB",Parameters!$G$4:$H$12,2,FALSE)),IF(E148="Equity",VLOOKUP(IF(LOWER(K148)="index","Equity Index","Equity Single Name"),Parameters!$D$4:$E$12,2,FALSE),IF(E148="Commodity",VLOOKUP(IFERROR(VLOOKUP(F148,Parameters!$S$4:$T$12,2,FALSE),"Commodity Other"),Parameters!$D$4:$E$12,2,FALSE),0)))))</x:f>
        <x:v>0.005</x:v>
      </x:c>
      <x:c r="AL148" s="42" t="n">
        <x:f>IF(LOWER(AC148)="basis",Parameters!$B$8,IF(LOWER(AC148)="volatility",Parameters!$B$9,1))</x:f>
        <x:v>1</x:v>
      </x:c>
      <x:c r="AM148" s="41" t="n">
        <x:f>AK148*AL148</x:f>
        <x:v>0.005</x:v>
      </x:c>
      <x:c r="AN148" s="42" t="str">
        <x:f>IF(E148="Credit",VLOOKUP(IF(LOWER(K148)="index","Credit Index","Credit Single Name"),Parameters!$J$4:$K$8,2,FALSE),IF(E148="Equity",VLOOKUP(IF(LOWER(K148)="index","Equity Index","Equity Single Name"),Parameters!$J$4:$K$8,2,FALSE),IF(E148="Commodity",VLOOKUP("Commodity",Parameters!$J$4:$K$8,2,FALSE),"")))</x:f>
      </x:c>
      <x:c r="AO148" s="27" t="n">
        <x:f>MAX((O148-M148)/365,0)</x:f>
        <x:v>0</x:v>
      </x:c>
      <x:c r="AP148" s="27" t="n">
        <x:f>MAX((P148-M148)/365,10/Parameters!$B$6)</x:f>
        <x:v>0.6219178082191781</x:v>
      </x:c>
      <x:c r="AQ148" s="27" t="n">
        <x:f>IF(AP148&lt;=AO148,AO148+10/Parameters!$B$6,AP148)</x:f>
        <x:v>0.6219178082191781</x:v>
      </x:c>
      <x:c r="AR148" s="41" t="n">
        <x:f>IF(OR(E148="Interest Rate",E148="Credit"),(EXP(-Parameters!$B$7*AO148)-EXP(-Parameters!$B$7*AQ148))/Parameters!$B$7,1)</x:f>
        <x:v>0.6123477175616721</x:v>
      </x:c>
      <x:c r="AS148" s="40" t="n">
        <x:f>IF(OR(E148="Interest Rate",E148="Credit"),ABS(Q148)*AR148,IF(E148="FX",IF(Q148&gt;0,Q148,MAX(ABS(R148),ABS(S148),ABS(Q148))),ABS(Q148)))</x:f>
        <x:v>363734544.2316332</x:v>
      </x:c>
      <x:c r="AT148" s="42" t="n">
        <x:f>IF(OR(E148="Interest Rate",E148="FX"),VLOOKUP(E148,Parameters!$M$4:$N$11,2,FALSE),IF(E148="Credit",VLOOKUP(IF(LOWER(K148)="index","Credit Index","Credit Single Name"),Parameters!$M$4:$N$11,2,FALSE),IF(E148="Equity",VLOOKUP(IF(LOWER(K148)="index","Equity Index","Equity Single Name"),Parameters!$M$4:$N$11,2,FALSE),IF(E148="Commodity",VLOOKUP(IF(F148="Electricity","Commodity Electricity","Commodity Other"),Parameters!$M$4:$N$11,2,FALSE),1))))</x:f>
        <x:v>0.5</x:v>
      </x:c>
      <x:c r="AU148" s="27" t="n">
        <x:f>IF(W148="B",1,-1)</x:f>
        <x:v>-1</x:v>
      </x:c>
      <x:c r="AV148" s="27" t="n">
        <x:f>IF(OR(AA148="",M148=""),MAX(AE148,1/365),MAX((AA148-M148)/365,1/365))</x:f>
        <x:v>0.6219178082191781</x:v>
      </x:c>
      <x:c r="AW148" s="41" t="str">
        <x:f>IF(OR(Z148&lt;=0,Y148&lt;=0,AT148&lt;=0,AV148&lt;=0),"",(LN(Z148/Y148)+0.5*AT148^2*AV148)/(AT148*SQRT(AV148)))</x:f>
      </x:c>
      <x:c r="AX148" s="41" t="n">
        <x:f>IF(AND(X148&lt;&gt;"C",X148&lt;&gt;"P"),AU148,IF(AW148="",AU148,IF(X148="C",AU148*0.5*(1+ERF(AW148/SQRT(2))),-AU148*0.5*(1+ERF(-AW148/SQRT(2))))))</x:f>
        <x:v>-1</x:v>
      </x:c>
      <x:c r="AY148" s="41" t="n">
        <x:f>IF(AJ148="M",1.5*SQRT(MAX(IF(U148="Y",5,10),IF(V148="",10,V148))/Parameters!$B$6),SQRT(MIN(MAX(AE148,10/Parameters!$B$6),1)))</x:f>
        <x:v>0.21213203435596426</x:v>
      </x:c>
      <x:c r="AZ148" s="40" t="n">
        <x:f>AS148*AX148*AY148</x:f>
        <x:v>-77159748.83339581</x:v>
      </x:c>
      <x:c r="BA148" s="40" t="n">
        <x:f>'Python_Trade_Output'!AZ148</x:f>
        <x:v>-77159748.83339581</x:v>
      </x:c>
      <x:c r="BB148" s="43" t="n">
        <x:f>AZ148-BA148</x:f>
        <x:v>0</x:v>
      </x:c>
    </x:row>
    <x:row r="149">
      <x:c r="A149" s="27" t="str">
        <x:f>'Inputs_Trades'!D149</x:f>
        <x:v>IND-000146</x:v>
      </x:c>
      <x:c r="B149" s="27" t="str">
        <x:f>'Inputs_Trades'!B149</x:f>
        <x:v>IND_REGIONAL_BANK_001</x:v>
      </x:c>
      <x:c r="C149" s="27" t="n">
        <x:f>'Inputs_Trades'!C149</x:f>
        <x:v>3054</x:v>
      </x:c>
      <x:c r="D149" s="27" t="str">
        <x:f>'Inputs_Trades'!E149</x:f>
        <x:v>Interest Rate FRA</x:v>
      </x:c>
      <x:c r="E149" s="27" t="str">
        <x:f>'Inputs_Trades'!F149</x:f>
        <x:v>Interest Rate</x:v>
      </x:c>
      <x:c r="F149" s="27" t="n">
        <x:f>'Inputs_Trades'!G149</x:f>
        <x:v>0</x:v>
      </x:c>
      <x:c r="G149" s="27" t="str">
        <x:f>'Inputs_Trades'!J149</x:f>
        <x:v>EUR</x:v>
      </x:c>
      <x:c r="H149" s="27" t="str">
        <x:f>'Inputs_Trades'!H149</x:f>
        <x:v>EUR</x:v>
      </x:c>
      <x:c r="I149" s="27" t="str">
        <x:f>'Inputs_Trades'!I149</x:f>
        <x:v>EUR</x:v>
      </x:c>
      <x:c r="J149" s="27" t="str">
        <x:f>'Inputs_Trades'!M149</x:f>
        <x:v>EUR</x:v>
      </x:c>
      <x:c r="K149" s="27" t="n">
        <x:f>'Inputs_Trades'!N149</x:f>
        <x:v>0</x:v>
      </x:c>
      <x:c r="L149" s="27" t="n">
        <x:f>'Inputs_Trades'!O149</x:f>
        <x:v>0</x:v>
      </x:c>
      <x:c r="M149" s="39" t="n">
        <x:f>'Inputs_Trades'!A149</x:f>
        <x:v>45702</x:v>
      </x:c>
      <x:c r="N149" s="39" t="n">
        <x:f>'Inputs_Trades'!P149</x:f>
        <x:v>46043</x:v>
      </x:c>
      <x:c r="O149" s="39" t="n">
        <x:f>'Inputs_Trades'!Q149</x:f>
        <x:v>44832</x:v>
      </x:c>
      <x:c r="P149" s="39" t="n">
        <x:f>'Inputs_Trades'!R149</x:f>
        <x:v>46043</x:v>
      </x:c>
      <x:c r="Q149" s="40" t="n">
        <x:f>'Inputs_Trades'!U149</x:f>
        <x:v>502000000</x:v>
      </x:c>
      <x:c r="R149" s="40" t="n">
        <x:f>'Inputs_Trades'!S149</x:f>
        <x:v>478095238.1</x:v>
      </x:c>
      <x:c r="S149" s="40" t="n">
        <x:f>'Inputs_Trades'!T149</x:f>
        <x:v>478095238.1</x:v>
      </x:c>
      <x:c r="T149" s="27" t="str">
        <x:f>'Inputs_Trades'!V149</x:f>
        <x:v>U</x:v>
      </x:c>
      <x:c r="U149" s="27" t="str">
        <x:f>'Inputs_Trades'!W149</x:f>
        <x:v>N</x:v>
      </x:c>
      <x:c r="V149" s="27" t="n">
        <x:f>'Inputs_Trades'!X149</x:f>
        <x:v>0</x:v>
      </x:c>
      <x:c r="W149" s="27" t="str">
        <x:f>'Inputs_Trades'!Y149</x:f>
        <x:v>B</x:v>
      </x:c>
      <x:c r="X149" s="27" t="n">
        <x:f>'Inputs_Trades'!AA149</x:f>
        <x:v>0</x:v>
      </x:c>
      <x:c r="Y149" s="27" t="n">
        <x:f>'Inputs_Trades'!AB149</x:f>
        <x:v>0</x:v>
      </x:c>
      <x:c r="Z149" s="27" t="n">
        <x:f>'Inputs_Trades'!AC149</x:f>
        <x:v>0</x:v>
      </x:c>
      <x:c r="AA149" s="39" t="n">
        <x:f>'Inputs_Trades'!Z149</x:f>
        <x:v>0</x:v>
      </x:c>
      <x:c r="AB149" s="40" t="n">
        <x:f>'Inputs_Trades'!AD149</x:f>
        <x:v>370476</x:v>
      </x:c>
      <x:c r="AC149" s="27" t="n">
        <x:f>'Inputs_Trades'!K149</x:f>
        <x:v>0</x:v>
      </x:c>
      <x:c r="AD149" s="27" t="n">
        <x:f>N149-M149</x:f>
        <x:v>341</x:v>
      </x:c>
      <x:c r="AE149" s="41" t="n">
        <x:f>AD149/365</x:f>
        <x:v>0.9342465753424658</x:v>
      </x:c>
      <x:c r="AF149" s="27" t="str">
        <x:f>IF(AE149&lt;1,"&lt;1Y",IF(AE149&lt;=5,"1Y-5Y","&gt;5Y"))</x:f>
        <x:v>&lt;1Y</x:v>
      </x:c>
      <x:c r="AG149" s="27" t="str">
        <x:f>IF(E149="Commodity",IFERROR(VLOOKUP(F149,Parameters!$P$4:$Q$12,2,FALSE),"Other"),"")</x:f>
      </x:c>
      <x:c r="AH149" s="27" t="str">
        <x:f>IF(F149="","Unknown",F149)</x:f>
        <x:v>Unknown</x:v>
      </x:c>
      <x:c r="AI149" s="27" t="str">
        <x:f>IF(E149="Interest Rate",G149&amp;IF(OR(LOWER(AC149)="basis",LOWER(AC149)="volatility"),"_"&amp;AC149,""),IF(E149="FX",IF(H149&lt;I149,H149&amp;"/"&amp;I149,I149&amp;"/"&amp;H149)&amp;IF(OR(LOWER(AC149)="basis",LOWER(AC149)="volatility"),"_"&amp;AC149,""),IF(OR(E149="Credit",E149="Equity"),J149&amp;IF(OR(LOWER(AC149)="basis",LOWER(AC149)="volatility"),"_"&amp;AC149,""),IF(E149="Commodity",AG149&amp;IF(OR(LOWER(AC149)="basis",LOWER(AC149)="volatility"),"_"&amp;AC149,""),"UNKNOWN"))))</x:f>
        <x:v>EUR</x:v>
      </x:c>
      <x:c r="AJ149" s="27" t="str">
        <x:f>T149</x:f>
        <x:v>U</x:v>
      </x:c>
      <x:c r="AK149" s="41" t="n">
        <x:f>IF(E149="Interest Rate",VLOOKUP("Interest Rate",Parameters!$D$4:$E$12,2,FALSE),IF(E149="FX",VLOOKUP("FX",Parameters!$D$4:$E$12,2,FALSE),IF(E149="Credit",IFERROR(VLOOKUP(L149,Parameters!$G$4:$H$12,2,FALSE),VLOOKUP("BBB",Parameters!$G$4:$H$12,2,FALSE)),IF(E149="Equity",VLOOKUP(IF(LOWER(K149)="index","Equity Index","Equity Single Name"),Parameters!$D$4:$E$12,2,FALSE),IF(E149="Commodity",VLOOKUP(IFERROR(VLOOKUP(F149,Parameters!$S$4:$T$12,2,FALSE),"Commodity Other"),Parameters!$D$4:$E$12,2,FALSE),0)))))</x:f>
        <x:v>0.005</x:v>
      </x:c>
      <x:c r="AL149" s="42" t="n">
        <x:f>IF(LOWER(AC149)="basis",Parameters!$B$8,IF(LOWER(AC149)="volatility",Parameters!$B$9,1))</x:f>
        <x:v>1</x:v>
      </x:c>
      <x:c r="AM149" s="41" t="n">
        <x:f>AK149*AL149</x:f>
        <x:v>0.005</x:v>
      </x:c>
      <x:c r="AN149" s="42" t="str">
        <x:f>IF(E149="Credit",VLOOKUP(IF(LOWER(K149)="index","Credit Index","Credit Single Name"),Parameters!$J$4:$K$8,2,FALSE),IF(E149="Equity",VLOOKUP(IF(LOWER(K149)="index","Equity Index","Equity Single Name"),Parameters!$J$4:$K$8,2,FALSE),IF(E149="Commodity",VLOOKUP("Commodity",Parameters!$J$4:$K$8,2,FALSE),"")))</x:f>
      </x:c>
      <x:c r="AO149" s="27" t="n">
        <x:f>MAX((O149-M149)/365,0)</x:f>
        <x:v>0</x:v>
      </x:c>
      <x:c r="AP149" s="27" t="n">
        <x:f>MAX((P149-M149)/365,10/Parameters!$B$6)</x:f>
        <x:v>0.9342465753424658</x:v>
      </x:c>
      <x:c r="AQ149" s="27" t="n">
        <x:f>IF(AP149&lt;=AO149,AO149+10/Parameters!$B$6,AP149)</x:f>
        <x:v>0.9342465753424658</x:v>
      </x:c>
      <x:c r="AR149" s="41" t="n">
        <x:f>IF(OR(E149="Interest Rate",E149="Credit"),(EXP(-Parameters!$B$7*AO149)-EXP(-Parameters!$B$7*AQ149))/Parameters!$B$7,1)</x:f>
        <x:v>0.9127619886055949</x:v>
      </x:c>
      <x:c r="AS149" s="40" t="n">
        <x:f>IF(OR(E149="Interest Rate",E149="Credit"),ABS(Q149)*AR149,IF(E149="FX",IF(Q149&gt;0,Q149,MAX(ABS(R149),ABS(S149),ABS(Q149))),ABS(Q149)))</x:f>
        <x:v>458206518.2800086</x:v>
      </x:c>
      <x:c r="AT149" s="42" t="n">
        <x:f>IF(OR(E149="Interest Rate",E149="FX"),VLOOKUP(E149,Parameters!$M$4:$N$11,2,FALSE),IF(E149="Credit",VLOOKUP(IF(LOWER(K149)="index","Credit Index","Credit Single Name"),Parameters!$M$4:$N$11,2,FALSE),IF(E149="Equity",VLOOKUP(IF(LOWER(K149)="index","Equity Index","Equity Single Name"),Parameters!$M$4:$N$11,2,FALSE),IF(E149="Commodity",VLOOKUP(IF(F149="Electricity","Commodity Electricity","Commodity Other"),Parameters!$M$4:$N$11,2,FALSE),1))))</x:f>
        <x:v>0.5</x:v>
      </x:c>
      <x:c r="AU149" s="27" t="n">
        <x:f>IF(W149="B",1,-1)</x:f>
        <x:v>1</x:v>
      </x:c>
      <x:c r="AV149" s="27" t="n">
        <x:f>IF(OR(AA149="",M149=""),MAX(AE149,1/365),MAX((AA149-M149)/365,1/365))</x:f>
        <x:v>0.9342465753424658</x:v>
      </x:c>
      <x:c r="AW149" s="41" t="str">
        <x:f>IF(OR(Z149&lt;=0,Y149&lt;=0,AT149&lt;=0,AV149&lt;=0),"",(LN(Z149/Y149)+0.5*AT149^2*AV149)/(AT149*SQRT(AV149)))</x:f>
      </x:c>
      <x:c r="AX149" s="41" t="n">
        <x:f>IF(AND(X149&lt;&gt;"C",X149&lt;&gt;"P"),AU149,IF(AW149="",AU149,IF(X149="C",AU149*0.5*(1+ERF(AW149/SQRT(2))),-AU149*0.5*(1+ERF(-AW149/SQRT(2))))))</x:f>
        <x:v>1</x:v>
      </x:c>
      <x:c r="AY149" s="41" t="n">
        <x:f>IF(AJ149="M",1.5*SQRT(MAX(IF(U149="Y",5,10),IF(V149="",10,V149))/Parameters!$B$6),SQRT(MIN(MAX(AE149,10/Parameters!$B$6),1)))</x:f>
        <x:v>0.9665643151609032</x:v>
      </x:c>
      <x:c r="AZ149" s="40" t="n">
        <x:f>AS149*AX149*AY149</x:f>
        <x:v>442886069.54357845</x:v>
      </x:c>
      <x:c r="BA149" s="40" t="n">
        <x:f>'Python_Trade_Output'!AZ149</x:f>
        <x:v>442886069.54357845</x:v>
      </x:c>
      <x:c r="BB149" s="43" t="n">
        <x:f>AZ149-BA149</x:f>
        <x:v>0</x:v>
      </x:c>
    </x:row>
    <x:row r="150">
      <x:c r="A150" s="27" t="str">
        <x:f>'Inputs_Trades'!D150</x:f>
        <x:v>IND-000147</x:v>
      </x:c>
      <x:c r="B150" s="27" t="str">
        <x:f>'Inputs_Trades'!B150</x:f>
        <x:v>IND_PENSION_001</x:v>
      </x:c>
      <x:c r="C150" s="27" t="n">
        <x:f>'Inputs_Trades'!C150</x:f>
        <x:v>3103</x:v>
      </x:c>
      <x:c r="D150" s="27" t="str">
        <x:f>'Inputs_Trades'!E150</x:f>
        <x:v>Interest Rate FRA</x:v>
      </x:c>
      <x:c r="E150" s="27" t="str">
        <x:f>'Inputs_Trades'!F150</x:f>
        <x:v>Interest Rate</x:v>
      </x:c>
      <x:c r="F150" s="27" t="n">
        <x:f>'Inputs_Trades'!G150</x:f>
        <x:v>0</x:v>
      </x:c>
      <x:c r="G150" s="27" t="str">
        <x:f>'Inputs_Trades'!J150</x:f>
        <x:v>CNY</x:v>
      </x:c>
      <x:c r="H150" s="27" t="str">
        <x:f>'Inputs_Trades'!H150</x:f>
        <x:v>CNY</x:v>
      </x:c>
      <x:c r="I150" s="27" t="str">
        <x:f>'Inputs_Trades'!I150</x:f>
        <x:v>CNY</x:v>
      </x:c>
      <x:c r="J150" s="27" t="str">
        <x:f>'Inputs_Trades'!M150</x:f>
        <x:v>CNY</x:v>
      </x:c>
      <x:c r="K150" s="27" t="n">
        <x:f>'Inputs_Trades'!N150</x:f>
        <x:v>0</x:v>
      </x:c>
      <x:c r="L150" s="27" t="n">
        <x:f>'Inputs_Trades'!O150</x:f>
        <x:v>0</x:v>
      </x:c>
      <x:c r="M150" s="39" t="n">
        <x:f>'Inputs_Trades'!A150</x:f>
        <x:v>45702</x:v>
      </x:c>
      <x:c r="N150" s="39" t="n">
        <x:f>'Inputs_Trades'!P150</x:f>
        <x:v>45924</x:v>
      </x:c>
      <x:c r="O150" s="39" t="n">
        <x:f>'Inputs_Trades'!Q150</x:f>
        <x:v>45296</x:v>
      </x:c>
      <x:c r="P150" s="39" t="n">
        <x:f>'Inputs_Trades'!R150</x:f>
        <x:v>45924</x:v>
      </x:c>
      <x:c r="Q150" s="40" t="n">
        <x:f>'Inputs_Trades'!U150</x:f>
        <x:v>34200000</x:v>
      </x:c>
      <x:c r="R150" s="40" t="n">
        <x:f>'Inputs_Trades'!S150</x:f>
        <x:v>244285714.29</x:v>
      </x:c>
      <x:c r="S150" s="40" t="n">
        <x:f>'Inputs_Trades'!T150</x:f>
        <x:v>244285714.29</x:v>
      </x:c>
      <x:c r="T150" s="27" t="str">
        <x:f>'Inputs_Trades'!V150</x:f>
        <x:v>M</x:v>
      </x:c>
      <x:c r="U150" s="27" t="str">
        <x:f>'Inputs_Trades'!W150</x:f>
        <x:v>Y</x:v>
      </x:c>
      <x:c r="V150" s="27" t="n">
        <x:f>'Inputs_Trades'!X150</x:f>
        <x:v>5</x:v>
      </x:c>
      <x:c r="W150" s="27" t="str">
        <x:f>'Inputs_Trades'!Y150</x:f>
        <x:v>B</x:v>
      </x:c>
      <x:c r="X150" s="27" t="n">
        <x:f>'Inputs_Trades'!AA150</x:f>
        <x:v>0</x:v>
      </x:c>
      <x:c r="Y150" s="27" t="n">
        <x:f>'Inputs_Trades'!AB150</x:f>
        <x:v>0</x:v>
      </x:c>
      <x:c r="Z150" s="27" t="n">
        <x:f>'Inputs_Trades'!AC150</x:f>
        <x:v>0</x:v>
      </x:c>
      <x:c r="AA150" s="39" t="n">
        <x:f>'Inputs_Trades'!Z150</x:f>
        <x:v>0</x:v>
      </x:c>
      <x:c r="AB150" s="40" t="n">
        <x:f>'Inputs_Trades'!AD150</x:f>
        <x:v>-148564.8</x:v>
      </x:c>
      <x:c r="AC150" s="27" t="n">
        <x:f>'Inputs_Trades'!K150</x:f>
        <x:v>0</x:v>
      </x:c>
      <x:c r="AD150" s="27" t="n">
        <x:f>N150-M150</x:f>
        <x:v>222</x:v>
      </x:c>
      <x:c r="AE150" s="41" t="n">
        <x:f>AD150/365</x:f>
        <x:v>0.6082191780821918</x:v>
      </x:c>
      <x:c r="AF150" s="27" t="str">
        <x:f>IF(AE150&lt;1,"&lt;1Y",IF(AE150&lt;=5,"1Y-5Y","&gt;5Y"))</x:f>
        <x:v>&lt;1Y</x:v>
      </x:c>
      <x:c r="AG150" s="27" t="str">
        <x:f>IF(E150="Commodity",IFERROR(VLOOKUP(F150,Parameters!$P$4:$Q$12,2,FALSE),"Other"),"")</x:f>
      </x:c>
      <x:c r="AH150" s="27" t="str">
        <x:f>IF(F150="","Unknown",F150)</x:f>
        <x:v>Unknown</x:v>
      </x:c>
      <x:c r="AI150" s="27" t="str">
        <x:f>IF(E150="Interest Rate",G150&amp;IF(OR(LOWER(AC150)="basis",LOWER(AC150)="volatility"),"_"&amp;AC150,""),IF(E150="FX",IF(H150&lt;I150,H150&amp;"/"&amp;I150,I150&amp;"/"&amp;H150)&amp;IF(OR(LOWER(AC150)="basis",LOWER(AC150)="volatility"),"_"&amp;AC150,""),IF(OR(E150="Credit",E150="Equity"),J150&amp;IF(OR(LOWER(AC150)="basis",LOWER(AC150)="volatility"),"_"&amp;AC150,""),IF(E150="Commodity",AG150&amp;IF(OR(LOWER(AC150)="basis",LOWER(AC150)="volatility"),"_"&amp;AC150,""),"UNKNOWN"))))</x:f>
        <x:v>CNY</x:v>
      </x:c>
      <x:c r="AJ150" s="27" t="str">
        <x:f>T150</x:f>
        <x:v>M</x:v>
      </x:c>
      <x:c r="AK150" s="41" t="n">
        <x:f>IF(E150="Interest Rate",VLOOKUP("Interest Rate",Parameters!$D$4:$E$12,2,FALSE),IF(E150="FX",VLOOKUP("FX",Parameters!$D$4:$E$12,2,FALSE),IF(E150="Credit",IFERROR(VLOOKUP(L150,Parameters!$G$4:$H$12,2,FALSE),VLOOKUP("BBB",Parameters!$G$4:$H$12,2,FALSE)),IF(E150="Equity",VLOOKUP(IF(LOWER(K150)="index","Equity Index","Equity Single Name"),Parameters!$D$4:$E$12,2,FALSE),IF(E150="Commodity",VLOOKUP(IFERROR(VLOOKUP(F150,Parameters!$S$4:$T$12,2,FALSE),"Commodity Other"),Parameters!$D$4:$E$12,2,FALSE),0)))))</x:f>
        <x:v>0.005</x:v>
      </x:c>
      <x:c r="AL150" s="42" t="n">
        <x:f>IF(LOWER(AC150)="basis",Parameters!$B$8,IF(LOWER(AC150)="volatility",Parameters!$B$9,1))</x:f>
        <x:v>1</x:v>
      </x:c>
      <x:c r="AM150" s="41" t="n">
        <x:f>AK150*AL150</x:f>
        <x:v>0.005</x:v>
      </x:c>
      <x:c r="AN150" s="42" t="str">
        <x:f>IF(E150="Credit",VLOOKUP(IF(LOWER(K150)="index","Credit Index","Credit Single Name"),Parameters!$J$4:$K$8,2,FALSE),IF(E150="Equity",VLOOKUP(IF(LOWER(K150)="index","Equity Index","Equity Single Name"),Parameters!$J$4:$K$8,2,FALSE),IF(E150="Commodity",VLOOKUP("Commodity",Parameters!$J$4:$K$8,2,FALSE),"")))</x:f>
      </x:c>
      <x:c r="AO150" s="27" t="n">
        <x:f>MAX((O150-M150)/365,0)</x:f>
        <x:v>0</x:v>
      </x:c>
      <x:c r="AP150" s="27" t="n">
        <x:f>MAX((P150-M150)/365,10/Parameters!$B$6)</x:f>
        <x:v>0.6082191780821918</x:v>
      </x:c>
      <x:c r="AQ150" s="27" t="n">
        <x:f>IF(AP150&lt;=AO150,AO150+10/Parameters!$B$6,AP150)</x:f>
        <x:v>0.6082191780821918</x:v>
      </x:c>
      <x:c r="AR150" s="41" t="n">
        <x:f>IF(OR(E150="Interest Rate",E150="Credit"),(EXP(-Parameters!$B$7*AO150)-EXP(-Parameters!$B$7*AQ150))/Parameters!$B$7,1)</x:f>
        <x:v>0.5990639549551391</x:v>
      </x:c>
      <x:c r="AS150" s="40" t="n">
        <x:f>IF(OR(E150="Interest Rate",E150="Credit"),ABS(Q150)*AR150,IF(E150="FX",IF(Q150&gt;0,Q150,MAX(ABS(R150),ABS(S150),ABS(Q150))),ABS(Q150)))</x:f>
        <x:v>20487987.259465758</x:v>
      </x:c>
      <x:c r="AT150" s="42" t="n">
        <x:f>IF(OR(E150="Interest Rate",E150="FX"),VLOOKUP(E150,Parameters!$M$4:$N$11,2,FALSE),IF(E150="Credit",VLOOKUP(IF(LOWER(K150)="index","Credit Index","Credit Single Name"),Parameters!$M$4:$N$11,2,FALSE),IF(E150="Equity",VLOOKUP(IF(LOWER(K150)="index","Equity Index","Equity Single Name"),Parameters!$M$4:$N$11,2,FALSE),IF(E150="Commodity",VLOOKUP(IF(F150="Electricity","Commodity Electricity","Commodity Other"),Parameters!$M$4:$N$11,2,FALSE),1))))</x:f>
        <x:v>0.5</x:v>
      </x:c>
      <x:c r="AU150" s="27" t="n">
        <x:f>IF(W150="B",1,-1)</x:f>
        <x:v>1</x:v>
      </x:c>
      <x:c r="AV150" s="27" t="n">
        <x:f>IF(OR(AA150="",M150=""),MAX(AE150,1/365),MAX((AA150-M150)/365,1/365))</x:f>
        <x:v>0.6082191780821918</x:v>
      </x:c>
      <x:c r="AW150" s="41" t="str">
        <x:f>IF(OR(Z150&lt;=0,Y150&lt;=0,AT150&lt;=0,AV150&lt;=0),"",(LN(Z150/Y150)+0.5*AT150^2*AV150)/(AT150*SQRT(AV150)))</x:f>
      </x:c>
      <x:c r="AX150" s="41" t="n">
        <x:f>IF(AND(X150&lt;&gt;"C",X150&lt;&gt;"P"),AU150,IF(AW150="",AU150,IF(X150="C",AU150*0.5*(1+ERF(AW150/SQRT(2))),-AU150*0.5*(1+ERF(-AW150/SQRT(2))))))</x:f>
        <x:v>1</x:v>
      </x:c>
      <x:c r="AY150" s="41" t="n">
        <x:f>IF(AJ150="M",1.5*SQRT(MAX(IF(U150="Y",5,10),IF(V150="",10,V150))/Parameters!$B$6),SQRT(MIN(MAX(AE150,10/Parameters!$B$6),1)))</x:f>
        <x:v>0.21213203435596426</x:v>
      </x:c>
      <x:c r="AZ150" s="40" t="n">
        <x:f>AS150*AX150*AY150</x:f>
        <x:v>4346158.417209548</x:v>
      </x:c>
      <x:c r="BA150" s="40" t="n">
        <x:f>'Python_Trade_Output'!AZ150</x:f>
        <x:v>4346158.417209548</x:v>
      </x:c>
      <x:c r="BB150" s="43" t="n">
        <x:f>AZ150-BA150</x:f>
        <x:v>0</x:v>
      </x:c>
    </x:row>
    <x:row r="151">
      <x:c r="A151" s="27" t="str">
        <x:f>'Inputs_Trades'!D151</x:f>
        <x:v>IND-000148</x:v>
      </x:c>
      <x:c r="B151" s="27" t="str">
        <x:f>'Inputs_Trades'!B151</x:f>
        <x:v>IND_HEDGE_FUND_001</x:v>
      </x:c>
      <x:c r="C151" s="27" t="n">
        <x:f>'Inputs_Trades'!C151</x:f>
        <x:v>3345</x:v>
      </x:c>
      <x:c r="D151" s="27" t="str">
        <x:f>'Inputs_Trades'!E151</x:f>
        <x:v>Interest Rate FRA</x:v>
      </x:c>
      <x:c r="E151" s="27" t="str">
        <x:f>'Inputs_Trades'!F151</x:f>
        <x:v>Interest Rate</x:v>
      </x:c>
      <x:c r="F151" s="27" t="n">
        <x:f>'Inputs_Trades'!G151</x:f>
        <x:v>0</x:v>
      </x:c>
      <x:c r="G151" s="27" t="str">
        <x:f>'Inputs_Trades'!J151</x:f>
        <x:v>USD</x:v>
      </x:c>
      <x:c r="H151" s="27" t="str">
        <x:f>'Inputs_Trades'!H151</x:f>
        <x:v>USD</x:v>
      </x:c>
      <x:c r="I151" s="27" t="str">
        <x:f>'Inputs_Trades'!I151</x:f>
        <x:v>USD</x:v>
      </x:c>
      <x:c r="J151" s="27" t="str">
        <x:f>'Inputs_Trades'!M151</x:f>
        <x:v>USD</x:v>
      </x:c>
      <x:c r="K151" s="27" t="n">
        <x:f>'Inputs_Trades'!N151</x:f>
        <x:v>0</x:v>
      </x:c>
      <x:c r="L151" s="27" t="n">
        <x:f>'Inputs_Trades'!O151</x:f>
        <x:v>0</x:v>
      </x:c>
      <x:c r="M151" s="39" t="n">
        <x:f>'Inputs_Trades'!A151</x:f>
        <x:v>45702</x:v>
      </x:c>
      <x:c r="N151" s="39" t="n">
        <x:f>'Inputs_Trades'!P151</x:f>
        <x:v>46050</x:v>
      </x:c>
      <x:c r="O151" s="39" t="n">
        <x:f>'Inputs_Trades'!Q151</x:f>
        <x:v>44850</x:v>
      </x:c>
      <x:c r="P151" s="39" t="n">
        <x:f>'Inputs_Trades'!R151</x:f>
        <x:v>46050</x:v>
      </x:c>
      <x:c r="Q151" s="40" t="n">
        <x:f>'Inputs_Trades'!U151</x:f>
        <x:v>236000000</x:v>
      </x:c>
      <x:c r="R151" s="40" t="n">
        <x:f>'Inputs_Trades'!S151</x:f>
        <x:v>236000000</x:v>
      </x:c>
      <x:c r="S151" s="40" t="n">
        <x:f>'Inputs_Trades'!T151</x:f>
        <x:v>236000000</x:v>
      </x:c>
      <x:c r="T151" s="27" t="str">
        <x:f>'Inputs_Trades'!V151</x:f>
        <x:v>M</x:v>
      </x:c>
      <x:c r="U151" s="27" t="str">
        <x:f>'Inputs_Trades'!W151</x:f>
        <x:v>N</x:v>
      </x:c>
      <x:c r="V151" s="27" t="n">
        <x:f>'Inputs_Trades'!X151</x:f>
        <x:v>10</x:v>
      </x:c>
      <x:c r="W151" s="27" t="str">
        <x:f>'Inputs_Trades'!Y151</x:f>
        <x:v>B</x:v>
      </x:c>
      <x:c r="X151" s="27" t="n">
        <x:f>'Inputs_Trades'!AA151</x:f>
        <x:v>0</x:v>
      </x:c>
      <x:c r="Y151" s="27" t="n">
        <x:f>'Inputs_Trades'!AB151</x:f>
        <x:v>0</x:v>
      </x:c>
      <x:c r="Z151" s="27" t="n">
        <x:f>'Inputs_Trades'!AC151</x:f>
        <x:v>0</x:v>
      </x:c>
      <x:c r="AA151" s="39" t="n">
        <x:f>'Inputs_Trades'!Z151</x:f>
        <x:v>0</x:v>
      </x:c>
      <x:c r="AB151" s="40" t="n">
        <x:f>'Inputs_Trades'!AD151</x:f>
        <x:v>465864</x:v>
      </x:c>
      <x:c r="AC151" s="27" t="n">
        <x:f>'Inputs_Trades'!K151</x:f>
        <x:v>0</x:v>
      </x:c>
      <x:c r="AD151" s="27" t="n">
        <x:f>N151-M151</x:f>
        <x:v>348</x:v>
      </x:c>
      <x:c r="AE151" s="41" t="n">
        <x:f>AD151/365</x:f>
        <x:v>0.9534246575342465</x:v>
      </x:c>
      <x:c r="AF151" s="27" t="str">
        <x:f>IF(AE151&lt;1,"&lt;1Y",IF(AE151&lt;=5,"1Y-5Y","&gt;5Y"))</x:f>
        <x:v>&lt;1Y</x:v>
      </x:c>
      <x:c r="AG151" s="27" t="str">
        <x:f>IF(E151="Commodity",IFERROR(VLOOKUP(F151,Parameters!$P$4:$Q$12,2,FALSE),"Other"),"")</x:f>
      </x:c>
      <x:c r="AH151" s="27" t="str">
        <x:f>IF(F151="","Unknown",F151)</x:f>
        <x:v>Unknown</x:v>
      </x:c>
      <x:c r="AI151" s="27" t="str">
        <x:f>IF(E151="Interest Rate",G151&amp;IF(OR(LOWER(AC151)="basis",LOWER(AC151)="volatility"),"_"&amp;AC151,""),IF(E151="FX",IF(H151&lt;I151,H151&amp;"/"&amp;I151,I151&amp;"/"&amp;H151)&amp;IF(OR(LOWER(AC151)="basis",LOWER(AC151)="volatility"),"_"&amp;AC151,""),IF(OR(E151="Credit",E151="Equity"),J151&amp;IF(OR(LOWER(AC151)="basis",LOWER(AC151)="volatility"),"_"&amp;AC151,""),IF(E151="Commodity",AG151&amp;IF(OR(LOWER(AC151)="basis",LOWER(AC151)="volatility"),"_"&amp;AC151,""),"UNKNOWN"))))</x:f>
        <x:v>USD</x:v>
      </x:c>
      <x:c r="AJ151" s="27" t="str">
        <x:f>T151</x:f>
        <x:v>M</x:v>
      </x:c>
      <x:c r="AK151" s="41" t="n">
        <x:f>IF(E151="Interest Rate",VLOOKUP("Interest Rate",Parameters!$D$4:$E$12,2,FALSE),IF(E151="FX",VLOOKUP("FX",Parameters!$D$4:$E$12,2,FALSE),IF(E151="Credit",IFERROR(VLOOKUP(L151,Parameters!$G$4:$H$12,2,FALSE),VLOOKUP("BBB",Parameters!$G$4:$H$12,2,FALSE)),IF(E151="Equity",VLOOKUP(IF(LOWER(K151)="index","Equity Index","Equity Single Name"),Parameters!$D$4:$E$12,2,FALSE),IF(E151="Commodity",VLOOKUP(IFERROR(VLOOKUP(F151,Parameters!$S$4:$T$12,2,FALSE),"Commodity Other"),Parameters!$D$4:$E$12,2,FALSE),0)))))</x:f>
        <x:v>0.005</x:v>
      </x:c>
      <x:c r="AL151" s="42" t="n">
        <x:f>IF(LOWER(AC151)="basis",Parameters!$B$8,IF(LOWER(AC151)="volatility",Parameters!$B$9,1))</x:f>
        <x:v>1</x:v>
      </x:c>
      <x:c r="AM151" s="41" t="n">
        <x:f>AK151*AL151</x:f>
        <x:v>0.005</x:v>
      </x:c>
      <x:c r="AN151" s="42" t="str">
        <x:f>IF(E151="Credit",VLOOKUP(IF(LOWER(K151)="index","Credit Index","Credit Single Name"),Parameters!$J$4:$K$8,2,FALSE),IF(E151="Equity",VLOOKUP(IF(LOWER(K151)="index","Equity Index","Equity Single Name"),Parameters!$J$4:$K$8,2,FALSE),IF(E151="Commodity",VLOOKUP("Commodity",Parameters!$J$4:$K$8,2,FALSE),"")))</x:f>
      </x:c>
      <x:c r="AO151" s="27" t="n">
        <x:f>MAX((O151-M151)/365,0)</x:f>
        <x:v>0</x:v>
      </x:c>
      <x:c r="AP151" s="27" t="n">
        <x:f>MAX((P151-M151)/365,10/Parameters!$B$6)</x:f>
        <x:v>0.9534246575342465</x:v>
      </x:c>
      <x:c r="AQ151" s="27" t="n">
        <x:f>IF(AP151&lt;=AO151,AO151+10/Parameters!$B$6,AP151)</x:f>
        <x:v>0.9534246575342465</x:v>
      </x:c>
      <x:c r="AR151" s="41" t="n">
        <x:f>IF(OR(E151="Interest Rate",E151="Credit"),(EXP(-Parameters!$B$7*AO151)-EXP(-Parameters!$B$7*AQ151))/Parameters!$B$7,1)</x:f>
        <x:v>0.9310560470497342</x:v>
      </x:c>
      <x:c r="AS151" s="40" t="n">
        <x:f>IF(OR(E151="Interest Rate",E151="Credit"),ABS(Q151)*AR151,IF(E151="FX",IF(Q151&gt;0,Q151,MAX(ABS(R151),ABS(S151),ABS(Q151))),ABS(Q151)))</x:f>
        <x:v>219729227.10373726</x:v>
      </x:c>
      <x:c r="AT151" s="42" t="n">
        <x:f>IF(OR(E151="Interest Rate",E151="FX"),VLOOKUP(E151,Parameters!$M$4:$N$11,2,FALSE),IF(E151="Credit",VLOOKUP(IF(LOWER(K151)="index","Credit Index","Credit Single Name"),Parameters!$M$4:$N$11,2,FALSE),IF(E151="Equity",VLOOKUP(IF(LOWER(K151)="index","Equity Index","Equity Single Name"),Parameters!$M$4:$N$11,2,FALSE),IF(E151="Commodity",VLOOKUP(IF(F151="Electricity","Commodity Electricity","Commodity Other"),Parameters!$M$4:$N$11,2,FALSE),1))))</x:f>
        <x:v>0.5</x:v>
      </x:c>
      <x:c r="AU151" s="27" t="n">
        <x:f>IF(W151="B",1,-1)</x:f>
        <x:v>1</x:v>
      </x:c>
      <x:c r="AV151" s="27" t="n">
        <x:f>IF(OR(AA151="",M151=""),MAX(AE151,1/365),MAX((AA151-M151)/365,1/365))</x:f>
        <x:v>0.9534246575342465</x:v>
      </x:c>
      <x:c r="AW151" s="41" t="str">
        <x:f>IF(OR(Z151&lt;=0,Y151&lt;=0,AT151&lt;=0,AV151&lt;=0),"",(LN(Z151/Y151)+0.5*AT151^2*AV151)/(AT151*SQRT(AV151)))</x:f>
      </x:c>
      <x:c r="AX151" s="41" t="n">
        <x:f>IF(AND(X151&lt;&gt;"C",X151&lt;&gt;"P"),AU151,IF(AW151="",AU151,IF(X151="C",AU151*0.5*(1+ERF(AW151/SQRT(2))),-AU151*0.5*(1+ERF(-AW151/SQRT(2))))))</x:f>
        <x:v>1</x:v>
      </x:c>
      <x:c r="AY151" s="41" t="n">
        <x:f>IF(AJ151="M",1.5*SQRT(MAX(IF(U151="Y",5,10),IF(V151="",10,V151))/Parameters!$B$6),SQRT(MIN(MAX(AE151,10/Parameters!$B$6),1)))</x:f>
        <x:v>0.30000000000000004</x:v>
      </x:c>
      <x:c r="AZ151" s="40" t="n">
        <x:f>AS151*AX151*AY151</x:f>
        <x:v>65918768.13112119</x:v>
      </x:c>
      <x:c r="BA151" s="40" t="n">
        <x:f>'Python_Trade_Output'!AZ151</x:f>
        <x:v>65918768.13112119</x:v>
      </x:c>
      <x:c r="BB151" s="43" t="n">
        <x:f>AZ151-BA151</x:f>
        <x:v>0</x:v>
      </x:c>
    </x:row>
    <x:row r="152">
      <x:c r="A152" s="27" t="str">
        <x:f>'Inputs_Trades'!D152</x:f>
        <x:v>IND-000149</x:v>
      </x:c>
      <x:c r="B152" s="27" t="str">
        <x:f>'Inputs_Trades'!B152</x:f>
        <x:v>IND_ASSET_MANAGER_001</x:v>
      </x:c>
      <x:c r="C152" s="27" t="n">
        <x:f>'Inputs_Trades'!C152</x:f>
        <x:v>3050</x:v>
      </x:c>
      <x:c r="D152" s="27" t="str">
        <x:f>'Inputs_Trades'!E152</x:f>
        <x:v>Interest Rate FRA</x:v>
      </x:c>
      <x:c r="E152" s="27" t="str">
        <x:f>'Inputs_Trades'!F152</x:f>
        <x:v>Interest Rate</x:v>
      </x:c>
      <x:c r="F152" s="27" t="n">
        <x:f>'Inputs_Trades'!G152</x:f>
        <x:v>0</x:v>
      </x:c>
      <x:c r="G152" s="27" t="str">
        <x:f>'Inputs_Trades'!J152</x:f>
        <x:v>CNY</x:v>
      </x:c>
      <x:c r="H152" s="27" t="str">
        <x:f>'Inputs_Trades'!H152</x:f>
        <x:v>CNY</x:v>
      </x:c>
      <x:c r="I152" s="27" t="str">
        <x:f>'Inputs_Trades'!I152</x:f>
        <x:v>CNY</x:v>
      </x:c>
      <x:c r="J152" s="27" t="str">
        <x:f>'Inputs_Trades'!M152</x:f>
        <x:v>CNY</x:v>
      </x:c>
      <x:c r="K152" s="27" t="n">
        <x:f>'Inputs_Trades'!N152</x:f>
        <x:v>0</x:v>
      </x:c>
      <x:c r="L152" s="27" t="n">
        <x:f>'Inputs_Trades'!O152</x:f>
        <x:v>0</x:v>
      </x:c>
      <x:c r="M152" s="39" t="n">
        <x:f>'Inputs_Trades'!A152</x:f>
        <x:v>45702</x:v>
      </x:c>
      <x:c r="N152" s="39" t="n">
        <x:f>'Inputs_Trades'!P152</x:f>
        <x:v>45862</x:v>
      </x:c>
      <x:c r="O152" s="39" t="n">
        <x:f>'Inputs_Trades'!Q152</x:f>
        <x:v>45163</x:v>
      </x:c>
      <x:c r="P152" s="39" t="n">
        <x:f>'Inputs_Trades'!R152</x:f>
        <x:v>45862</x:v>
      </x:c>
      <x:c r="Q152" s="40" t="n">
        <x:f>'Inputs_Trades'!U152</x:f>
        <x:v>25300000</x:v>
      </x:c>
      <x:c r="R152" s="40" t="n">
        <x:f>'Inputs_Trades'!S152</x:f>
        <x:v>180714285.71</x:v>
      </x:c>
      <x:c r="S152" s="40" t="n">
        <x:f>'Inputs_Trades'!T152</x:f>
        <x:v>180714285.71</x:v>
      </x:c>
      <x:c r="T152" s="27" t="str">
        <x:f>'Inputs_Trades'!V152</x:f>
        <x:v>M</x:v>
      </x:c>
      <x:c r="U152" s="27" t="str">
        <x:f>'Inputs_Trades'!W152</x:f>
        <x:v>N</x:v>
      </x:c>
      <x:c r="V152" s="27" t="n">
        <x:f>'Inputs_Trades'!X152</x:f>
        <x:v>10</x:v>
      </x:c>
      <x:c r="W152" s="27" t="str">
        <x:f>'Inputs_Trades'!Y152</x:f>
        <x:v>B</x:v>
      </x:c>
      <x:c r="X152" s="27" t="n">
        <x:f>'Inputs_Trades'!AA152</x:f>
        <x:v>0</x:v>
      </x:c>
      <x:c r="Y152" s="27" t="n">
        <x:f>'Inputs_Trades'!AB152</x:f>
        <x:v>0</x:v>
      </x:c>
      <x:c r="Z152" s="27" t="n">
        <x:f>'Inputs_Trades'!AC152</x:f>
        <x:v>0</x:v>
      </x:c>
      <x:c r="AA152" s="39" t="n">
        <x:f>'Inputs_Trades'!Z152</x:f>
        <x:v>0</x:v>
      </x:c>
      <x:c r="AB152" s="40" t="n">
        <x:f>'Inputs_Trades'!AD152</x:f>
        <x:v>101554.2</x:v>
      </x:c>
      <x:c r="AC152" s="27" t="n">
        <x:f>'Inputs_Trades'!K152</x:f>
        <x:v>0</x:v>
      </x:c>
      <x:c r="AD152" s="27" t="n">
        <x:f>N152-M152</x:f>
        <x:v>160</x:v>
      </x:c>
      <x:c r="AE152" s="41" t="n">
        <x:f>AD152/365</x:f>
        <x:v>0.4383561643835616</x:v>
      </x:c>
      <x:c r="AF152" s="27" t="str">
        <x:f>IF(AE152&lt;1,"&lt;1Y",IF(AE152&lt;=5,"1Y-5Y","&gt;5Y"))</x:f>
        <x:v>&lt;1Y</x:v>
      </x:c>
      <x:c r="AG152" s="27" t="str">
        <x:f>IF(E152="Commodity",IFERROR(VLOOKUP(F152,Parameters!$P$4:$Q$12,2,FALSE),"Other"),"")</x:f>
      </x:c>
      <x:c r="AH152" s="27" t="str">
        <x:f>IF(F152="","Unknown",F152)</x:f>
        <x:v>Unknown</x:v>
      </x:c>
      <x:c r="AI152" s="27" t="str">
        <x:f>IF(E152="Interest Rate",G152&amp;IF(OR(LOWER(AC152)="basis",LOWER(AC152)="volatility"),"_"&amp;AC152,""),IF(E152="FX",IF(H152&lt;I152,H152&amp;"/"&amp;I152,I152&amp;"/"&amp;H152)&amp;IF(OR(LOWER(AC152)="basis",LOWER(AC152)="volatility"),"_"&amp;AC152,""),IF(OR(E152="Credit",E152="Equity"),J152&amp;IF(OR(LOWER(AC152)="basis",LOWER(AC152)="volatility"),"_"&amp;AC152,""),IF(E152="Commodity",AG152&amp;IF(OR(LOWER(AC152)="basis",LOWER(AC152)="volatility"),"_"&amp;AC152,""),"UNKNOWN"))))</x:f>
        <x:v>CNY</x:v>
      </x:c>
      <x:c r="AJ152" s="27" t="str">
        <x:f>T152</x:f>
        <x:v>M</x:v>
      </x:c>
      <x:c r="AK152" s="41" t="n">
        <x:f>IF(E152="Interest Rate",VLOOKUP("Interest Rate",Parameters!$D$4:$E$12,2,FALSE),IF(E152="FX",VLOOKUP("FX",Parameters!$D$4:$E$12,2,FALSE),IF(E152="Credit",IFERROR(VLOOKUP(L152,Parameters!$G$4:$H$12,2,FALSE),VLOOKUP("BBB",Parameters!$G$4:$H$12,2,FALSE)),IF(E152="Equity",VLOOKUP(IF(LOWER(K152)="index","Equity Index","Equity Single Name"),Parameters!$D$4:$E$12,2,FALSE),IF(E152="Commodity",VLOOKUP(IFERROR(VLOOKUP(F152,Parameters!$S$4:$T$12,2,FALSE),"Commodity Other"),Parameters!$D$4:$E$12,2,FALSE),0)))))</x:f>
        <x:v>0.005</x:v>
      </x:c>
      <x:c r="AL152" s="42" t="n">
        <x:f>IF(LOWER(AC152)="basis",Parameters!$B$8,IF(LOWER(AC152)="volatility",Parameters!$B$9,1))</x:f>
        <x:v>1</x:v>
      </x:c>
      <x:c r="AM152" s="41" t="n">
        <x:f>AK152*AL152</x:f>
        <x:v>0.005</x:v>
      </x:c>
      <x:c r="AN152" s="42" t="str">
        <x:f>IF(E152="Credit",VLOOKUP(IF(LOWER(K152)="index","Credit Index","Credit Single Name"),Parameters!$J$4:$K$8,2,FALSE),IF(E152="Equity",VLOOKUP(IF(LOWER(K152)="index","Equity Index","Equity Single Name"),Parameters!$J$4:$K$8,2,FALSE),IF(E152="Commodity",VLOOKUP("Commodity",Parameters!$J$4:$K$8,2,FALSE),"")))</x:f>
      </x:c>
      <x:c r="AO152" s="27" t="n">
        <x:f>MAX((O152-M152)/365,0)</x:f>
        <x:v>0</x:v>
      </x:c>
      <x:c r="AP152" s="27" t="n">
        <x:f>MAX((P152-M152)/365,10/Parameters!$B$6)</x:f>
        <x:v>0.4383561643835616</x:v>
      </x:c>
      <x:c r="AQ152" s="27" t="n">
        <x:f>IF(AP152&lt;=AO152,AO152+10/Parameters!$B$6,AP152)</x:f>
        <x:v>0.4383561643835616</x:v>
      </x:c>
      <x:c r="AR152" s="41" t="n">
        <x:f>IF(OR(E152="Interest Rate",E152="Credit"),(EXP(-Parameters!$B$7*AO152)-EXP(-Parameters!$B$7*AQ152))/Parameters!$B$7,1)</x:f>
        <x:v>0.43358716674926745</x:v>
      </x:c>
      <x:c r="AS152" s="40" t="n">
        <x:f>IF(OR(E152="Interest Rate",E152="Credit"),ABS(Q152)*AR152,IF(E152="FX",IF(Q152&gt;0,Q152,MAX(ABS(R152),ABS(S152),ABS(Q152))),ABS(Q152)))</x:f>
        <x:v>10969755.318756467</x:v>
      </x:c>
      <x:c r="AT152" s="42" t="n">
        <x:f>IF(OR(E152="Interest Rate",E152="FX"),VLOOKUP(E152,Parameters!$M$4:$N$11,2,FALSE),IF(E152="Credit",VLOOKUP(IF(LOWER(K152)="index","Credit Index","Credit Single Name"),Parameters!$M$4:$N$11,2,FALSE),IF(E152="Equity",VLOOKUP(IF(LOWER(K152)="index","Equity Index","Equity Single Name"),Parameters!$M$4:$N$11,2,FALSE),IF(E152="Commodity",VLOOKUP(IF(F152="Electricity","Commodity Electricity","Commodity Other"),Parameters!$M$4:$N$11,2,FALSE),1))))</x:f>
        <x:v>0.5</x:v>
      </x:c>
      <x:c r="AU152" s="27" t="n">
        <x:f>IF(W152="B",1,-1)</x:f>
        <x:v>1</x:v>
      </x:c>
      <x:c r="AV152" s="27" t="n">
        <x:f>IF(OR(AA152="",M152=""),MAX(AE152,1/365),MAX((AA152-M152)/365,1/365))</x:f>
        <x:v>0.4383561643835616</x:v>
      </x:c>
      <x:c r="AW152" s="41" t="str">
        <x:f>IF(OR(Z152&lt;=0,Y152&lt;=0,AT152&lt;=0,AV152&lt;=0),"",(LN(Z152/Y152)+0.5*AT152^2*AV152)/(AT152*SQRT(AV152)))</x:f>
      </x:c>
      <x:c r="AX152" s="41" t="n">
        <x:f>IF(AND(X152&lt;&gt;"C",X152&lt;&gt;"P"),AU152,IF(AW152="",AU152,IF(X152="C",AU152*0.5*(1+ERF(AW152/SQRT(2))),-AU152*0.5*(1+ERF(-AW152/SQRT(2))))))</x:f>
        <x:v>1</x:v>
      </x:c>
      <x:c r="AY152" s="41" t="n">
        <x:f>IF(AJ152="M",1.5*SQRT(MAX(IF(U152="Y",5,10),IF(V152="",10,V152))/Parameters!$B$6),SQRT(MIN(MAX(AE152,10/Parameters!$B$6),1)))</x:f>
        <x:v>0.30000000000000004</x:v>
      </x:c>
      <x:c r="AZ152" s="40" t="n">
        <x:f>AS152*AX152*AY152</x:f>
        <x:v>3290926.5956269405</x:v>
      </x:c>
      <x:c r="BA152" s="40" t="n">
        <x:f>'Python_Trade_Output'!AZ152</x:f>
        <x:v>3290926.5956269405</x:v>
      </x:c>
      <x:c r="BB152" s="43" t="n">
        <x:f>AZ152-BA152</x:f>
        <x:v>0</x:v>
      </x:c>
    </x:row>
    <x:row r="153">
      <x:c r="A153" s="27" t="str">
        <x:f>'Inputs_Trades'!D153</x:f>
        <x:v>IND-000150</x:v>
      </x:c>
      <x:c r="B153" s="27" t="str">
        <x:f>'Inputs_Trades'!B153</x:f>
        <x:v>IND_ASSET_MANAGER_001</x:v>
      </x:c>
      <x:c r="C153" s="27" t="n">
        <x:f>'Inputs_Trades'!C153</x:f>
        <x:v>3222</x:v>
      </x:c>
      <x:c r="D153" s="27" t="str">
        <x:f>'Inputs_Trades'!E153</x:f>
        <x:v>Interest Rate FRA</x:v>
      </x:c>
      <x:c r="E153" s="27" t="str">
        <x:f>'Inputs_Trades'!F153</x:f>
        <x:v>Interest Rate</x:v>
      </x:c>
      <x:c r="F153" s="27" t="n">
        <x:f>'Inputs_Trades'!G153</x:f>
        <x:v>0</x:v>
      </x:c>
      <x:c r="G153" s="27" t="str">
        <x:f>'Inputs_Trades'!J153</x:f>
        <x:v>CNY</x:v>
      </x:c>
      <x:c r="H153" s="27" t="str">
        <x:f>'Inputs_Trades'!H153</x:f>
        <x:v>CNY</x:v>
      </x:c>
      <x:c r="I153" s="27" t="str">
        <x:f>'Inputs_Trades'!I153</x:f>
        <x:v>CNY</x:v>
      </x:c>
      <x:c r="J153" s="27" t="str">
        <x:f>'Inputs_Trades'!M153</x:f>
        <x:v>CNY</x:v>
      </x:c>
      <x:c r="K153" s="27" t="n">
        <x:f>'Inputs_Trades'!N153</x:f>
        <x:v>0</x:v>
      </x:c>
      <x:c r="L153" s="27" t="n">
        <x:f>'Inputs_Trades'!O153</x:f>
        <x:v>0</x:v>
      </x:c>
      <x:c r="M153" s="39" t="n">
        <x:f>'Inputs_Trades'!A153</x:f>
        <x:v>45702</x:v>
      </x:c>
      <x:c r="N153" s="39" t="n">
        <x:f>'Inputs_Trades'!P153</x:f>
        <x:v>45880</x:v>
      </x:c>
      <x:c r="O153" s="39" t="n">
        <x:f>'Inputs_Trades'!Q153</x:f>
        <x:v>45292</x:v>
      </x:c>
      <x:c r="P153" s="39" t="n">
        <x:f>'Inputs_Trades'!R153</x:f>
        <x:v>45880</x:v>
      </x:c>
      <x:c r="Q153" s="40" t="n">
        <x:f>'Inputs_Trades'!U153</x:f>
        <x:v>118000000</x:v>
      </x:c>
      <x:c r="R153" s="40" t="n">
        <x:f>'Inputs_Trades'!S153</x:f>
        <x:v>842857142.86</x:v>
      </x:c>
      <x:c r="S153" s="40" t="n">
        <x:f>'Inputs_Trades'!T153</x:f>
        <x:v>842857142.86</x:v>
      </x:c>
      <x:c r="T153" s="27" t="str">
        <x:f>'Inputs_Trades'!V153</x:f>
        <x:v>U</x:v>
      </x:c>
      <x:c r="U153" s="27" t="str">
        <x:f>'Inputs_Trades'!W153</x:f>
        <x:v>Y</x:v>
      </x:c>
      <x:c r="V153" s="27" t="n">
        <x:f>'Inputs_Trades'!X153</x:f>
        <x:v>5</x:v>
      </x:c>
      <x:c r="W153" s="27" t="str">
        <x:f>'Inputs_Trades'!Y153</x:f>
        <x:v>B</x:v>
      </x:c>
      <x:c r="X153" s="27" t="n">
        <x:f>'Inputs_Trades'!AA153</x:f>
        <x:v>0</x:v>
      </x:c>
      <x:c r="Y153" s="27" t="n">
        <x:f>'Inputs_Trades'!AB153</x:f>
        <x:v>0</x:v>
      </x:c>
      <x:c r="Z153" s="27" t="n">
        <x:f>'Inputs_Trades'!AC153</x:f>
        <x:v>0</x:v>
      </x:c>
      <x:c r="AA153" s="39" t="n">
        <x:f>'Inputs_Trades'!Z153</x:f>
        <x:v>0</x:v>
      </x:c>
      <x:c r="AB153" s="40" t="n">
        <x:f>'Inputs_Trades'!AD153</x:f>
        <x:v>-454536</x:v>
      </x:c>
      <x:c r="AC153" s="27" t="n">
        <x:f>'Inputs_Trades'!K153</x:f>
        <x:v>0</x:v>
      </x:c>
      <x:c r="AD153" s="27" t="n">
        <x:f>N153-M153</x:f>
        <x:v>178</x:v>
      </x:c>
      <x:c r="AE153" s="41" t="n">
        <x:f>AD153/365</x:f>
        <x:v>0.4876712328767123</x:v>
      </x:c>
      <x:c r="AF153" s="27" t="str">
        <x:f>IF(AE153&lt;1,"&lt;1Y",IF(AE153&lt;=5,"1Y-5Y","&gt;5Y"))</x:f>
        <x:v>&lt;1Y</x:v>
      </x:c>
      <x:c r="AG153" s="27" t="str">
        <x:f>IF(E153="Commodity",IFERROR(VLOOKUP(F153,Parameters!$P$4:$Q$12,2,FALSE),"Other"),"")</x:f>
      </x:c>
      <x:c r="AH153" s="27" t="str">
        <x:f>IF(F153="","Unknown",F153)</x:f>
        <x:v>Unknown</x:v>
      </x:c>
      <x:c r="AI153" s="27" t="str">
        <x:f>IF(E153="Interest Rate",G153&amp;IF(OR(LOWER(AC153)="basis",LOWER(AC153)="volatility"),"_"&amp;AC153,""),IF(E153="FX",IF(H153&lt;I153,H153&amp;"/"&amp;I153,I153&amp;"/"&amp;H153)&amp;IF(OR(LOWER(AC153)="basis",LOWER(AC153)="volatility"),"_"&amp;AC153,""),IF(OR(E153="Credit",E153="Equity"),J153&amp;IF(OR(LOWER(AC153)="basis",LOWER(AC153)="volatility"),"_"&amp;AC153,""),IF(E153="Commodity",AG153&amp;IF(OR(LOWER(AC153)="basis",LOWER(AC153)="volatility"),"_"&amp;AC153,""),"UNKNOWN"))))</x:f>
        <x:v>CNY</x:v>
      </x:c>
      <x:c r="AJ153" s="27" t="str">
        <x:f>T153</x:f>
        <x:v>U</x:v>
      </x:c>
      <x:c r="AK153" s="41" t="n">
        <x:f>IF(E153="Interest Rate",VLOOKUP("Interest Rate",Parameters!$D$4:$E$12,2,FALSE),IF(E153="FX",VLOOKUP("FX",Parameters!$D$4:$E$12,2,FALSE),IF(E153="Credit",IFERROR(VLOOKUP(L153,Parameters!$G$4:$H$12,2,FALSE),VLOOKUP("BBB",Parameters!$G$4:$H$12,2,FALSE)),IF(E153="Equity",VLOOKUP(IF(LOWER(K153)="index","Equity Index","Equity Single Name"),Parameters!$D$4:$E$12,2,FALSE),IF(E153="Commodity",VLOOKUP(IFERROR(VLOOKUP(F153,Parameters!$S$4:$T$12,2,FALSE),"Commodity Other"),Parameters!$D$4:$E$12,2,FALSE),0)))))</x:f>
        <x:v>0.005</x:v>
      </x:c>
      <x:c r="AL153" s="42" t="n">
        <x:f>IF(LOWER(AC153)="basis",Parameters!$B$8,IF(LOWER(AC153)="volatility",Parameters!$B$9,1))</x:f>
        <x:v>1</x:v>
      </x:c>
      <x:c r="AM153" s="41" t="n">
        <x:f>AK153*AL153</x:f>
        <x:v>0.005</x:v>
      </x:c>
      <x:c r="AN153" s="42" t="str">
        <x:f>IF(E153="Credit",VLOOKUP(IF(LOWER(K153)="index","Credit Index","Credit Single Name"),Parameters!$J$4:$K$8,2,FALSE),IF(E153="Equity",VLOOKUP(IF(LOWER(K153)="index","Equity Index","Equity Single Name"),Parameters!$J$4:$K$8,2,FALSE),IF(E153="Commodity",VLOOKUP("Commodity",Parameters!$J$4:$K$8,2,FALSE),"")))</x:f>
      </x:c>
      <x:c r="AO153" s="27" t="n">
        <x:f>MAX((O153-M153)/365,0)</x:f>
        <x:v>0</x:v>
      </x:c>
      <x:c r="AP153" s="27" t="n">
        <x:f>MAX((P153-M153)/365,10/Parameters!$B$6)</x:f>
        <x:v>0.4876712328767123</x:v>
      </x:c>
      <x:c r="AQ153" s="27" t="n">
        <x:f>IF(AP153&lt;=AO153,AO153+10/Parameters!$B$6,AP153)</x:f>
        <x:v>0.4876712328767123</x:v>
      </x:c>
      <x:c r="AR153" s="41" t="n">
        <x:f>IF(OR(E153="Interest Rate",E153="Credit"),(EXP(-Parameters!$B$7*AO153)-EXP(-Parameters!$B$7*AQ153))/Parameters!$B$7,1)</x:f>
        <x:v>0.4817736837522002</x:v>
      </x:c>
      <x:c r="AS153" s="40" t="n">
        <x:f>IF(OR(E153="Interest Rate",E153="Credit"),ABS(Q153)*AR153,IF(E153="FX",IF(Q153&gt;0,Q153,MAX(ABS(R153),ABS(S153),ABS(Q153))),ABS(Q153)))</x:f>
        <x:v>56849294.68275962</x:v>
      </x:c>
      <x:c r="AT153" s="42" t="n">
        <x:f>IF(OR(E153="Interest Rate",E153="FX"),VLOOKUP(E153,Parameters!$M$4:$N$11,2,FALSE),IF(E153="Credit",VLOOKUP(IF(LOWER(K153)="index","Credit Index","Credit Single Name"),Parameters!$M$4:$N$11,2,FALSE),IF(E153="Equity",VLOOKUP(IF(LOWER(K153)="index","Equity Index","Equity Single Name"),Parameters!$M$4:$N$11,2,FALSE),IF(E153="Commodity",VLOOKUP(IF(F153="Electricity","Commodity Electricity","Commodity Other"),Parameters!$M$4:$N$11,2,FALSE),1))))</x:f>
        <x:v>0.5</x:v>
      </x:c>
      <x:c r="AU153" s="27" t="n">
        <x:f>IF(W153="B",1,-1)</x:f>
        <x:v>1</x:v>
      </x:c>
      <x:c r="AV153" s="27" t="n">
        <x:f>IF(OR(AA153="",M153=""),MAX(AE153,1/365),MAX((AA153-M153)/365,1/365))</x:f>
        <x:v>0.4876712328767123</x:v>
      </x:c>
      <x:c r="AW153" s="41" t="str">
        <x:f>IF(OR(Z153&lt;=0,Y153&lt;=0,AT153&lt;=0,AV153&lt;=0),"",(LN(Z153/Y153)+0.5*AT153^2*AV153)/(AT153*SQRT(AV153)))</x:f>
      </x:c>
      <x:c r="AX153" s="41" t="n">
        <x:f>IF(AND(X153&lt;&gt;"C",X153&lt;&gt;"P"),AU153,IF(AW153="",AU153,IF(X153="C",AU153*0.5*(1+ERF(AW153/SQRT(2))),-AU153*0.5*(1+ERF(-AW153/SQRT(2))))))</x:f>
        <x:v>1</x:v>
      </x:c>
      <x:c r="AY153" s="41" t="n">
        <x:f>IF(AJ153="M",1.5*SQRT(MAX(IF(U153="Y",5,10),IF(V153="",10,V153))/Parameters!$B$6),SQRT(MIN(MAX(AE153,10/Parameters!$B$6),1)))</x:f>
        <x:v>0.6983346138325898</x:v>
      </x:c>
      <x:c r="AZ153" s="40" t="n">
        <x:f>AS153*AX153*AY153</x:f>
        <x:v>39699830.248940036</x:v>
      </x:c>
      <x:c r="BA153" s="40" t="n">
        <x:f>'Python_Trade_Output'!AZ153</x:f>
        <x:v>39699830.248940036</x:v>
      </x:c>
      <x:c r="BB153" s="43" t="n">
        <x:f>AZ153-BA153</x:f>
        <x:v>0</x:v>
      </x:c>
    </x:row>
    <x:row r="154">
      <x:c r="A154" s="27" t="str">
        <x:f>'Inputs_Trades'!D154</x:f>
        <x:v>IND-000151</x:v>
      </x:c>
      <x:c r="B154" s="27" t="str">
        <x:f>'Inputs_Trades'!B154</x:f>
        <x:v>IND_CORPORATE_002</x:v>
      </x:c>
      <x:c r="C154" s="27" t="n">
        <x:f>'Inputs_Trades'!C154</x:f>
        <x:v>3074</x:v>
      </x:c>
      <x:c r="D154" s="27" t="str">
        <x:f>'Inputs_Trades'!E154</x:f>
        <x:v>OIS</x:v>
      </x:c>
      <x:c r="E154" s="27" t="str">
        <x:f>'Inputs_Trades'!F154</x:f>
        <x:v>Interest Rate</x:v>
      </x:c>
      <x:c r="F154" s="27" t="n">
        <x:f>'Inputs_Trades'!G154</x:f>
        <x:v>0</x:v>
      </x:c>
      <x:c r="G154" s="27" t="str">
        <x:f>'Inputs_Trades'!J154</x:f>
        <x:v>USD</x:v>
      </x:c>
      <x:c r="H154" s="27" t="str">
        <x:f>'Inputs_Trades'!H154</x:f>
        <x:v>USD</x:v>
      </x:c>
      <x:c r="I154" s="27" t="str">
        <x:f>'Inputs_Trades'!I154</x:f>
        <x:v>USD</x:v>
      </x:c>
      <x:c r="J154" s="27" t="str">
        <x:f>'Inputs_Trades'!M154</x:f>
        <x:v>USD</x:v>
      </x:c>
      <x:c r="K154" s="27" t="n">
        <x:f>'Inputs_Trades'!N154</x:f>
        <x:v>0</x:v>
      </x:c>
      <x:c r="L154" s="27" t="n">
        <x:f>'Inputs_Trades'!O154</x:f>
        <x:v>0</x:v>
      </x:c>
      <x:c r="M154" s="39" t="n">
        <x:f>'Inputs_Trades'!A154</x:f>
        <x:v>45702</x:v>
      </x:c>
      <x:c r="N154" s="39" t="n">
        <x:f>'Inputs_Trades'!P154</x:f>
        <x:v>46541</x:v>
      </x:c>
      <x:c r="O154" s="39" t="n">
        <x:f>'Inputs_Trades'!Q154</x:f>
        <x:v>45456</x:v>
      </x:c>
      <x:c r="P154" s="39" t="n">
        <x:f>'Inputs_Trades'!R154</x:f>
        <x:v>46541</x:v>
      </x:c>
      <x:c r="Q154" s="40" t="n">
        <x:f>'Inputs_Trades'!U154</x:f>
        <x:v>530000000</x:v>
      </x:c>
      <x:c r="R154" s="40" t="n">
        <x:f>'Inputs_Trades'!S154</x:f>
        <x:v>530000000</x:v>
      </x:c>
      <x:c r="S154" s="40" t="n">
        <x:f>'Inputs_Trades'!T154</x:f>
        <x:v>530000000</x:v>
      </x:c>
      <x:c r="T154" s="27" t="str">
        <x:f>'Inputs_Trades'!V154</x:f>
        <x:v>M</x:v>
      </x:c>
      <x:c r="U154" s="27" t="str">
        <x:f>'Inputs_Trades'!W154</x:f>
        <x:v>N</x:v>
      </x:c>
      <x:c r="V154" s="27" t="n">
        <x:f>'Inputs_Trades'!X154</x:f>
        <x:v>10</x:v>
      </x:c>
      <x:c r="W154" s="27" t="str">
        <x:f>'Inputs_Trades'!Y154</x:f>
        <x:v>S</x:v>
      </x:c>
      <x:c r="X154" s="27" t="n">
        <x:f>'Inputs_Trades'!AA154</x:f>
        <x:v>0</x:v>
      </x:c>
      <x:c r="Y154" s="27" t="n">
        <x:f>'Inputs_Trades'!AB154</x:f>
        <x:v>0</x:v>
      </x:c>
      <x:c r="Z154" s="27" t="n">
        <x:f>'Inputs_Trades'!AC154</x:f>
        <x:v>0</x:v>
      </x:c>
      <x:c r="AA154" s="39" t="n">
        <x:f>'Inputs_Trades'!Z154</x:f>
        <x:v>0</x:v>
      </x:c>
      <x:c r="AB154" s="40" t="n">
        <x:f>'Inputs_Trades'!AD154</x:f>
        <x:v>-337080</x:v>
      </x:c>
      <x:c r="AC154" s="27" t="n">
        <x:f>'Inputs_Trades'!K154</x:f>
        <x:v>0</x:v>
      </x:c>
      <x:c r="AD154" s="27" t="n">
        <x:f>N154-M154</x:f>
        <x:v>839</x:v>
      </x:c>
      <x:c r="AE154" s="41" t="n">
        <x:f>AD154/365</x:f>
        <x:v>2.2986301369863016</x:v>
      </x:c>
      <x:c r="AF154" s="27" t="str">
        <x:f>IF(AE154&lt;1,"&lt;1Y",IF(AE154&lt;=5,"1Y-5Y","&gt;5Y"))</x:f>
        <x:v>1Y-5Y</x:v>
      </x:c>
      <x:c r="AG154" s="27" t="str">
        <x:f>IF(E154="Commodity",IFERROR(VLOOKUP(F154,Parameters!$P$4:$Q$12,2,FALSE),"Other"),"")</x:f>
      </x:c>
      <x:c r="AH154" s="27" t="str">
        <x:f>IF(F154="","Unknown",F154)</x:f>
        <x:v>Unknown</x:v>
      </x:c>
      <x:c r="AI154" s="27" t="str">
        <x:f>IF(E154="Interest Rate",G154&amp;IF(OR(LOWER(AC154)="basis",LOWER(AC154)="volatility"),"_"&amp;AC154,""),IF(E154="FX",IF(H154&lt;I154,H154&amp;"/"&amp;I154,I154&amp;"/"&amp;H154)&amp;IF(OR(LOWER(AC154)="basis",LOWER(AC154)="volatility"),"_"&amp;AC154,""),IF(OR(E154="Credit",E154="Equity"),J154&amp;IF(OR(LOWER(AC154)="basis",LOWER(AC154)="volatility"),"_"&amp;AC154,""),IF(E154="Commodity",AG154&amp;IF(OR(LOWER(AC154)="basis",LOWER(AC154)="volatility"),"_"&amp;AC154,""),"UNKNOWN"))))</x:f>
        <x:v>USD</x:v>
      </x:c>
      <x:c r="AJ154" s="27" t="str">
        <x:f>T154</x:f>
        <x:v>M</x:v>
      </x:c>
      <x:c r="AK154" s="41" t="n">
        <x:f>IF(E154="Interest Rate",VLOOKUP("Interest Rate",Parameters!$D$4:$E$12,2,FALSE),IF(E154="FX",VLOOKUP("FX",Parameters!$D$4:$E$12,2,FALSE),IF(E154="Credit",IFERROR(VLOOKUP(L154,Parameters!$G$4:$H$12,2,FALSE),VLOOKUP("BBB",Parameters!$G$4:$H$12,2,FALSE)),IF(E154="Equity",VLOOKUP(IF(LOWER(K154)="index","Equity Index","Equity Single Name"),Parameters!$D$4:$E$12,2,FALSE),IF(E154="Commodity",VLOOKUP(IFERROR(VLOOKUP(F154,Parameters!$S$4:$T$12,2,FALSE),"Commodity Other"),Parameters!$D$4:$E$12,2,FALSE),0)))))</x:f>
        <x:v>0.005</x:v>
      </x:c>
      <x:c r="AL154" s="42" t="n">
        <x:f>IF(LOWER(AC154)="basis",Parameters!$B$8,IF(LOWER(AC154)="volatility",Parameters!$B$9,1))</x:f>
        <x:v>1</x:v>
      </x:c>
      <x:c r="AM154" s="41" t="n">
        <x:f>AK154*AL154</x:f>
        <x:v>0.005</x:v>
      </x:c>
      <x:c r="AN154" s="42" t="str">
        <x:f>IF(E154="Credit",VLOOKUP(IF(LOWER(K154)="index","Credit Index","Credit Single Name"),Parameters!$J$4:$K$8,2,FALSE),IF(E154="Equity",VLOOKUP(IF(LOWER(K154)="index","Equity Index","Equity Single Name"),Parameters!$J$4:$K$8,2,FALSE),IF(E154="Commodity",VLOOKUP("Commodity",Parameters!$J$4:$K$8,2,FALSE),"")))</x:f>
      </x:c>
      <x:c r="AO154" s="27" t="n">
        <x:f>MAX((O154-M154)/365,0)</x:f>
        <x:v>0</x:v>
      </x:c>
      <x:c r="AP154" s="27" t="n">
        <x:f>MAX((P154-M154)/365,10/Parameters!$B$6)</x:f>
        <x:v>2.2986301369863016</x:v>
      </x:c>
      <x:c r="AQ154" s="27" t="n">
        <x:f>IF(AP154&lt;=AO154,AO154+10/Parameters!$B$6,AP154)</x:f>
        <x:v>2.2986301369863016</x:v>
      </x:c>
      <x:c r="AR154" s="41" t="n">
        <x:f>IF(OR(E154="Interest Rate",E154="Credit"),(EXP(-Parameters!$B$7*AO154)-EXP(-Parameters!$B$7*AQ154))/Parameters!$B$7,1)</x:f>
        <x:v>2.171456030533454</x:v>
      </x:c>
      <x:c r="AS154" s="40" t="n">
        <x:f>IF(OR(E154="Interest Rate",E154="Credit"),ABS(Q154)*AR154,IF(E154="FX",IF(Q154&gt;0,Q154,MAX(ABS(R154),ABS(S154),ABS(Q154))),ABS(Q154)))</x:f>
        <x:v>1150871696.1827307</x:v>
      </x:c>
      <x:c r="AT154" s="42" t="n">
        <x:f>IF(OR(E154="Interest Rate",E154="FX"),VLOOKUP(E154,Parameters!$M$4:$N$11,2,FALSE),IF(E154="Credit",VLOOKUP(IF(LOWER(K154)="index","Credit Index","Credit Single Name"),Parameters!$M$4:$N$11,2,FALSE),IF(E154="Equity",VLOOKUP(IF(LOWER(K154)="index","Equity Index","Equity Single Name"),Parameters!$M$4:$N$11,2,FALSE),IF(E154="Commodity",VLOOKUP(IF(F154="Electricity","Commodity Electricity","Commodity Other"),Parameters!$M$4:$N$11,2,FALSE),1))))</x:f>
        <x:v>0.5</x:v>
      </x:c>
      <x:c r="AU154" s="27" t="n">
        <x:f>IF(W154="B",1,-1)</x:f>
        <x:v>-1</x:v>
      </x:c>
      <x:c r="AV154" s="27" t="n">
        <x:f>IF(OR(AA154="",M154=""),MAX(AE154,1/365),MAX((AA154-M154)/365,1/365))</x:f>
        <x:v>2.2986301369863016</x:v>
      </x:c>
      <x:c r="AW154" s="41" t="str">
        <x:f>IF(OR(Z154&lt;=0,Y154&lt;=0,AT154&lt;=0,AV154&lt;=0),"",(LN(Z154/Y154)+0.5*AT154^2*AV154)/(AT154*SQRT(AV154)))</x:f>
      </x:c>
      <x:c r="AX154" s="41" t="n">
        <x:f>IF(AND(X154&lt;&gt;"C",X154&lt;&gt;"P"),AU154,IF(AW154="",AU154,IF(X154="C",AU154*0.5*(1+ERF(AW154/SQRT(2))),-AU154*0.5*(1+ERF(-AW154/SQRT(2))))))</x:f>
        <x:v>-1</x:v>
      </x:c>
      <x:c r="AY154" s="41" t="n">
        <x:f>IF(AJ154="M",1.5*SQRT(MAX(IF(U154="Y",5,10),IF(V154="",10,V154))/Parameters!$B$6),SQRT(MIN(MAX(AE154,10/Parameters!$B$6),1)))</x:f>
        <x:v>0.30000000000000004</x:v>
      </x:c>
      <x:c r="AZ154" s="40" t="n">
        <x:f>AS154*AX154*AY154</x:f>
        <x:v>-345261508.85481924</x:v>
      </x:c>
      <x:c r="BA154" s="40" t="n">
        <x:f>'Python_Trade_Output'!AZ154</x:f>
        <x:v>-345261508.8548189</x:v>
      </x:c>
      <x:c r="BB154" s="43" t="n">
        <x:f>AZ154-BA154</x:f>
        <x:v>-3.5762786865234375e-7</x:v>
      </x:c>
    </x:row>
    <x:row r="155">
      <x:c r="A155" s="27" t="str">
        <x:f>'Inputs_Trades'!D155</x:f>
        <x:v>IND-000152</x:v>
      </x:c>
      <x:c r="B155" s="27" t="str">
        <x:f>'Inputs_Trades'!B155</x:f>
        <x:v>IND_BANK_002</x:v>
      </x:c>
      <x:c r="C155" s="27" t="n">
        <x:f>'Inputs_Trades'!C155</x:f>
        <x:v>3049</x:v>
      </x:c>
      <x:c r="D155" s="27" t="str">
        <x:f>'Inputs_Trades'!E155</x:f>
        <x:v>OIS</x:v>
      </x:c>
      <x:c r="E155" s="27" t="str">
        <x:f>'Inputs_Trades'!F155</x:f>
        <x:v>Interest Rate</x:v>
      </x:c>
      <x:c r="F155" s="27" t="n">
        <x:f>'Inputs_Trades'!G155</x:f>
        <x:v>0</x:v>
      </x:c>
      <x:c r="G155" s="27" t="str">
        <x:f>'Inputs_Trades'!J155</x:f>
        <x:v>EUR</x:v>
      </x:c>
      <x:c r="H155" s="27" t="str">
        <x:f>'Inputs_Trades'!H155</x:f>
        <x:v>EUR</x:v>
      </x:c>
      <x:c r="I155" s="27" t="str">
        <x:f>'Inputs_Trades'!I155</x:f>
        <x:v>EUR</x:v>
      </x:c>
      <x:c r="J155" s="27" t="str">
        <x:f>'Inputs_Trades'!M155</x:f>
        <x:v>EUR</x:v>
      </x:c>
      <x:c r="K155" s="27" t="n">
        <x:f>'Inputs_Trades'!N155</x:f>
        <x:v>0</x:v>
      </x:c>
      <x:c r="L155" s="27" t="n">
        <x:f>'Inputs_Trades'!O155</x:f>
        <x:v>0</x:v>
      </x:c>
      <x:c r="M155" s="39" t="n">
        <x:f>'Inputs_Trades'!A155</x:f>
        <x:v>45702</x:v>
      </x:c>
      <x:c r="N155" s="39" t="n">
        <x:f>'Inputs_Trades'!P155</x:f>
        <x:v>46114</x:v>
      </x:c>
      <x:c r="O155" s="39" t="n">
        <x:f>'Inputs_Trades'!Q155</x:f>
        <x:v>45207</x:v>
      </x:c>
      <x:c r="P155" s="39" t="n">
        <x:f>'Inputs_Trades'!R155</x:f>
        <x:v>46114</x:v>
      </x:c>
      <x:c r="Q155" s="40" t="n">
        <x:f>'Inputs_Trades'!U155</x:f>
        <x:v>419000000</x:v>
      </x:c>
      <x:c r="R155" s="40" t="n">
        <x:f>'Inputs_Trades'!S155</x:f>
        <x:v>399047619.05</x:v>
      </x:c>
      <x:c r="S155" s="40" t="n">
        <x:f>'Inputs_Trades'!T155</x:f>
        <x:v>399047619.05</x:v>
      </x:c>
      <x:c r="T155" s="27" t="str">
        <x:f>'Inputs_Trades'!V155</x:f>
        <x:v>M</x:v>
      </x:c>
      <x:c r="U155" s="27" t="str">
        <x:f>'Inputs_Trades'!W155</x:f>
        <x:v>Y</x:v>
      </x:c>
      <x:c r="V155" s="27" t="n">
        <x:f>'Inputs_Trades'!X155</x:f>
        <x:v>5</x:v>
      </x:c>
      <x:c r="W155" s="27" t="str">
        <x:f>'Inputs_Trades'!Y155</x:f>
        <x:v>B</x:v>
      </x:c>
      <x:c r="X155" s="27" t="n">
        <x:f>'Inputs_Trades'!AA155</x:f>
        <x:v>0</x:v>
      </x:c>
      <x:c r="Y155" s="27" t="n">
        <x:f>'Inputs_Trades'!AB155</x:f>
        <x:v>0</x:v>
      </x:c>
      <x:c r="Z155" s="27" t="n">
        <x:f>'Inputs_Trades'!AC155</x:f>
        <x:v>0</x:v>
      </x:c>
      <x:c r="AA155" s="39" t="n">
        <x:f>'Inputs_Trades'!Z155</x:f>
        <x:v>0</x:v>
      </x:c>
      <x:c r="AB155" s="40" t="n">
        <x:f>'Inputs_Trades'!AD155</x:f>
        <x:v>610902</x:v>
      </x:c>
      <x:c r="AC155" s="27" t="n">
        <x:f>'Inputs_Trades'!K155</x:f>
        <x:v>0</x:v>
      </x:c>
      <x:c r="AD155" s="27" t="n">
        <x:f>N155-M155</x:f>
        <x:v>412</x:v>
      </x:c>
      <x:c r="AE155" s="41" t="n">
        <x:f>AD155/365</x:f>
        <x:v>1.1287671232876713</x:v>
      </x:c>
      <x:c r="AF155" s="27" t="str">
        <x:f>IF(AE155&lt;1,"&lt;1Y",IF(AE155&lt;=5,"1Y-5Y","&gt;5Y"))</x:f>
        <x:v>1Y-5Y</x:v>
      </x:c>
      <x:c r="AG155" s="27" t="str">
        <x:f>IF(E155="Commodity",IFERROR(VLOOKUP(F155,Parameters!$P$4:$Q$12,2,FALSE),"Other"),"")</x:f>
      </x:c>
      <x:c r="AH155" s="27" t="str">
        <x:f>IF(F155="","Unknown",F155)</x:f>
        <x:v>Unknown</x:v>
      </x:c>
      <x:c r="AI155" s="27" t="str">
        <x:f>IF(E155="Interest Rate",G155&amp;IF(OR(LOWER(AC155)="basis",LOWER(AC155)="volatility"),"_"&amp;AC155,""),IF(E155="FX",IF(H155&lt;I155,H155&amp;"/"&amp;I155,I155&amp;"/"&amp;H155)&amp;IF(OR(LOWER(AC155)="basis",LOWER(AC155)="volatility"),"_"&amp;AC155,""),IF(OR(E155="Credit",E155="Equity"),J155&amp;IF(OR(LOWER(AC155)="basis",LOWER(AC155)="volatility"),"_"&amp;AC155,""),IF(E155="Commodity",AG155&amp;IF(OR(LOWER(AC155)="basis",LOWER(AC155)="volatility"),"_"&amp;AC155,""),"UNKNOWN"))))</x:f>
        <x:v>EUR</x:v>
      </x:c>
      <x:c r="AJ155" s="27" t="str">
        <x:f>T155</x:f>
        <x:v>M</x:v>
      </x:c>
      <x:c r="AK155" s="41" t="n">
        <x:f>IF(E155="Interest Rate",VLOOKUP("Interest Rate",Parameters!$D$4:$E$12,2,FALSE),IF(E155="FX",VLOOKUP("FX",Parameters!$D$4:$E$12,2,FALSE),IF(E155="Credit",IFERROR(VLOOKUP(L155,Parameters!$G$4:$H$12,2,FALSE),VLOOKUP("BBB",Parameters!$G$4:$H$12,2,FALSE)),IF(E155="Equity",VLOOKUP(IF(LOWER(K155)="index","Equity Index","Equity Single Name"),Parameters!$D$4:$E$12,2,FALSE),IF(E155="Commodity",VLOOKUP(IFERROR(VLOOKUP(F155,Parameters!$S$4:$T$12,2,FALSE),"Commodity Other"),Parameters!$D$4:$E$12,2,FALSE),0)))))</x:f>
        <x:v>0.005</x:v>
      </x:c>
      <x:c r="AL155" s="42" t="n">
        <x:f>IF(LOWER(AC155)="basis",Parameters!$B$8,IF(LOWER(AC155)="volatility",Parameters!$B$9,1))</x:f>
        <x:v>1</x:v>
      </x:c>
      <x:c r="AM155" s="41" t="n">
        <x:f>AK155*AL155</x:f>
        <x:v>0.005</x:v>
      </x:c>
      <x:c r="AN155" s="42" t="str">
        <x:f>IF(E155="Credit",VLOOKUP(IF(LOWER(K155)="index","Credit Index","Credit Single Name"),Parameters!$J$4:$K$8,2,FALSE),IF(E155="Equity",VLOOKUP(IF(LOWER(K155)="index","Equity Index","Equity Single Name"),Parameters!$J$4:$K$8,2,FALSE),IF(E155="Commodity",VLOOKUP("Commodity",Parameters!$J$4:$K$8,2,FALSE),"")))</x:f>
      </x:c>
      <x:c r="AO155" s="27" t="n">
        <x:f>MAX((O155-M155)/365,0)</x:f>
        <x:v>0</x:v>
      </x:c>
      <x:c r="AP155" s="27" t="n">
        <x:f>MAX((P155-M155)/365,10/Parameters!$B$6)</x:f>
        <x:v>1.1287671232876713</x:v>
      </x:c>
      <x:c r="AQ155" s="27" t="n">
        <x:f>IF(AP155&lt;=AO155,AO155+10/Parameters!$B$6,AP155)</x:f>
        <x:v>1.1287671232876713</x:v>
      </x:c>
      <x:c r="AR155" s="41" t="n">
        <x:f>IF(OR(E155="Interest Rate",E155="Credit"),(EXP(-Parameters!$B$7*AO155)-EXP(-Parameters!$B$7*AQ155))/Parameters!$B$7,1)</x:f>
        <x:v>1.0975051237238187</x:v>
      </x:c>
      <x:c r="AS155" s="40" t="n">
        <x:f>IF(OR(E155="Interest Rate",E155="Credit"),ABS(Q155)*AR155,IF(E155="FX",IF(Q155&gt;0,Q155,MAX(ABS(R155),ABS(S155),ABS(Q155))),ABS(Q155)))</x:f>
        <x:v>459854646.84028006</x:v>
      </x:c>
      <x:c r="AT155" s="42" t="n">
        <x:f>IF(OR(E155="Interest Rate",E155="FX"),VLOOKUP(E155,Parameters!$M$4:$N$11,2,FALSE),IF(E155="Credit",VLOOKUP(IF(LOWER(K155)="index","Credit Index","Credit Single Name"),Parameters!$M$4:$N$11,2,FALSE),IF(E155="Equity",VLOOKUP(IF(LOWER(K155)="index","Equity Index","Equity Single Name"),Parameters!$M$4:$N$11,2,FALSE),IF(E155="Commodity",VLOOKUP(IF(F155="Electricity","Commodity Electricity","Commodity Other"),Parameters!$M$4:$N$11,2,FALSE),1))))</x:f>
        <x:v>0.5</x:v>
      </x:c>
      <x:c r="AU155" s="27" t="n">
        <x:f>IF(W155="B",1,-1)</x:f>
        <x:v>1</x:v>
      </x:c>
      <x:c r="AV155" s="27" t="n">
        <x:f>IF(OR(AA155="",M155=""),MAX(AE155,1/365),MAX((AA155-M155)/365,1/365))</x:f>
        <x:v>1.1287671232876713</x:v>
      </x:c>
      <x:c r="AW155" s="41" t="str">
        <x:f>IF(OR(Z155&lt;=0,Y155&lt;=0,AT155&lt;=0,AV155&lt;=0),"",(LN(Z155/Y155)+0.5*AT155^2*AV155)/(AT155*SQRT(AV155)))</x:f>
      </x:c>
      <x:c r="AX155" s="41" t="n">
        <x:f>IF(AND(X155&lt;&gt;"C",X155&lt;&gt;"P"),AU155,IF(AW155="",AU155,IF(X155="C",AU155*0.5*(1+ERF(AW155/SQRT(2))),-AU155*0.5*(1+ERF(-AW155/SQRT(2))))))</x:f>
        <x:v>1</x:v>
      </x:c>
      <x:c r="AY155" s="41" t="n">
        <x:f>IF(AJ155="M",1.5*SQRT(MAX(IF(U155="Y",5,10),IF(V155="",10,V155))/Parameters!$B$6),SQRT(MIN(MAX(AE155,10/Parameters!$B$6),1)))</x:f>
        <x:v>0.21213203435596426</x:v>
      </x:c>
      <x:c r="AZ155" s="40" t="n">
        <x:f>AS155*AX155*AY155</x:f>
        <x:v>97549901.7422721</x:v>
      </x:c>
      <x:c r="BA155" s="40" t="n">
        <x:f>'Python_Trade_Output'!AZ155</x:f>
        <x:v>97549901.7422721</x:v>
      </x:c>
      <x:c r="BB155" s="43" t="n">
        <x:f>AZ155-BA155</x:f>
        <x:v>0</x:v>
      </x:c>
    </x:row>
    <x:row r="156">
      <x:c r="A156" s="27" t="str">
        <x:f>'Inputs_Trades'!D156</x:f>
        <x:v>IND-000153</x:v>
      </x:c>
      <x:c r="B156" s="27" t="str">
        <x:f>'Inputs_Trades'!B156</x:f>
        <x:v>IND_CLEARING_MEMBER_001</x:v>
      </x:c>
      <x:c r="C156" s="27" t="n">
        <x:f>'Inputs_Trades'!C156</x:f>
        <x:v>3399</x:v>
      </x:c>
      <x:c r="D156" s="27" t="str">
        <x:f>'Inputs_Trades'!E156</x:f>
        <x:v>OIS</x:v>
      </x:c>
      <x:c r="E156" s="27" t="str">
        <x:f>'Inputs_Trades'!F156</x:f>
        <x:v>Interest Rate</x:v>
      </x:c>
      <x:c r="F156" s="27" t="n">
        <x:f>'Inputs_Trades'!G156</x:f>
        <x:v>0</x:v>
      </x:c>
      <x:c r="G156" s="27" t="str">
        <x:f>'Inputs_Trades'!J156</x:f>
        <x:v>EUR</x:v>
      </x:c>
      <x:c r="H156" s="27" t="str">
        <x:f>'Inputs_Trades'!H156</x:f>
        <x:v>EUR</x:v>
      </x:c>
      <x:c r="I156" s="27" t="str">
        <x:f>'Inputs_Trades'!I156</x:f>
        <x:v>EUR</x:v>
      </x:c>
      <x:c r="J156" s="27" t="str">
        <x:f>'Inputs_Trades'!M156</x:f>
        <x:v>EUR</x:v>
      </x:c>
      <x:c r="K156" s="27" t="n">
        <x:f>'Inputs_Trades'!N156</x:f>
        <x:v>0</x:v>
      </x:c>
      <x:c r="L156" s="27" t="n">
        <x:f>'Inputs_Trades'!O156</x:f>
        <x:v>0</x:v>
      </x:c>
      <x:c r="M156" s="39" t="n">
        <x:f>'Inputs_Trades'!A156</x:f>
        <x:v>45702</x:v>
      </x:c>
      <x:c r="N156" s="39" t="n">
        <x:f>'Inputs_Trades'!P156</x:f>
        <x:v>47407</x:v>
      </x:c>
      <x:c r="O156" s="39" t="n">
        <x:f>'Inputs_Trades'!Q156</x:f>
        <x:v>45416</x:v>
      </x:c>
      <x:c r="P156" s="39" t="n">
        <x:f>'Inputs_Trades'!R156</x:f>
        <x:v>47407</x:v>
      </x:c>
      <x:c r="Q156" s="40" t="n">
        <x:f>'Inputs_Trades'!U156</x:f>
        <x:v>978000000</x:v>
      </x:c>
      <x:c r="R156" s="40" t="n">
        <x:f>'Inputs_Trades'!S156</x:f>
        <x:v>931428571.43</x:v>
      </x:c>
      <x:c r="S156" s="40" t="n">
        <x:f>'Inputs_Trades'!T156</x:f>
        <x:v>931428571.43</x:v>
      </x:c>
      <x:c r="T156" s="27" t="str">
        <x:f>'Inputs_Trades'!V156</x:f>
        <x:v>U</x:v>
      </x:c>
      <x:c r="U156" s="27" t="str">
        <x:f>'Inputs_Trades'!W156</x:f>
        <x:v>Y</x:v>
      </x:c>
      <x:c r="V156" s="27" t="n">
        <x:f>'Inputs_Trades'!X156</x:f>
        <x:v>5</x:v>
      </x:c>
      <x:c r="W156" s="27" t="str">
        <x:f>'Inputs_Trades'!Y156</x:f>
        <x:v>B</x:v>
      </x:c>
      <x:c r="X156" s="27" t="n">
        <x:f>'Inputs_Trades'!AA156</x:f>
        <x:v>0</x:v>
      </x:c>
      <x:c r="Y156" s="27" t="n">
        <x:f>'Inputs_Trades'!AB156</x:f>
        <x:v>0</x:v>
      </x:c>
      <x:c r="Z156" s="27" t="n">
        <x:f>'Inputs_Trades'!AC156</x:f>
        <x:v>0</x:v>
      </x:c>
      <x:c r="AA156" s="39" t="n">
        <x:f>'Inputs_Trades'!Z156</x:f>
        <x:v>0</x:v>
      </x:c>
      <x:c r="AB156" s="40" t="n">
        <x:f>'Inputs_Trades'!AD156</x:f>
        <x:v>1525680</x:v>
      </x:c>
      <x:c r="AC156" s="27" t="n">
        <x:f>'Inputs_Trades'!K156</x:f>
        <x:v>0</x:v>
      </x:c>
      <x:c r="AD156" s="27" t="n">
        <x:f>N156-M156</x:f>
        <x:v>1705</x:v>
      </x:c>
      <x:c r="AE156" s="41" t="n">
        <x:f>AD156/365</x:f>
        <x:v>4.671232876712328</x:v>
      </x:c>
      <x:c r="AF156" s="27" t="str">
        <x:f>IF(AE156&lt;1,"&lt;1Y",IF(AE156&lt;=5,"1Y-5Y","&gt;5Y"))</x:f>
        <x:v>1Y-5Y</x:v>
      </x:c>
      <x:c r="AG156" s="27" t="str">
        <x:f>IF(E156="Commodity",IFERROR(VLOOKUP(F156,Parameters!$P$4:$Q$12,2,FALSE),"Other"),"")</x:f>
      </x:c>
      <x:c r="AH156" s="27" t="str">
        <x:f>IF(F156="","Unknown",F156)</x:f>
        <x:v>Unknown</x:v>
      </x:c>
      <x:c r="AI156" s="27" t="str">
        <x:f>IF(E156="Interest Rate",G156&amp;IF(OR(LOWER(AC156)="basis",LOWER(AC156)="volatility"),"_"&amp;AC156,""),IF(E156="FX",IF(H156&lt;I156,H156&amp;"/"&amp;I156,I156&amp;"/"&amp;H156)&amp;IF(OR(LOWER(AC156)="basis",LOWER(AC156)="volatility"),"_"&amp;AC156,""),IF(OR(E156="Credit",E156="Equity"),J156&amp;IF(OR(LOWER(AC156)="basis",LOWER(AC156)="volatility"),"_"&amp;AC156,""),IF(E156="Commodity",AG156&amp;IF(OR(LOWER(AC156)="basis",LOWER(AC156)="volatility"),"_"&amp;AC156,""),"UNKNOWN"))))</x:f>
        <x:v>EUR</x:v>
      </x:c>
      <x:c r="AJ156" s="27" t="str">
        <x:f>T156</x:f>
        <x:v>U</x:v>
      </x:c>
      <x:c r="AK156" s="41" t="n">
        <x:f>IF(E156="Interest Rate",VLOOKUP("Interest Rate",Parameters!$D$4:$E$12,2,FALSE),IF(E156="FX",VLOOKUP("FX",Parameters!$D$4:$E$12,2,FALSE),IF(E156="Credit",IFERROR(VLOOKUP(L156,Parameters!$G$4:$H$12,2,FALSE),VLOOKUP("BBB",Parameters!$G$4:$H$12,2,FALSE)),IF(E156="Equity",VLOOKUP(IF(LOWER(K156)="index","Equity Index","Equity Single Name"),Parameters!$D$4:$E$12,2,FALSE),IF(E156="Commodity",VLOOKUP(IFERROR(VLOOKUP(F156,Parameters!$S$4:$T$12,2,FALSE),"Commodity Other"),Parameters!$D$4:$E$12,2,FALSE),0)))))</x:f>
        <x:v>0.005</x:v>
      </x:c>
      <x:c r="AL156" s="42" t="n">
        <x:f>IF(LOWER(AC156)="basis",Parameters!$B$8,IF(LOWER(AC156)="volatility",Parameters!$B$9,1))</x:f>
        <x:v>1</x:v>
      </x:c>
      <x:c r="AM156" s="41" t="n">
        <x:f>AK156*AL156</x:f>
        <x:v>0.005</x:v>
      </x:c>
      <x:c r="AN156" s="42" t="str">
        <x:f>IF(E156="Credit",VLOOKUP(IF(LOWER(K156)="index","Credit Index","Credit Single Name"),Parameters!$J$4:$K$8,2,FALSE),IF(E156="Equity",VLOOKUP(IF(LOWER(K156)="index","Equity Index","Equity Single Name"),Parameters!$J$4:$K$8,2,FALSE),IF(E156="Commodity",VLOOKUP("Commodity",Parameters!$J$4:$K$8,2,FALSE),"")))</x:f>
      </x:c>
      <x:c r="AO156" s="27" t="n">
        <x:f>MAX((O156-M156)/365,0)</x:f>
        <x:v>0</x:v>
      </x:c>
      <x:c r="AP156" s="27" t="n">
        <x:f>MAX((P156-M156)/365,10/Parameters!$B$6)</x:f>
        <x:v>4.671232876712328</x:v>
      </x:c>
      <x:c r="AQ156" s="27" t="n">
        <x:f>IF(AP156&lt;=AO156,AO156+10/Parameters!$B$6,AP156)</x:f>
        <x:v>4.671232876712328</x:v>
      </x:c>
      <x:c r="AR156" s="41" t="n">
        <x:f>IF(OR(E156="Interest Rate",E156="Credit"),(EXP(-Parameters!$B$7*AO156)-EXP(-Parameters!$B$7*AQ156))/Parameters!$B$7,1)</x:f>
        <x:v>4.165824194610776</x:v>
      </x:c>
      <x:c r="AS156" s="40" t="n">
        <x:f>IF(OR(E156="Interest Rate",E156="Credit"),ABS(Q156)*AR156,IF(E156="FX",IF(Q156&gt;0,Q156,MAX(ABS(R156),ABS(S156),ABS(Q156))),ABS(Q156)))</x:f>
        <x:v>4074176062.329339</x:v>
      </x:c>
      <x:c r="AT156" s="42" t="n">
        <x:f>IF(OR(E156="Interest Rate",E156="FX"),VLOOKUP(E156,Parameters!$M$4:$N$11,2,FALSE),IF(E156="Credit",VLOOKUP(IF(LOWER(K156)="index","Credit Index","Credit Single Name"),Parameters!$M$4:$N$11,2,FALSE),IF(E156="Equity",VLOOKUP(IF(LOWER(K156)="index","Equity Index","Equity Single Name"),Parameters!$M$4:$N$11,2,FALSE),IF(E156="Commodity",VLOOKUP(IF(F156="Electricity","Commodity Electricity","Commodity Other"),Parameters!$M$4:$N$11,2,FALSE),1))))</x:f>
        <x:v>0.5</x:v>
      </x:c>
      <x:c r="AU156" s="27" t="n">
        <x:f>IF(W156="B",1,-1)</x:f>
        <x:v>1</x:v>
      </x:c>
      <x:c r="AV156" s="27" t="n">
        <x:f>IF(OR(AA156="",M156=""),MAX(AE156,1/365),MAX((AA156-M156)/365,1/365))</x:f>
        <x:v>4.671232876712328</x:v>
      </x:c>
      <x:c r="AW156" s="41" t="str">
        <x:f>IF(OR(Z156&lt;=0,Y156&lt;=0,AT156&lt;=0,AV156&lt;=0),"",(LN(Z156/Y156)+0.5*AT156^2*AV156)/(AT156*SQRT(AV156)))</x:f>
      </x:c>
      <x:c r="AX156" s="41" t="n">
        <x:f>IF(AND(X156&lt;&gt;"C",X156&lt;&gt;"P"),AU156,IF(AW156="",AU156,IF(X156="C",AU156*0.5*(1+ERF(AW156/SQRT(2))),-AU156*0.5*(1+ERF(-AW156/SQRT(2))))))</x:f>
        <x:v>1</x:v>
      </x:c>
      <x:c r="AY156" s="41" t="n">
        <x:f>IF(AJ156="M",1.5*SQRT(MAX(IF(U156="Y",5,10),IF(V156="",10,V156))/Parameters!$B$6),SQRT(MIN(MAX(AE156,10/Parameters!$B$6),1)))</x:f>
        <x:v>1</x:v>
      </x:c>
      <x:c r="AZ156" s="40" t="n">
        <x:f>AS156*AX156*AY156</x:f>
        <x:v>4074176062.329339</x:v>
      </x:c>
      <x:c r="BA156" s="40" t="n">
        <x:f>'Python_Trade_Output'!AZ156</x:f>
        <x:v>4074176062.329339</x:v>
      </x:c>
      <x:c r="BB156" s="43" t="n">
        <x:f>AZ156-BA156</x:f>
        <x:v>0</x:v>
      </x:c>
    </x:row>
    <x:row r="157">
      <x:c r="A157" s="27" t="str">
        <x:f>'Inputs_Trades'!D157</x:f>
        <x:v>IND-000154</x:v>
      </x:c>
      <x:c r="B157" s="27" t="str">
        <x:f>'Inputs_Trades'!B157</x:f>
        <x:v>IND_REGIONAL_BANK_001</x:v>
      </x:c>
      <x:c r="C157" s="27" t="n">
        <x:f>'Inputs_Trades'!C157</x:f>
        <x:v>3315</x:v>
      </x:c>
      <x:c r="D157" s="27" t="str">
        <x:f>'Inputs_Trades'!E157</x:f>
        <x:v>OIS</x:v>
      </x:c>
      <x:c r="E157" s="27" t="str">
        <x:f>'Inputs_Trades'!F157</x:f>
        <x:v>Interest Rate</x:v>
      </x:c>
      <x:c r="F157" s="27" t="n">
        <x:f>'Inputs_Trades'!G157</x:f>
        <x:v>0</x:v>
      </x:c>
      <x:c r="G157" s="27" t="str">
        <x:f>'Inputs_Trades'!J157</x:f>
        <x:v>CNY</x:v>
      </x:c>
      <x:c r="H157" s="27" t="str">
        <x:f>'Inputs_Trades'!H157</x:f>
        <x:v>CNY</x:v>
      </x:c>
      <x:c r="I157" s="27" t="str">
        <x:f>'Inputs_Trades'!I157</x:f>
        <x:v>CNY</x:v>
      </x:c>
      <x:c r="J157" s="27" t="str">
        <x:f>'Inputs_Trades'!M157</x:f>
        <x:v>CNY</x:v>
      </x:c>
      <x:c r="K157" s="27" t="n">
        <x:f>'Inputs_Trades'!N157</x:f>
        <x:v>0</x:v>
      </x:c>
      <x:c r="L157" s="27" t="n">
        <x:f>'Inputs_Trades'!O157</x:f>
        <x:v>0</x:v>
      </x:c>
      <x:c r="M157" s="39" t="n">
        <x:f>'Inputs_Trades'!A157</x:f>
        <x:v>45702</x:v>
      </x:c>
      <x:c r="N157" s="39" t="n">
        <x:f>'Inputs_Trades'!P157</x:f>
        <x:v>48163</x:v>
      </x:c>
      <x:c r="O157" s="39" t="n">
        <x:f>'Inputs_Trades'!Q157</x:f>
        <x:v>45345</x:v>
      </x:c>
      <x:c r="P157" s="39" t="n">
        <x:f>'Inputs_Trades'!R157</x:f>
        <x:v>48163</x:v>
      </x:c>
      <x:c r="Q157" s="40" t="n">
        <x:f>'Inputs_Trades'!U157</x:f>
        <x:v>68500000</x:v>
      </x:c>
      <x:c r="R157" s="40" t="n">
        <x:f>'Inputs_Trades'!S157</x:f>
        <x:v>489285714.29</x:v>
      </x:c>
      <x:c r="S157" s="40" t="n">
        <x:f>'Inputs_Trades'!T157</x:f>
        <x:v>489285714.29</x:v>
      </x:c>
      <x:c r="T157" s="27" t="str">
        <x:f>'Inputs_Trades'!V157</x:f>
        <x:v>M</x:v>
      </x:c>
      <x:c r="U157" s="27" t="str">
        <x:f>'Inputs_Trades'!W157</x:f>
        <x:v>Y</x:v>
      </x:c>
      <x:c r="V157" s="27" t="n">
        <x:f>'Inputs_Trades'!X157</x:f>
        <x:v>5</x:v>
      </x:c>
      <x:c r="W157" s="27" t="str">
        <x:f>'Inputs_Trades'!Y157</x:f>
        <x:v>B</x:v>
      </x:c>
      <x:c r="X157" s="27" t="n">
        <x:f>'Inputs_Trades'!AA157</x:f>
        <x:v>0</x:v>
      </x:c>
      <x:c r="Y157" s="27" t="n">
        <x:f>'Inputs_Trades'!AB157</x:f>
        <x:v>0</x:v>
      </x:c>
      <x:c r="Z157" s="27" t="n">
        <x:f>'Inputs_Trades'!AC157</x:f>
        <x:v>0</x:v>
      </x:c>
      <x:c r="AA157" s="39" t="n">
        <x:f>'Inputs_Trades'!Z157</x:f>
        <x:v>0</x:v>
      </x:c>
      <x:c r="AB157" s="40" t="n">
        <x:f>'Inputs_Trades'!AD157</x:f>
        <x:v>300852</x:v>
      </x:c>
      <x:c r="AC157" s="27" t="n">
        <x:f>'Inputs_Trades'!K157</x:f>
        <x:v>0</x:v>
      </x:c>
      <x:c r="AD157" s="27" t="n">
        <x:f>N157-M157</x:f>
        <x:v>2461</x:v>
      </x:c>
      <x:c r="AE157" s="41" t="n">
        <x:f>AD157/365</x:f>
        <x:v>6.742465753424658</x:v>
      </x:c>
      <x:c r="AF157" s="27" t="str">
        <x:f>IF(AE157&lt;1,"&lt;1Y",IF(AE157&lt;=5,"1Y-5Y","&gt;5Y"))</x:f>
        <x:v>&gt;5Y</x:v>
      </x:c>
      <x:c r="AG157" s="27" t="str">
        <x:f>IF(E157="Commodity",IFERROR(VLOOKUP(F157,Parameters!$P$4:$Q$12,2,FALSE),"Other"),"")</x:f>
      </x:c>
      <x:c r="AH157" s="27" t="str">
        <x:f>IF(F157="","Unknown",F157)</x:f>
        <x:v>Unknown</x:v>
      </x:c>
      <x:c r="AI157" s="27" t="str">
        <x:f>IF(E157="Interest Rate",G157&amp;IF(OR(LOWER(AC157)="basis",LOWER(AC157)="volatility"),"_"&amp;AC157,""),IF(E157="FX",IF(H157&lt;I157,H157&amp;"/"&amp;I157,I157&amp;"/"&amp;H157)&amp;IF(OR(LOWER(AC157)="basis",LOWER(AC157)="volatility"),"_"&amp;AC157,""),IF(OR(E157="Credit",E157="Equity"),J157&amp;IF(OR(LOWER(AC157)="basis",LOWER(AC157)="volatility"),"_"&amp;AC157,""),IF(E157="Commodity",AG157&amp;IF(OR(LOWER(AC157)="basis",LOWER(AC157)="volatility"),"_"&amp;AC157,""),"UNKNOWN"))))</x:f>
        <x:v>CNY</x:v>
      </x:c>
      <x:c r="AJ157" s="27" t="str">
        <x:f>T157</x:f>
        <x:v>M</x:v>
      </x:c>
      <x:c r="AK157" s="41" t="n">
        <x:f>IF(E157="Interest Rate",VLOOKUP("Interest Rate",Parameters!$D$4:$E$12,2,FALSE),IF(E157="FX",VLOOKUP("FX",Parameters!$D$4:$E$12,2,FALSE),IF(E157="Credit",IFERROR(VLOOKUP(L157,Parameters!$G$4:$H$12,2,FALSE),VLOOKUP("BBB",Parameters!$G$4:$H$12,2,FALSE)),IF(E157="Equity",VLOOKUP(IF(LOWER(K157)="index","Equity Index","Equity Single Name"),Parameters!$D$4:$E$12,2,FALSE),IF(E157="Commodity",VLOOKUP(IFERROR(VLOOKUP(F157,Parameters!$S$4:$T$12,2,FALSE),"Commodity Other"),Parameters!$D$4:$E$12,2,FALSE),0)))))</x:f>
        <x:v>0.005</x:v>
      </x:c>
      <x:c r="AL157" s="42" t="n">
        <x:f>IF(LOWER(AC157)="basis",Parameters!$B$8,IF(LOWER(AC157)="volatility",Parameters!$B$9,1))</x:f>
        <x:v>1</x:v>
      </x:c>
      <x:c r="AM157" s="41" t="n">
        <x:f>AK157*AL157</x:f>
        <x:v>0.005</x:v>
      </x:c>
      <x:c r="AN157" s="42" t="str">
        <x:f>IF(E157="Credit",VLOOKUP(IF(LOWER(K157)="index","Credit Index","Credit Single Name"),Parameters!$J$4:$K$8,2,FALSE),IF(E157="Equity",VLOOKUP(IF(LOWER(K157)="index","Equity Index","Equity Single Name"),Parameters!$J$4:$K$8,2,FALSE),IF(E157="Commodity",VLOOKUP("Commodity",Parameters!$J$4:$K$8,2,FALSE),"")))</x:f>
      </x:c>
      <x:c r="AO157" s="27" t="n">
        <x:f>MAX((O157-M157)/365,0)</x:f>
        <x:v>0</x:v>
      </x:c>
      <x:c r="AP157" s="27" t="n">
        <x:f>MAX((P157-M157)/365,10/Parameters!$B$6)</x:f>
        <x:v>6.742465753424658</x:v>
      </x:c>
      <x:c r="AQ157" s="27" t="n">
        <x:f>IF(AP157&lt;=AO157,AO157+10/Parameters!$B$6,AP157)</x:f>
        <x:v>6.742465753424658</x:v>
      </x:c>
      <x:c r="AR157" s="41" t="n">
        <x:f>IF(OR(E157="Interest Rate",E157="Credit"),(EXP(-Parameters!$B$7*AO157)-EXP(-Parameters!$B$7*AQ157))/Parameters!$B$7,1)</x:f>
        <x:v>5.72358341660387</x:v>
      </x:c>
      <x:c r="AS157" s="40" t="n">
        <x:f>IF(OR(E157="Interest Rate",E157="Credit"),ABS(Q157)*AR157,IF(E157="FX",IF(Q157&gt;0,Q157,MAX(ABS(R157),ABS(S157),ABS(Q157))),ABS(Q157)))</x:f>
        <x:v>392065464.0373651</x:v>
      </x:c>
      <x:c r="AT157" s="42" t="n">
        <x:f>IF(OR(E157="Interest Rate",E157="FX"),VLOOKUP(E157,Parameters!$M$4:$N$11,2,FALSE),IF(E157="Credit",VLOOKUP(IF(LOWER(K157)="index","Credit Index","Credit Single Name"),Parameters!$M$4:$N$11,2,FALSE),IF(E157="Equity",VLOOKUP(IF(LOWER(K157)="index","Equity Index","Equity Single Name"),Parameters!$M$4:$N$11,2,FALSE),IF(E157="Commodity",VLOOKUP(IF(F157="Electricity","Commodity Electricity","Commodity Other"),Parameters!$M$4:$N$11,2,FALSE),1))))</x:f>
        <x:v>0.5</x:v>
      </x:c>
      <x:c r="AU157" s="27" t="n">
        <x:f>IF(W157="B",1,-1)</x:f>
        <x:v>1</x:v>
      </x:c>
      <x:c r="AV157" s="27" t="n">
        <x:f>IF(OR(AA157="",M157=""),MAX(AE157,1/365),MAX((AA157-M157)/365,1/365))</x:f>
        <x:v>6.742465753424658</x:v>
      </x:c>
      <x:c r="AW157" s="41" t="str">
        <x:f>IF(OR(Z157&lt;=0,Y157&lt;=0,AT157&lt;=0,AV157&lt;=0),"",(LN(Z157/Y157)+0.5*AT157^2*AV157)/(AT157*SQRT(AV157)))</x:f>
      </x:c>
      <x:c r="AX157" s="41" t="n">
        <x:f>IF(AND(X157&lt;&gt;"C",X157&lt;&gt;"P"),AU157,IF(AW157="",AU157,IF(X157="C",AU157*0.5*(1+ERF(AW157/SQRT(2))),-AU157*0.5*(1+ERF(-AW157/SQRT(2))))))</x:f>
        <x:v>1</x:v>
      </x:c>
      <x:c r="AY157" s="41" t="n">
        <x:f>IF(AJ157="M",1.5*SQRT(MAX(IF(U157="Y",5,10),IF(V157="",10,V157))/Parameters!$B$6),SQRT(MIN(MAX(AE157,10/Parameters!$B$6),1)))</x:f>
        <x:v>0.21213203435596426</x:v>
      </x:c>
      <x:c r="AZ157" s="40" t="n">
        <x:f>AS157*AX157*AY157</x:f>
        <x:v>83169644.4869614</x:v>
      </x:c>
      <x:c r="BA157" s="40" t="n">
        <x:f>'Python_Trade_Output'!AZ157</x:f>
        <x:v>83169644.4869614</x:v>
      </x:c>
      <x:c r="BB157" s="43" t="n">
        <x:f>AZ157-BA157</x:f>
        <x:v>0</x:v>
      </x:c>
    </x:row>
    <x:row r="158">
      <x:c r="A158" s="27" t="str">
        <x:f>'Inputs_Trades'!D158</x:f>
        <x:v>IND-000155</x:v>
      </x:c>
      <x:c r="B158" s="27" t="str">
        <x:f>'Inputs_Trades'!B158</x:f>
        <x:v>IND_CORPORATE_002</x:v>
      </x:c>
      <x:c r="C158" s="27" t="n">
        <x:f>'Inputs_Trades'!C158</x:f>
        <x:v>3074</x:v>
      </x:c>
      <x:c r="D158" s="27" t="str">
        <x:f>'Inputs_Trades'!E158</x:f>
        <x:v>OIS</x:v>
      </x:c>
      <x:c r="E158" s="27" t="str">
        <x:f>'Inputs_Trades'!F158</x:f>
        <x:v>Interest Rate</x:v>
      </x:c>
      <x:c r="F158" s="27" t="n">
        <x:f>'Inputs_Trades'!G158</x:f>
        <x:v>0</x:v>
      </x:c>
      <x:c r="G158" s="27" t="str">
        <x:f>'Inputs_Trades'!J158</x:f>
        <x:v>USD</x:v>
      </x:c>
      <x:c r="H158" s="27" t="str">
        <x:f>'Inputs_Trades'!H158</x:f>
        <x:v>USD</x:v>
      </x:c>
      <x:c r="I158" s="27" t="str">
        <x:f>'Inputs_Trades'!I158</x:f>
        <x:v>USD</x:v>
      </x:c>
      <x:c r="J158" s="27" t="str">
        <x:f>'Inputs_Trades'!M158</x:f>
        <x:v>USD</x:v>
      </x:c>
      <x:c r="K158" s="27" t="n">
        <x:f>'Inputs_Trades'!N158</x:f>
        <x:v>0</x:v>
      </x:c>
      <x:c r="L158" s="27" t="n">
        <x:f>'Inputs_Trades'!O158</x:f>
        <x:v>0</x:v>
      </x:c>
      <x:c r="M158" s="39" t="n">
        <x:f>'Inputs_Trades'!A158</x:f>
        <x:v>45702</x:v>
      </x:c>
      <x:c r="N158" s="39" t="n">
        <x:f>'Inputs_Trades'!P158</x:f>
        <x:v>49582</x:v>
      </x:c>
      <x:c r="O158" s="39" t="n">
        <x:f>'Inputs_Trades'!Q158</x:f>
        <x:v>45181</x:v>
      </x:c>
      <x:c r="P158" s="39" t="n">
        <x:f>'Inputs_Trades'!R158</x:f>
        <x:v>49582</x:v>
      </x:c>
      <x:c r="Q158" s="40" t="n">
        <x:f>'Inputs_Trades'!U158</x:f>
        <x:v>949000000</x:v>
      </x:c>
      <x:c r="R158" s="40" t="n">
        <x:f>'Inputs_Trades'!S158</x:f>
        <x:v>949000000</x:v>
      </x:c>
      <x:c r="S158" s="40" t="n">
        <x:f>'Inputs_Trades'!T158</x:f>
        <x:v>949000000</x:v>
      </x:c>
      <x:c r="T158" s="27" t="str">
        <x:f>'Inputs_Trades'!V158</x:f>
        <x:v>M</x:v>
      </x:c>
      <x:c r="U158" s="27" t="str">
        <x:f>'Inputs_Trades'!W158</x:f>
        <x:v>N</x:v>
      </x:c>
      <x:c r="V158" s="27" t="n">
        <x:f>'Inputs_Trades'!X158</x:f>
        <x:v>10</x:v>
      </x:c>
      <x:c r="W158" s="27" t="str">
        <x:f>'Inputs_Trades'!Y158</x:f>
        <x:v>S</x:v>
      </x:c>
      <x:c r="X158" s="27" t="n">
        <x:f>'Inputs_Trades'!AA158</x:f>
        <x:v>0</x:v>
      </x:c>
      <x:c r="Y158" s="27" t="n">
        <x:f>'Inputs_Trades'!AB158</x:f>
        <x:v>0</x:v>
      </x:c>
      <x:c r="Z158" s="27" t="n">
        <x:f>'Inputs_Trades'!AC158</x:f>
        <x:v>0</x:v>
      </x:c>
      <x:c r="AA158" s="39" t="n">
        <x:f>'Inputs_Trades'!Z158</x:f>
        <x:v>0</x:v>
      </x:c>
      <x:c r="AB158" s="40" t="n">
        <x:f>'Inputs_Trades'!AD158</x:f>
        <x:v>-3763734</x:v>
      </x:c>
      <x:c r="AC158" s="27" t="n">
        <x:f>'Inputs_Trades'!K158</x:f>
        <x:v>0</x:v>
      </x:c>
      <x:c r="AD158" s="27" t="n">
        <x:f>N158-M158</x:f>
        <x:v>3880</x:v>
      </x:c>
      <x:c r="AE158" s="41" t="n">
        <x:f>AD158/365</x:f>
        <x:v>10.63013698630137</x:v>
      </x:c>
      <x:c r="AF158" s="27" t="str">
        <x:f>IF(AE158&lt;1,"&lt;1Y",IF(AE158&lt;=5,"1Y-5Y","&gt;5Y"))</x:f>
        <x:v>&gt;5Y</x:v>
      </x:c>
      <x:c r="AG158" s="27" t="str">
        <x:f>IF(E158="Commodity",IFERROR(VLOOKUP(F158,Parameters!$P$4:$Q$12,2,FALSE),"Other"),"")</x:f>
      </x:c>
      <x:c r="AH158" s="27" t="str">
        <x:f>IF(F158="","Unknown",F158)</x:f>
        <x:v>Unknown</x:v>
      </x:c>
      <x:c r="AI158" s="27" t="str">
        <x:f>IF(E158="Interest Rate",G158&amp;IF(OR(LOWER(AC158)="basis",LOWER(AC158)="volatility"),"_"&amp;AC158,""),IF(E158="FX",IF(H158&lt;I158,H158&amp;"/"&amp;I158,I158&amp;"/"&amp;H158)&amp;IF(OR(LOWER(AC158)="basis",LOWER(AC158)="volatility"),"_"&amp;AC158,""),IF(OR(E158="Credit",E158="Equity"),J158&amp;IF(OR(LOWER(AC158)="basis",LOWER(AC158)="volatility"),"_"&amp;AC158,""),IF(E158="Commodity",AG158&amp;IF(OR(LOWER(AC158)="basis",LOWER(AC158)="volatility"),"_"&amp;AC158,""),"UNKNOWN"))))</x:f>
        <x:v>USD</x:v>
      </x:c>
      <x:c r="AJ158" s="27" t="str">
        <x:f>T158</x:f>
        <x:v>M</x:v>
      </x:c>
      <x:c r="AK158" s="41" t="n">
        <x:f>IF(E158="Interest Rate",VLOOKUP("Interest Rate",Parameters!$D$4:$E$12,2,FALSE),IF(E158="FX",VLOOKUP("FX",Parameters!$D$4:$E$12,2,FALSE),IF(E158="Credit",IFERROR(VLOOKUP(L158,Parameters!$G$4:$H$12,2,FALSE),VLOOKUP("BBB",Parameters!$G$4:$H$12,2,FALSE)),IF(E158="Equity",VLOOKUP(IF(LOWER(K158)="index","Equity Index","Equity Single Name"),Parameters!$D$4:$E$12,2,FALSE),IF(E158="Commodity",VLOOKUP(IFERROR(VLOOKUP(F158,Parameters!$S$4:$T$12,2,FALSE),"Commodity Other"),Parameters!$D$4:$E$12,2,FALSE),0)))))</x:f>
        <x:v>0.005</x:v>
      </x:c>
      <x:c r="AL158" s="42" t="n">
        <x:f>IF(LOWER(AC158)="basis",Parameters!$B$8,IF(LOWER(AC158)="volatility",Parameters!$B$9,1))</x:f>
        <x:v>1</x:v>
      </x:c>
      <x:c r="AM158" s="41" t="n">
        <x:f>AK158*AL158</x:f>
        <x:v>0.005</x:v>
      </x:c>
      <x:c r="AN158" s="42" t="str">
        <x:f>IF(E158="Credit",VLOOKUP(IF(LOWER(K158)="index","Credit Index","Credit Single Name"),Parameters!$J$4:$K$8,2,FALSE),IF(E158="Equity",VLOOKUP(IF(LOWER(K158)="index","Equity Index","Equity Single Name"),Parameters!$J$4:$K$8,2,FALSE),IF(E158="Commodity",VLOOKUP("Commodity",Parameters!$J$4:$K$8,2,FALSE),"")))</x:f>
      </x:c>
      <x:c r="AO158" s="27" t="n">
        <x:f>MAX((O158-M158)/365,0)</x:f>
        <x:v>0</x:v>
      </x:c>
      <x:c r="AP158" s="27" t="n">
        <x:f>MAX((P158-M158)/365,10/Parameters!$B$6)</x:f>
        <x:v>10.63013698630137</x:v>
      </x:c>
      <x:c r="AQ158" s="27" t="n">
        <x:f>IF(AP158&lt;=AO158,AO158+10/Parameters!$B$6,AP158)</x:f>
        <x:v>10.63013698630137</x:v>
      </x:c>
      <x:c r="AR158" s="41" t="n">
        <x:f>IF(OR(E158="Interest Rate",E158="Credit"),(EXP(-Parameters!$B$7*AO158)-EXP(-Parameters!$B$7*AQ158))/Parameters!$B$7,1)</x:f>
        <x:v>8.245626028217236</x:v>
      </x:c>
      <x:c r="AS158" s="40" t="n">
        <x:f>IF(OR(E158="Interest Rate",E158="Credit"),ABS(Q158)*AR158,IF(E158="FX",IF(Q158&gt;0,Q158,MAX(ABS(R158),ABS(S158),ABS(Q158))),ABS(Q158)))</x:f>
        <x:v>7825099100.778157</x:v>
      </x:c>
      <x:c r="AT158" s="42" t="n">
        <x:f>IF(OR(E158="Interest Rate",E158="FX"),VLOOKUP(E158,Parameters!$M$4:$N$11,2,FALSE),IF(E158="Credit",VLOOKUP(IF(LOWER(K158)="index","Credit Index","Credit Single Name"),Parameters!$M$4:$N$11,2,FALSE),IF(E158="Equity",VLOOKUP(IF(LOWER(K158)="index","Equity Index","Equity Single Name"),Parameters!$M$4:$N$11,2,FALSE),IF(E158="Commodity",VLOOKUP(IF(F158="Electricity","Commodity Electricity","Commodity Other"),Parameters!$M$4:$N$11,2,FALSE),1))))</x:f>
        <x:v>0.5</x:v>
      </x:c>
      <x:c r="AU158" s="27" t="n">
        <x:f>IF(W158="B",1,-1)</x:f>
        <x:v>-1</x:v>
      </x:c>
      <x:c r="AV158" s="27" t="n">
        <x:f>IF(OR(AA158="",M158=""),MAX(AE158,1/365),MAX((AA158-M158)/365,1/365))</x:f>
        <x:v>10.63013698630137</x:v>
      </x:c>
      <x:c r="AW158" s="41" t="str">
        <x:f>IF(OR(Z158&lt;=0,Y158&lt;=0,AT158&lt;=0,AV158&lt;=0),"",(LN(Z158/Y158)+0.5*AT158^2*AV158)/(AT158*SQRT(AV158)))</x:f>
      </x:c>
      <x:c r="AX158" s="41" t="n">
        <x:f>IF(AND(X158&lt;&gt;"C",X158&lt;&gt;"P"),AU158,IF(AW158="",AU158,IF(X158="C",AU158*0.5*(1+ERF(AW158/SQRT(2))),-AU158*0.5*(1+ERF(-AW158/SQRT(2))))))</x:f>
        <x:v>-1</x:v>
      </x:c>
      <x:c r="AY158" s="41" t="n">
        <x:f>IF(AJ158="M",1.5*SQRT(MAX(IF(U158="Y",5,10),IF(V158="",10,V158))/Parameters!$B$6),SQRT(MIN(MAX(AE158,10/Parameters!$B$6),1)))</x:f>
        <x:v>0.30000000000000004</x:v>
      </x:c>
      <x:c r="AZ158" s="40" t="n">
        <x:f>AS158*AX158*AY158</x:f>
        <x:v>-2347529730.2334476</x:v>
      </x:c>
      <x:c r="BA158" s="40" t="n">
        <x:f>'Python_Trade_Output'!AZ158</x:f>
        <x:v>-2347529730.2334476</x:v>
      </x:c>
      <x:c r="BB158" s="43" t="n">
        <x:f>AZ158-BA158</x:f>
        <x:v>0</x:v>
      </x:c>
    </x:row>
    <x:row r="159">
      <x:c r="A159" s="27" t="str">
        <x:f>'Inputs_Trades'!D159</x:f>
        <x:v>IND-000156</x:v>
      </x:c>
      <x:c r="B159" s="27" t="str">
        <x:f>'Inputs_Trades'!B159</x:f>
        <x:v>IND_CORPORATE_002</x:v>
      </x:c>
      <x:c r="C159" s="27" t="n">
        <x:f>'Inputs_Trades'!C159</x:f>
        <x:v>3074</x:v>
      </x:c>
      <x:c r="D159" s="27" t="str">
        <x:f>'Inputs_Trades'!E159</x:f>
        <x:v>OIS</x:v>
      </x:c>
      <x:c r="E159" s="27" t="str">
        <x:f>'Inputs_Trades'!F159</x:f>
        <x:v>Interest Rate</x:v>
      </x:c>
      <x:c r="F159" s="27" t="n">
        <x:f>'Inputs_Trades'!G159</x:f>
        <x:v>0</x:v>
      </x:c>
      <x:c r="G159" s="27" t="str">
        <x:f>'Inputs_Trades'!J159</x:f>
        <x:v>USD</x:v>
      </x:c>
      <x:c r="H159" s="27" t="str">
        <x:f>'Inputs_Trades'!H159</x:f>
        <x:v>USD</x:v>
      </x:c>
      <x:c r="I159" s="27" t="str">
        <x:f>'Inputs_Trades'!I159</x:f>
        <x:v>USD</x:v>
      </x:c>
      <x:c r="J159" s="27" t="str">
        <x:f>'Inputs_Trades'!M159</x:f>
        <x:v>USD</x:v>
      </x:c>
      <x:c r="K159" s="27" t="n">
        <x:f>'Inputs_Trades'!N159</x:f>
        <x:v>0</x:v>
      </x:c>
      <x:c r="L159" s="27" t="n">
        <x:f>'Inputs_Trades'!O159</x:f>
        <x:v>0</x:v>
      </x:c>
      <x:c r="M159" s="39" t="n">
        <x:f>'Inputs_Trades'!A159</x:f>
        <x:v>45702</x:v>
      </x:c>
      <x:c r="N159" s="39" t="n">
        <x:f>'Inputs_Trades'!P159</x:f>
        <x:v>46906</x:v>
      </x:c>
      <x:c r="O159" s="39" t="n">
        <x:f>'Inputs_Trades'!Q159</x:f>
        <x:v>45649</x:v>
      </x:c>
      <x:c r="P159" s="39" t="n">
        <x:f>'Inputs_Trades'!R159</x:f>
        <x:v>46906</x:v>
      </x:c>
      <x:c r="Q159" s="40" t="n">
        <x:f>'Inputs_Trades'!U159</x:f>
        <x:v>221000000</x:v>
      </x:c>
      <x:c r="R159" s="40" t="n">
        <x:f>'Inputs_Trades'!S159</x:f>
        <x:v>221000000</x:v>
      </x:c>
      <x:c r="S159" s="40" t="n">
        <x:f>'Inputs_Trades'!T159</x:f>
        <x:v>221000000</x:v>
      </x:c>
      <x:c r="T159" s="27" t="str">
        <x:f>'Inputs_Trades'!V159</x:f>
        <x:v>M</x:v>
      </x:c>
      <x:c r="U159" s="27" t="str">
        <x:f>'Inputs_Trades'!W159</x:f>
        <x:v>Y</x:v>
      </x:c>
      <x:c r="V159" s="27" t="n">
        <x:f>'Inputs_Trades'!X159</x:f>
        <x:v>5</x:v>
      </x:c>
      <x:c r="W159" s="27" t="str">
        <x:f>'Inputs_Trades'!Y159</x:f>
        <x:v>B</x:v>
      </x:c>
      <x:c r="X159" s="27" t="n">
        <x:f>'Inputs_Trades'!AA159</x:f>
        <x:v>0</x:v>
      </x:c>
      <x:c r="Y159" s="27" t="n">
        <x:f>'Inputs_Trades'!AB159</x:f>
        <x:v>0</x:v>
      </x:c>
      <x:c r="Z159" s="27" t="n">
        <x:f>'Inputs_Trades'!AC159</x:f>
        <x:v>0</x:v>
      </x:c>
      <x:c r="AA159" s="39" t="n">
        <x:f>'Inputs_Trades'!Z159</x:f>
        <x:v>0</x:v>
      </x:c>
      <x:c r="AB159" s="40" t="n">
        <x:f>'Inputs_Trades'!AD159</x:f>
        <x:v>163098</x:v>
      </x:c>
      <x:c r="AC159" s="27" t="n">
        <x:f>'Inputs_Trades'!K159</x:f>
        <x:v>0</x:v>
      </x:c>
      <x:c r="AD159" s="27" t="n">
        <x:f>N159-M159</x:f>
        <x:v>1204</x:v>
      </x:c>
      <x:c r="AE159" s="41" t="n">
        <x:f>AD159/365</x:f>
        <x:v>3.2986301369863016</x:v>
      </x:c>
      <x:c r="AF159" s="27" t="str">
        <x:f>IF(AE159&lt;1,"&lt;1Y",IF(AE159&lt;=5,"1Y-5Y","&gt;5Y"))</x:f>
        <x:v>1Y-5Y</x:v>
      </x:c>
      <x:c r="AG159" s="27" t="str">
        <x:f>IF(E159="Commodity",IFERROR(VLOOKUP(F159,Parameters!$P$4:$Q$12,2,FALSE),"Other"),"")</x:f>
      </x:c>
      <x:c r="AH159" s="27" t="str">
        <x:f>IF(F159="","Unknown",F159)</x:f>
        <x:v>Unknown</x:v>
      </x:c>
      <x:c r="AI159" s="27" t="str">
        <x:f>IF(E159="Interest Rate",G159&amp;IF(OR(LOWER(AC159)="basis",LOWER(AC159)="volatility"),"_"&amp;AC159,""),IF(E159="FX",IF(H159&lt;I159,H159&amp;"/"&amp;I159,I159&amp;"/"&amp;H159)&amp;IF(OR(LOWER(AC159)="basis",LOWER(AC159)="volatility"),"_"&amp;AC159,""),IF(OR(E159="Credit",E159="Equity"),J159&amp;IF(OR(LOWER(AC159)="basis",LOWER(AC159)="volatility"),"_"&amp;AC159,""),IF(E159="Commodity",AG159&amp;IF(OR(LOWER(AC159)="basis",LOWER(AC159)="volatility"),"_"&amp;AC159,""),"UNKNOWN"))))</x:f>
        <x:v>USD</x:v>
      </x:c>
      <x:c r="AJ159" s="27" t="str">
        <x:f>T159</x:f>
        <x:v>M</x:v>
      </x:c>
      <x:c r="AK159" s="41" t="n">
        <x:f>IF(E159="Interest Rate",VLOOKUP("Interest Rate",Parameters!$D$4:$E$12,2,FALSE),IF(E159="FX",VLOOKUP("FX",Parameters!$D$4:$E$12,2,FALSE),IF(E159="Credit",IFERROR(VLOOKUP(L159,Parameters!$G$4:$H$12,2,FALSE),VLOOKUP("BBB",Parameters!$G$4:$H$12,2,FALSE)),IF(E159="Equity",VLOOKUP(IF(LOWER(K159)="index","Equity Index","Equity Single Name"),Parameters!$D$4:$E$12,2,FALSE),IF(E159="Commodity",VLOOKUP(IFERROR(VLOOKUP(F159,Parameters!$S$4:$T$12,2,FALSE),"Commodity Other"),Parameters!$D$4:$E$12,2,FALSE),0)))))</x:f>
        <x:v>0.005</x:v>
      </x:c>
      <x:c r="AL159" s="42" t="n">
        <x:f>IF(LOWER(AC159)="basis",Parameters!$B$8,IF(LOWER(AC159)="volatility",Parameters!$B$9,1))</x:f>
        <x:v>1</x:v>
      </x:c>
      <x:c r="AM159" s="41" t="n">
        <x:f>AK159*AL159</x:f>
        <x:v>0.005</x:v>
      </x:c>
      <x:c r="AN159" s="42" t="str">
        <x:f>IF(E159="Credit",VLOOKUP(IF(LOWER(K159)="index","Credit Index","Credit Single Name"),Parameters!$J$4:$K$8,2,FALSE),IF(E159="Equity",VLOOKUP(IF(LOWER(K159)="index","Equity Index","Equity Single Name"),Parameters!$J$4:$K$8,2,FALSE),IF(E159="Commodity",VLOOKUP("Commodity",Parameters!$J$4:$K$8,2,FALSE),"")))</x:f>
      </x:c>
      <x:c r="AO159" s="27" t="n">
        <x:f>MAX((O159-M159)/365,0)</x:f>
        <x:v>0</x:v>
      </x:c>
      <x:c r="AP159" s="27" t="n">
        <x:f>MAX((P159-M159)/365,10/Parameters!$B$6)</x:f>
        <x:v>3.2986301369863016</x:v>
      </x:c>
      <x:c r="AQ159" s="27" t="n">
        <x:f>IF(AP159&lt;=AO159,AO159+10/Parameters!$B$6,AP159)</x:f>
        <x:v>3.2986301369863016</x:v>
      </x:c>
      <x:c r="AR159" s="41" t="n">
        <x:f>IF(OR(E159="Interest Rate",E159="Credit"),(EXP(-Parameters!$B$7*AO159)-EXP(-Parameters!$B$7*AQ159))/Parameters!$B$7,1)</x:f>
        <x:v>3.040964380238662</x:v>
      </x:c>
      <x:c r="AS159" s="40" t="n">
        <x:f>IF(OR(E159="Interest Rate",E159="Credit"),ABS(Q159)*AR159,IF(E159="FX",IF(Q159&gt;0,Q159,MAX(ABS(R159),ABS(S159),ABS(Q159))),ABS(Q159)))</x:f>
        <x:v>672053128.0327443</x:v>
      </x:c>
      <x:c r="AT159" s="42" t="n">
        <x:f>IF(OR(E159="Interest Rate",E159="FX"),VLOOKUP(E159,Parameters!$M$4:$N$11,2,FALSE),IF(E159="Credit",VLOOKUP(IF(LOWER(K159)="index","Credit Index","Credit Single Name"),Parameters!$M$4:$N$11,2,FALSE),IF(E159="Equity",VLOOKUP(IF(LOWER(K159)="index","Equity Index","Equity Single Name"),Parameters!$M$4:$N$11,2,FALSE),IF(E159="Commodity",VLOOKUP(IF(F159="Electricity","Commodity Electricity","Commodity Other"),Parameters!$M$4:$N$11,2,FALSE),1))))</x:f>
        <x:v>0.5</x:v>
      </x:c>
      <x:c r="AU159" s="27" t="n">
        <x:f>IF(W159="B",1,-1)</x:f>
        <x:v>1</x:v>
      </x:c>
      <x:c r="AV159" s="27" t="n">
        <x:f>IF(OR(AA159="",M159=""),MAX(AE159,1/365),MAX((AA159-M159)/365,1/365))</x:f>
        <x:v>3.2986301369863016</x:v>
      </x:c>
      <x:c r="AW159" s="41" t="str">
        <x:f>IF(OR(Z159&lt;=0,Y159&lt;=0,AT159&lt;=0,AV159&lt;=0),"",(LN(Z159/Y159)+0.5*AT159^2*AV159)/(AT159*SQRT(AV159)))</x:f>
      </x:c>
      <x:c r="AX159" s="41" t="n">
        <x:f>IF(AND(X159&lt;&gt;"C",X159&lt;&gt;"P"),AU159,IF(AW159="",AU159,IF(X159="C",AU159*0.5*(1+ERF(AW159/SQRT(2))),-AU159*0.5*(1+ERF(-AW159/SQRT(2))))))</x:f>
        <x:v>1</x:v>
      </x:c>
      <x:c r="AY159" s="41" t="n">
        <x:f>IF(AJ159="M",1.5*SQRT(MAX(IF(U159="Y",5,10),IF(V159="",10,V159))/Parameters!$B$6),SQRT(MIN(MAX(AE159,10/Parameters!$B$6),1)))</x:f>
        <x:v>0.21213203435596426</x:v>
      </x:c>
      <x:c r="AZ159" s="40" t="n">
        <x:f>AS159*AX159*AY159</x:f>
        <x:v>142563997.24487534</x:v>
      </x:c>
      <x:c r="BA159" s="40" t="n">
        <x:f>'Python_Trade_Output'!AZ159</x:f>
        <x:v>142563997.24487534</x:v>
      </x:c>
      <x:c r="BB159" s="43" t="n">
        <x:f>AZ159-BA159</x:f>
        <x:v>0</x:v>
      </x:c>
    </x:row>
    <x:row r="160">
      <x:c r="A160" s="27" t="str">
        <x:f>'Inputs_Trades'!D160</x:f>
        <x:v>IND-000157</x:v>
      </x:c>
      <x:c r="B160" s="27" t="str">
        <x:f>'Inputs_Trades'!B160</x:f>
        <x:v>IND_ASSET_MANAGER_001</x:v>
      </x:c>
      <x:c r="C160" s="27" t="n">
        <x:f>'Inputs_Trades'!C160</x:f>
        <x:v>3050</x:v>
      </x:c>
      <x:c r="D160" s="27" t="str">
        <x:f>'Inputs_Trades'!E160</x:f>
        <x:v>OIS</x:v>
      </x:c>
      <x:c r="E160" s="27" t="str">
        <x:f>'Inputs_Trades'!F160</x:f>
        <x:v>Interest Rate</x:v>
      </x:c>
      <x:c r="F160" s="27" t="n">
        <x:f>'Inputs_Trades'!G160</x:f>
        <x:v>0</x:v>
      </x:c>
      <x:c r="G160" s="27" t="str">
        <x:f>'Inputs_Trades'!J160</x:f>
        <x:v>USD</x:v>
      </x:c>
      <x:c r="H160" s="27" t="str">
        <x:f>'Inputs_Trades'!H160</x:f>
        <x:v>USD</x:v>
      </x:c>
      <x:c r="I160" s="27" t="str">
        <x:f>'Inputs_Trades'!I160</x:f>
        <x:v>USD</x:v>
      </x:c>
      <x:c r="J160" s="27" t="str">
        <x:f>'Inputs_Trades'!M160</x:f>
        <x:v>USD</x:v>
      </x:c>
      <x:c r="K160" s="27" t="n">
        <x:f>'Inputs_Trades'!N160</x:f>
        <x:v>0</x:v>
      </x:c>
      <x:c r="L160" s="27" t="n">
        <x:f>'Inputs_Trades'!O160</x:f>
        <x:v>0</x:v>
      </x:c>
      <x:c r="M160" s="39" t="n">
        <x:f>'Inputs_Trades'!A160</x:f>
        <x:v>45702</x:v>
      </x:c>
      <x:c r="N160" s="39" t="n">
        <x:f>'Inputs_Trades'!P160</x:f>
        <x:v>47573</x:v>
      </x:c>
      <x:c r="O160" s="39" t="n">
        <x:f>'Inputs_Trades'!Q160</x:f>
        <x:v>45465</x:v>
      </x:c>
      <x:c r="P160" s="39" t="n">
        <x:f>'Inputs_Trades'!R160</x:f>
        <x:v>47573</x:v>
      </x:c>
      <x:c r="Q160" s="40" t="n">
        <x:f>'Inputs_Trades'!U160</x:f>
        <x:v>712000000</x:v>
      </x:c>
      <x:c r="R160" s="40" t="n">
        <x:f>'Inputs_Trades'!S160</x:f>
        <x:v>712000000</x:v>
      </x:c>
      <x:c r="S160" s="40" t="n">
        <x:f>'Inputs_Trades'!T160</x:f>
        <x:v>712000000</x:v>
      </x:c>
      <x:c r="T160" s="27" t="str">
        <x:f>'Inputs_Trades'!V160</x:f>
        <x:v>M</x:v>
      </x:c>
      <x:c r="U160" s="27" t="str">
        <x:f>'Inputs_Trades'!W160</x:f>
        <x:v>Y</x:v>
      </x:c>
      <x:c r="V160" s="27" t="n">
        <x:f>'Inputs_Trades'!X160</x:f>
        <x:v>5</x:v>
      </x:c>
      <x:c r="W160" s="27" t="str">
        <x:f>'Inputs_Trades'!Y160</x:f>
        <x:v>B</x:v>
      </x:c>
      <x:c r="X160" s="27" t="n">
        <x:f>'Inputs_Trades'!AA160</x:f>
        <x:v>0</x:v>
      </x:c>
      <x:c r="Y160" s="27" t="n">
        <x:f>'Inputs_Trades'!AB160</x:f>
        <x:v>0</x:v>
      </x:c>
      <x:c r="Z160" s="27" t="n">
        <x:f>'Inputs_Trades'!AC160</x:f>
        <x:v>0</x:v>
      </x:c>
      <x:c r="AA160" s="39" t="n">
        <x:f>'Inputs_Trades'!Z160</x:f>
        <x:v>0</x:v>
      </x:c>
      <x:c r="AB160" s="40" t="n">
        <x:f>'Inputs_Trades'!AD160</x:f>
        <x:v>4058400</x:v>
      </x:c>
      <x:c r="AC160" s="27" t="n">
        <x:f>'Inputs_Trades'!K160</x:f>
        <x:v>0</x:v>
      </x:c>
      <x:c r="AD160" s="27" t="n">
        <x:f>N160-M160</x:f>
        <x:v>1871</x:v>
      </x:c>
      <x:c r="AE160" s="41" t="n">
        <x:f>AD160/365</x:f>
        <x:v>5.126027397260274</x:v>
      </x:c>
      <x:c r="AF160" s="27" t="str">
        <x:f>IF(AE160&lt;1,"&lt;1Y",IF(AE160&lt;=5,"1Y-5Y","&gt;5Y"))</x:f>
        <x:v>&gt;5Y</x:v>
      </x:c>
      <x:c r="AG160" s="27" t="str">
        <x:f>IF(E160="Commodity",IFERROR(VLOOKUP(F160,Parameters!$P$4:$Q$12,2,FALSE),"Other"),"")</x:f>
      </x:c>
      <x:c r="AH160" s="27" t="str">
        <x:f>IF(F160="","Unknown",F160)</x:f>
        <x:v>Unknown</x:v>
      </x:c>
      <x:c r="AI160" s="27" t="str">
        <x:f>IF(E160="Interest Rate",G160&amp;IF(OR(LOWER(AC160)="basis",LOWER(AC160)="volatility"),"_"&amp;AC160,""),IF(E160="FX",IF(H160&lt;I160,H160&amp;"/"&amp;I160,I160&amp;"/"&amp;H160)&amp;IF(OR(LOWER(AC160)="basis",LOWER(AC160)="volatility"),"_"&amp;AC160,""),IF(OR(E160="Credit",E160="Equity"),J160&amp;IF(OR(LOWER(AC160)="basis",LOWER(AC160)="volatility"),"_"&amp;AC160,""),IF(E160="Commodity",AG160&amp;IF(OR(LOWER(AC160)="basis",LOWER(AC160)="volatility"),"_"&amp;AC160,""),"UNKNOWN"))))</x:f>
        <x:v>USD</x:v>
      </x:c>
      <x:c r="AJ160" s="27" t="str">
        <x:f>T160</x:f>
        <x:v>M</x:v>
      </x:c>
      <x:c r="AK160" s="41" t="n">
        <x:f>IF(E160="Interest Rate",VLOOKUP("Interest Rate",Parameters!$D$4:$E$12,2,FALSE),IF(E160="FX",VLOOKUP("FX",Parameters!$D$4:$E$12,2,FALSE),IF(E160="Credit",IFERROR(VLOOKUP(L160,Parameters!$G$4:$H$12,2,FALSE),VLOOKUP("BBB",Parameters!$G$4:$H$12,2,FALSE)),IF(E160="Equity",VLOOKUP(IF(LOWER(K160)="index","Equity Index","Equity Single Name"),Parameters!$D$4:$E$12,2,FALSE),IF(E160="Commodity",VLOOKUP(IFERROR(VLOOKUP(F160,Parameters!$S$4:$T$12,2,FALSE),"Commodity Other"),Parameters!$D$4:$E$12,2,FALSE),0)))))</x:f>
        <x:v>0.005</x:v>
      </x:c>
      <x:c r="AL160" s="42" t="n">
        <x:f>IF(LOWER(AC160)="basis",Parameters!$B$8,IF(LOWER(AC160)="volatility",Parameters!$B$9,1))</x:f>
        <x:v>1</x:v>
      </x:c>
      <x:c r="AM160" s="41" t="n">
        <x:f>AK160*AL160</x:f>
        <x:v>0.005</x:v>
      </x:c>
      <x:c r="AN160" s="42" t="str">
        <x:f>IF(E160="Credit",VLOOKUP(IF(LOWER(K160)="index","Credit Index","Credit Single Name"),Parameters!$J$4:$K$8,2,FALSE),IF(E160="Equity",VLOOKUP(IF(LOWER(K160)="index","Equity Index","Equity Single Name"),Parameters!$J$4:$K$8,2,FALSE),IF(E160="Commodity",VLOOKUP("Commodity",Parameters!$J$4:$K$8,2,FALSE),"")))</x:f>
      </x:c>
      <x:c r="AO160" s="27" t="n">
        <x:f>MAX((O160-M160)/365,0)</x:f>
        <x:v>0</x:v>
      </x:c>
      <x:c r="AP160" s="27" t="n">
        <x:f>MAX((P160-M160)/365,10/Parameters!$B$6)</x:f>
        <x:v>5.126027397260274</x:v>
      </x:c>
      <x:c r="AQ160" s="27" t="n">
        <x:f>IF(AP160&lt;=AO160,AO160+10/Parameters!$B$6,AP160)</x:f>
        <x:v>5.126027397260274</x:v>
      </x:c>
      <x:c r="AR160" s="41" t="n">
        <x:f>IF(OR(E160="Interest Rate",E160="Credit"),(EXP(-Parameters!$B$7*AO160)-EXP(-Parameters!$B$7*AQ160))/Parameters!$B$7,1)</x:f>
        <x:v>4.521825982302312</x:v>
      </x:c>
      <x:c r="AS160" s="40" t="n">
        <x:f>IF(OR(E160="Interest Rate",E160="Credit"),ABS(Q160)*AR160,IF(E160="FX",IF(Q160&gt;0,Q160,MAX(ABS(R160),ABS(S160),ABS(Q160))),ABS(Q160)))</x:f>
        <x:v>3219540099.399246</x:v>
      </x:c>
      <x:c r="AT160" s="42" t="n">
        <x:f>IF(OR(E160="Interest Rate",E160="FX"),VLOOKUP(E160,Parameters!$M$4:$N$11,2,FALSE),IF(E160="Credit",VLOOKUP(IF(LOWER(K160)="index","Credit Index","Credit Single Name"),Parameters!$M$4:$N$11,2,FALSE),IF(E160="Equity",VLOOKUP(IF(LOWER(K160)="index","Equity Index","Equity Single Name"),Parameters!$M$4:$N$11,2,FALSE),IF(E160="Commodity",VLOOKUP(IF(F160="Electricity","Commodity Electricity","Commodity Other"),Parameters!$M$4:$N$11,2,FALSE),1))))</x:f>
        <x:v>0.5</x:v>
      </x:c>
      <x:c r="AU160" s="27" t="n">
        <x:f>IF(W160="B",1,-1)</x:f>
        <x:v>1</x:v>
      </x:c>
      <x:c r="AV160" s="27" t="n">
        <x:f>IF(OR(AA160="",M160=""),MAX(AE160,1/365),MAX((AA160-M160)/365,1/365))</x:f>
        <x:v>5.126027397260274</x:v>
      </x:c>
      <x:c r="AW160" s="41" t="str">
        <x:f>IF(OR(Z160&lt;=0,Y160&lt;=0,AT160&lt;=0,AV160&lt;=0),"",(LN(Z160/Y160)+0.5*AT160^2*AV160)/(AT160*SQRT(AV160)))</x:f>
      </x:c>
      <x:c r="AX160" s="41" t="n">
        <x:f>IF(AND(X160&lt;&gt;"C",X160&lt;&gt;"P"),AU160,IF(AW160="",AU160,IF(X160="C",AU160*0.5*(1+ERF(AW160/SQRT(2))),-AU160*0.5*(1+ERF(-AW160/SQRT(2))))))</x:f>
        <x:v>1</x:v>
      </x:c>
      <x:c r="AY160" s="41" t="n">
        <x:f>IF(AJ160="M",1.5*SQRT(MAX(IF(U160="Y",5,10),IF(V160="",10,V160))/Parameters!$B$6),SQRT(MIN(MAX(AE160,10/Parameters!$B$6),1)))</x:f>
        <x:v>0.21213203435596426</x:v>
      </x:c>
      <x:c r="AZ160" s="40" t="n">
        <x:f>AS160*AX160*AY160</x:f>
        <x:v>682967590.9761654</x:v>
      </x:c>
      <x:c r="BA160" s="40" t="n">
        <x:f>'Python_Trade_Output'!AZ160</x:f>
        <x:v>682967590.9761654</x:v>
      </x:c>
      <x:c r="BB160" s="43" t="n">
        <x:f>AZ160-BA160</x:f>
        <x:v>0</x:v>
      </x:c>
    </x:row>
    <x:row r="161">
      <x:c r="A161" s="27" t="str">
        <x:f>'Inputs_Trades'!D161</x:f>
        <x:v>IND-000158</x:v>
      </x:c>
      <x:c r="B161" s="27" t="str">
        <x:f>'Inputs_Trades'!B161</x:f>
        <x:v>IND_BANK_002</x:v>
      </x:c>
      <x:c r="C161" s="27" t="n">
        <x:f>'Inputs_Trades'!C161</x:f>
        <x:v>3049</x:v>
      </x:c>
      <x:c r="D161" s="27" t="str">
        <x:f>'Inputs_Trades'!E161</x:f>
        <x:v>OIS</x:v>
      </x:c>
      <x:c r="E161" s="27" t="str">
        <x:f>'Inputs_Trades'!F161</x:f>
        <x:v>Interest Rate</x:v>
      </x:c>
      <x:c r="F161" s="27" t="n">
        <x:f>'Inputs_Trades'!G161</x:f>
        <x:v>0</x:v>
      </x:c>
      <x:c r="G161" s="27" t="str">
        <x:f>'Inputs_Trades'!J161</x:f>
        <x:v>EUR</x:v>
      </x:c>
      <x:c r="H161" s="27" t="str">
        <x:f>'Inputs_Trades'!H161</x:f>
        <x:v>EUR</x:v>
      </x:c>
      <x:c r="I161" s="27" t="str">
        <x:f>'Inputs_Trades'!I161</x:f>
        <x:v>EUR</x:v>
      </x:c>
      <x:c r="J161" s="27" t="str">
        <x:f>'Inputs_Trades'!M161</x:f>
        <x:v>EUR</x:v>
      </x:c>
      <x:c r="K161" s="27" t="n">
        <x:f>'Inputs_Trades'!N161</x:f>
        <x:v>0</x:v>
      </x:c>
      <x:c r="L161" s="27" t="n">
        <x:f>'Inputs_Trades'!O161</x:f>
        <x:v>0</x:v>
      </x:c>
      <x:c r="M161" s="39" t="n">
        <x:f>'Inputs_Trades'!A161</x:f>
        <x:v>45702</x:v>
      </x:c>
      <x:c r="N161" s="39" t="n">
        <x:f>'Inputs_Trades'!P161</x:f>
        <x:v>48855</x:v>
      </x:c>
      <x:c r="O161" s="39" t="n">
        <x:f>'Inputs_Trades'!Q161</x:f>
        <x:v>45580</x:v>
      </x:c>
      <x:c r="P161" s="39" t="n">
        <x:f>'Inputs_Trades'!R161</x:f>
        <x:v>48855</x:v>
      </x:c>
      <x:c r="Q161" s="40" t="n">
        <x:f>'Inputs_Trades'!U161</x:f>
        <x:v>577000000</x:v>
      </x:c>
      <x:c r="R161" s="40" t="n">
        <x:f>'Inputs_Trades'!S161</x:f>
        <x:v>549523809.52</x:v>
      </x:c>
      <x:c r="S161" s="40" t="n">
        <x:f>'Inputs_Trades'!T161</x:f>
        <x:v>549523809.52</x:v>
      </x:c>
      <x:c r="T161" s="27" t="str">
        <x:f>'Inputs_Trades'!V161</x:f>
        <x:v>M</x:v>
      </x:c>
      <x:c r="U161" s="27" t="str">
        <x:f>'Inputs_Trades'!W161</x:f>
        <x:v>Y</x:v>
      </x:c>
      <x:c r="V161" s="27" t="n">
        <x:f>'Inputs_Trades'!X161</x:f>
        <x:v>5</x:v>
      </x:c>
      <x:c r="W161" s="27" t="str">
        <x:f>'Inputs_Trades'!Y161</x:f>
        <x:v>B</x:v>
      </x:c>
      <x:c r="X161" s="27" t="n">
        <x:f>'Inputs_Trades'!AA161</x:f>
        <x:v>0</x:v>
      </x:c>
      <x:c r="Y161" s="27" t="n">
        <x:f>'Inputs_Trades'!AB161</x:f>
        <x:v>0</x:v>
      </x:c>
      <x:c r="Z161" s="27" t="n">
        <x:f>'Inputs_Trades'!AC161</x:f>
        <x:v>0</x:v>
      </x:c>
      <x:c r="AA161" s="39" t="n">
        <x:f>'Inputs_Trades'!Z161</x:f>
        <x:v>0</x:v>
      </x:c>
      <x:c r="AB161" s="40" t="n">
        <x:f>'Inputs_Trades'!AD161</x:f>
        <x:v>-405054</x:v>
      </x:c>
      <x:c r="AC161" s="27" t="n">
        <x:f>'Inputs_Trades'!K161</x:f>
        <x:v>0</x:v>
      </x:c>
      <x:c r="AD161" s="27" t="n">
        <x:f>N161-M161</x:f>
        <x:v>3153</x:v>
      </x:c>
      <x:c r="AE161" s="41" t="n">
        <x:f>AD161/365</x:f>
        <x:v>8.638356164383561</x:v>
      </x:c>
      <x:c r="AF161" s="27" t="str">
        <x:f>IF(AE161&lt;1,"&lt;1Y",IF(AE161&lt;=5,"1Y-5Y","&gt;5Y"))</x:f>
        <x:v>&gt;5Y</x:v>
      </x:c>
      <x:c r="AG161" s="27" t="str">
        <x:f>IF(E161="Commodity",IFERROR(VLOOKUP(F161,Parameters!$P$4:$Q$12,2,FALSE),"Other"),"")</x:f>
      </x:c>
      <x:c r="AH161" s="27" t="str">
        <x:f>IF(F161="","Unknown",F161)</x:f>
        <x:v>Unknown</x:v>
      </x:c>
      <x:c r="AI161" s="27" t="str">
        <x:f>IF(E161="Interest Rate",G161&amp;IF(OR(LOWER(AC161)="basis",LOWER(AC161)="volatility"),"_"&amp;AC161,""),IF(E161="FX",IF(H161&lt;I161,H161&amp;"/"&amp;I161,I161&amp;"/"&amp;H161)&amp;IF(OR(LOWER(AC161)="basis",LOWER(AC161)="volatility"),"_"&amp;AC161,""),IF(OR(E161="Credit",E161="Equity"),J161&amp;IF(OR(LOWER(AC161)="basis",LOWER(AC161)="volatility"),"_"&amp;AC161,""),IF(E161="Commodity",AG161&amp;IF(OR(LOWER(AC161)="basis",LOWER(AC161)="volatility"),"_"&amp;AC161,""),"UNKNOWN"))))</x:f>
        <x:v>EUR</x:v>
      </x:c>
      <x:c r="AJ161" s="27" t="str">
        <x:f>T161</x:f>
        <x:v>M</x:v>
      </x:c>
      <x:c r="AK161" s="41" t="n">
        <x:f>IF(E161="Interest Rate",VLOOKUP("Interest Rate",Parameters!$D$4:$E$12,2,FALSE),IF(E161="FX",VLOOKUP("FX",Parameters!$D$4:$E$12,2,FALSE),IF(E161="Credit",IFERROR(VLOOKUP(L161,Parameters!$G$4:$H$12,2,FALSE),VLOOKUP("BBB",Parameters!$G$4:$H$12,2,FALSE)),IF(E161="Equity",VLOOKUP(IF(LOWER(K161)="index","Equity Index","Equity Single Name"),Parameters!$D$4:$E$12,2,FALSE),IF(E161="Commodity",VLOOKUP(IFERROR(VLOOKUP(F161,Parameters!$S$4:$T$12,2,FALSE),"Commodity Other"),Parameters!$D$4:$E$12,2,FALSE),0)))))</x:f>
        <x:v>0.005</x:v>
      </x:c>
      <x:c r="AL161" s="42" t="n">
        <x:f>IF(LOWER(AC161)="basis",Parameters!$B$8,IF(LOWER(AC161)="volatility",Parameters!$B$9,1))</x:f>
        <x:v>1</x:v>
      </x:c>
      <x:c r="AM161" s="41" t="n">
        <x:f>AK161*AL161</x:f>
        <x:v>0.005</x:v>
      </x:c>
      <x:c r="AN161" s="42" t="str">
        <x:f>IF(E161="Credit",VLOOKUP(IF(LOWER(K161)="index","Credit Index","Credit Single Name"),Parameters!$J$4:$K$8,2,FALSE),IF(E161="Equity",VLOOKUP(IF(LOWER(K161)="index","Equity Index","Equity Single Name"),Parameters!$J$4:$K$8,2,FALSE),IF(E161="Commodity",VLOOKUP("Commodity",Parameters!$J$4:$K$8,2,FALSE),"")))</x:f>
      </x:c>
      <x:c r="AO161" s="27" t="n">
        <x:f>MAX((O161-M161)/365,0)</x:f>
        <x:v>0</x:v>
      </x:c>
      <x:c r="AP161" s="27" t="n">
        <x:f>MAX((P161-M161)/365,10/Parameters!$B$6)</x:f>
        <x:v>8.638356164383561</x:v>
      </x:c>
      <x:c r="AQ161" s="27" t="n">
        <x:f>IF(AP161&lt;=AO161,AO161+10/Parameters!$B$6,AP161)</x:f>
        <x:v>8.638356164383561</x:v>
      </x:c>
      <x:c r="AR161" s="41" t="n">
        <x:f>IF(OR(E161="Interest Rate",E161="Credit"),(EXP(-Parameters!$B$7*AO161)-EXP(-Parameters!$B$7*AQ161))/Parameters!$B$7,1)</x:f>
        <x:v>7.014745228942663</x:v>
      </x:c>
      <x:c r="AS161" s="40" t="n">
        <x:f>IF(OR(E161="Interest Rate",E161="Credit"),ABS(Q161)*AR161,IF(E161="FX",IF(Q161&gt;0,Q161,MAX(ABS(R161),ABS(S161),ABS(Q161))),ABS(Q161)))</x:f>
        <x:v>4047507997.0999165</x:v>
      </x:c>
      <x:c r="AT161" s="42" t="n">
        <x:f>IF(OR(E161="Interest Rate",E161="FX"),VLOOKUP(E161,Parameters!$M$4:$N$11,2,FALSE),IF(E161="Credit",VLOOKUP(IF(LOWER(K161)="index","Credit Index","Credit Single Name"),Parameters!$M$4:$N$11,2,FALSE),IF(E161="Equity",VLOOKUP(IF(LOWER(K161)="index","Equity Index","Equity Single Name"),Parameters!$M$4:$N$11,2,FALSE),IF(E161="Commodity",VLOOKUP(IF(F161="Electricity","Commodity Electricity","Commodity Other"),Parameters!$M$4:$N$11,2,FALSE),1))))</x:f>
        <x:v>0.5</x:v>
      </x:c>
      <x:c r="AU161" s="27" t="n">
        <x:f>IF(W161="B",1,-1)</x:f>
        <x:v>1</x:v>
      </x:c>
      <x:c r="AV161" s="27" t="n">
        <x:f>IF(OR(AA161="",M161=""),MAX(AE161,1/365),MAX((AA161-M161)/365,1/365))</x:f>
        <x:v>8.638356164383561</x:v>
      </x:c>
      <x:c r="AW161" s="41" t="str">
        <x:f>IF(OR(Z161&lt;=0,Y161&lt;=0,AT161&lt;=0,AV161&lt;=0),"",(LN(Z161/Y161)+0.5*AT161^2*AV161)/(AT161*SQRT(AV161)))</x:f>
      </x:c>
      <x:c r="AX161" s="41" t="n">
        <x:f>IF(AND(X161&lt;&gt;"C",X161&lt;&gt;"P"),AU161,IF(AW161="",AU161,IF(X161="C",AU161*0.5*(1+ERF(AW161/SQRT(2))),-AU161*0.5*(1+ERF(-AW161/SQRT(2))))))</x:f>
        <x:v>1</x:v>
      </x:c>
      <x:c r="AY161" s="41" t="n">
        <x:f>IF(AJ161="M",1.5*SQRT(MAX(IF(U161="Y",5,10),IF(V161="",10,V161))/Parameters!$B$6),SQRT(MIN(MAX(AE161,10/Parameters!$B$6),1)))</x:f>
        <x:v>0.21213203435596426</x:v>
      </x:c>
      <x:c r="AZ161" s="40" t="n">
        <x:f>AS161*AX161*AY161</x:f>
        <x:v>858606105.4968395</x:v>
      </x:c>
      <x:c r="BA161" s="40" t="n">
        <x:f>'Python_Trade_Output'!AZ161</x:f>
        <x:v>858606105.4968395</x:v>
      </x:c>
      <x:c r="BB161" s="43" t="n">
        <x:f>AZ161-BA161</x:f>
        <x:v>0</x:v>
      </x:c>
    </x:row>
    <x:row r="162">
      <x:c r="A162" s="27" t="str">
        <x:f>'Inputs_Trades'!D162</x:f>
        <x:v>IND-000159</x:v>
      </x:c>
      <x:c r="B162" s="27" t="str">
        <x:f>'Inputs_Trades'!B162</x:f>
        <x:v>IND_INSURER_001</x:v>
      </x:c>
      <x:c r="C162" s="27" t="n">
        <x:f>'Inputs_Trades'!C162</x:f>
        <x:v>3297</x:v>
      </x:c>
      <x:c r="D162" s="27" t="str">
        <x:f>'Inputs_Trades'!E162</x:f>
        <x:v>OIS</x:v>
      </x:c>
      <x:c r="E162" s="27" t="str">
        <x:f>'Inputs_Trades'!F162</x:f>
        <x:v>Interest Rate</x:v>
      </x:c>
      <x:c r="F162" s="27" t="n">
        <x:f>'Inputs_Trades'!G162</x:f>
        <x:v>0</x:v>
      </x:c>
      <x:c r="G162" s="27" t="str">
        <x:f>'Inputs_Trades'!J162</x:f>
        <x:v>EUR</x:v>
      </x:c>
      <x:c r="H162" s="27" t="str">
        <x:f>'Inputs_Trades'!H162</x:f>
        <x:v>EUR</x:v>
      </x:c>
      <x:c r="I162" s="27" t="str">
        <x:f>'Inputs_Trades'!I162</x:f>
        <x:v>EUR</x:v>
      </x:c>
      <x:c r="J162" s="27" t="str">
        <x:f>'Inputs_Trades'!M162</x:f>
        <x:v>EUR</x:v>
      </x:c>
      <x:c r="K162" s="27" t="n">
        <x:f>'Inputs_Trades'!N162</x:f>
        <x:v>0</x:v>
      </x:c>
      <x:c r="L162" s="27" t="n">
        <x:f>'Inputs_Trades'!O162</x:f>
        <x:v>0</x:v>
      </x:c>
      <x:c r="M162" s="39" t="n">
        <x:f>'Inputs_Trades'!A162</x:f>
        <x:v>45702</x:v>
      </x:c>
      <x:c r="N162" s="39" t="n">
        <x:f>'Inputs_Trades'!P162</x:f>
        <x:v>47359</x:v>
      </x:c>
      <x:c r="O162" s="39" t="n">
        <x:f>'Inputs_Trades'!Q162</x:f>
        <x:v>45168</x:v>
      </x:c>
      <x:c r="P162" s="39" t="n">
        <x:f>'Inputs_Trades'!R162</x:f>
        <x:v>47359</x:v>
      </x:c>
      <x:c r="Q162" s="40" t="n">
        <x:f>'Inputs_Trades'!U162</x:f>
        <x:v>575000000</x:v>
      </x:c>
      <x:c r="R162" s="40" t="n">
        <x:f>'Inputs_Trades'!S162</x:f>
        <x:v>547619047.62</x:v>
      </x:c>
      <x:c r="S162" s="40" t="n">
        <x:f>'Inputs_Trades'!T162</x:f>
        <x:v>547619047.62</x:v>
      </x:c>
      <x:c r="T162" s="27" t="str">
        <x:f>'Inputs_Trades'!V162</x:f>
        <x:v>M</x:v>
      </x:c>
      <x:c r="U162" s="27" t="str">
        <x:f>'Inputs_Trades'!W162</x:f>
        <x:v>N</x:v>
      </x:c>
      <x:c r="V162" s="27" t="n">
        <x:f>'Inputs_Trades'!X162</x:f>
        <x:v>10</x:v>
      </x:c>
      <x:c r="W162" s="27" t="str">
        <x:f>'Inputs_Trades'!Y162</x:f>
        <x:v>S</x:v>
      </x:c>
      <x:c r="X162" s="27" t="n">
        <x:f>'Inputs_Trades'!AA162</x:f>
        <x:v>0</x:v>
      </x:c>
      <x:c r="Y162" s="27" t="n">
        <x:f>'Inputs_Trades'!AB162</x:f>
        <x:v>0</x:v>
      </x:c>
      <x:c r="Z162" s="27" t="n">
        <x:f>'Inputs_Trades'!AC162</x:f>
        <x:v>0</x:v>
      </x:c>
      <x:c r="AA162" s="39" t="n">
        <x:f>'Inputs_Trades'!Z162</x:f>
        <x:v>0</x:v>
      </x:c>
      <x:c r="AB162" s="40" t="n">
        <x:f>'Inputs_Trades'!AD162</x:f>
        <x:v>-2904900</x:v>
      </x:c>
      <x:c r="AC162" s="27" t="n">
        <x:f>'Inputs_Trades'!K162</x:f>
        <x:v>0</x:v>
      </x:c>
      <x:c r="AD162" s="27" t="n">
        <x:f>N162-M162</x:f>
        <x:v>1657</x:v>
      </x:c>
      <x:c r="AE162" s="41" t="n">
        <x:f>AD162/365</x:f>
        <x:v>4.53972602739726</x:v>
      </x:c>
      <x:c r="AF162" s="27" t="str">
        <x:f>IF(AE162&lt;1,"&lt;1Y",IF(AE162&lt;=5,"1Y-5Y","&gt;5Y"))</x:f>
        <x:v>1Y-5Y</x:v>
      </x:c>
      <x:c r="AG162" s="27" t="str">
        <x:f>IF(E162="Commodity",IFERROR(VLOOKUP(F162,Parameters!$P$4:$Q$12,2,FALSE),"Other"),"")</x:f>
      </x:c>
      <x:c r="AH162" s="27" t="str">
        <x:f>IF(F162="","Unknown",F162)</x:f>
        <x:v>Unknown</x:v>
      </x:c>
      <x:c r="AI162" s="27" t="str">
        <x:f>IF(E162="Interest Rate",G162&amp;IF(OR(LOWER(AC162)="basis",LOWER(AC162)="volatility"),"_"&amp;AC162,""),IF(E162="FX",IF(H162&lt;I162,H162&amp;"/"&amp;I162,I162&amp;"/"&amp;H162)&amp;IF(OR(LOWER(AC162)="basis",LOWER(AC162)="volatility"),"_"&amp;AC162,""),IF(OR(E162="Credit",E162="Equity"),J162&amp;IF(OR(LOWER(AC162)="basis",LOWER(AC162)="volatility"),"_"&amp;AC162,""),IF(E162="Commodity",AG162&amp;IF(OR(LOWER(AC162)="basis",LOWER(AC162)="volatility"),"_"&amp;AC162,""),"UNKNOWN"))))</x:f>
        <x:v>EUR</x:v>
      </x:c>
      <x:c r="AJ162" s="27" t="str">
        <x:f>T162</x:f>
        <x:v>M</x:v>
      </x:c>
      <x:c r="AK162" s="41" t="n">
        <x:f>IF(E162="Interest Rate",VLOOKUP("Interest Rate",Parameters!$D$4:$E$12,2,FALSE),IF(E162="FX",VLOOKUP("FX",Parameters!$D$4:$E$12,2,FALSE),IF(E162="Credit",IFERROR(VLOOKUP(L162,Parameters!$G$4:$H$12,2,FALSE),VLOOKUP("BBB",Parameters!$G$4:$H$12,2,FALSE)),IF(E162="Equity",VLOOKUP(IF(LOWER(K162)="index","Equity Index","Equity Single Name"),Parameters!$D$4:$E$12,2,FALSE),IF(E162="Commodity",VLOOKUP(IFERROR(VLOOKUP(F162,Parameters!$S$4:$T$12,2,FALSE),"Commodity Other"),Parameters!$D$4:$E$12,2,FALSE),0)))))</x:f>
        <x:v>0.005</x:v>
      </x:c>
      <x:c r="AL162" s="42" t="n">
        <x:f>IF(LOWER(AC162)="basis",Parameters!$B$8,IF(LOWER(AC162)="volatility",Parameters!$B$9,1))</x:f>
        <x:v>1</x:v>
      </x:c>
      <x:c r="AM162" s="41" t="n">
        <x:f>AK162*AL162</x:f>
        <x:v>0.005</x:v>
      </x:c>
      <x:c r="AN162" s="42" t="str">
        <x:f>IF(E162="Credit",VLOOKUP(IF(LOWER(K162)="index","Credit Index","Credit Single Name"),Parameters!$J$4:$K$8,2,FALSE),IF(E162="Equity",VLOOKUP(IF(LOWER(K162)="index","Equity Index","Equity Single Name"),Parameters!$J$4:$K$8,2,FALSE),IF(E162="Commodity",VLOOKUP("Commodity",Parameters!$J$4:$K$8,2,FALSE),"")))</x:f>
      </x:c>
      <x:c r="AO162" s="27" t="n">
        <x:f>MAX((O162-M162)/365,0)</x:f>
        <x:v>0</x:v>
      </x:c>
      <x:c r="AP162" s="27" t="n">
        <x:f>MAX((P162-M162)/365,10/Parameters!$B$6)</x:f>
        <x:v>4.53972602739726</x:v>
      </x:c>
      <x:c r="AQ162" s="27" t="n">
        <x:f>IF(AP162&lt;=AO162,AO162+10/Parameters!$B$6,AP162)</x:f>
        <x:v>4.53972602739726</x:v>
      </x:c>
      <x:c r="AR162" s="41" t="n">
        <x:f>IF(OR(E162="Interest Rate",E162="Credit"),(EXP(-Parameters!$B$7*AO162)-EXP(-Parameters!$B$7*AQ162))/Parameters!$B$7,1)</x:f>
        <x:v>4.061366018240857</x:v>
      </x:c>
      <x:c r="AS162" s="40" t="n">
        <x:f>IF(OR(E162="Interest Rate",E162="Credit"),ABS(Q162)*AR162,IF(E162="FX",IF(Q162&gt;0,Q162,MAX(ABS(R162),ABS(S162),ABS(Q162))),ABS(Q162)))</x:f>
        <x:v>2335285460.488493</x:v>
      </x:c>
      <x:c r="AT162" s="42" t="n">
        <x:f>IF(OR(E162="Interest Rate",E162="FX"),VLOOKUP(E162,Parameters!$M$4:$N$11,2,FALSE),IF(E162="Credit",VLOOKUP(IF(LOWER(K162)="index","Credit Index","Credit Single Name"),Parameters!$M$4:$N$11,2,FALSE),IF(E162="Equity",VLOOKUP(IF(LOWER(K162)="index","Equity Index","Equity Single Name"),Parameters!$M$4:$N$11,2,FALSE),IF(E162="Commodity",VLOOKUP(IF(F162="Electricity","Commodity Electricity","Commodity Other"),Parameters!$M$4:$N$11,2,FALSE),1))))</x:f>
        <x:v>0.5</x:v>
      </x:c>
      <x:c r="AU162" s="27" t="n">
        <x:f>IF(W162="B",1,-1)</x:f>
        <x:v>-1</x:v>
      </x:c>
      <x:c r="AV162" s="27" t="n">
        <x:f>IF(OR(AA162="",M162=""),MAX(AE162,1/365),MAX((AA162-M162)/365,1/365))</x:f>
        <x:v>4.53972602739726</x:v>
      </x:c>
      <x:c r="AW162" s="41" t="str">
        <x:f>IF(OR(Z162&lt;=0,Y162&lt;=0,AT162&lt;=0,AV162&lt;=0),"",(LN(Z162/Y162)+0.5*AT162^2*AV162)/(AT162*SQRT(AV162)))</x:f>
      </x:c>
      <x:c r="AX162" s="41" t="n">
        <x:f>IF(AND(X162&lt;&gt;"C",X162&lt;&gt;"P"),AU162,IF(AW162="",AU162,IF(X162="C",AU162*0.5*(1+ERF(AW162/SQRT(2))),-AU162*0.5*(1+ERF(-AW162/SQRT(2))))))</x:f>
        <x:v>-1</x:v>
      </x:c>
      <x:c r="AY162" s="41" t="n">
        <x:f>IF(AJ162="M",1.5*SQRT(MAX(IF(U162="Y",5,10),IF(V162="",10,V162))/Parameters!$B$6),SQRT(MIN(MAX(AE162,10/Parameters!$B$6),1)))</x:f>
        <x:v>0.30000000000000004</x:v>
      </x:c>
      <x:c r="AZ162" s="40" t="n">
        <x:f>AS162*AX162*AY162</x:f>
        <x:v>-700585638.146548</x:v>
      </x:c>
      <x:c r="BA162" s="40" t="n">
        <x:f>'Python_Trade_Output'!AZ162</x:f>
        <x:v>-700585638.146548</x:v>
      </x:c>
      <x:c r="BB162" s="43" t="n">
        <x:f>AZ162-BA162</x:f>
        <x:v>0</x:v>
      </x:c>
    </x:row>
    <x:row r="163">
      <x:c r="A163" s="27" t="str">
        <x:f>'Inputs_Trades'!D163</x:f>
        <x:v>IND-000160</x:v>
      </x:c>
      <x:c r="B163" s="27" t="str">
        <x:f>'Inputs_Trades'!B163</x:f>
        <x:v>IND_REGIONAL_BANK_001</x:v>
      </x:c>
      <x:c r="C163" s="27" t="n">
        <x:f>'Inputs_Trades'!C163</x:f>
        <x:v>3315</x:v>
      </x:c>
      <x:c r="D163" s="27" t="str">
        <x:f>'Inputs_Trades'!E163</x:f>
        <x:v>OIS</x:v>
      </x:c>
      <x:c r="E163" s="27" t="str">
        <x:f>'Inputs_Trades'!F163</x:f>
        <x:v>Interest Rate</x:v>
      </x:c>
      <x:c r="F163" s="27" t="n">
        <x:f>'Inputs_Trades'!G163</x:f>
        <x:v>0</x:v>
      </x:c>
      <x:c r="G163" s="27" t="str">
        <x:f>'Inputs_Trades'!J163</x:f>
        <x:v>CNY</x:v>
      </x:c>
      <x:c r="H163" s="27" t="str">
        <x:f>'Inputs_Trades'!H163</x:f>
        <x:v>CNY</x:v>
      </x:c>
      <x:c r="I163" s="27" t="str">
        <x:f>'Inputs_Trades'!I163</x:f>
        <x:v>CNY</x:v>
      </x:c>
      <x:c r="J163" s="27" t="str">
        <x:f>'Inputs_Trades'!M163</x:f>
        <x:v>CNY</x:v>
      </x:c>
      <x:c r="K163" s="27" t="n">
        <x:f>'Inputs_Trades'!N163</x:f>
        <x:v>0</x:v>
      </x:c>
      <x:c r="L163" s="27" t="n">
        <x:f>'Inputs_Trades'!O163</x:f>
        <x:v>0</x:v>
      </x:c>
      <x:c r="M163" s="39" t="n">
        <x:f>'Inputs_Trades'!A163</x:f>
        <x:v>45702</x:v>
      </x:c>
      <x:c r="N163" s="39" t="n">
        <x:f>'Inputs_Trades'!P163</x:f>
        <x:v>47245</x:v>
      </x:c>
      <x:c r="O163" s="39" t="n">
        <x:f>'Inputs_Trades'!Q163</x:f>
        <x:v>45606</x:v>
      </x:c>
      <x:c r="P163" s="39" t="n">
        <x:f>'Inputs_Trades'!R163</x:f>
        <x:v>47245</x:v>
      </x:c>
      <x:c r="Q163" s="40" t="n">
        <x:f>'Inputs_Trades'!U163</x:f>
        <x:v>294000000</x:v>
      </x:c>
      <x:c r="R163" s="40" t="n">
        <x:f>'Inputs_Trades'!S163</x:f>
        <x:v>2100000000</x:v>
      </x:c>
      <x:c r="S163" s="40" t="n">
        <x:f>'Inputs_Trades'!T163</x:f>
        <x:v>2100000000</x:v>
      </x:c>
      <x:c r="T163" s="27" t="str">
        <x:f>'Inputs_Trades'!V163</x:f>
        <x:v>M</x:v>
      </x:c>
      <x:c r="U163" s="27" t="str">
        <x:f>'Inputs_Trades'!W163</x:f>
        <x:v>Y</x:v>
      </x:c>
      <x:c r="V163" s="27" t="n">
        <x:f>'Inputs_Trades'!X163</x:f>
        <x:v>5</x:v>
      </x:c>
      <x:c r="W163" s="27" t="str">
        <x:f>'Inputs_Trades'!Y163</x:f>
        <x:v>S</x:v>
      </x:c>
      <x:c r="X163" s="27" t="n">
        <x:f>'Inputs_Trades'!AA163</x:f>
        <x:v>0</x:v>
      </x:c>
      <x:c r="Y163" s="27" t="n">
        <x:f>'Inputs_Trades'!AB163</x:f>
        <x:v>0</x:v>
      </x:c>
      <x:c r="Z163" s="27" t="n">
        <x:f>'Inputs_Trades'!AC163</x:f>
        <x:v>0</x:v>
      </x:c>
      <x:c r="AA163" s="39" t="n">
        <x:f>'Inputs_Trades'!Z163</x:f>
        <x:v>0</x:v>
      </x:c>
      <x:c r="AB163" s="40" t="n">
        <x:f>'Inputs_Trades'!AD163</x:f>
        <x:v>1529388</x:v>
      </x:c>
      <x:c r="AC163" s="27" t="n">
        <x:f>'Inputs_Trades'!K163</x:f>
        <x:v>0</x:v>
      </x:c>
      <x:c r="AD163" s="27" t="n">
        <x:f>N163-M163</x:f>
        <x:v>1543</x:v>
      </x:c>
      <x:c r="AE163" s="41" t="n">
        <x:f>AD163/365</x:f>
        <x:v>4.227397260273973</x:v>
      </x:c>
      <x:c r="AF163" s="27" t="str">
        <x:f>IF(AE163&lt;1,"&lt;1Y",IF(AE163&lt;=5,"1Y-5Y","&gt;5Y"))</x:f>
        <x:v>1Y-5Y</x:v>
      </x:c>
      <x:c r="AG163" s="27" t="str">
        <x:f>IF(E163="Commodity",IFERROR(VLOOKUP(F163,Parameters!$P$4:$Q$12,2,FALSE),"Other"),"")</x:f>
      </x:c>
      <x:c r="AH163" s="27" t="str">
        <x:f>IF(F163="","Unknown",F163)</x:f>
        <x:v>Unknown</x:v>
      </x:c>
      <x:c r="AI163" s="27" t="str">
        <x:f>IF(E163="Interest Rate",G163&amp;IF(OR(LOWER(AC163)="basis",LOWER(AC163)="volatility"),"_"&amp;AC163,""),IF(E163="FX",IF(H163&lt;I163,H163&amp;"/"&amp;I163,I163&amp;"/"&amp;H163)&amp;IF(OR(LOWER(AC163)="basis",LOWER(AC163)="volatility"),"_"&amp;AC163,""),IF(OR(E163="Credit",E163="Equity"),J163&amp;IF(OR(LOWER(AC163)="basis",LOWER(AC163)="volatility"),"_"&amp;AC163,""),IF(E163="Commodity",AG163&amp;IF(OR(LOWER(AC163)="basis",LOWER(AC163)="volatility"),"_"&amp;AC163,""),"UNKNOWN"))))</x:f>
        <x:v>CNY</x:v>
      </x:c>
      <x:c r="AJ163" s="27" t="str">
        <x:f>T163</x:f>
        <x:v>M</x:v>
      </x:c>
      <x:c r="AK163" s="41" t="n">
        <x:f>IF(E163="Interest Rate",VLOOKUP("Interest Rate",Parameters!$D$4:$E$12,2,FALSE),IF(E163="FX",VLOOKUP("FX",Parameters!$D$4:$E$12,2,FALSE),IF(E163="Credit",IFERROR(VLOOKUP(L163,Parameters!$G$4:$H$12,2,FALSE),VLOOKUP("BBB",Parameters!$G$4:$H$12,2,FALSE)),IF(E163="Equity",VLOOKUP(IF(LOWER(K163)="index","Equity Index","Equity Single Name"),Parameters!$D$4:$E$12,2,FALSE),IF(E163="Commodity",VLOOKUP(IFERROR(VLOOKUP(F163,Parameters!$S$4:$T$12,2,FALSE),"Commodity Other"),Parameters!$D$4:$E$12,2,FALSE),0)))))</x:f>
        <x:v>0.005</x:v>
      </x:c>
      <x:c r="AL163" s="42" t="n">
        <x:f>IF(LOWER(AC163)="basis",Parameters!$B$8,IF(LOWER(AC163)="volatility",Parameters!$B$9,1))</x:f>
        <x:v>1</x:v>
      </x:c>
      <x:c r="AM163" s="41" t="n">
        <x:f>AK163*AL163</x:f>
        <x:v>0.005</x:v>
      </x:c>
      <x:c r="AN163" s="42" t="str">
        <x:f>IF(E163="Credit",VLOOKUP(IF(LOWER(K163)="index","Credit Index","Credit Single Name"),Parameters!$J$4:$K$8,2,FALSE),IF(E163="Equity",VLOOKUP(IF(LOWER(K163)="index","Equity Index","Equity Single Name"),Parameters!$J$4:$K$8,2,FALSE),IF(E163="Commodity",VLOOKUP("Commodity",Parameters!$J$4:$K$8,2,FALSE),"")))</x:f>
      </x:c>
      <x:c r="AO163" s="27" t="n">
        <x:f>MAX((O163-M163)/365,0)</x:f>
        <x:v>0</x:v>
      </x:c>
      <x:c r="AP163" s="27" t="n">
        <x:f>MAX((P163-M163)/365,10/Parameters!$B$6)</x:f>
        <x:v>4.227397260273973</x:v>
      </x:c>
      <x:c r="AQ163" s="27" t="n">
        <x:f>IF(AP163&lt;=AO163,AO163+10/Parameters!$B$6,AP163)</x:f>
        <x:v>4.227397260273973</x:v>
      </x:c>
      <x:c r="AR163" s="41" t="n">
        <x:f>IF(OR(E163="Interest Rate",E163="Credit"),(EXP(-Parameters!$B$7*AO163)-EXP(-Parameters!$B$7*AQ163))/Parameters!$B$7,1)</x:f>
        <x:v>3.8105076642868863</x:v>
      </x:c>
      <x:c r="AS163" s="40" t="n">
        <x:f>IF(OR(E163="Interest Rate",E163="Credit"),ABS(Q163)*AR163,IF(E163="FX",IF(Q163&gt;0,Q163,MAX(ABS(R163),ABS(S163),ABS(Q163))),ABS(Q163)))</x:f>
        <x:v>1120289253.3003445</x:v>
      </x:c>
      <x:c r="AT163" s="42" t="n">
        <x:f>IF(OR(E163="Interest Rate",E163="FX"),VLOOKUP(E163,Parameters!$M$4:$N$11,2,FALSE),IF(E163="Credit",VLOOKUP(IF(LOWER(K163)="index","Credit Index","Credit Single Name"),Parameters!$M$4:$N$11,2,FALSE),IF(E163="Equity",VLOOKUP(IF(LOWER(K163)="index","Equity Index","Equity Single Name"),Parameters!$M$4:$N$11,2,FALSE),IF(E163="Commodity",VLOOKUP(IF(F163="Electricity","Commodity Electricity","Commodity Other"),Parameters!$M$4:$N$11,2,FALSE),1))))</x:f>
        <x:v>0.5</x:v>
      </x:c>
      <x:c r="AU163" s="27" t="n">
        <x:f>IF(W163="B",1,-1)</x:f>
        <x:v>-1</x:v>
      </x:c>
      <x:c r="AV163" s="27" t="n">
        <x:f>IF(OR(AA163="",M163=""),MAX(AE163,1/365),MAX((AA163-M163)/365,1/365))</x:f>
        <x:v>4.227397260273973</x:v>
      </x:c>
      <x:c r="AW163" s="41" t="str">
        <x:f>IF(OR(Z163&lt;=0,Y163&lt;=0,AT163&lt;=0,AV163&lt;=0),"",(LN(Z163/Y163)+0.5*AT163^2*AV163)/(AT163*SQRT(AV163)))</x:f>
      </x:c>
      <x:c r="AX163" s="41" t="n">
        <x:f>IF(AND(X163&lt;&gt;"C",X163&lt;&gt;"P"),AU163,IF(AW163="",AU163,IF(X163="C",AU163*0.5*(1+ERF(AW163/SQRT(2))),-AU163*0.5*(1+ERF(-AW163/SQRT(2))))))</x:f>
        <x:v>-1</x:v>
      </x:c>
      <x:c r="AY163" s="41" t="n">
        <x:f>IF(AJ163="M",1.5*SQRT(MAX(IF(U163="Y",5,10),IF(V163="",10,V163))/Parameters!$B$6),SQRT(MIN(MAX(AE163,10/Parameters!$B$6),1)))</x:f>
        <x:v>0.21213203435596426</x:v>
      </x:c>
      <x:c r="AZ163" s="40" t="n">
        <x:f>AS163*AX163*AY163</x:f>
        <x:v>-237649238.3697262</x:v>
      </x:c>
      <x:c r="BA163" s="40" t="n">
        <x:f>'Python_Trade_Output'!AZ163</x:f>
        <x:v>-237649238.3697262</x:v>
      </x:c>
      <x:c r="BB163" s="43" t="n">
        <x:f>AZ163-BA163</x:f>
        <x:v>0</x:v>
      </x:c>
    </x:row>
    <x:row r="164">
      <x:c r="A164" s="27" t="str">
        <x:f>'Inputs_Trades'!D164</x:f>
        <x:v>IND-000161</x:v>
      </x:c>
      <x:c r="B164" s="27" t="str">
        <x:f>'Inputs_Trades'!B164</x:f>
        <x:v>IND_ASSET_MANAGER_001</x:v>
      </x:c>
      <x:c r="C164" s="27" t="n">
        <x:f>'Inputs_Trades'!C164</x:f>
        <x:v>3050</x:v>
      </x:c>
      <x:c r="D164" s="27" t="str">
        <x:f>'Inputs_Trades'!E164</x:f>
        <x:v>OIS</x:v>
      </x:c>
      <x:c r="E164" s="27" t="str">
        <x:f>'Inputs_Trades'!F164</x:f>
        <x:v>Interest Rate</x:v>
      </x:c>
      <x:c r="F164" s="27" t="n">
        <x:f>'Inputs_Trades'!G164</x:f>
        <x:v>0</x:v>
      </x:c>
      <x:c r="G164" s="27" t="str">
        <x:f>'Inputs_Trades'!J164</x:f>
        <x:v>USD</x:v>
      </x:c>
      <x:c r="H164" s="27" t="str">
        <x:f>'Inputs_Trades'!H164</x:f>
        <x:v>USD</x:v>
      </x:c>
      <x:c r="I164" s="27" t="str">
        <x:f>'Inputs_Trades'!I164</x:f>
        <x:v>USD</x:v>
      </x:c>
      <x:c r="J164" s="27" t="str">
        <x:f>'Inputs_Trades'!M164</x:f>
        <x:v>USD</x:v>
      </x:c>
      <x:c r="K164" s="27" t="n">
        <x:f>'Inputs_Trades'!N164</x:f>
        <x:v>0</x:v>
      </x:c>
      <x:c r="L164" s="27" t="n">
        <x:f>'Inputs_Trades'!O164</x:f>
        <x:v>0</x:v>
      </x:c>
      <x:c r="M164" s="39" t="n">
        <x:f>'Inputs_Trades'!A164</x:f>
        <x:v>45702</x:v>
      </x:c>
      <x:c r="N164" s="39" t="n">
        <x:f>'Inputs_Trades'!P164</x:f>
        <x:v>46769</x:v>
      </x:c>
      <x:c r="O164" s="39" t="n">
        <x:f>'Inputs_Trades'!Q164</x:f>
        <x:v>44841</x:v>
      </x:c>
      <x:c r="P164" s="39" t="n">
        <x:f>'Inputs_Trades'!R164</x:f>
        <x:v>46769</x:v>
      </x:c>
      <x:c r="Q164" s="40" t="n">
        <x:f>'Inputs_Trades'!U164</x:f>
        <x:v>671000000</x:v>
      </x:c>
      <x:c r="R164" s="40" t="n">
        <x:f>'Inputs_Trades'!S164</x:f>
        <x:v>671000000</x:v>
      </x:c>
      <x:c r="S164" s="40" t="n">
        <x:f>'Inputs_Trades'!T164</x:f>
        <x:v>671000000</x:v>
      </x:c>
      <x:c r="T164" s="27" t="str">
        <x:f>'Inputs_Trades'!V164</x:f>
        <x:v>M</x:v>
      </x:c>
      <x:c r="U164" s="27" t="str">
        <x:f>'Inputs_Trades'!W164</x:f>
        <x:v>Y</x:v>
      </x:c>
      <x:c r="V164" s="27" t="n">
        <x:f>'Inputs_Trades'!X164</x:f>
        <x:v>5</x:v>
      </x:c>
      <x:c r="W164" s="27" t="str">
        <x:f>'Inputs_Trades'!Y164</x:f>
        <x:v>S</x:v>
      </x:c>
      <x:c r="X164" s="27" t="n">
        <x:f>'Inputs_Trades'!AA164</x:f>
        <x:v>0</x:v>
      </x:c>
      <x:c r="Y164" s="27" t="n">
        <x:f>'Inputs_Trades'!AB164</x:f>
        <x:v>0</x:v>
      </x:c>
      <x:c r="Z164" s="27" t="n">
        <x:f>'Inputs_Trades'!AC164</x:f>
        <x:v>0</x:v>
      </x:c>
      <x:c r="AA164" s="39" t="n">
        <x:f>'Inputs_Trades'!Z164</x:f>
        <x:v>0</x:v>
      </x:c>
      <x:c r="AB164" s="40" t="n">
        <x:f>'Inputs_Trades'!AD164</x:f>
        <x:v>1453386</x:v>
      </x:c>
      <x:c r="AC164" s="27" t="n">
        <x:f>'Inputs_Trades'!K164</x:f>
        <x:v>0</x:v>
      </x:c>
      <x:c r="AD164" s="27" t="n">
        <x:f>N164-M164</x:f>
        <x:v>1067</x:v>
      </x:c>
      <x:c r="AE164" s="41" t="n">
        <x:f>AD164/365</x:f>
        <x:v>2.9232876712328766</x:v>
      </x:c>
      <x:c r="AF164" s="27" t="str">
        <x:f>IF(AE164&lt;1,"&lt;1Y",IF(AE164&lt;=5,"1Y-5Y","&gt;5Y"))</x:f>
        <x:v>1Y-5Y</x:v>
      </x:c>
      <x:c r="AG164" s="27" t="str">
        <x:f>IF(E164="Commodity",IFERROR(VLOOKUP(F164,Parameters!$P$4:$Q$12,2,FALSE),"Other"),"")</x:f>
      </x:c>
      <x:c r="AH164" s="27" t="str">
        <x:f>IF(F164="","Unknown",F164)</x:f>
        <x:v>Unknown</x:v>
      </x:c>
      <x:c r="AI164" s="27" t="str">
        <x:f>IF(E164="Interest Rate",G164&amp;IF(OR(LOWER(AC164)="basis",LOWER(AC164)="volatility"),"_"&amp;AC164,""),IF(E164="FX",IF(H164&lt;I164,H164&amp;"/"&amp;I164,I164&amp;"/"&amp;H164)&amp;IF(OR(LOWER(AC164)="basis",LOWER(AC164)="volatility"),"_"&amp;AC164,""),IF(OR(E164="Credit",E164="Equity"),J164&amp;IF(OR(LOWER(AC164)="basis",LOWER(AC164)="volatility"),"_"&amp;AC164,""),IF(E164="Commodity",AG164&amp;IF(OR(LOWER(AC164)="basis",LOWER(AC164)="volatility"),"_"&amp;AC164,""),"UNKNOWN"))))</x:f>
        <x:v>USD</x:v>
      </x:c>
      <x:c r="AJ164" s="27" t="str">
        <x:f>T164</x:f>
        <x:v>M</x:v>
      </x:c>
      <x:c r="AK164" s="41" t="n">
        <x:f>IF(E164="Interest Rate",VLOOKUP("Interest Rate",Parameters!$D$4:$E$12,2,FALSE),IF(E164="FX",VLOOKUP("FX",Parameters!$D$4:$E$12,2,FALSE),IF(E164="Credit",IFERROR(VLOOKUP(L164,Parameters!$G$4:$H$12,2,FALSE),VLOOKUP("BBB",Parameters!$G$4:$H$12,2,FALSE)),IF(E164="Equity",VLOOKUP(IF(LOWER(K164)="index","Equity Index","Equity Single Name"),Parameters!$D$4:$E$12,2,FALSE),IF(E164="Commodity",VLOOKUP(IFERROR(VLOOKUP(F164,Parameters!$S$4:$T$12,2,FALSE),"Commodity Other"),Parameters!$D$4:$E$12,2,FALSE),0)))))</x:f>
        <x:v>0.005</x:v>
      </x:c>
      <x:c r="AL164" s="42" t="n">
        <x:f>IF(LOWER(AC164)="basis",Parameters!$B$8,IF(LOWER(AC164)="volatility",Parameters!$B$9,1))</x:f>
        <x:v>1</x:v>
      </x:c>
      <x:c r="AM164" s="41" t="n">
        <x:f>AK164*AL164</x:f>
        <x:v>0.005</x:v>
      </x:c>
      <x:c r="AN164" s="42" t="str">
        <x:f>IF(E164="Credit",VLOOKUP(IF(LOWER(K164)="index","Credit Index","Credit Single Name"),Parameters!$J$4:$K$8,2,FALSE),IF(E164="Equity",VLOOKUP(IF(LOWER(K164)="index","Equity Index","Equity Single Name"),Parameters!$J$4:$K$8,2,FALSE),IF(E164="Commodity",VLOOKUP("Commodity",Parameters!$J$4:$K$8,2,FALSE),"")))</x:f>
      </x:c>
      <x:c r="AO164" s="27" t="n">
        <x:f>MAX((O164-M164)/365,0)</x:f>
        <x:v>0</x:v>
      </x:c>
      <x:c r="AP164" s="27" t="n">
        <x:f>MAX((P164-M164)/365,10/Parameters!$B$6)</x:f>
        <x:v>2.9232876712328766</x:v>
      </x:c>
      <x:c r="AQ164" s="27" t="n">
        <x:f>IF(AP164&lt;=AO164,AO164+10/Parameters!$B$6,AP164)</x:f>
        <x:v>2.9232876712328766</x:v>
      </x:c>
      <x:c r="AR164" s="41" t="n">
        <x:f>IF(OR(E164="Interest Rate",E164="Credit"),(EXP(-Parameters!$B$7*AO164)-EXP(-Parameters!$B$7*AQ164))/Parameters!$B$7,1)</x:f>
        <x:v>2.7196867692290594</x:v>
      </x:c>
      <x:c r="AS164" s="40" t="n">
        <x:f>IF(OR(E164="Interest Rate",E164="Credit"),ABS(Q164)*AR164,IF(E164="FX",IF(Q164&gt;0,Q164,MAX(ABS(R164),ABS(S164),ABS(Q164))),ABS(Q164)))</x:f>
        <x:v>1824909822.1526988</x:v>
      </x:c>
      <x:c r="AT164" s="42" t="n">
        <x:f>IF(OR(E164="Interest Rate",E164="FX"),VLOOKUP(E164,Parameters!$M$4:$N$11,2,FALSE),IF(E164="Credit",VLOOKUP(IF(LOWER(K164)="index","Credit Index","Credit Single Name"),Parameters!$M$4:$N$11,2,FALSE),IF(E164="Equity",VLOOKUP(IF(LOWER(K164)="index","Equity Index","Equity Single Name"),Parameters!$M$4:$N$11,2,FALSE),IF(E164="Commodity",VLOOKUP(IF(F164="Electricity","Commodity Electricity","Commodity Other"),Parameters!$M$4:$N$11,2,FALSE),1))))</x:f>
        <x:v>0.5</x:v>
      </x:c>
      <x:c r="AU164" s="27" t="n">
        <x:f>IF(W164="B",1,-1)</x:f>
        <x:v>-1</x:v>
      </x:c>
      <x:c r="AV164" s="27" t="n">
        <x:f>IF(OR(AA164="",M164=""),MAX(AE164,1/365),MAX((AA164-M164)/365,1/365))</x:f>
        <x:v>2.9232876712328766</x:v>
      </x:c>
      <x:c r="AW164" s="41" t="str">
        <x:f>IF(OR(Z164&lt;=0,Y164&lt;=0,AT164&lt;=0,AV164&lt;=0),"",(LN(Z164/Y164)+0.5*AT164^2*AV164)/(AT164*SQRT(AV164)))</x:f>
      </x:c>
      <x:c r="AX164" s="41" t="n">
        <x:f>IF(AND(X164&lt;&gt;"C",X164&lt;&gt;"P"),AU164,IF(AW164="",AU164,IF(X164="C",AU164*0.5*(1+ERF(AW164/SQRT(2))),-AU164*0.5*(1+ERF(-AW164/SQRT(2))))))</x:f>
        <x:v>-1</x:v>
      </x:c>
      <x:c r="AY164" s="41" t="n">
        <x:f>IF(AJ164="M",1.5*SQRT(MAX(IF(U164="Y",5,10),IF(V164="",10,V164))/Parameters!$B$6),SQRT(MIN(MAX(AE164,10/Parameters!$B$6),1)))</x:f>
        <x:v>0.21213203435596426</x:v>
      </x:c>
      <x:c r="AZ164" s="40" t="n">
        <x:f>AS164*AX164*AY164</x:f>
        <x:v>-387121833.0894329</x:v>
      </x:c>
      <x:c r="BA164" s="40" t="n">
        <x:f>'Python_Trade_Output'!AZ164</x:f>
        <x:v>-387121833.0894329</x:v>
      </x:c>
      <x:c r="BB164" s="43" t="n">
        <x:f>AZ164-BA164</x:f>
        <x:v>0</x:v>
      </x:c>
    </x:row>
    <x:row r="165">
      <x:c r="A165" s="27" t="str">
        <x:f>'Inputs_Trades'!D165</x:f>
        <x:v>IND-000162</x:v>
      </x:c>
      <x:c r="B165" s="27" t="str">
        <x:f>'Inputs_Trades'!B165</x:f>
        <x:v>IND_REGIONAL_BANK_001</x:v>
      </x:c>
      <x:c r="C165" s="27" t="n">
        <x:f>'Inputs_Trades'!C165</x:f>
        <x:v>3315</x:v>
      </x:c>
      <x:c r="D165" s="27" t="str">
        <x:f>'Inputs_Trades'!E165</x:f>
        <x:v>OIS</x:v>
      </x:c>
      <x:c r="E165" s="27" t="str">
        <x:f>'Inputs_Trades'!F165</x:f>
        <x:v>Interest Rate</x:v>
      </x:c>
      <x:c r="F165" s="27" t="n">
        <x:f>'Inputs_Trades'!G165</x:f>
        <x:v>0</x:v>
      </x:c>
      <x:c r="G165" s="27" t="str">
        <x:f>'Inputs_Trades'!J165</x:f>
        <x:v>CNY</x:v>
      </x:c>
      <x:c r="H165" s="27" t="str">
        <x:f>'Inputs_Trades'!H165</x:f>
        <x:v>CNY</x:v>
      </x:c>
      <x:c r="I165" s="27" t="str">
        <x:f>'Inputs_Trades'!I165</x:f>
        <x:v>CNY</x:v>
      </x:c>
      <x:c r="J165" s="27" t="str">
        <x:f>'Inputs_Trades'!M165</x:f>
        <x:v>CNY</x:v>
      </x:c>
      <x:c r="K165" s="27" t="n">
        <x:f>'Inputs_Trades'!N165</x:f>
        <x:v>0</x:v>
      </x:c>
      <x:c r="L165" s="27" t="n">
        <x:f>'Inputs_Trades'!O165</x:f>
        <x:v>0</x:v>
      </x:c>
      <x:c r="M165" s="39" t="n">
        <x:f>'Inputs_Trades'!A165</x:f>
        <x:v>45702</x:v>
      </x:c>
      <x:c r="N165" s="39" t="n">
        <x:f>'Inputs_Trades'!P165</x:f>
        <x:v>48211</x:v>
      </x:c>
      <x:c r="O165" s="39" t="n">
        <x:f>'Inputs_Trades'!Q165</x:f>
        <x:v>45290</x:v>
      </x:c>
      <x:c r="P165" s="39" t="n">
        <x:f>'Inputs_Trades'!R165</x:f>
        <x:v>48211</x:v>
      </x:c>
      <x:c r="Q165" s="40" t="n">
        <x:f>'Inputs_Trades'!U165</x:f>
        <x:v>15100000</x:v>
      </x:c>
      <x:c r="R165" s="40" t="n">
        <x:f>'Inputs_Trades'!S165</x:f>
        <x:v>107857142.86</x:v>
      </x:c>
      <x:c r="S165" s="40" t="n">
        <x:f>'Inputs_Trades'!T165</x:f>
        <x:v>107857142.86</x:v>
      </x:c>
      <x:c r="T165" s="27" t="str">
        <x:f>'Inputs_Trades'!V165</x:f>
        <x:v>M</x:v>
      </x:c>
      <x:c r="U165" s="27" t="str">
        <x:f>'Inputs_Trades'!W165</x:f>
        <x:v>N</x:v>
      </x:c>
      <x:c r="V165" s="27" t="n">
        <x:f>'Inputs_Trades'!X165</x:f>
        <x:v>10</x:v>
      </x:c>
      <x:c r="W165" s="27" t="str">
        <x:f>'Inputs_Trades'!Y165</x:f>
        <x:v>S</x:v>
      </x:c>
      <x:c r="X165" s="27" t="n">
        <x:f>'Inputs_Trades'!AA165</x:f>
        <x:v>0</x:v>
      </x:c>
      <x:c r="Y165" s="27" t="n">
        <x:f>'Inputs_Trades'!AB165</x:f>
        <x:v>0</x:v>
      </x:c>
      <x:c r="Z165" s="27" t="n">
        <x:f>'Inputs_Trades'!AC165</x:f>
        <x:v>0</x:v>
      </x:c>
      <x:c r="AA165" s="39" t="n">
        <x:f>'Inputs_Trades'!Z165</x:f>
        <x:v>0</x:v>
      </x:c>
      <x:c r="AB165" s="40" t="n">
        <x:f>'Inputs_Trades'!AD165</x:f>
        <x:v>53635.2</x:v>
      </x:c>
      <x:c r="AC165" s="27" t="n">
        <x:f>'Inputs_Trades'!K165</x:f>
        <x:v>0</x:v>
      </x:c>
      <x:c r="AD165" s="27" t="n">
        <x:f>N165-M165</x:f>
        <x:v>2509</x:v>
      </x:c>
      <x:c r="AE165" s="41" t="n">
        <x:f>AD165/365</x:f>
        <x:v>6.873972602739726</x:v>
      </x:c>
      <x:c r="AF165" s="27" t="str">
        <x:f>IF(AE165&lt;1,"&lt;1Y",IF(AE165&lt;=5,"1Y-5Y","&gt;5Y"))</x:f>
        <x:v>&gt;5Y</x:v>
      </x:c>
      <x:c r="AG165" s="27" t="str">
        <x:f>IF(E165="Commodity",IFERROR(VLOOKUP(F165,Parameters!$P$4:$Q$12,2,FALSE),"Other"),"")</x:f>
      </x:c>
      <x:c r="AH165" s="27" t="str">
        <x:f>IF(F165="","Unknown",F165)</x:f>
        <x:v>Unknown</x:v>
      </x:c>
      <x:c r="AI165" s="27" t="str">
        <x:f>IF(E165="Interest Rate",G165&amp;IF(OR(LOWER(AC165)="basis",LOWER(AC165)="volatility"),"_"&amp;AC165,""),IF(E165="FX",IF(H165&lt;I165,H165&amp;"/"&amp;I165,I165&amp;"/"&amp;H165)&amp;IF(OR(LOWER(AC165)="basis",LOWER(AC165)="volatility"),"_"&amp;AC165,""),IF(OR(E165="Credit",E165="Equity"),J165&amp;IF(OR(LOWER(AC165)="basis",LOWER(AC165)="volatility"),"_"&amp;AC165,""),IF(E165="Commodity",AG165&amp;IF(OR(LOWER(AC165)="basis",LOWER(AC165)="volatility"),"_"&amp;AC165,""),"UNKNOWN"))))</x:f>
        <x:v>CNY</x:v>
      </x:c>
      <x:c r="AJ165" s="27" t="str">
        <x:f>T165</x:f>
        <x:v>M</x:v>
      </x:c>
      <x:c r="AK165" s="41" t="n">
        <x:f>IF(E165="Interest Rate",VLOOKUP("Interest Rate",Parameters!$D$4:$E$12,2,FALSE),IF(E165="FX",VLOOKUP("FX",Parameters!$D$4:$E$12,2,FALSE),IF(E165="Credit",IFERROR(VLOOKUP(L165,Parameters!$G$4:$H$12,2,FALSE),VLOOKUP("BBB",Parameters!$G$4:$H$12,2,FALSE)),IF(E165="Equity",VLOOKUP(IF(LOWER(K165)="index","Equity Index","Equity Single Name"),Parameters!$D$4:$E$12,2,FALSE),IF(E165="Commodity",VLOOKUP(IFERROR(VLOOKUP(F165,Parameters!$S$4:$T$12,2,FALSE),"Commodity Other"),Parameters!$D$4:$E$12,2,FALSE),0)))))</x:f>
        <x:v>0.005</x:v>
      </x:c>
      <x:c r="AL165" s="42" t="n">
        <x:f>IF(LOWER(AC165)="basis",Parameters!$B$8,IF(LOWER(AC165)="volatility",Parameters!$B$9,1))</x:f>
        <x:v>1</x:v>
      </x:c>
      <x:c r="AM165" s="41" t="n">
        <x:f>AK165*AL165</x:f>
        <x:v>0.005</x:v>
      </x:c>
      <x:c r="AN165" s="42" t="str">
        <x:f>IF(E165="Credit",VLOOKUP(IF(LOWER(K165)="index","Credit Index","Credit Single Name"),Parameters!$J$4:$K$8,2,FALSE),IF(E165="Equity",VLOOKUP(IF(LOWER(K165)="index","Equity Index","Equity Single Name"),Parameters!$J$4:$K$8,2,FALSE),IF(E165="Commodity",VLOOKUP("Commodity",Parameters!$J$4:$K$8,2,FALSE),"")))</x:f>
      </x:c>
      <x:c r="AO165" s="27" t="n">
        <x:f>MAX((O165-M165)/365,0)</x:f>
        <x:v>0</x:v>
      </x:c>
      <x:c r="AP165" s="27" t="n">
        <x:f>MAX((P165-M165)/365,10/Parameters!$B$6)</x:f>
        <x:v>6.873972602739726</x:v>
      </x:c>
      <x:c r="AQ165" s="27" t="n">
        <x:f>IF(AP165&lt;=AO165,AO165+10/Parameters!$B$6,AP165)</x:f>
        <x:v>6.873972602739726</x:v>
      </x:c>
      <x:c r="AR165" s="41" t="n">
        <x:f>IF(OR(E165="Interest Rate",E165="Credit"),(EXP(-Parameters!$B$7*AO165)-EXP(-Parameters!$B$7*AQ165))/Parameters!$B$7,1)</x:f>
        <x:v>5.817147798790292</x:v>
      </x:c>
      <x:c r="AS165" s="40" t="n">
        <x:f>IF(OR(E165="Interest Rate",E165="Credit"),ABS(Q165)*AR165,IF(E165="FX",IF(Q165&gt;0,Q165,MAX(ABS(R165),ABS(S165),ABS(Q165))),ABS(Q165)))</x:f>
        <x:v>87838931.76173341</x:v>
      </x:c>
      <x:c r="AT165" s="42" t="n">
        <x:f>IF(OR(E165="Interest Rate",E165="FX"),VLOOKUP(E165,Parameters!$M$4:$N$11,2,FALSE),IF(E165="Credit",VLOOKUP(IF(LOWER(K165)="index","Credit Index","Credit Single Name"),Parameters!$M$4:$N$11,2,FALSE),IF(E165="Equity",VLOOKUP(IF(LOWER(K165)="index","Equity Index","Equity Single Name"),Parameters!$M$4:$N$11,2,FALSE),IF(E165="Commodity",VLOOKUP(IF(F165="Electricity","Commodity Electricity","Commodity Other"),Parameters!$M$4:$N$11,2,FALSE),1))))</x:f>
        <x:v>0.5</x:v>
      </x:c>
      <x:c r="AU165" s="27" t="n">
        <x:f>IF(W165="B",1,-1)</x:f>
        <x:v>-1</x:v>
      </x:c>
      <x:c r="AV165" s="27" t="n">
        <x:f>IF(OR(AA165="",M165=""),MAX(AE165,1/365),MAX((AA165-M165)/365,1/365))</x:f>
        <x:v>6.873972602739726</x:v>
      </x:c>
      <x:c r="AW165" s="41" t="str">
        <x:f>IF(OR(Z165&lt;=0,Y165&lt;=0,AT165&lt;=0,AV165&lt;=0),"",(LN(Z165/Y165)+0.5*AT165^2*AV165)/(AT165*SQRT(AV165)))</x:f>
      </x:c>
      <x:c r="AX165" s="41" t="n">
        <x:f>IF(AND(X165&lt;&gt;"C",X165&lt;&gt;"P"),AU165,IF(AW165="",AU165,IF(X165="C",AU165*0.5*(1+ERF(AW165/SQRT(2))),-AU165*0.5*(1+ERF(-AW165/SQRT(2))))))</x:f>
        <x:v>-1</x:v>
      </x:c>
      <x:c r="AY165" s="41" t="n">
        <x:f>IF(AJ165="M",1.5*SQRT(MAX(IF(U165="Y",5,10),IF(V165="",10,V165))/Parameters!$B$6),SQRT(MIN(MAX(AE165,10/Parameters!$B$6),1)))</x:f>
        <x:v>0.30000000000000004</x:v>
      </x:c>
      <x:c r="AZ165" s="40" t="n">
        <x:f>AS165*AX165*AY165</x:f>
        <x:v>-26351679.52852003</x:v>
      </x:c>
      <x:c r="BA165" s="40" t="n">
        <x:f>'Python_Trade_Output'!AZ165</x:f>
        <x:v>-26351679.52852003</x:v>
      </x:c>
      <x:c r="BB165" s="43" t="n">
        <x:f>AZ165-BA165</x:f>
        <x:v>0</x:v>
      </x:c>
    </x:row>
    <x:row r="166">
      <x:c r="A166" s="27" t="str">
        <x:f>'Inputs_Trades'!D166</x:f>
        <x:v>IND-000163</x:v>
      </x:c>
      <x:c r="B166" s="27" t="str">
        <x:f>'Inputs_Trades'!B166</x:f>
        <x:v>IND_INSURER_001</x:v>
      </x:c>
      <x:c r="C166" s="27" t="n">
        <x:f>'Inputs_Trades'!C166</x:f>
        <x:v>3297</x:v>
      </x:c>
      <x:c r="D166" s="27" t="str">
        <x:f>'Inputs_Trades'!E166</x:f>
        <x:v>OIS</x:v>
      </x:c>
      <x:c r="E166" s="27" t="str">
        <x:f>'Inputs_Trades'!F166</x:f>
        <x:v>Interest Rate</x:v>
      </x:c>
      <x:c r="F166" s="27" t="n">
        <x:f>'Inputs_Trades'!G166</x:f>
        <x:v>0</x:v>
      </x:c>
      <x:c r="G166" s="27" t="str">
        <x:f>'Inputs_Trades'!J166</x:f>
        <x:v>EUR</x:v>
      </x:c>
      <x:c r="H166" s="27" t="str">
        <x:f>'Inputs_Trades'!H166</x:f>
        <x:v>EUR</x:v>
      </x:c>
      <x:c r="I166" s="27" t="str">
        <x:f>'Inputs_Trades'!I166</x:f>
        <x:v>EUR</x:v>
      </x:c>
      <x:c r="J166" s="27" t="str">
        <x:f>'Inputs_Trades'!M166</x:f>
        <x:v>EUR</x:v>
      </x:c>
      <x:c r="K166" s="27" t="n">
        <x:f>'Inputs_Trades'!N166</x:f>
        <x:v>0</x:v>
      </x:c>
      <x:c r="L166" s="27" t="n">
        <x:f>'Inputs_Trades'!O166</x:f>
        <x:v>0</x:v>
      </x:c>
      <x:c r="M166" s="39" t="n">
        <x:f>'Inputs_Trades'!A166</x:f>
        <x:v>45702</x:v>
      </x:c>
      <x:c r="N166" s="39" t="n">
        <x:f>'Inputs_Trades'!P166</x:f>
        <x:v>47622</x:v>
      </x:c>
      <x:c r="O166" s="39" t="n">
        <x:f>'Inputs_Trades'!Q166</x:f>
        <x:v>45160</x:v>
      </x:c>
      <x:c r="P166" s="39" t="n">
        <x:f>'Inputs_Trades'!R166</x:f>
        <x:v>47622</x:v>
      </x:c>
      <x:c r="Q166" s="40" t="n">
        <x:f>'Inputs_Trades'!U166</x:f>
        <x:v>554000000</x:v>
      </x:c>
      <x:c r="R166" s="40" t="n">
        <x:f>'Inputs_Trades'!S166</x:f>
        <x:v>527619047.62</x:v>
      </x:c>
      <x:c r="S166" s="40" t="n">
        <x:f>'Inputs_Trades'!T166</x:f>
        <x:v>527619047.62</x:v>
      </x:c>
      <x:c r="T166" s="27" t="str">
        <x:f>'Inputs_Trades'!V166</x:f>
        <x:v>M</x:v>
      </x:c>
      <x:c r="U166" s="27" t="str">
        <x:f>'Inputs_Trades'!W166</x:f>
        <x:v>Y</x:v>
      </x:c>
      <x:c r="V166" s="27" t="n">
        <x:f>'Inputs_Trades'!X166</x:f>
        <x:v>5</x:v>
      </x:c>
      <x:c r="W166" s="27" t="str">
        <x:f>'Inputs_Trades'!Y166</x:f>
        <x:v>S</x:v>
      </x:c>
      <x:c r="X166" s="27" t="n">
        <x:f>'Inputs_Trades'!AA166</x:f>
        <x:v>0</x:v>
      </x:c>
      <x:c r="Y166" s="27" t="n">
        <x:f>'Inputs_Trades'!AB166</x:f>
        <x:v>0</x:v>
      </x:c>
      <x:c r="Z166" s="27" t="n">
        <x:f>'Inputs_Trades'!AC166</x:f>
        <x:v>0</x:v>
      </x:c>
      <x:c r="AA166" s="39" t="n">
        <x:f>'Inputs_Trades'!Z166</x:f>
        <x:v>0</x:v>
      </x:c>
      <x:c r="AB166" s="40" t="n">
        <x:f>'Inputs_Trades'!AD166</x:f>
        <x:v>-1901328</x:v>
      </x:c>
      <x:c r="AC166" s="27" t="n">
        <x:f>'Inputs_Trades'!K166</x:f>
        <x:v>0</x:v>
      </x:c>
      <x:c r="AD166" s="27" t="n">
        <x:f>N166-M166</x:f>
        <x:v>1920</x:v>
      </x:c>
      <x:c r="AE166" s="41" t="n">
        <x:f>AD166/365</x:f>
        <x:v>5.260273972602739</x:v>
      </x:c>
      <x:c r="AF166" s="27" t="str">
        <x:f>IF(AE166&lt;1,"&lt;1Y",IF(AE166&lt;=5,"1Y-5Y","&gt;5Y"))</x:f>
        <x:v>&gt;5Y</x:v>
      </x:c>
      <x:c r="AG166" s="27" t="str">
        <x:f>IF(E166="Commodity",IFERROR(VLOOKUP(F166,Parameters!$P$4:$Q$12,2,FALSE),"Other"),"")</x:f>
      </x:c>
      <x:c r="AH166" s="27" t="str">
        <x:f>IF(F166="","Unknown",F166)</x:f>
        <x:v>Unknown</x:v>
      </x:c>
      <x:c r="AI166" s="27" t="str">
        <x:f>IF(E166="Interest Rate",G166&amp;IF(OR(LOWER(AC166)="basis",LOWER(AC166)="volatility"),"_"&amp;AC166,""),IF(E166="FX",IF(H166&lt;I166,H166&amp;"/"&amp;I166,I166&amp;"/"&amp;H166)&amp;IF(OR(LOWER(AC166)="basis",LOWER(AC166)="volatility"),"_"&amp;AC166,""),IF(OR(E166="Credit",E166="Equity"),J166&amp;IF(OR(LOWER(AC166)="basis",LOWER(AC166)="volatility"),"_"&amp;AC166,""),IF(E166="Commodity",AG166&amp;IF(OR(LOWER(AC166)="basis",LOWER(AC166)="volatility"),"_"&amp;AC166,""),"UNKNOWN"))))</x:f>
        <x:v>EUR</x:v>
      </x:c>
      <x:c r="AJ166" s="27" t="str">
        <x:f>T166</x:f>
        <x:v>M</x:v>
      </x:c>
      <x:c r="AK166" s="41" t="n">
        <x:f>IF(E166="Interest Rate",VLOOKUP("Interest Rate",Parameters!$D$4:$E$12,2,FALSE),IF(E166="FX",VLOOKUP("FX",Parameters!$D$4:$E$12,2,FALSE),IF(E166="Credit",IFERROR(VLOOKUP(L166,Parameters!$G$4:$H$12,2,FALSE),VLOOKUP("BBB",Parameters!$G$4:$H$12,2,FALSE)),IF(E166="Equity",VLOOKUP(IF(LOWER(K166)="index","Equity Index","Equity Single Name"),Parameters!$D$4:$E$12,2,FALSE),IF(E166="Commodity",VLOOKUP(IFERROR(VLOOKUP(F166,Parameters!$S$4:$T$12,2,FALSE),"Commodity Other"),Parameters!$D$4:$E$12,2,FALSE),0)))))</x:f>
        <x:v>0.005</x:v>
      </x:c>
      <x:c r="AL166" s="42" t="n">
        <x:f>IF(LOWER(AC166)="basis",Parameters!$B$8,IF(LOWER(AC166)="volatility",Parameters!$B$9,1))</x:f>
        <x:v>1</x:v>
      </x:c>
      <x:c r="AM166" s="41" t="n">
        <x:f>AK166*AL166</x:f>
        <x:v>0.005</x:v>
      </x:c>
      <x:c r="AN166" s="42" t="str">
        <x:f>IF(E166="Credit",VLOOKUP(IF(LOWER(K166)="index","Credit Index","Credit Single Name"),Parameters!$J$4:$K$8,2,FALSE),IF(E166="Equity",VLOOKUP(IF(LOWER(K166)="index","Equity Index","Equity Single Name"),Parameters!$J$4:$K$8,2,FALSE),IF(E166="Commodity",VLOOKUP("Commodity",Parameters!$J$4:$K$8,2,FALSE),"")))</x:f>
      </x:c>
      <x:c r="AO166" s="27" t="n">
        <x:f>MAX((O166-M166)/365,0)</x:f>
        <x:v>0</x:v>
      </x:c>
      <x:c r="AP166" s="27" t="n">
        <x:f>MAX((P166-M166)/365,10/Parameters!$B$6)</x:f>
        <x:v>5.260273972602739</x:v>
      </x:c>
      <x:c r="AQ166" s="27" t="n">
        <x:f>IF(AP166&lt;=AO166,AO166+10/Parameters!$B$6,AP166)</x:f>
        <x:v>5.260273972602739</x:v>
      </x:c>
      <x:c r="AR166" s="41" t="n">
        <x:f>IF(OR(E166="Interest Rate",E166="Credit"),(EXP(-Parameters!$B$7*AO166)-EXP(-Parameters!$B$7*AQ166))/Parameters!$B$7,1)</x:f>
        <x:v>4.625372666552678</x:v>
      </x:c>
      <x:c r="AS166" s="40" t="n">
        <x:f>IF(OR(E166="Interest Rate",E166="Credit"),ABS(Q166)*AR166,IF(E166="FX",IF(Q166&gt;0,Q166,MAX(ABS(R166),ABS(S166),ABS(Q166))),ABS(Q166)))</x:f>
        <x:v>2562456457.270184</x:v>
      </x:c>
      <x:c r="AT166" s="42" t="n">
        <x:f>IF(OR(E166="Interest Rate",E166="FX"),VLOOKUP(E166,Parameters!$M$4:$N$11,2,FALSE),IF(E166="Credit",VLOOKUP(IF(LOWER(K166)="index","Credit Index","Credit Single Name"),Parameters!$M$4:$N$11,2,FALSE),IF(E166="Equity",VLOOKUP(IF(LOWER(K166)="index","Equity Index","Equity Single Name"),Parameters!$M$4:$N$11,2,FALSE),IF(E166="Commodity",VLOOKUP(IF(F166="Electricity","Commodity Electricity","Commodity Other"),Parameters!$M$4:$N$11,2,FALSE),1))))</x:f>
        <x:v>0.5</x:v>
      </x:c>
      <x:c r="AU166" s="27" t="n">
        <x:f>IF(W166="B",1,-1)</x:f>
        <x:v>-1</x:v>
      </x:c>
      <x:c r="AV166" s="27" t="n">
        <x:f>IF(OR(AA166="",M166=""),MAX(AE166,1/365),MAX((AA166-M166)/365,1/365))</x:f>
        <x:v>5.260273972602739</x:v>
      </x:c>
      <x:c r="AW166" s="41" t="str">
        <x:f>IF(OR(Z166&lt;=0,Y166&lt;=0,AT166&lt;=0,AV166&lt;=0),"",(LN(Z166/Y166)+0.5*AT166^2*AV166)/(AT166*SQRT(AV166)))</x:f>
      </x:c>
      <x:c r="AX166" s="41" t="n">
        <x:f>IF(AND(X166&lt;&gt;"C",X166&lt;&gt;"P"),AU166,IF(AW166="",AU166,IF(X166="C",AU166*0.5*(1+ERF(AW166/SQRT(2))),-AU166*0.5*(1+ERF(-AW166/SQRT(2))))))</x:f>
        <x:v>-1</x:v>
      </x:c>
      <x:c r="AY166" s="41" t="n">
        <x:f>IF(AJ166="M",1.5*SQRT(MAX(IF(U166="Y",5,10),IF(V166="",10,V166))/Parameters!$B$6),SQRT(MIN(MAX(AE166,10/Parameters!$B$6),1)))</x:f>
        <x:v>0.21213203435596426</x:v>
      </x:c>
      <x:c r="AZ166" s="40" t="n">
        <x:f>AS166*AX166*AY166</x:f>
        <x:v>-543579101.2293011</x:v>
      </x:c>
      <x:c r="BA166" s="40" t="n">
        <x:f>'Python_Trade_Output'!AZ166</x:f>
        <x:v>-543579101.2293011</x:v>
      </x:c>
      <x:c r="BB166" s="43" t="n">
        <x:f>AZ166-BA166</x:f>
        <x:v>0</x:v>
      </x:c>
    </x:row>
    <x:row r="167">
      <x:c r="A167" s="27" t="str">
        <x:f>'Inputs_Trades'!D167</x:f>
        <x:v>IND-000164</x:v>
      </x:c>
      <x:c r="B167" s="27" t="str">
        <x:f>'Inputs_Trades'!B167</x:f>
        <x:v>IND_BROKER_001</x:v>
      </x:c>
      <x:c r="C167" s="27" t="n">
        <x:f>'Inputs_Trades'!C167</x:f>
        <x:v>3332</x:v>
      </x:c>
      <x:c r="D167" s="27" t="str">
        <x:f>'Inputs_Trades'!E167</x:f>
        <x:v>OIS</x:v>
      </x:c>
      <x:c r="E167" s="27" t="str">
        <x:f>'Inputs_Trades'!F167</x:f>
        <x:v>Interest Rate</x:v>
      </x:c>
      <x:c r="F167" s="27" t="n">
        <x:f>'Inputs_Trades'!G167</x:f>
        <x:v>0</x:v>
      </x:c>
      <x:c r="G167" s="27" t="str">
        <x:f>'Inputs_Trades'!J167</x:f>
        <x:v>CNY</x:v>
      </x:c>
      <x:c r="H167" s="27" t="str">
        <x:f>'Inputs_Trades'!H167</x:f>
        <x:v>CNY</x:v>
      </x:c>
      <x:c r="I167" s="27" t="str">
        <x:f>'Inputs_Trades'!I167</x:f>
        <x:v>CNY</x:v>
      </x:c>
      <x:c r="J167" s="27" t="str">
        <x:f>'Inputs_Trades'!M167</x:f>
        <x:v>CNY</x:v>
      </x:c>
      <x:c r="K167" s="27" t="n">
        <x:f>'Inputs_Trades'!N167</x:f>
        <x:v>0</x:v>
      </x:c>
      <x:c r="L167" s="27" t="n">
        <x:f>'Inputs_Trades'!O167</x:f>
        <x:v>0</x:v>
      </x:c>
      <x:c r="M167" s="39" t="n">
        <x:f>'Inputs_Trades'!A167</x:f>
        <x:v>45702</x:v>
      </x:c>
      <x:c r="N167" s="39" t="n">
        <x:f>'Inputs_Trades'!P167</x:f>
        <x:v>46236</x:v>
      </x:c>
      <x:c r="O167" s="39" t="n">
        <x:f>'Inputs_Trades'!Q167</x:f>
        <x:v>45424</x:v>
      </x:c>
      <x:c r="P167" s="39" t="n">
        <x:f>'Inputs_Trades'!R167</x:f>
        <x:v>46236</x:v>
      </x:c>
      <x:c r="Q167" s="40" t="n">
        <x:f>'Inputs_Trades'!U167</x:f>
        <x:v>17000000</x:v>
      </x:c>
      <x:c r="R167" s="40" t="n">
        <x:f>'Inputs_Trades'!S167</x:f>
        <x:v>121428571.43</x:v>
      </x:c>
      <x:c r="S167" s="40" t="n">
        <x:f>'Inputs_Trades'!T167</x:f>
        <x:v>121428571.43</x:v>
      </x:c>
      <x:c r="T167" s="27" t="str">
        <x:f>'Inputs_Trades'!V167</x:f>
        <x:v>M</x:v>
      </x:c>
      <x:c r="U167" s="27" t="str">
        <x:f>'Inputs_Trades'!W167</x:f>
        <x:v>N</x:v>
      </x:c>
      <x:c r="V167" s="27" t="n">
        <x:f>'Inputs_Trades'!X167</x:f>
        <x:v>10</x:v>
      </x:c>
      <x:c r="W167" s="27" t="str">
        <x:f>'Inputs_Trades'!Y167</x:f>
        <x:v>S</x:v>
      </x:c>
      <x:c r="X167" s="27" t="n">
        <x:f>'Inputs_Trades'!AA167</x:f>
        <x:v>0</x:v>
      </x:c>
      <x:c r="Y167" s="27" t="n">
        <x:f>'Inputs_Trades'!AB167</x:f>
        <x:v>0</x:v>
      </x:c>
      <x:c r="Z167" s="27" t="n">
        <x:f>'Inputs_Trades'!AC167</x:f>
        <x:v>0</x:v>
      </x:c>
      <x:c r="AA167" s="39" t="n">
        <x:f>'Inputs_Trades'!Z167</x:f>
        <x:v>0</x:v>
      </x:c>
      <x:c r="AB167" s="40" t="n">
        <x:f>'Inputs_Trades'!AD167</x:f>
        <x:v>68238</x:v>
      </x:c>
      <x:c r="AC167" s="27" t="n">
        <x:f>'Inputs_Trades'!K167</x:f>
        <x:v>0</x:v>
      </x:c>
      <x:c r="AD167" s="27" t="n">
        <x:f>N167-M167</x:f>
        <x:v>534</x:v>
      </x:c>
      <x:c r="AE167" s="41" t="n">
        <x:f>AD167/365</x:f>
        <x:v>1.463013698630137</x:v>
      </x:c>
      <x:c r="AF167" s="27" t="str">
        <x:f>IF(AE167&lt;1,"&lt;1Y",IF(AE167&lt;=5,"1Y-5Y","&gt;5Y"))</x:f>
        <x:v>1Y-5Y</x:v>
      </x:c>
      <x:c r="AG167" s="27" t="str">
        <x:f>IF(E167="Commodity",IFERROR(VLOOKUP(F167,Parameters!$P$4:$Q$12,2,FALSE),"Other"),"")</x:f>
      </x:c>
      <x:c r="AH167" s="27" t="str">
        <x:f>IF(F167="","Unknown",F167)</x:f>
        <x:v>Unknown</x:v>
      </x:c>
      <x:c r="AI167" s="27" t="str">
        <x:f>IF(E167="Interest Rate",G167&amp;IF(OR(LOWER(AC167)="basis",LOWER(AC167)="volatility"),"_"&amp;AC167,""),IF(E167="FX",IF(H167&lt;I167,H167&amp;"/"&amp;I167,I167&amp;"/"&amp;H167)&amp;IF(OR(LOWER(AC167)="basis",LOWER(AC167)="volatility"),"_"&amp;AC167,""),IF(OR(E167="Credit",E167="Equity"),J167&amp;IF(OR(LOWER(AC167)="basis",LOWER(AC167)="volatility"),"_"&amp;AC167,""),IF(E167="Commodity",AG167&amp;IF(OR(LOWER(AC167)="basis",LOWER(AC167)="volatility"),"_"&amp;AC167,""),"UNKNOWN"))))</x:f>
        <x:v>CNY</x:v>
      </x:c>
      <x:c r="AJ167" s="27" t="str">
        <x:f>T167</x:f>
        <x:v>M</x:v>
      </x:c>
      <x:c r="AK167" s="41" t="n">
        <x:f>IF(E167="Interest Rate",VLOOKUP("Interest Rate",Parameters!$D$4:$E$12,2,FALSE),IF(E167="FX",VLOOKUP("FX",Parameters!$D$4:$E$12,2,FALSE),IF(E167="Credit",IFERROR(VLOOKUP(L167,Parameters!$G$4:$H$12,2,FALSE),VLOOKUP("BBB",Parameters!$G$4:$H$12,2,FALSE)),IF(E167="Equity",VLOOKUP(IF(LOWER(K167)="index","Equity Index","Equity Single Name"),Parameters!$D$4:$E$12,2,FALSE),IF(E167="Commodity",VLOOKUP(IFERROR(VLOOKUP(F167,Parameters!$S$4:$T$12,2,FALSE),"Commodity Other"),Parameters!$D$4:$E$12,2,FALSE),0)))))</x:f>
        <x:v>0.005</x:v>
      </x:c>
      <x:c r="AL167" s="42" t="n">
        <x:f>IF(LOWER(AC167)="basis",Parameters!$B$8,IF(LOWER(AC167)="volatility",Parameters!$B$9,1))</x:f>
        <x:v>1</x:v>
      </x:c>
      <x:c r="AM167" s="41" t="n">
        <x:f>AK167*AL167</x:f>
        <x:v>0.005</x:v>
      </x:c>
      <x:c r="AN167" s="42" t="str">
        <x:f>IF(E167="Credit",VLOOKUP(IF(LOWER(K167)="index","Credit Index","Credit Single Name"),Parameters!$J$4:$K$8,2,FALSE),IF(E167="Equity",VLOOKUP(IF(LOWER(K167)="index","Equity Index","Equity Single Name"),Parameters!$J$4:$K$8,2,FALSE),IF(E167="Commodity",VLOOKUP("Commodity",Parameters!$J$4:$K$8,2,FALSE),"")))</x:f>
      </x:c>
      <x:c r="AO167" s="27" t="n">
        <x:f>MAX((O167-M167)/365,0)</x:f>
        <x:v>0</x:v>
      </x:c>
      <x:c r="AP167" s="27" t="n">
        <x:f>MAX((P167-M167)/365,10/Parameters!$B$6)</x:f>
        <x:v>1.463013698630137</x:v>
      </x:c>
      <x:c r="AQ167" s="27" t="n">
        <x:f>IF(AP167&lt;=AO167,AO167+10/Parameters!$B$6,AP167)</x:f>
        <x:v>1.463013698630137</x:v>
      </x:c>
      <x:c r="AR167" s="41" t="n">
        <x:f>IF(OR(E167="Interest Rate",E167="Credit"),(EXP(-Parameters!$B$7*AO167)-EXP(-Parameters!$B$7*AQ167))/Parameters!$B$7,1)</x:f>
        <x:v>1.4107847251680838</x:v>
      </x:c>
      <x:c r="AS167" s="40" t="n">
        <x:f>IF(OR(E167="Interest Rate",E167="Credit"),ABS(Q167)*AR167,IF(E167="FX",IF(Q167&gt;0,Q167,MAX(ABS(R167),ABS(S167),ABS(Q167))),ABS(Q167)))</x:f>
        <x:v>23983340.327857424</x:v>
      </x:c>
      <x:c r="AT167" s="42" t="n">
        <x:f>IF(OR(E167="Interest Rate",E167="FX"),VLOOKUP(E167,Parameters!$M$4:$N$11,2,FALSE),IF(E167="Credit",VLOOKUP(IF(LOWER(K167)="index","Credit Index","Credit Single Name"),Parameters!$M$4:$N$11,2,FALSE),IF(E167="Equity",VLOOKUP(IF(LOWER(K167)="index","Equity Index","Equity Single Name"),Parameters!$M$4:$N$11,2,FALSE),IF(E167="Commodity",VLOOKUP(IF(F167="Electricity","Commodity Electricity","Commodity Other"),Parameters!$M$4:$N$11,2,FALSE),1))))</x:f>
        <x:v>0.5</x:v>
      </x:c>
      <x:c r="AU167" s="27" t="n">
        <x:f>IF(W167="B",1,-1)</x:f>
        <x:v>-1</x:v>
      </x:c>
      <x:c r="AV167" s="27" t="n">
        <x:f>IF(OR(AA167="",M167=""),MAX(AE167,1/365),MAX((AA167-M167)/365,1/365))</x:f>
        <x:v>1.463013698630137</x:v>
      </x:c>
      <x:c r="AW167" s="41" t="str">
        <x:f>IF(OR(Z167&lt;=0,Y167&lt;=0,AT167&lt;=0,AV167&lt;=0),"",(LN(Z167/Y167)+0.5*AT167^2*AV167)/(AT167*SQRT(AV167)))</x:f>
      </x:c>
      <x:c r="AX167" s="41" t="n">
        <x:f>IF(AND(X167&lt;&gt;"C",X167&lt;&gt;"P"),AU167,IF(AW167="",AU167,IF(X167="C",AU167*0.5*(1+ERF(AW167/SQRT(2))),-AU167*0.5*(1+ERF(-AW167/SQRT(2))))))</x:f>
        <x:v>-1</x:v>
      </x:c>
      <x:c r="AY167" s="41" t="n">
        <x:f>IF(AJ167="M",1.5*SQRT(MAX(IF(U167="Y",5,10),IF(V167="",10,V167))/Parameters!$B$6),SQRT(MIN(MAX(AE167,10/Parameters!$B$6),1)))</x:f>
        <x:v>0.30000000000000004</x:v>
      </x:c>
      <x:c r="AZ167" s="40" t="n">
        <x:f>AS167*AX167*AY167</x:f>
        <x:v>-7195002.098357229</x:v>
      </x:c>
      <x:c r="BA167" s="40" t="n">
        <x:f>'Python_Trade_Output'!AZ167</x:f>
        <x:v>-7195002.098357229</x:v>
      </x:c>
      <x:c r="BB167" s="43" t="n">
        <x:f>AZ167-BA167</x:f>
        <x:v>0</x:v>
      </x:c>
    </x:row>
    <x:row r="168">
      <x:c r="A168" s="27" t="str">
        <x:f>'Inputs_Trades'!D168</x:f>
        <x:v>IND-000165</x:v>
      </x:c>
      <x:c r="B168" s="27" t="str">
        <x:f>'Inputs_Trades'!B168</x:f>
        <x:v>IND_HEDGE_FUND_001</x:v>
      </x:c>
      <x:c r="C168" s="27" t="n">
        <x:f>'Inputs_Trades'!C168</x:f>
        <x:v>3345</x:v>
      </x:c>
      <x:c r="D168" s="27" t="str">
        <x:f>'Inputs_Trades'!E168</x:f>
        <x:v>Swaption</x:v>
      </x:c>
      <x:c r="E168" s="27" t="str">
        <x:f>'Inputs_Trades'!F168</x:f>
        <x:v>Interest Rate</x:v>
      </x:c>
      <x:c r="F168" s="27" t="n">
        <x:f>'Inputs_Trades'!G168</x:f>
        <x:v>0</x:v>
      </x:c>
      <x:c r="G168" s="27" t="str">
        <x:f>'Inputs_Trades'!J168</x:f>
        <x:v>USD</x:v>
      </x:c>
      <x:c r="H168" s="27" t="str">
        <x:f>'Inputs_Trades'!H168</x:f>
        <x:v>USD</x:v>
      </x:c>
      <x:c r="I168" s="27" t="str">
        <x:f>'Inputs_Trades'!I168</x:f>
        <x:v>USD</x:v>
      </x:c>
      <x:c r="J168" s="27" t="str">
        <x:f>'Inputs_Trades'!M168</x:f>
        <x:v>USD</x:v>
      </x:c>
      <x:c r="K168" s="27" t="n">
        <x:f>'Inputs_Trades'!N168</x:f>
        <x:v>0</x:v>
      </x:c>
      <x:c r="L168" s="27" t="n">
        <x:f>'Inputs_Trades'!O168</x:f>
        <x:v>0</x:v>
      </x:c>
      <x:c r="M168" s="39" t="n">
        <x:f>'Inputs_Trades'!A168</x:f>
        <x:v>45702</x:v>
      </x:c>
      <x:c r="N168" s="39" t="n">
        <x:f>'Inputs_Trades'!P168</x:f>
        <x:v>45949</x:v>
      </x:c>
      <x:c r="O168" s="39" t="n">
        <x:f>'Inputs_Trades'!Q168</x:f>
        <x:v>45024</x:v>
      </x:c>
      <x:c r="P168" s="39" t="n">
        <x:f>'Inputs_Trades'!R168</x:f>
        <x:v>45949</x:v>
      </x:c>
      <x:c r="Q168" s="40" t="n">
        <x:f>'Inputs_Trades'!U168</x:f>
        <x:v>13700000</x:v>
      </x:c>
      <x:c r="R168" s="40" t="n">
        <x:f>'Inputs_Trades'!S168</x:f>
        <x:v>13700000</x:v>
      </x:c>
      <x:c r="S168" s="40" t="n">
        <x:f>'Inputs_Trades'!T168</x:f>
        <x:v>13700000</x:v>
      </x:c>
      <x:c r="T168" s="27" t="str">
        <x:f>'Inputs_Trades'!V168</x:f>
        <x:v>M</x:v>
      </x:c>
      <x:c r="U168" s="27" t="str">
        <x:f>'Inputs_Trades'!W168</x:f>
        <x:v>N</x:v>
      </x:c>
      <x:c r="V168" s="27" t="n">
        <x:f>'Inputs_Trades'!X168</x:f>
        <x:v>10</x:v>
      </x:c>
      <x:c r="W168" s="27" t="str">
        <x:f>'Inputs_Trades'!Y168</x:f>
        <x:v>B</x:v>
      </x:c>
      <x:c r="X168" s="27" t="str">
        <x:f>'Inputs_Trades'!AA168</x:f>
        <x:v>C</x:v>
      </x:c>
      <x:c r="Y168" s="27" t="n">
        <x:f>'Inputs_Trades'!AB168</x:f>
        <x:v>0.014448</x:v>
      </x:c>
      <x:c r="Z168" s="27" t="n">
        <x:f>'Inputs_Trades'!AC168</x:f>
        <x:v>0.0168</x:v>
      </x:c>
      <x:c r="AA168" s="39" t="n">
        <x:f>'Inputs_Trades'!Z168</x:f>
        <x:v>45887</x:v>
      </x:c>
      <x:c r="AB168" s="40" t="n">
        <x:f>'Inputs_Trades'!AD168</x:f>
        <x:v>-6904.8</x:v>
      </x:c>
      <x:c r="AC168" s="27" t="n">
        <x:f>'Inputs_Trades'!K168</x:f>
        <x:v>0</x:v>
      </x:c>
      <x:c r="AD168" s="27" t="n">
        <x:f>N168-M168</x:f>
        <x:v>247</x:v>
      </x:c>
      <x:c r="AE168" s="41" t="n">
        <x:f>AD168/365</x:f>
        <x:v>0.6767123287671233</x:v>
      </x:c>
      <x:c r="AF168" s="27" t="str">
        <x:f>IF(AE168&lt;1,"&lt;1Y",IF(AE168&lt;=5,"1Y-5Y","&gt;5Y"))</x:f>
        <x:v>&lt;1Y</x:v>
      </x:c>
      <x:c r="AG168" s="27" t="str">
        <x:f>IF(E168="Commodity",IFERROR(VLOOKUP(F168,Parameters!$P$4:$Q$12,2,FALSE),"Other"),"")</x:f>
      </x:c>
      <x:c r="AH168" s="27" t="str">
        <x:f>IF(F168="","Unknown",F168)</x:f>
        <x:v>Unknown</x:v>
      </x:c>
      <x:c r="AI168" s="27" t="str">
        <x:f>IF(E168="Interest Rate",G168&amp;IF(OR(LOWER(AC168)="basis",LOWER(AC168)="volatility"),"_"&amp;AC168,""),IF(E168="FX",IF(H168&lt;I168,H168&amp;"/"&amp;I168,I168&amp;"/"&amp;H168)&amp;IF(OR(LOWER(AC168)="basis",LOWER(AC168)="volatility"),"_"&amp;AC168,""),IF(OR(E168="Credit",E168="Equity"),J168&amp;IF(OR(LOWER(AC168)="basis",LOWER(AC168)="volatility"),"_"&amp;AC168,""),IF(E168="Commodity",AG168&amp;IF(OR(LOWER(AC168)="basis",LOWER(AC168)="volatility"),"_"&amp;AC168,""),"UNKNOWN"))))</x:f>
        <x:v>USD</x:v>
      </x:c>
      <x:c r="AJ168" s="27" t="str">
        <x:f>T168</x:f>
        <x:v>M</x:v>
      </x:c>
      <x:c r="AK168" s="41" t="n">
        <x:f>IF(E168="Interest Rate",VLOOKUP("Interest Rate",Parameters!$D$4:$E$12,2,FALSE),IF(E168="FX",VLOOKUP("FX",Parameters!$D$4:$E$12,2,FALSE),IF(E168="Credit",IFERROR(VLOOKUP(L168,Parameters!$G$4:$H$12,2,FALSE),VLOOKUP("BBB",Parameters!$G$4:$H$12,2,FALSE)),IF(E168="Equity",VLOOKUP(IF(LOWER(K168)="index","Equity Index","Equity Single Name"),Parameters!$D$4:$E$12,2,FALSE),IF(E168="Commodity",VLOOKUP(IFERROR(VLOOKUP(F168,Parameters!$S$4:$T$12,2,FALSE),"Commodity Other"),Parameters!$D$4:$E$12,2,FALSE),0)))))</x:f>
        <x:v>0.005</x:v>
      </x:c>
      <x:c r="AL168" s="42" t="n">
        <x:f>IF(LOWER(AC168)="basis",Parameters!$B$8,IF(LOWER(AC168)="volatility",Parameters!$B$9,1))</x:f>
        <x:v>1</x:v>
      </x:c>
      <x:c r="AM168" s="41" t="n">
        <x:f>AK168*AL168</x:f>
        <x:v>0.005</x:v>
      </x:c>
      <x:c r="AN168" s="42" t="str">
        <x:f>IF(E168="Credit",VLOOKUP(IF(LOWER(K168)="index","Credit Index","Credit Single Name"),Parameters!$J$4:$K$8,2,FALSE),IF(E168="Equity",VLOOKUP(IF(LOWER(K168)="index","Equity Index","Equity Single Name"),Parameters!$J$4:$K$8,2,FALSE),IF(E168="Commodity",VLOOKUP("Commodity",Parameters!$J$4:$K$8,2,FALSE),"")))</x:f>
      </x:c>
      <x:c r="AO168" s="27" t="n">
        <x:f>MAX((O168-M168)/365,0)</x:f>
        <x:v>0</x:v>
      </x:c>
      <x:c r="AP168" s="27" t="n">
        <x:f>MAX((P168-M168)/365,10/Parameters!$B$6)</x:f>
        <x:v>0.6767123287671233</x:v>
      </x:c>
      <x:c r="AQ168" s="27" t="n">
        <x:f>IF(AP168&lt;=AO168,AO168+10/Parameters!$B$6,AP168)</x:f>
        <x:v>0.6767123287671233</x:v>
      </x:c>
      <x:c r="AR168" s="41" t="n">
        <x:f>IF(OR(E168="Interest Rate",E168="Credit"),(EXP(-Parameters!$B$7*AO168)-EXP(-Parameters!$B$7*AQ168))/Parameters!$B$7,1)</x:f>
        <x:v>0.6653918767187195</x:v>
      </x:c>
      <x:c r="AS168" s="40" t="n">
        <x:f>IF(OR(E168="Interest Rate",E168="Credit"),ABS(Q168)*AR168,IF(E168="FX",IF(Q168&gt;0,Q168,MAX(ABS(R168),ABS(S168),ABS(Q168))),ABS(Q168)))</x:f>
        <x:v>9115868.711046457</x:v>
      </x:c>
      <x:c r="AT168" s="42" t="n">
        <x:f>IF(OR(E168="Interest Rate",E168="FX"),VLOOKUP(E168,Parameters!$M$4:$N$11,2,FALSE),IF(E168="Credit",VLOOKUP(IF(LOWER(K168)="index","Credit Index","Credit Single Name"),Parameters!$M$4:$N$11,2,FALSE),IF(E168="Equity",VLOOKUP(IF(LOWER(K168)="index","Equity Index","Equity Single Name"),Parameters!$M$4:$N$11,2,FALSE),IF(E168="Commodity",VLOOKUP(IF(F168="Electricity","Commodity Electricity","Commodity Other"),Parameters!$M$4:$N$11,2,FALSE),1))))</x:f>
        <x:v>0.5</x:v>
      </x:c>
      <x:c r="AU168" s="27" t="n">
        <x:f>IF(W168="B",1,-1)</x:f>
        <x:v>1</x:v>
      </x:c>
      <x:c r="AV168" s="27" t="n">
        <x:f>IF(OR(AA168="",M168=""),MAX(AE168,1/365),MAX((AA168-M168)/365,1/365))</x:f>
        <x:v>0.5068493150684932</x:v>
      </x:c>
      <x:c r="AW168" s="41" t="n">
        <x:f>IF(OR(Z168&lt;=0,Y168&lt;=0,AT168&lt;=0,AV168&lt;=0),"",(LN(Z168/Y168)+0.5*AT168^2*AV168)/(AT168*SQRT(AV168)))</x:f>
        <x:v>0.601682749059836</x:v>
      </x:c>
      <x:c r="AX168" s="41" t="n">
        <x:f>IF(AND(X168&lt;&gt;"C",X168&lt;&gt;"P"),AU168,IF(AW168="",AU168,IF(X168="C",AU168*0.5*(1+ERF(AW168/SQRT(2))),-AU168*0.5*(1+ERF(-AW168/SQRT(2))))))</x:f>
        <x:v>0.726307332395894</x:v>
      </x:c>
      <x:c r="AY168" s="41" t="n">
        <x:f>IF(AJ168="M",1.5*SQRT(MAX(IF(U168="Y",5,10),IF(V168="",10,V168))/Parameters!$B$6),SQRT(MIN(MAX(AE168,10/Parameters!$B$6),1)))</x:f>
        <x:v>0.30000000000000004</x:v>
      </x:c>
      <x:c r="AZ168" s="40" t="n">
        <x:f>AS168*AX168*AY168</x:f>
        <x:v>1986276.6857974047</x:v>
      </x:c>
      <x:c r="BA168" s="40" t="n">
        <x:f>'Python_Trade_Output'!AZ168</x:f>
        <x:v>1986276.685797405</x:v>
      </x:c>
      <x:c r="BB168" s="43" t="n">
        <x:f>AZ168-BA168</x:f>
        <x:v>-2.3283064365386963e-10</x:v>
      </x:c>
    </x:row>
    <x:row r="169">
      <x:c r="A169" s="27" t="str">
        <x:f>'Inputs_Trades'!D169</x:f>
        <x:v>IND-000166</x:v>
      </x:c>
      <x:c r="B169" s="27" t="str">
        <x:f>'Inputs_Trades'!B169</x:f>
        <x:v>IND_BANK_001</x:v>
      </x:c>
      <x:c r="C169" s="27" t="n">
        <x:f>'Inputs_Trades'!C169</x:f>
        <x:v>3219</x:v>
      </x:c>
      <x:c r="D169" s="27" t="str">
        <x:f>'Inputs_Trades'!E169</x:f>
        <x:v>Swaption</x:v>
      </x:c>
      <x:c r="E169" s="27" t="str">
        <x:f>'Inputs_Trades'!F169</x:f>
        <x:v>Interest Rate</x:v>
      </x:c>
      <x:c r="F169" s="27" t="n">
        <x:f>'Inputs_Trades'!G169</x:f>
        <x:v>0</x:v>
      </x:c>
      <x:c r="G169" s="27" t="str">
        <x:f>'Inputs_Trades'!J169</x:f>
        <x:v>CNY</x:v>
      </x:c>
      <x:c r="H169" s="27" t="str">
        <x:f>'Inputs_Trades'!H169</x:f>
        <x:v>CNY</x:v>
      </x:c>
      <x:c r="I169" s="27" t="str">
        <x:f>'Inputs_Trades'!I169</x:f>
        <x:v>CNY</x:v>
      </x:c>
      <x:c r="J169" s="27" t="str">
        <x:f>'Inputs_Trades'!M169</x:f>
        <x:v>CNY</x:v>
      </x:c>
      <x:c r="K169" s="27" t="n">
        <x:f>'Inputs_Trades'!N169</x:f>
        <x:v>0</x:v>
      </x:c>
      <x:c r="L169" s="27" t="n">
        <x:f>'Inputs_Trades'!O169</x:f>
        <x:v>0</x:v>
      </x:c>
      <x:c r="M169" s="39" t="n">
        <x:f>'Inputs_Trades'!A169</x:f>
        <x:v>45702</x:v>
      </x:c>
      <x:c r="N169" s="39" t="n">
        <x:f>'Inputs_Trades'!P169</x:f>
        <x:v>46327</x:v>
      </x:c>
      <x:c r="O169" s="39" t="n">
        <x:f>'Inputs_Trades'!Q169</x:f>
        <x:v>45041</x:v>
      </x:c>
      <x:c r="P169" s="39" t="n">
        <x:f>'Inputs_Trades'!R169</x:f>
        <x:v>46327</x:v>
      </x:c>
      <x:c r="Q169" s="40" t="n">
        <x:f>'Inputs_Trades'!U169</x:f>
        <x:v>496000000</x:v>
      </x:c>
      <x:c r="R169" s="40" t="n">
        <x:f>'Inputs_Trades'!S169</x:f>
        <x:v>3542857142.86</x:v>
      </x:c>
      <x:c r="S169" s="40" t="n">
        <x:f>'Inputs_Trades'!T169</x:f>
        <x:v>3542857142.86</x:v>
      </x:c>
      <x:c r="T169" s="27" t="str">
        <x:f>'Inputs_Trades'!V169</x:f>
        <x:v>M</x:v>
      </x:c>
      <x:c r="U169" s="27" t="str">
        <x:f>'Inputs_Trades'!W169</x:f>
        <x:v>N</x:v>
      </x:c>
      <x:c r="V169" s="27" t="n">
        <x:f>'Inputs_Trades'!X169</x:f>
        <x:v>10</x:v>
      </x:c>
      <x:c r="W169" s="27" t="str">
        <x:f>'Inputs_Trades'!Y169</x:f>
        <x:v>S</x:v>
      </x:c>
      <x:c r="X169" s="27" t="str">
        <x:f>'Inputs_Trades'!AA169</x:f>
        <x:v>C</x:v>
      </x:c>
      <x:c r="Y169" s="27" t="n">
        <x:f>'Inputs_Trades'!AB169</x:f>
        <x:v>0.027425</x:v>
      </x:c>
      <x:c r="Z169" s="27" t="n">
        <x:f>'Inputs_Trades'!AC169</x:f>
        <x:v>0.025</x:v>
      </x:c>
      <x:c r="AA169" s="39" t="n">
        <x:f>'Inputs_Trades'!Z169</x:f>
        <x:v>46170</x:v>
      </x:c>
      <x:c r="AB169" s="40" t="n">
        <x:f>'Inputs_Trades'!AD169</x:f>
        <x:v>-950832</x:v>
      </x:c>
      <x:c r="AC169" s="27" t="n">
        <x:f>'Inputs_Trades'!K169</x:f>
        <x:v>0</x:v>
      </x:c>
      <x:c r="AD169" s="27" t="n">
        <x:f>N169-M169</x:f>
        <x:v>625</x:v>
      </x:c>
      <x:c r="AE169" s="41" t="n">
        <x:f>AD169/365</x:f>
        <x:v>1.7123287671232876</x:v>
      </x:c>
      <x:c r="AF169" s="27" t="str">
        <x:f>IF(AE169&lt;1,"&lt;1Y",IF(AE169&lt;=5,"1Y-5Y","&gt;5Y"))</x:f>
        <x:v>1Y-5Y</x:v>
      </x:c>
      <x:c r="AG169" s="27" t="str">
        <x:f>IF(E169="Commodity",IFERROR(VLOOKUP(F169,Parameters!$P$4:$Q$12,2,FALSE),"Other"),"")</x:f>
      </x:c>
      <x:c r="AH169" s="27" t="str">
        <x:f>IF(F169="","Unknown",F169)</x:f>
        <x:v>Unknown</x:v>
      </x:c>
      <x:c r="AI169" s="27" t="str">
        <x:f>IF(E169="Interest Rate",G169&amp;IF(OR(LOWER(AC169)="basis",LOWER(AC169)="volatility"),"_"&amp;AC169,""),IF(E169="FX",IF(H169&lt;I169,H169&amp;"/"&amp;I169,I169&amp;"/"&amp;H169)&amp;IF(OR(LOWER(AC169)="basis",LOWER(AC169)="volatility"),"_"&amp;AC169,""),IF(OR(E169="Credit",E169="Equity"),J169&amp;IF(OR(LOWER(AC169)="basis",LOWER(AC169)="volatility"),"_"&amp;AC169,""),IF(E169="Commodity",AG169&amp;IF(OR(LOWER(AC169)="basis",LOWER(AC169)="volatility"),"_"&amp;AC169,""),"UNKNOWN"))))</x:f>
        <x:v>CNY</x:v>
      </x:c>
      <x:c r="AJ169" s="27" t="str">
        <x:f>T169</x:f>
        <x:v>M</x:v>
      </x:c>
      <x:c r="AK169" s="41" t="n">
        <x:f>IF(E169="Interest Rate",VLOOKUP("Interest Rate",Parameters!$D$4:$E$12,2,FALSE),IF(E169="FX",VLOOKUP("FX",Parameters!$D$4:$E$12,2,FALSE),IF(E169="Credit",IFERROR(VLOOKUP(L169,Parameters!$G$4:$H$12,2,FALSE),VLOOKUP("BBB",Parameters!$G$4:$H$12,2,FALSE)),IF(E169="Equity",VLOOKUP(IF(LOWER(K169)="index","Equity Index","Equity Single Name"),Parameters!$D$4:$E$12,2,FALSE),IF(E169="Commodity",VLOOKUP(IFERROR(VLOOKUP(F169,Parameters!$S$4:$T$12,2,FALSE),"Commodity Other"),Parameters!$D$4:$E$12,2,FALSE),0)))))</x:f>
        <x:v>0.005</x:v>
      </x:c>
      <x:c r="AL169" s="42" t="n">
        <x:f>IF(LOWER(AC169)="basis",Parameters!$B$8,IF(LOWER(AC169)="volatility",Parameters!$B$9,1))</x:f>
        <x:v>1</x:v>
      </x:c>
      <x:c r="AM169" s="41" t="n">
        <x:f>AK169*AL169</x:f>
        <x:v>0.005</x:v>
      </x:c>
      <x:c r="AN169" s="42" t="str">
        <x:f>IF(E169="Credit",VLOOKUP(IF(LOWER(K169)="index","Credit Index","Credit Single Name"),Parameters!$J$4:$K$8,2,FALSE),IF(E169="Equity",VLOOKUP(IF(LOWER(K169)="index","Equity Index","Equity Single Name"),Parameters!$J$4:$K$8,2,FALSE),IF(E169="Commodity",VLOOKUP("Commodity",Parameters!$J$4:$K$8,2,FALSE),"")))</x:f>
      </x:c>
      <x:c r="AO169" s="27" t="n">
        <x:f>MAX((O169-M169)/365,0)</x:f>
        <x:v>0</x:v>
      </x:c>
      <x:c r="AP169" s="27" t="n">
        <x:f>MAX((P169-M169)/365,10/Parameters!$B$6)</x:f>
        <x:v>1.7123287671232876</x:v>
      </x:c>
      <x:c r="AQ169" s="27" t="n">
        <x:f>IF(AP169&lt;=AO169,AO169+10/Parameters!$B$6,AP169)</x:f>
        <x:v>1.7123287671232876</x:v>
      </x:c>
      <x:c r="AR169" s="41" t="n">
        <x:f>IF(OR(E169="Interest Rate",E169="Credit"),(EXP(-Parameters!$B$7*AO169)-EXP(-Parameters!$B$7*AQ169))/Parameters!$B$7,1)</x:f>
        <x:v>1.6410749464299856</x:v>
      </x:c>
      <x:c r="AS169" s="40" t="n">
        <x:f>IF(OR(E169="Interest Rate",E169="Credit"),ABS(Q169)*AR169,IF(E169="FX",IF(Q169&gt;0,Q169,MAX(ABS(R169),ABS(S169),ABS(Q169))),ABS(Q169)))</x:f>
        <x:v>813973173.4292729</x:v>
      </x:c>
      <x:c r="AT169" s="42" t="n">
        <x:f>IF(OR(E169="Interest Rate",E169="FX"),VLOOKUP(E169,Parameters!$M$4:$N$11,2,FALSE),IF(E169="Credit",VLOOKUP(IF(LOWER(K169)="index","Credit Index","Credit Single Name"),Parameters!$M$4:$N$11,2,FALSE),IF(E169="Equity",VLOOKUP(IF(LOWER(K169)="index","Equity Index","Equity Single Name"),Parameters!$M$4:$N$11,2,FALSE),IF(E169="Commodity",VLOOKUP(IF(F169="Electricity","Commodity Electricity","Commodity Other"),Parameters!$M$4:$N$11,2,FALSE),1))))</x:f>
        <x:v>0.5</x:v>
      </x:c>
      <x:c r="AU169" s="27" t="n">
        <x:f>IF(W169="B",1,-1)</x:f>
        <x:v>-1</x:v>
      </x:c>
      <x:c r="AV169" s="27" t="n">
        <x:f>IF(OR(AA169="",M169=""),MAX(AE169,1/365),MAX((AA169-M169)/365,1/365))</x:f>
        <x:v>1.2821917808219179</x:v>
      </x:c>
      <x:c r="AW169" s="41" t="n">
        <x:f>IF(OR(Z169&lt;=0,Y169&lt;=0,AT169&lt;=0,AV169&lt;=0),"",(LN(Z169/Y169)+0.5*AT169^2*AV169)/(AT169*SQRT(AV169)))</x:f>
        <x:v>0.11956629035048533</x:v>
      </x:c>
      <x:c r="AX169" s="41" t="n">
        <x:f>IF(AND(X169&lt;&gt;"C",X169&lt;&gt;"P"),AU169,IF(AW169="",AU169,IF(X169="C",AU169*0.5*(1+ERF(AW169/SQRT(2))),-AU169*0.5*(1+ERF(-AW169/SQRT(2))))))</x:f>
        <x:v>-0.5475866377457975</x:v>
      </x:c>
      <x:c r="AY169" s="41" t="n">
        <x:f>IF(AJ169="M",1.5*SQRT(MAX(IF(U169="Y",5,10),IF(V169="",10,V169))/Parameters!$B$6),SQRT(MIN(MAX(AE169,10/Parameters!$B$6),1)))</x:f>
        <x:v>0.30000000000000004</x:v>
      </x:c>
      <x:c r="AZ169" s="40" t="n">
        <x:f>AS169*AX169*AY169</x:f>
        <x:v>-133716249.97602376</x:v>
      </x:c>
      <x:c r="BA169" s="40" t="n">
        <x:f>'Python_Trade_Output'!AZ169</x:f>
        <x:v>-133716249.97602376</x:v>
      </x:c>
      <x:c r="BB169" s="43" t="n">
        <x:f>AZ169-BA169</x:f>
        <x:v>0</x:v>
      </x:c>
    </x:row>
    <x:row r="170">
      <x:c r="A170" s="27" t="str">
        <x:f>'Inputs_Trades'!D170</x:f>
        <x:v>IND-000167</x:v>
      </x:c>
      <x:c r="B170" s="27" t="str">
        <x:f>'Inputs_Trades'!B170</x:f>
        <x:v>IND_HEDGE_FUND_001</x:v>
      </x:c>
      <x:c r="C170" s="27" t="n">
        <x:f>'Inputs_Trades'!C170</x:f>
        <x:v>3345</x:v>
      </x:c>
      <x:c r="D170" s="27" t="str">
        <x:f>'Inputs_Trades'!E170</x:f>
        <x:v>Swaption</x:v>
      </x:c>
      <x:c r="E170" s="27" t="str">
        <x:f>'Inputs_Trades'!F170</x:f>
        <x:v>Interest Rate</x:v>
      </x:c>
      <x:c r="F170" s="27" t="n">
        <x:f>'Inputs_Trades'!G170</x:f>
        <x:v>0</x:v>
      </x:c>
      <x:c r="G170" s="27" t="str">
        <x:f>'Inputs_Trades'!J170</x:f>
        <x:v>USD</x:v>
      </x:c>
      <x:c r="H170" s="27" t="str">
        <x:f>'Inputs_Trades'!H170</x:f>
        <x:v>USD</x:v>
      </x:c>
      <x:c r="I170" s="27" t="str">
        <x:f>'Inputs_Trades'!I170</x:f>
        <x:v>USD</x:v>
      </x:c>
      <x:c r="J170" s="27" t="str">
        <x:f>'Inputs_Trades'!M170</x:f>
        <x:v>USD</x:v>
      </x:c>
      <x:c r="K170" s="27" t="n">
        <x:f>'Inputs_Trades'!N170</x:f>
        <x:v>0</x:v>
      </x:c>
      <x:c r="L170" s="27" t="n">
        <x:f>'Inputs_Trades'!O170</x:f>
        <x:v>0</x:v>
      </x:c>
      <x:c r="M170" s="39" t="n">
        <x:f>'Inputs_Trades'!A170</x:f>
        <x:v>45702</x:v>
      </x:c>
      <x:c r="N170" s="39" t="n">
        <x:f>'Inputs_Trades'!P170</x:f>
        <x:v>46139</x:v>
      </x:c>
      <x:c r="O170" s="39" t="n">
        <x:f>'Inputs_Trades'!Q170</x:f>
        <x:v>45612</x:v>
      </x:c>
      <x:c r="P170" s="39" t="n">
        <x:f>'Inputs_Trades'!R170</x:f>
        <x:v>46139</x:v>
      </x:c>
      <x:c r="Q170" s="40" t="n">
        <x:f>'Inputs_Trades'!U170</x:f>
        <x:v>20200000</x:v>
      </x:c>
      <x:c r="R170" s="40" t="n">
        <x:f>'Inputs_Trades'!S170</x:f>
        <x:v>20200000</x:v>
      </x:c>
      <x:c r="S170" s="40" t="n">
        <x:f>'Inputs_Trades'!T170</x:f>
        <x:v>20200000</x:v>
      </x:c>
      <x:c r="T170" s="27" t="str">
        <x:f>'Inputs_Trades'!V170</x:f>
        <x:v>M</x:v>
      </x:c>
      <x:c r="U170" s="27" t="str">
        <x:f>'Inputs_Trades'!W170</x:f>
        <x:v>N</x:v>
      </x:c>
      <x:c r="V170" s="27" t="n">
        <x:f>'Inputs_Trades'!X170</x:f>
        <x:v>10</x:v>
      </x:c>
      <x:c r="W170" s="27" t="str">
        <x:f>'Inputs_Trades'!Y170</x:f>
        <x:v>B</x:v>
      </x:c>
      <x:c r="X170" s="27" t="str">
        <x:f>'Inputs_Trades'!AA170</x:f>
        <x:v>C</x:v>
      </x:c>
      <x:c r="Y170" s="27" t="n">
        <x:f>'Inputs_Trades'!AB170</x:f>
        <x:v>0.022885</x:v>
      </x:c>
      <x:c r="Z170" s="27" t="n">
        <x:f>'Inputs_Trades'!AC170</x:f>
        <x:v>0.0254</x:v>
      </x:c>
      <x:c r="AA170" s="39" t="n">
        <x:f>'Inputs_Trades'!Z170</x:f>
        <x:v>46029</x:v>
      </x:c>
      <x:c r="AB170" s="40" t="n">
        <x:f>'Inputs_Trades'!AD170</x:f>
        <x:v>27451.8</x:v>
      </x:c>
      <x:c r="AC170" s="27" t="n">
        <x:f>'Inputs_Trades'!K170</x:f>
        <x:v>0</x:v>
      </x:c>
      <x:c r="AD170" s="27" t="n">
        <x:f>N170-M170</x:f>
        <x:v>437</x:v>
      </x:c>
      <x:c r="AE170" s="41" t="n">
        <x:f>AD170/365</x:f>
        <x:v>1.1972602739726028</x:v>
      </x:c>
      <x:c r="AF170" s="27" t="str">
        <x:f>IF(AE170&lt;1,"&lt;1Y",IF(AE170&lt;=5,"1Y-5Y","&gt;5Y"))</x:f>
        <x:v>1Y-5Y</x:v>
      </x:c>
      <x:c r="AG170" s="27" t="str">
        <x:f>IF(E170="Commodity",IFERROR(VLOOKUP(F170,Parameters!$P$4:$Q$12,2,FALSE),"Other"),"")</x:f>
      </x:c>
      <x:c r="AH170" s="27" t="str">
        <x:f>IF(F170="","Unknown",F170)</x:f>
        <x:v>Unknown</x:v>
      </x:c>
      <x:c r="AI170" s="27" t="str">
        <x:f>IF(E170="Interest Rate",G170&amp;IF(OR(LOWER(AC170)="basis",LOWER(AC170)="volatility"),"_"&amp;AC170,""),IF(E170="FX",IF(H170&lt;I170,H170&amp;"/"&amp;I170,I170&amp;"/"&amp;H170)&amp;IF(OR(LOWER(AC170)="basis",LOWER(AC170)="volatility"),"_"&amp;AC170,""),IF(OR(E170="Credit",E170="Equity"),J170&amp;IF(OR(LOWER(AC170)="basis",LOWER(AC170)="volatility"),"_"&amp;AC170,""),IF(E170="Commodity",AG170&amp;IF(OR(LOWER(AC170)="basis",LOWER(AC170)="volatility"),"_"&amp;AC170,""),"UNKNOWN"))))</x:f>
        <x:v>USD</x:v>
      </x:c>
      <x:c r="AJ170" s="27" t="str">
        <x:f>T170</x:f>
        <x:v>M</x:v>
      </x:c>
      <x:c r="AK170" s="41" t="n">
        <x:f>IF(E170="Interest Rate",VLOOKUP("Interest Rate",Parameters!$D$4:$E$12,2,FALSE),IF(E170="FX",VLOOKUP("FX",Parameters!$D$4:$E$12,2,FALSE),IF(E170="Credit",IFERROR(VLOOKUP(L170,Parameters!$G$4:$H$12,2,FALSE),VLOOKUP("BBB",Parameters!$G$4:$H$12,2,FALSE)),IF(E170="Equity",VLOOKUP(IF(LOWER(K170)="index","Equity Index","Equity Single Name"),Parameters!$D$4:$E$12,2,FALSE),IF(E170="Commodity",VLOOKUP(IFERROR(VLOOKUP(F170,Parameters!$S$4:$T$12,2,FALSE),"Commodity Other"),Parameters!$D$4:$E$12,2,FALSE),0)))))</x:f>
        <x:v>0.005</x:v>
      </x:c>
      <x:c r="AL170" s="42" t="n">
        <x:f>IF(LOWER(AC170)="basis",Parameters!$B$8,IF(LOWER(AC170)="volatility",Parameters!$B$9,1))</x:f>
        <x:v>1</x:v>
      </x:c>
      <x:c r="AM170" s="41" t="n">
        <x:f>AK170*AL170</x:f>
        <x:v>0.005</x:v>
      </x:c>
      <x:c r="AN170" s="42" t="str">
        <x:f>IF(E170="Credit",VLOOKUP(IF(LOWER(K170)="index","Credit Index","Credit Single Name"),Parameters!$J$4:$K$8,2,FALSE),IF(E170="Equity",VLOOKUP(IF(LOWER(K170)="index","Equity Index","Equity Single Name"),Parameters!$J$4:$K$8,2,FALSE),IF(E170="Commodity",VLOOKUP("Commodity",Parameters!$J$4:$K$8,2,FALSE),"")))</x:f>
      </x:c>
      <x:c r="AO170" s="27" t="n">
        <x:f>MAX((O170-M170)/365,0)</x:f>
        <x:v>0</x:v>
      </x:c>
      <x:c r="AP170" s="27" t="n">
        <x:f>MAX((P170-M170)/365,10/Parameters!$B$6)</x:f>
        <x:v>1.1972602739726028</x:v>
      </x:c>
      <x:c r="AQ170" s="27" t="n">
        <x:f>IF(AP170&lt;=AO170,AO170+10/Parameters!$B$6,AP170)</x:f>
        <x:v>1.1972602739726028</x:v>
      </x:c>
      <x:c r="AR170" s="41" t="n">
        <x:f>IF(OR(E170="Interest Rate",E170="Credit"),(EXP(-Parameters!$B$7*AO170)-EXP(-Parameters!$B$7*AQ170))/Parameters!$B$7,1)</x:f>
        <x:v>1.1621289747781782</x:v>
      </x:c>
      <x:c r="AS170" s="40" t="n">
        <x:f>IF(OR(E170="Interest Rate",E170="Credit"),ABS(Q170)*AR170,IF(E170="FX",IF(Q170&gt;0,Q170,MAX(ABS(R170),ABS(S170),ABS(Q170))),ABS(Q170)))</x:f>
        <x:v>23475005.2905192</x:v>
      </x:c>
      <x:c r="AT170" s="42" t="n">
        <x:f>IF(OR(E170="Interest Rate",E170="FX"),VLOOKUP(E170,Parameters!$M$4:$N$11,2,FALSE),IF(E170="Credit",VLOOKUP(IF(LOWER(K170)="index","Credit Index","Credit Single Name"),Parameters!$M$4:$N$11,2,FALSE),IF(E170="Equity",VLOOKUP(IF(LOWER(K170)="index","Equity Index","Equity Single Name"),Parameters!$M$4:$N$11,2,FALSE),IF(E170="Commodity",VLOOKUP(IF(F170="Electricity","Commodity Electricity","Commodity Other"),Parameters!$M$4:$N$11,2,FALSE),1))))</x:f>
        <x:v>0.5</x:v>
      </x:c>
      <x:c r="AU170" s="27" t="n">
        <x:f>IF(W170="B",1,-1)</x:f>
        <x:v>1</x:v>
      </x:c>
      <x:c r="AV170" s="27" t="n">
        <x:f>IF(OR(AA170="",M170=""),MAX(AE170,1/365),MAX((AA170-M170)/365,1/365))</x:f>
        <x:v>0.8958904109589041</x:v>
      </x:c>
      <x:c r="AW170" s="41" t="n">
        <x:f>IF(OR(Z170&lt;=0,Y170&lt;=0,AT170&lt;=0,AV170&lt;=0),"",(LN(Z170/Y170)+0.5*AT170^2*AV170)/(AT170*SQRT(AV170)))</x:f>
        <x:v>0.4569474959463194</x:v>
      </x:c>
      <x:c r="AX170" s="41" t="n">
        <x:f>IF(AND(X170&lt;&gt;"C",X170&lt;&gt;"P"),AU170,IF(AW170="",AU170,IF(X170="C",AU170*0.5*(1+ERF(AW170/SQRT(2))),-AU170*0.5*(1+ERF(-AW170/SQRT(2))))))</x:f>
        <x:v>0.6761456078903484</x:v>
      </x:c>
      <x:c r="AY170" s="41" t="n">
        <x:f>IF(AJ170="M",1.5*SQRT(MAX(IF(U170="Y",5,10),IF(V170="",10,V170))/Parameters!$B$6),SQRT(MIN(MAX(AE170,10/Parameters!$B$6),1)))</x:f>
        <x:v>0.30000000000000004</x:v>
      </x:c>
      <x:c r="AZ170" s="40" t="n">
        <x:f>AS170*AX170*AY170</x:f>
        <x:v>4761756.516716176</x:v>
      </x:c>
      <x:c r="BA170" s="40" t="n">
        <x:f>'Python_Trade_Output'!AZ170</x:f>
        <x:v>4761756.516716167</x:v>
      </x:c>
      <x:c r="BB170" s="43" t="n">
        <x:f>AZ170-BA170</x:f>
        <x:v>8.381903171539307e-9</x:v>
      </x:c>
    </x:row>
    <x:row r="171">
      <x:c r="A171" s="27" t="str">
        <x:f>'Inputs_Trades'!D171</x:f>
        <x:v>IND-000168</x:v>
      </x:c>
      <x:c r="B171" s="27" t="str">
        <x:f>'Inputs_Trades'!B171</x:f>
        <x:v>IND_REGIONAL_BANK_001</x:v>
      </x:c>
      <x:c r="C171" s="27" t="n">
        <x:f>'Inputs_Trades'!C171</x:f>
        <x:v>3315</x:v>
      </x:c>
      <x:c r="D171" s="27" t="str">
        <x:f>'Inputs_Trades'!E171</x:f>
        <x:v>Swaption</x:v>
      </x:c>
      <x:c r="E171" s="27" t="str">
        <x:f>'Inputs_Trades'!F171</x:f>
        <x:v>Interest Rate</x:v>
      </x:c>
      <x:c r="F171" s="27" t="n">
        <x:f>'Inputs_Trades'!G171</x:f>
        <x:v>0</x:v>
      </x:c>
      <x:c r="G171" s="27" t="str">
        <x:f>'Inputs_Trades'!J171</x:f>
        <x:v>EUR</x:v>
      </x:c>
      <x:c r="H171" s="27" t="str">
        <x:f>'Inputs_Trades'!H171</x:f>
        <x:v>EUR</x:v>
      </x:c>
      <x:c r="I171" s="27" t="str">
        <x:f>'Inputs_Trades'!I171</x:f>
        <x:v>EUR</x:v>
      </x:c>
      <x:c r="J171" s="27" t="str">
        <x:f>'Inputs_Trades'!M171</x:f>
        <x:v>EUR</x:v>
      </x:c>
      <x:c r="K171" s="27" t="n">
        <x:f>'Inputs_Trades'!N171</x:f>
        <x:v>0</x:v>
      </x:c>
      <x:c r="L171" s="27" t="n">
        <x:f>'Inputs_Trades'!O171</x:f>
        <x:v>0</x:v>
      </x:c>
      <x:c r="M171" s="39" t="n">
        <x:f>'Inputs_Trades'!A171</x:f>
        <x:v>45702</x:v>
      </x:c>
      <x:c r="N171" s="39" t="n">
        <x:f>'Inputs_Trades'!P171</x:f>
        <x:v>46559</x:v>
      </x:c>
      <x:c r="O171" s="39" t="n">
        <x:f>'Inputs_Trades'!Q171</x:f>
        <x:v>44826</x:v>
      </x:c>
      <x:c r="P171" s="39" t="n">
        <x:f>'Inputs_Trades'!R171</x:f>
        <x:v>46559</x:v>
      </x:c>
      <x:c r="Q171" s="40" t="n">
        <x:f>'Inputs_Trades'!U171</x:f>
        <x:v>172000000</x:v>
      </x:c>
      <x:c r="R171" s="40" t="n">
        <x:f>'Inputs_Trades'!S171</x:f>
        <x:v>163809523.81</x:v>
      </x:c>
      <x:c r="S171" s="40" t="n">
        <x:f>'Inputs_Trades'!T171</x:f>
        <x:v>163809523.81</x:v>
      </x:c>
      <x:c r="T171" s="27" t="str">
        <x:f>'Inputs_Trades'!V171</x:f>
        <x:v>M</x:v>
      </x:c>
      <x:c r="U171" s="27" t="str">
        <x:f>'Inputs_Trades'!W171</x:f>
        <x:v>N</x:v>
      </x:c>
      <x:c r="V171" s="27" t="n">
        <x:f>'Inputs_Trades'!X171</x:f>
        <x:v>10</x:v>
      </x:c>
      <x:c r="W171" s="27" t="str">
        <x:f>'Inputs_Trades'!Y171</x:f>
        <x:v>S</x:v>
      </x:c>
      <x:c r="X171" s="27" t="str">
        <x:f>'Inputs_Trades'!AA171</x:f>
        <x:v>C</x:v>
      </x:c>
      <x:c r="Y171" s="27" t="n">
        <x:f>'Inputs_Trades'!AB171</x:f>
        <x:v>0.03689</x:v>
      </x:c>
      <x:c r="Z171" s="27" t="n">
        <x:f>'Inputs_Trades'!AC171</x:f>
        <x:v>0.0351</x:v>
      </x:c>
      <x:c r="AA171" s="39" t="n">
        <x:f>'Inputs_Trades'!Z171</x:f>
        <x:v>46344</x:v>
      </x:c>
      <x:c r="AB171" s="40" t="n">
        <x:f>'Inputs_Trades'!AD171</x:f>
        <x:v>1301868</x:v>
      </x:c>
      <x:c r="AC171" s="27" t="n">
        <x:f>'Inputs_Trades'!K171</x:f>
        <x:v>0</x:v>
      </x:c>
      <x:c r="AD171" s="27" t="n">
        <x:f>N171-M171</x:f>
        <x:v>857</x:v>
      </x:c>
      <x:c r="AE171" s="41" t="n">
        <x:f>AD171/365</x:f>
        <x:v>2.347945205479452</x:v>
      </x:c>
      <x:c r="AF171" s="27" t="str">
        <x:f>IF(AE171&lt;1,"&lt;1Y",IF(AE171&lt;=5,"1Y-5Y","&gt;5Y"))</x:f>
        <x:v>1Y-5Y</x:v>
      </x:c>
      <x:c r="AG171" s="27" t="str">
        <x:f>IF(E171="Commodity",IFERROR(VLOOKUP(F171,Parameters!$P$4:$Q$12,2,FALSE),"Other"),"")</x:f>
      </x:c>
      <x:c r="AH171" s="27" t="str">
        <x:f>IF(F171="","Unknown",F171)</x:f>
        <x:v>Unknown</x:v>
      </x:c>
      <x:c r="AI171" s="27" t="str">
        <x:f>IF(E171="Interest Rate",G171&amp;IF(OR(LOWER(AC171)="basis",LOWER(AC171)="volatility"),"_"&amp;AC171,""),IF(E171="FX",IF(H171&lt;I171,H171&amp;"/"&amp;I171,I171&amp;"/"&amp;H171)&amp;IF(OR(LOWER(AC171)="basis",LOWER(AC171)="volatility"),"_"&amp;AC171,""),IF(OR(E171="Credit",E171="Equity"),J171&amp;IF(OR(LOWER(AC171)="basis",LOWER(AC171)="volatility"),"_"&amp;AC171,""),IF(E171="Commodity",AG171&amp;IF(OR(LOWER(AC171)="basis",LOWER(AC171)="volatility"),"_"&amp;AC171,""),"UNKNOWN"))))</x:f>
        <x:v>EUR</x:v>
      </x:c>
      <x:c r="AJ171" s="27" t="str">
        <x:f>T171</x:f>
        <x:v>M</x:v>
      </x:c>
      <x:c r="AK171" s="41" t="n">
        <x:f>IF(E171="Interest Rate",VLOOKUP("Interest Rate",Parameters!$D$4:$E$12,2,FALSE),IF(E171="FX",VLOOKUP("FX",Parameters!$D$4:$E$12,2,FALSE),IF(E171="Credit",IFERROR(VLOOKUP(L171,Parameters!$G$4:$H$12,2,FALSE),VLOOKUP("BBB",Parameters!$G$4:$H$12,2,FALSE)),IF(E171="Equity",VLOOKUP(IF(LOWER(K171)="index","Equity Index","Equity Single Name"),Parameters!$D$4:$E$12,2,FALSE),IF(E171="Commodity",VLOOKUP(IFERROR(VLOOKUP(F171,Parameters!$S$4:$T$12,2,FALSE),"Commodity Other"),Parameters!$D$4:$E$12,2,FALSE),0)))))</x:f>
        <x:v>0.005</x:v>
      </x:c>
      <x:c r="AL171" s="42" t="n">
        <x:f>IF(LOWER(AC171)="basis",Parameters!$B$8,IF(LOWER(AC171)="volatility",Parameters!$B$9,1))</x:f>
        <x:v>1</x:v>
      </x:c>
      <x:c r="AM171" s="41" t="n">
        <x:f>AK171*AL171</x:f>
        <x:v>0.005</x:v>
      </x:c>
      <x:c r="AN171" s="42" t="str">
        <x:f>IF(E171="Credit",VLOOKUP(IF(LOWER(K171)="index","Credit Index","Credit Single Name"),Parameters!$J$4:$K$8,2,FALSE),IF(E171="Equity",VLOOKUP(IF(LOWER(K171)="index","Equity Index","Equity Single Name"),Parameters!$J$4:$K$8,2,FALSE),IF(E171="Commodity",VLOOKUP("Commodity",Parameters!$J$4:$K$8,2,FALSE),"")))</x:f>
      </x:c>
      <x:c r="AO171" s="27" t="n">
        <x:f>MAX((O171-M171)/365,0)</x:f>
        <x:v>0</x:v>
      </x:c>
      <x:c r="AP171" s="27" t="n">
        <x:f>MAX((P171-M171)/365,10/Parameters!$B$6)</x:f>
        <x:v>2.347945205479452</x:v>
      </x:c>
      <x:c r="AQ171" s="27" t="n">
        <x:f>IF(AP171&lt;=AO171,AO171+10/Parameters!$B$6,AP171)</x:f>
        <x:v>2.347945205479452</x:v>
      </x:c>
      <x:c r="AR171" s="41" t="n">
        <x:f>IF(OR(E171="Interest Rate",E171="Credit"),(EXP(-Parameters!$B$7*AO171)-EXP(-Parameters!$B$7*AQ171))/Parameters!$B$7,1)</x:f>
        <x:v>2.2153626701634965</x:v>
      </x:c>
      <x:c r="AS171" s="40" t="n">
        <x:f>IF(OR(E171="Interest Rate",E171="Credit"),ABS(Q171)*AR171,IF(E171="FX",IF(Q171&gt;0,Q171,MAX(ABS(R171),ABS(S171),ABS(Q171))),ABS(Q171)))</x:f>
        <x:v>381042379.2681214</x:v>
      </x:c>
      <x:c r="AT171" s="42" t="n">
        <x:f>IF(OR(E171="Interest Rate",E171="FX"),VLOOKUP(E171,Parameters!$M$4:$N$11,2,FALSE),IF(E171="Credit",VLOOKUP(IF(LOWER(K171)="index","Credit Index","Credit Single Name"),Parameters!$M$4:$N$11,2,FALSE),IF(E171="Equity",VLOOKUP(IF(LOWER(K171)="index","Equity Index","Equity Single Name"),Parameters!$M$4:$N$11,2,FALSE),IF(E171="Commodity",VLOOKUP(IF(F171="Electricity","Commodity Electricity","Commodity Other"),Parameters!$M$4:$N$11,2,FALSE),1))))</x:f>
        <x:v>0.5</x:v>
      </x:c>
      <x:c r="AU171" s="27" t="n">
        <x:f>IF(W171="B",1,-1)</x:f>
        <x:v>-1</x:v>
      </x:c>
      <x:c r="AV171" s="27" t="n">
        <x:f>IF(OR(AA171="",M171=""),MAX(AE171,1/365),MAX((AA171-M171)/365,1/365))</x:f>
        <x:v>1.7589041095890412</x:v>
      </x:c>
      <x:c r="AW171" s="41" t="n">
        <x:f>IF(OR(Z171&lt;=0,Y171&lt;=0,AT171&lt;=0,AV171&lt;=0),"",(LN(Z171/Y171)+0.5*AT171^2*AV171)/(AT171*SQRT(AV171)))</x:f>
        <x:v>0.2565509110655727</x:v>
      </x:c>
      <x:c r="AX171" s="41" t="n">
        <x:f>IF(AND(X171&lt;&gt;"C",X171&lt;&gt;"P"),AU171,IF(AW171="",AU171,IF(X171="C",AU171*0.5*(1+ERF(AW171/SQRT(2))),-AU171*0.5*(1+ERF(-AW171/SQRT(2))))))</x:f>
        <x:v>-0.6012372629594549</x:v>
      </x:c>
      <x:c r="AY171" s="41" t="n">
        <x:f>IF(AJ171="M",1.5*SQRT(MAX(IF(U171="Y",5,10),IF(V171="",10,V171))/Parameters!$B$6),SQRT(MIN(MAX(AE171,10/Parameters!$B$6),1)))</x:f>
        <x:v>0.30000000000000004</x:v>
      </x:c>
      <x:c r="AZ171" s="40" t="n">
        <x:f>AS171*AX171*AY171</x:f>
        <x:v>-68729063.15481716</x:v>
      </x:c>
      <x:c r="BA171" s="40" t="n">
        <x:f>'Python_Trade_Output'!AZ171</x:f>
        <x:v>-68729063.15481716</x:v>
      </x:c>
      <x:c r="BB171" s="43" t="n">
        <x:f>AZ171-BA171</x:f>
        <x:v>0</x:v>
      </x:c>
    </x:row>
    <x:row r="172">
      <x:c r="A172" s="27" t="str">
        <x:f>'Inputs_Trades'!D172</x:f>
        <x:v>IND-000169</x:v>
      </x:c>
      <x:c r="B172" s="27" t="str">
        <x:f>'Inputs_Trades'!B172</x:f>
        <x:v>IND_SOVEREIGN_001</x:v>
      </x:c>
      <x:c r="C172" s="27" t="n">
        <x:f>'Inputs_Trades'!C172</x:f>
        <x:v>3246</x:v>
      </x:c>
      <x:c r="D172" s="27" t="str">
        <x:f>'Inputs_Trades'!E172</x:f>
        <x:v>Swaption</x:v>
      </x:c>
      <x:c r="E172" s="27" t="str">
        <x:f>'Inputs_Trades'!F172</x:f>
        <x:v>Interest Rate</x:v>
      </x:c>
      <x:c r="F172" s="27" t="n">
        <x:f>'Inputs_Trades'!G172</x:f>
        <x:v>0</x:v>
      </x:c>
      <x:c r="G172" s="27" t="str">
        <x:f>'Inputs_Trades'!J172</x:f>
        <x:v>EUR</x:v>
      </x:c>
      <x:c r="H172" s="27" t="str">
        <x:f>'Inputs_Trades'!H172</x:f>
        <x:v>EUR</x:v>
      </x:c>
      <x:c r="I172" s="27" t="str">
        <x:f>'Inputs_Trades'!I172</x:f>
        <x:v>EUR</x:v>
      </x:c>
      <x:c r="J172" s="27" t="str">
        <x:f>'Inputs_Trades'!M172</x:f>
        <x:v>EUR</x:v>
      </x:c>
      <x:c r="K172" s="27" t="n">
        <x:f>'Inputs_Trades'!N172</x:f>
        <x:v>0</x:v>
      </x:c>
      <x:c r="L172" s="27" t="n">
        <x:f>'Inputs_Trades'!O172</x:f>
        <x:v>0</x:v>
      </x:c>
      <x:c r="M172" s="39" t="n">
        <x:f>'Inputs_Trades'!A172</x:f>
        <x:v>45702</x:v>
      </x:c>
      <x:c r="N172" s="39" t="n">
        <x:f>'Inputs_Trades'!P172</x:f>
        <x:v>47154</x:v>
      </x:c>
      <x:c r="O172" s="39" t="n">
        <x:f>'Inputs_Trades'!Q172</x:f>
        <x:v>45072</x:v>
      </x:c>
      <x:c r="P172" s="39" t="n">
        <x:f>'Inputs_Trades'!R172</x:f>
        <x:v>47154</x:v>
      </x:c>
      <x:c r="Q172" s="40" t="n">
        <x:f>'Inputs_Trades'!U172</x:f>
        <x:v>60000000</x:v>
      </x:c>
      <x:c r="R172" s="40" t="n">
        <x:f>'Inputs_Trades'!S172</x:f>
        <x:v>57142857.14</x:v>
      </x:c>
      <x:c r="S172" s="40" t="n">
        <x:f>'Inputs_Trades'!T172</x:f>
        <x:v>57142857.14</x:v>
      </x:c>
      <x:c r="T172" s="27" t="str">
        <x:f>'Inputs_Trades'!V172</x:f>
        <x:v>M</x:v>
      </x:c>
      <x:c r="U172" s="27" t="str">
        <x:f>'Inputs_Trades'!W172</x:f>
        <x:v>N</x:v>
      </x:c>
      <x:c r="V172" s="27" t="n">
        <x:f>'Inputs_Trades'!X172</x:f>
        <x:v>10</x:v>
      </x:c>
      <x:c r="W172" s="27" t="str">
        <x:f>'Inputs_Trades'!Y172</x:f>
        <x:v>S</x:v>
      </x:c>
      <x:c r="X172" s="27" t="str">
        <x:f>'Inputs_Trades'!AA172</x:f>
        <x:v>P</x:v>
      </x:c>
      <x:c r="Y172" s="27" t="n">
        <x:f>'Inputs_Trades'!AB172</x:f>
        <x:v>0.01573</x:v>
      </x:c>
      <x:c r="Z172" s="27" t="n">
        <x:f>'Inputs_Trades'!AC172</x:f>
        <x:v>0.0161</x:v>
      </x:c>
      <x:c r="AA172" s="39" t="n">
        <x:f>'Inputs_Trades'!Z172</x:f>
        <x:v>46791</x:v>
      </x:c>
      <x:c r="AB172" s="40" t="n">
        <x:f>'Inputs_Trades'!AD172</x:f>
        <x:v>296460</x:v>
      </x:c>
      <x:c r="AC172" s="27" t="n">
        <x:f>'Inputs_Trades'!K172</x:f>
        <x:v>0</x:v>
      </x:c>
      <x:c r="AD172" s="27" t="n">
        <x:f>N172-M172</x:f>
        <x:v>1452</x:v>
      </x:c>
      <x:c r="AE172" s="41" t="n">
        <x:f>AD172/365</x:f>
        <x:v>3.978082191780822</x:v>
      </x:c>
      <x:c r="AF172" s="27" t="str">
        <x:f>IF(AE172&lt;1,"&lt;1Y",IF(AE172&lt;=5,"1Y-5Y","&gt;5Y"))</x:f>
        <x:v>1Y-5Y</x:v>
      </x:c>
      <x:c r="AG172" s="27" t="str">
        <x:f>IF(E172="Commodity",IFERROR(VLOOKUP(F172,Parameters!$P$4:$Q$12,2,FALSE),"Other"),"")</x:f>
      </x:c>
      <x:c r="AH172" s="27" t="str">
        <x:f>IF(F172="","Unknown",F172)</x:f>
        <x:v>Unknown</x:v>
      </x:c>
      <x:c r="AI172" s="27" t="str">
        <x:f>IF(E172="Interest Rate",G172&amp;IF(OR(LOWER(AC172)="basis",LOWER(AC172)="volatility"),"_"&amp;AC172,""),IF(E172="FX",IF(H172&lt;I172,H172&amp;"/"&amp;I172,I172&amp;"/"&amp;H172)&amp;IF(OR(LOWER(AC172)="basis",LOWER(AC172)="volatility"),"_"&amp;AC172,""),IF(OR(E172="Credit",E172="Equity"),J172&amp;IF(OR(LOWER(AC172)="basis",LOWER(AC172)="volatility"),"_"&amp;AC172,""),IF(E172="Commodity",AG172&amp;IF(OR(LOWER(AC172)="basis",LOWER(AC172)="volatility"),"_"&amp;AC172,""),"UNKNOWN"))))</x:f>
        <x:v>EUR</x:v>
      </x:c>
      <x:c r="AJ172" s="27" t="str">
        <x:f>T172</x:f>
        <x:v>M</x:v>
      </x:c>
      <x:c r="AK172" s="41" t="n">
        <x:f>IF(E172="Interest Rate",VLOOKUP("Interest Rate",Parameters!$D$4:$E$12,2,FALSE),IF(E172="FX",VLOOKUP("FX",Parameters!$D$4:$E$12,2,FALSE),IF(E172="Credit",IFERROR(VLOOKUP(L172,Parameters!$G$4:$H$12,2,FALSE),VLOOKUP("BBB",Parameters!$G$4:$H$12,2,FALSE)),IF(E172="Equity",VLOOKUP(IF(LOWER(K172)="index","Equity Index","Equity Single Name"),Parameters!$D$4:$E$12,2,FALSE),IF(E172="Commodity",VLOOKUP(IFERROR(VLOOKUP(F172,Parameters!$S$4:$T$12,2,FALSE),"Commodity Other"),Parameters!$D$4:$E$12,2,FALSE),0)))))</x:f>
        <x:v>0.005</x:v>
      </x:c>
      <x:c r="AL172" s="42" t="n">
        <x:f>IF(LOWER(AC172)="basis",Parameters!$B$8,IF(LOWER(AC172)="volatility",Parameters!$B$9,1))</x:f>
        <x:v>1</x:v>
      </x:c>
      <x:c r="AM172" s="41" t="n">
        <x:f>AK172*AL172</x:f>
        <x:v>0.005</x:v>
      </x:c>
      <x:c r="AN172" s="42" t="str">
        <x:f>IF(E172="Credit",VLOOKUP(IF(LOWER(K172)="index","Credit Index","Credit Single Name"),Parameters!$J$4:$K$8,2,FALSE),IF(E172="Equity",VLOOKUP(IF(LOWER(K172)="index","Equity Index","Equity Single Name"),Parameters!$J$4:$K$8,2,FALSE),IF(E172="Commodity",VLOOKUP("Commodity",Parameters!$J$4:$K$8,2,FALSE),"")))</x:f>
      </x:c>
      <x:c r="AO172" s="27" t="n">
        <x:f>MAX((O172-M172)/365,0)</x:f>
        <x:v>0</x:v>
      </x:c>
      <x:c r="AP172" s="27" t="n">
        <x:f>MAX((P172-M172)/365,10/Parameters!$B$6)</x:f>
        <x:v>3.978082191780822</x:v>
      </x:c>
      <x:c r="AQ172" s="27" t="n">
        <x:f>IF(AP172&lt;=AO172,AO172+10/Parameters!$B$6,AP172)</x:f>
        <x:v>3.978082191780822</x:v>
      </x:c>
      <x:c r="AR172" s="41" t="n">
        <x:f>IF(OR(E172="Interest Rate",E172="Credit"),(EXP(-Parameters!$B$7*AO172)-EXP(-Parameters!$B$7*AQ172))/Parameters!$B$7,1)</x:f>
        <x:v>3.607430318460243</x:v>
      </x:c>
      <x:c r="AS172" s="40" t="n">
        <x:f>IF(OR(E172="Interest Rate",E172="Credit"),ABS(Q172)*AR172,IF(E172="FX",IF(Q172&gt;0,Q172,MAX(ABS(R172),ABS(S172),ABS(Q172))),ABS(Q172)))</x:f>
        <x:v>216445819.10761458</x:v>
      </x:c>
      <x:c r="AT172" s="42" t="n">
        <x:f>IF(OR(E172="Interest Rate",E172="FX"),VLOOKUP(E172,Parameters!$M$4:$N$11,2,FALSE),IF(E172="Credit",VLOOKUP(IF(LOWER(K172)="index","Credit Index","Credit Single Name"),Parameters!$M$4:$N$11,2,FALSE),IF(E172="Equity",VLOOKUP(IF(LOWER(K172)="index","Equity Index","Equity Single Name"),Parameters!$M$4:$N$11,2,FALSE),IF(E172="Commodity",VLOOKUP(IF(F172="Electricity","Commodity Electricity","Commodity Other"),Parameters!$M$4:$N$11,2,FALSE),1))))</x:f>
        <x:v>0.5</x:v>
      </x:c>
      <x:c r="AU172" s="27" t="n">
        <x:f>IF(W172="B",1,-1)</x:f>
        <x:v>-1</x:v>
      </x:c>
      <x:c r="AV172" s="27" t="n">
        <x:f>IF(OR(AA172="",M172=""),MAX(AE172,1/365),MAX((AA172-M172)/365,1/365))</x:f>
        <x:v>2.9835616438356163</x:v>
      </x:c>
      <x:c r="AW172" s="41" t="n">
        <x:f>IF(OR(Z172&lt;=0,Y172&lt;=0,AT172&lt;=0,AV172&lt;=0),"",(LN(Z172/Y172)+0.5*AT172^2*AV172)/(AT172*SQRT(AV172)))</x:f>
        <x:v>0.45874486480790005</x:v>
      </x:c>
      <x:c r="AX172" s="41" t="n">
        <x:f>IF(AND(X172&lt;&gt;"C",X172&lt;&gt;"P"),AU172,IF(AW172="",AU172,IF(X172="C",AU172*0.5*(1+ERF(AW172/SQRT(2))),-AU172*0.5*(1+ERF(-AW172/SQRT(2))))))</x:f>
        <x:v>0.32320869602951685</x:v>
      </x:c>
      <x:c r="AY172" s="41" t="n">
        <x:f>IF(AJ172="M",1.5*SQRT(MAX(IF(U172="Y",5,10),IF(V172="",10,V172))/Parameters!$B$6),SQRT(MIN(MAX(AE172,10/Parameters!$B$6),1)))</x:f>
        <x:v>0.30000000000000004</x:v>
      </x:c>
      <x:c r="AZ172" s="40" t="n">
        <x:f>AS172*AX172*AY172</x:f>
        <x:v>20987151.28644384</x:v>
      </x:c>
      <x:c r="BA172" s="40" t="n">
        <x:f>'Python_Trade_Output'!AZ172</x:f>
        <x:v>20987151.286443856</x:v>
      </x:c>
      <x:c r="BB172" s="43" t="n">
        <x:f>AZ172-BA172</x:f>
        <x:v>-1.4901161193847656e-8</x:v>
      </x:c>
    </x:row>
    <x:row r="173">
      <x:c r="A173" s="27" t="str">
        <x:f>'Inputs_Trades'!D173</x:f>
        <x:v>IND-000170</x:v>
      </x:c>
      <x:c r="B173" s="27" t="str">
        <x:f>'Inputs_Trades'!B173</x:f>
        <x:v>IND_BANK_001</x:v>
      </x:c>
      <x:c r="C173" s="27" t="n">
        <x:f>'Inputs_Trades'!C173</x:f>
        <x:v>3219</x:v>
      </x:c>
      <x:c r="D173" s="27" t="str">
        <x:f>'Inputs_Trades'!E173</x:f>
        <x:v>Swaption</x:v>
      </x:c>
      <x:c r="E173" s="27" t="str">
        <x:f>'Inputs_Trades'!F173</x:f>
        <x:v>Interest Rate</x:v>
      </x:c>
      <x:c r="F173" s="27" t="n">
        <x:f>'Inputs_Trades'!G173</x:f>
        <x:v>0</x:v>
      </x:c>
      <x:c r="G173" s="27" t="str">
        <x:f>'Inputs_Trades'!J173</x:f>
        <x:v>CNY</x:v>
      </x:c>
      <x:c r="H173" s="27" t="str">
        <x:f>'Inputs_Trades'!H173</x:f>
        <x:v>CNY</x:v>
      </x:c>
      <x:c r="I173" s="27" t="str">
        <x:f>'Inputs_Trades'!I173</x:f>
        <x:v>CNY</x:v>
      </x:c>
      <x:c r="J173" s="27" t="str">
        <x:f>'Inputs_Trades'!M173</x:f>
        <x:v>CNY</x:v>
      </x:c>
      <x:c r="K173" s="27" t="n">
        <x:f>'Inputs_Trades'!N173</x:f>
        <x:v>0</x:v>
      </x:c>
      <x:c r="L173" s="27" t="n">
        <x:f>'Inputs_Trades'!O173</x:f>
        <x:v>0</x:v>
      </x:c>
      <x:c r="M173" s="39" t="n">
        <x:f>'Inputs_Trades'!A173</x:f>
        <x:v>45702</x:v>
      </x:c>
      <x:c r="N173" s="39" t="n">
        <x:f>'Inputs_Trades'!P173</x:f>
        <x:v>46006</x:v>
      </x:c>
      <x:c r="O173" s="39" t="n">
        <x:f>'Inputs_Trades'!Q173</x:f>
        <x:v>45407</x:v>
      </x:c>
      <x:c r="P173" s="39" t="n">
        <x:f>'Inputs_Trades'!R173</x:f>
        <x:v>46006</x:v>
      </x:c>
      <x:c r="Q173" s="40" t="n">
        <x:f>'Inputs_Trades'!U173</x:f>
        <x:v>115000000</x:v>
      </x:c>
      <x:c r="R173" s="40" t="n">
        <x:f>'Inputs_Trades'!S173</x:f>
        <x:v>821428571.43</x:v>
      </x:c>
      <x:c r="S173" s="40" t="n">
        <x:f>'Inputs_Trades'!T173</x:f>
        <x:v>821428571.43</x:v>
      </x:c>
      <x:c r="T173" s="27" t="str">
        <x:f>'Inputs_Trades'!V173</x:f>
        <x:v>M</x:v>
      </x:c>
      <x:c r="U173" s="27" t="str">
        <x:f>'Inputs_Trades'!W173</x:f>
        <x:v>Y</x:v>
      </x:c>
      <x:c r="V173" s="27" t="n">
        <x:f>'Inputs_Trades'!X173</x:f>
        <x:v>5</x:v>
      </x:c>
      <x:c r="W173" s="27" t="str">
        <x:f>'Inputs_Trades'!Y173</x:f>
        <x:v>B</x:v>
      </x:c>
      <x:c r="X173" s="27" t="str">
        <x:f>'Inputs_Trades'!AA173</x:f>
        <x:v>P</x:v>
      </x:c>
      <x:c r="Y173" s="27" t="n">
        <x:f>'Inputs_Trades'!AB173</x:f>
        <x:v>0.026866</x:v>
      </x:c>
      <x:c r="Z173" s="27" t="n">
        <x:f>'Inputs_Trades'!AC173</x:f>
        <x:v>0.0284</x:v>
      </x:c>
      <x:c r="AA173" s="39" t="n">
        <x:f>'Inputs_Trades'!Z173</x:f>
        <x:v>45930</x:v>
      </x:c>
      <x:c r="AB173" s="40" t="n">
        <x:f>'Inputs_Trades'!AD173</x:f>
        <x:v>-542340</x:v>
      </x:c>
      <x:c r="AC173" s="27" t="n">
        <x:f>'Inputs_Trades'!K173</x:f>
        <x:v>0</x:v>
      </x:c>
      <x:c r="AD173" s="27" t="n">
        <x:f>N173-M173</x:f>
        <x:v>304</x:v>
      </x:c>
      <x:c r="AE173" s="41" t="n">
        <x:f>AD173/365</x:f>
        <x:v>0.8328767123287671</x:v>
      </x:c>
      <x:c r="AF173" s="27" t="str">
        <x:f>IF(AE173&lt;1,"&lt;1Y",IF(AE173&lt;=5,"1Y-5Y","&gt;5Y"))</x:f>
        <x:v>&lt;1Y</x:v>
      </x:c>
      <x:c r="AG173" s="27" t="str">
        <x:f>IF(E173="Commodity",IFERROR(VLOOKUP(F173,Parameters!$P$4:$Q$12,2,FALSE),"Other"),"")</x:f>
      </x:c>
      <x:c r="AH173" s="27" t="str">
        <x:f>IF(F173="","Unknown",F173)</x:f>
        <x:v>Unknown</x:v>
      </x:c>
      <x:c r="AI173" s="27" t="str">
        <x:f>IF(E173="Interest Rate",G173&amp;IF(OR(LOWER(AC173)="basis",LOWER(AC173)="volatility"),"_"&amp;AC173,""),IF(E173="FX",IF(H173&lt;I173,H173&amp;"/"&amp;I173,I173&amp;"/"&amp;H173)&amp;IF(OR(LOWER(AC173)="basis",LOWER(AC173)="volatility"),"_"&amp;AC173,""),IF(OR(E173="Credit",E173="Equity"),J173&amp;IF(OR(LOWER(AC173)="basis",LOWER(AC173)="volatility"),"_"&amp;AC173,""),IF(E173="Commodity",AG173&amp;IF(OR(LOWER(AC173)="basis",LOWER(AC173)="volatility"),"_"&amp;AC173,""),"UNKNOWN"))))</x:f>
        <x:v>CNY</x:v>
      </x:c>
      <x:c r="AJ173" s="27" t="str">
        <x:f>T173</x:f>
        <x:v>M</x:v>
      </x:c>
      <x:c r="AK173" s="41" t="n">
        <x:f>IF(E173="Interest Rate",VLOOKUP("Interest Rate",Parameters!$D$4:$E$12,2,FALSE),IF(E173="FX",VLOOKUP("FX",Parameters!$D$4:$E$12,2,FALSE),IF(E173="Credit",IFERROR(VLOOKUP(L173,Parameters!$G$4:$H$12,2,FALSE),VLOOKUP("BBB",Parameters!$G$4:$H$12,2,FALSE)),IF(E173="Equity",VLOOKUP(IF(LOWER(K173)="index","Equity Index","Equity Single Name"),Parameters!$D$4:$E$12,2,FALSE),IF(E173="Commodity",VLOOKUP(IFERROR(VLOOKUP(F173,Parameters!$S$4:$T$12,2,FALSE),"Commodity Other"),Parameters!$D$4:$E$12,2,FALSE),0)))))</x:f>
        <x:v>0.005</x:v>
      </x:c>
      <x:c r="AL173" s="42" t="n">
        <x:f>IF(LOWER(AC173)="basis",Parameters!$B$8,IF(LOWER(AC173)="volatility",Parameters!$B$9,1))</x:f>
        <x:v>1</x:v>
      </x:c>
      <x:c r="AM173" s="41" t="n">
        <x:f>AK173*AL173</x:f>
        <x:v>0.005</x:v>
      </x:c>
      <x:c r="AN173" s="42" t="str">
        <x:f>IF(E173="Credit",VLOOKUP(IF(LOWER(K173)="index","Credit Index","Credit Single Name"),Parameters!$J$4:$K$8,2,FALSE),IF(E173="Equity",VLOOKUP(IF(LOWER(K173)="index","Equity Index","Equity Single Name"),Parameters!$J$4:$K$8,2,FALSE),IF(E173="Commodity",VLOOKUP("Commodity",Parameters!$J$4:$K$8,2,FALSE),"")))</x:f>
      </x:c>
      <x:c r="AO173" s="27" t="n">
        <x:f>MAX((O173-M173)/365,0)</x:f>
        <x:v>0</x:v>
      </x:c>
      <x:c r="AP173" s="27" t="n">
        <x:f>MAX((P173-M173)/365,10/Parameters!$B$6)</x:f>
        <x:v>0.8328767123287671</x:v>
      </x:c>
      <x:c r="AQ173" s="27" t="n">
        <x:f>IF(AP173&lt;=AO173,AO173+10/Parameters!$B$6,AP173)</x:f>
        <x:v>0.8328767123287671</x:v>
      </x:c>
      <x:c r="AR173" s="41" t="n">
        <x:f>IF(OR(E173="Interest Rate",E173="Credit"),(EXP(-Parameters!$B$7*AO173)-EXP(-Parameters!$B$7*AQ173))/Parameters!$B$7,1)</x:f>
        <x:v>0.8157728667638819</x:v>
      </x:c>
      <x:c r="AS173" s="40" t="n">
        <x:f>IF(OR(E173="Interest Rate",E173="Credit"),ABS(Q173)*AR173,IF(E173="FX",IF(Q173&gt;0,Q173,MAX(ABS(R173),ABS(S173),ABS(Q173))),ABS(Q173)))</x:f>
        <x:v>93813879.67784642</x:v>
      </x:c>
      <x:c r="AT173" s="42" t="n">
        <x:f>IF(OR(E173="Interest Rate",E173="FX"),VLOOKUP(E173,Parameters!$M$4:$N$11,2,FALSE),IF(E173="Credit",VLOOKUP(IF(LOWER(K173)="index","Credit Index","Credit Single Name"),Parameters!$M$4:$N$11,2,FALSE),IF(E173="Equity",VLOOKUP(IF(LOWER(K173)="index","Equity Index","Equity Single Name"),Parameters!$M$4:$N$11,2,FALSE),IF(E173="Commodity",VLOOKUP(IF(F173="Electricity","Commodity Electricity","Commodity Other"),Parameters!$M$4:$N$11,2,FALSE),1))))</x:f>
        <x:v>0.5</x:v>
      </x:c>
      <x:c r="AU173" s="27" t="n">
        <x:f>IF(W173="B",1,-1)</x:f>
        <x:v>1</x:v>
      </x:c>
      <x:c r="AV173" s="27" t="n">
        <x:f>IF(OR(AA173="",M173=""),MAX(AE173,1/365),MAX((AA173-M173)/365,1/365))</x:f>
        <x:v>0.6246575342465753</x:v>
      </x:c>
      <x:c r="AW173" s="41" t="n">
        <x:f>IF(OR(Z173&lt;=0,Y173&lt;=0,AT173&lt;=0,AV173&lt;=0),"",(LN(Z173/Y173)+0.5*AT173^2*AV173)/(AT173*SQRT(AV173)))</x:f>
        <x:v>0.3381016473354036</x:v>
      </x:c>
      <x:c r="AX173" s="41" t="n">
        <x:f>IF(AND(X173&lt;&gt;"C",X173&lt;&gt;"P"),AU173,IF(AW173="",AU173,IF(X173="C",AU173*0.5*(1+ERF(AW173/SQRT(2))),-AU173*0.5*(1+ERF(-AW173/SQRT(2))))))</x:f>
        <x:v>-0.36764329458888917</x:v>
      </x:c>
      <x:c r="AY173" s="41" t="n">
        <x:f>IF(AJ173="M",1.5*SQRT(MAX(IF(U173="Y",5,10),IF(V173="",10,V173))/Parameters!$B$6),SQRT(MIN(MAX(AE173,10/Parameters!$B$6),1)))</x:f>
        <x:v>0.21213203435596426</x:v>
      </x:c>
      <x:c r="AZ173" s="40" t="n">
        <x:f>AS173*AX173*AY173</x:f>
        <x:v>-7316443.156941667</x:v>
      </x:c>
      <x:c r="BA173" s="40" t="n">
        <x:f>'Python_Trade_Output'!AZ173</x:f>
        <x:v>-7316443.156941667</x:v>
      </x:c>
      <x:c r="BB173" s="43" t="n">
        <x:f>AZ173-BA173</x:f>
        <x:v>0</x:v>
      </x:c>
    </x:row>
    <x:row r="174">
      <x:c r="A174" s="27" t="str">
        <x:f>'Inputs_Trades'!D174</x:f>
        <x:v>IND-000171</x:v>
      </x:c>
      <x:c r="B174" s="27" t="str">
        <x:f>'Inputs_Trades'!B174</x:f>
        <x:v>IND_BROKER_001</x:v>
      </x:c>
      <x:c r="C174" s="27" t="n">
        <x:f>'Inputs_Trades'!C174</x:f>
        <x:v>3220</x:v>
      </x:c>
      <x:c r="D174" s="27" t="str">
        <x:f>'Inputs_Trades'!E174</x:f>
        <x:v>Swaption</x:v>
      </x:c>
      <x:c r="E174" s="27" t="str">
        <x:f>'Inputs_Trades'!F174</x:f>
        <x:v>Interest Rate</x:v>
      </x:c>
      <x:c r="F174" s="27" t="n">
        <x:f>'Inputs_Trades'!G174</x:f>
        <x:v>0</x:v>
      </x:c>
      <x:c r="G174" s="27" t="str">
        <x:f>'Inputs_Trades'!J174</x:f>
        <x:v>EUR</x:v>
      </x:c>
      <x:c r="H174" s="27" t="str">
        <x:f>'Inputs_Trades'!H174</x:f>
        <x:v>EUR</x:v>
      </x:c>
      <x:c r="I174" s="27" t="str">
        <x:f>'Inputs_Trades'!I174</x:f>
        <x:v>EUR</x:v>
      </x:c>
      <x:c r="J174" s="27" t="str">
        <x:f>'Inputs_Trades'!M174</x:f>
        <x:v>EUR</x:v>
      </x:c>
      <x:c r="K174" s="27" t="n">
        <x:f>'Inputs_Trades'!N174</x:f>
        <x:v>0</x:v>
      </x:c>
      <x:c r="L174" s="27" t="n">
        <x:f>'Inputs_Trades'!O174</x:f>
        <x:v>0</x:v>
      </x:c>
      <x:c r="M174" s="39" t="n">
        <x:f>'Inputs_Trades'!A174</x:f>
        <x:v>45702</x:v>
      </x:c>
      <x:c r="N174" s="39" t="n">
        <x:f>'Inputs_Trades'!P174</x:f>
        <x:v>46416</x:v>
      </x:c>
      <x:c r="O174" s="39" t="n">
        <x:f>'Inputs_Trades'!Q174</x:f>
        <x:v>45394</x:v>
      </x:c>
      <x:c r="P174" s="39" t="n">
        <x:f>'Inputs_Trades'!R174</x:f>
        <x:v>46416</x:v>
      </x:c>
      <x:c r="Q174" s="40" t="n">
        <x:f>'Inputs_Trades'!U174</x:f>
        <x:v>307000000</x:v>
      </x:c>
      <x:c r="R174" s="40" t="n">
        <x:f>'Inputs_Trades'!S174</x:f>
        <x:v>292380952.38</x:v>
      </x:c>
      <x:c r="S174" s="40" t="n">
        <x:f>'Inputs_Trades'!T174</x:f>
        <x:v>292380952.38</x:v>
      </x:c>
      <x:c r="T174" s="27" t="str">
        <x:f>'Inputs_Trades'!V174</x:f>
        <x:v>U</x:v>
      </x:c>
      <x:c r="U174" s="27" t="str">
        <x:f>'Inputs_Trades'!W174</x:f>
        <x:v>N</x:v>
      </x:c>
      <x:c r="V174" s="27" t="n">
        <x:f>'Inputs_Trades'!X174</x:f>
        <x:v>0</x:v>
      </x:c>
      <x:c r="W174" s="27" t="str">
        <x:f>'Inputs_Trades'!Y174</x:f>
        <x:v>B</x:v>
      </x:c>
      <x:c r="X174" s="27" t="str">
        <x:f>'Inputs_Trades'!AA174</x:f>
        <x:v>P</x:v>
      </x:c>
      <x:c r="Y174" s="27" t="n">
        <x:f>'Inputs_Trades'!AB174</x:f>
        <x:v>0.041656</x:v>
      </x:c>
      <x:c r="Z174" s="27" t="n">
        <x:f>'Inputs_Trades'!AC174</x:f>
        <x:v>0.0446</x:v>
      </x:c>
      <x:c r="AA174" s="39" t="n">
        <x:f>'Inputs_Trades'!Z174</x:f>
        <x:v>46237</x:v>
      </x:c>
      <x:c r="AB174" s="40" t="n">
        <x:f>'Inputs_Trades'!AD174</x:f>
        <x:v>-1425708</x:v>
      </x:c>
      <x:c r="AC174" s="27" t="n">
        <x:f>'Inputs_Trades'!K174</x:f>
        <x:v>0</x:v>
      </x:c>
      <x:c r="AD174" s="27" t="n">
        <x:f>N174-M174</x:f>
        <x:v>714</x:v>
      </x:c>
      <x:c r="AE174" s="41" t="n">
        <x:f>AD174/365</x:f>
        <x:v>1.9561643835616438</x:v>
      </x:c>
      <x:c r="AF174" s="27" t="str">
        <x:f>IF(AE174&lt;1,"&lt;1Y",IF(AE174&lt;=5,"1Y-5Y","&gt;5Y"))</x:f>
        <x:v>1Y-5Y</x:v>
      </x:c>
      <x:c r="AG174" s="27" t="str">
        <x:f>IF(E174="Commodity",IFERROR(VLOOKUP(F174,Parameters!$P$4:$Q$12,2,FALSE),"Other"),"")</x:f>
      </x:c>
      <x:c r="AH174" s="27" t="str">
        <x:f>IF(F174="","Unknown",F174)</x:f>
        <x:v>Unknown</x:v>
      </x:c>
      <x:c r="AI174" s="27" t="str">
        <x:f>IF(E174="Interest Rate",G174&amp;IF(OR(LOWER(AC174)="basis",LOWER(AC174)="volatility"),"_"&amp;AC174,""),IF(E174="FX",IF(H174&lt;I174,H174&amp;"/"&amp;I174,I174&amp;"/"&amp;H174)&amp;IF(OR(LOWER(AC174)="basis",LOWER(AC174)="volatility"),"_"&amp;AC174,""),IF(OR(E174="Credit",E174="Equity"),J174&amp;IF(OR(LOWER(AC174)="basis",LOWER(AC174)="volatility"),"_"&amp;AC174,""),IF(E174="Commodity",AG174&amp;IF(OR(LOWER(AC174)="basis",LOWER(AC174)="volatility"),"_"&amp;AC174,""),"UNKNOWN"))))</x:f>
        <x:v>EUR</x:v>
      </x:c>
      <x:c r="AJ174" s="27" t="str">
        <x:f>T174</x:f>
        <x:v>U</x:v>
      </x:c>
      <x:c r="AK174" s="41" t="n">
        <x:f>IF(E174="Interest Rate",VLOOKUP("Interest Rate",Parameters!$D$4:$E$12,2,FALSE),IF(E174="FX",VLOOKUP("FX",Parameters!$D$4:$E$12,2,FALSE),IF(E174="Credit",IFERROR(VLOOKUP(L174,Parameters!$G$4:$H$12,2,FALSE),VLOOKUP("BBB",Parameters!$G$4:$H$12,2,FALSE)),IF(E174="Equity",VLOOKUP(IF(LOWER(K174)="index","Equity Index","Equity Single Name"),Parameters!$D$4:$E$12,2,FALSE),IF(E174="Commodity",VLOOKUP(IFERROR(VLOOKUP(F174,Parameters!$S$4:$T$12,2,FALSE),"Commodity Other"),Parameters!$D$4:$E$12,2,FALSE),0)))))</x:f>
        <x:v>0.005</x:v>
      </x:c>
      <x:c r="AL174" s="42" t="n">
        <x:f>IF(LOWER(AC174)="basis",Parameters!$B$8,IF(LOWER(AC174)="volatility",Parameters!$B$9,1))</x:f>
        <x:v>1</x:v>
      </x:c>
      <x:c r="AM174" s="41" t="n">
        <x:f>AK174*AL174</x:f>
        <x:v>0.005</x:v>
      </x:c>
      <x:c r="AN174" s="42" t="str">
        <x:f>IF(E174="Credit",VLOOKUP(IF(LOWER(K174)="index","Credit Index","Credit Single Name"),Parameters!$J$4:$K$8,2,FALSE),IF(E174="Equity",VLOOKUP(IF(LOWER(K174)="index","Equity Index","Equity Single Name"),Parameters!$J$4:$K$8,2,FALSE),IF(E174="Commodity",VLOOKUP("Commodity",Parameters!$J$4:$K$8,2,FALSE),"")))</x:f>
      </x:c>
      <x:c r="AO174" s="27" t="n">
        <x:f>MAX((O174-M174)/365,0)</x:f>
        <x:v>0</x:v>
      </x:c>
      <x:c r="AP174" s="27" t="n">
        <x:f>MAX((P174-M174)/365,10/Parameters!$B$6)</x:f>
        <x:v>1.9561643835616438</x:v>
      </x:c>
      <x:c r="AQ174" s="27" t="n">
        <x:f>IF(AP174&lt;=AO174,AO174+10/Parameters!$B$6,AP174)</x:f>
        <x:v>1.9561643835616438</x:v>
      </x:c>
      <x:c r="AR174" s="41" t="n">
        <x:f>IF(OR(E174="Interest Rate",E174="Credit"),(EXP(-Parameters!$B$7*AO174)-EXP(-Parameters!$B$7*AQ174))/Parameters!$B$7,1)</x:f>
        <x:v>1.8635440339967957</x:v>
      </x:c>
      <x:c r="AS174" s="40" t="n">
        <x:f>IF(OR(E174="Interest Rate",E174="Credit"),ABS(Q174)*AR174,IF(E174="FX",IF(Q174&gt;0,Q174,MAX(ABS(R174),ABS(S174),ABS(Q174))),ABS(Q174)))</x:f>
        <x:v>572108018.4370162</x:v>
      </x:c>
      <x:c r="AT174" s="42" t="n">
        <x:f>IF(OR(E174="Interest Rate",E174="FX"),VLOOKUP(E174,Parameters!$M$4:$N$11,2,FALSE),IF(E174="Credit",VLOOKUP(IF(LOWER(K174)="index","Credit Index","Credit Single Name"),Parameters!$M$4:$N$11,2,FALSE),IF(E174="Equity",VLOOKUP(IF(LOWER(K174)="index","Equity Index","Equity Single Name"),Parameters!$M$4:$N$11,2,FALSE),IF(E174="Commodity",VLOOKUP(IF(F174="Electricity","Commodity Electricity","Commodity Other"),Parameters!$M$4:$N$11,2,FALSE),1))))</x:f>
        <x:v>0.5</x:v>
      </x:c>
      <x:c r="AU174" s="27" t="n">
        <x:f>IF(W174="B",1,-1)</x:f>
        <x:v>1</x:v>
      </x:c>
      <x:c r="AV174" s="27" t="n">
        <x:f>IF(OR(AA174="",M174=""),MAX(AE174,1/365),MAX((AA174-M174)/365,1/365))</x:f>
        <x:v>1.4657534246575343</x:v>
      </x:c>
      <x:c r="AW174" s="41" t="n">
        <x:f>IF(OR(Z174&lt;=0,Y174&lt;=0,AT174&lt;=0,AV174&lt;=0),"",(LN(Z174/Y174)+0.5*AT174^2*AV174)/(AT174*SQRT(AV174)))</x:f>
        <x:v>0.4154805392084906</x:v>
      </x:c>
      <x:c r="AX174" s="41" t="n">
        <x:f>IF(AND(X174&lt;&gt;"C",X174&lt;&gt;"P"),AU174,IF(AW174="",AU174,IF(X174="C",AU174*0.5*(1+ERF(AW174/SQRT(2))),-AU174*0.5*(1+ERF(-AW174/SQRT(2))))))</x:f>
        <x:v>-0.338895079283109</x:v>
      </x:c>
      <x:c r="AY174" s="41" t="n">
        <x:f>IF(AJ174="M",1.5*SQRT(MAX(IF(U174="Y",5,10),IF(V174="",10,V174))/Parameters!$B$6),SQRT(MIN(MAX(AE174,10/Parameters!$B$6),1)))</x:f>
        <x:v>1</x:v>
      </x:c>
      <x:c r="AZ174" s="40" t="n">
        <x:f>AS174*AX174*AY174</x:f>
        <x:v>-193884592.26671502</x:v>
      </x:c>
      <x:c r="BA174" s="40" t="n">
        <x:f>'Python_Trade_Output'!AZ174</x:f>
        <x:v>-193884592.26671505</x:v>
      </x:c>
      <x:c r="BB174" s="43" t="n">
        <x:f>AZ174-BA174</x:f>
        <x:v>2.9802322387695312e-8</x:v>
      </x:c>
    </x:row>
    <x:row r="175">
      <x:c r="A175" s="27" t="str">
        <x:f>'Inputs_Trades'!D175</x:f>
        <x:v>IND-000172</x:v>
      </x:c>
      <x:c r="B175" s="27" t="str">
        <x:f>'Inputs_Trades'!B175</x:f>
        <x:v>IND_HEDGE_FUND_001</x:v>
      </x:c>
      <x:c r="C175" s="27" t="n">
        <x:f>'Inputs_Trades'!C175</x:f>
        <x:v>3345</x:v>
      </x:c>
      <x:c r="D175" s="27" t="str">
        <x:f>'Inputs_Trades'!E175</x:f>
        <x:v>Swaption</x:v>
      </x:c>
      <x:c r="E175" s="27" t="str">
        <x:f>'Inputs_Trades'!F175</x:f>
        <x:v>Interest Rate</x:v>
      </x:c>
      <x:c r="F175" s="27" t="n">
        <x:f>'Inputs_Trades'!G175</x:f>
        <x:v>0</x:v>
      </x:c>
      <x:c r="G175" s="27" t="str">
        <x:f>'Inputs_Trades'!J175</x:f>
        <x:v>USD</x:v>
      </x:c>
      <x:c r="H175" s="27" t="str">
        <x:f>'Inputs_Trades'!H175</x:f>
        <x:v>USD</x:v>
      </x:c>
      <x:c r="I175" s="27" t="str">
        <x:f>'Inputs_Trades'!I175</x:f>
        <x:v>USD</x:v>
      </x:c>
      <x:c r="J175" s="27" t="str">
        <x:f>'Inputs_Trades'!M175</x:f>
        <x:v>USD</x:v>
      </x:c>
      <x:c r="K175" s="27" t="n">
        <x:f>'Inputs_Trades'!N175</x:f>
        <x:v>0</x:v>
      </x:c>
      <x:c r="L175" s="27" t="n">
        <x:f>'Inputs_Trades'!O175</x:f>
        <x:v>0</x:v>
      </x:c>
      <x:c r="M175" s="39" t="n">
        <x:f>'Inputs_Trades'!A175</x:f>
        <x:v>45702</x:v>
      </x:c>
      <x:c r="N175" s="39" t="n">
        <x:f>'Inputs_Trades'!P175</x:f>
        <x:v>46624</x:v>
      </x:c>
      <x:c r="O175" s="39" t="n">
        <x:f>'Inputs_Trades'!Q175</x:f>
        <x:v>45073</x:v>
      </x:c>
      <x:c r="P175" s="39" t="n">
        <x:f>'Inputs_Trades'!R175</x:f>
        <x:v>46624</x:v>
      </x:c>
      <x:c r="Q175" s="40" t="n">
        <x:f>'Inputs_Trades'!U175</x:f>
        <x:v>233000000</x:v>
      </x:c>
      <x:c r="R175" s="40" t="n">
        <x:f>'Inputs_Trades'!S175</x:f>
        <x:v>233000000</x:v>
      </x:c>
      <x:c r="S175" s="40" t="n">
        <x:f>'Inputs_Trades'!T175</x:f>
        <x:v>233000000</x:v>
      </x:c>
      <x:c r="T175" s="27" t="str">
        <x:f>'Inputs_Trades'!V175</x:f>
        <x:v>M</x:v>
      </x:c>
      <x:c r="U175" s="27" t="str">
        <x:f>'Inputs_Trades'!W175</x:f>
        <x:v>N</x:v>
      </x:c>
      <x:c r="V175" s="27" t="n">
        <x:f>'Inputs_Trades'!X175</x:f>
        <x:v>10</x:v>
      </x:c>
      <x:c r="W175" s="27" t="str">
        <x:f>'Inputs_Trades'!Y175</x:f>
        <x:v>S</x:v>
      </x:c>
      <x:c r="X175" s="27" t="str">
        <x:f>'Inputs_Trades'!AA175</x:f>
        <x:v>C</x:v>
      </x:c>
      <x:c r="Y175" s="27" t="n">
        <x:f>'Inputs_Trades'!AB175</x:f>
        <x:v>0.03219</x:v>
      </x:c>
      <x:c r="Z175" s="27" t="n">
        <x:f>'Inputs_Trades'!AC175</x:f>
        <x:v>0.03</x:v>
      </x:c>
      <x:c r="AA175" s="39" t="n">
        <x:f>'Inputs_Trades'!Z175</x:f>
        <x:v>46393</x:v>
      </x:c>
      <x:c r="AB175" s="40" t="n">
        <x:f>'Inputs_Trades'!AD175</x:f>
        <x:v>710883</x:v>
      </x:c>
      <x:c r="AC175" s="27" t="n">
        <x:f>'Inputs_Trades'!K175</x:f>
        <x:v>0</x:v>
      </x:c>
      <x:c r="AD175" s="27" t="n">
        <x:f>N175-M175</x:f>
        <x:v>922</x:v>
      </x:c>
      <x:c r="AE175" s="41" t="n">
        <x:f>AD175/365</x:f>
        <x:v>2.526027397260274</x:v>
      </x:c>
      <x:c r="AF175" s="27" t="str">
        <x:f>IF(AE175&lt;1,"&lt;1Y",IF(AE175&lt;=5,"1Y-5Y","&gt;5Y"))</x:f>
        <x:v>1Y-5Y</x:v>
      </x:c>
      <x:c r="AG175" s="27" t="str">
        <x:f>IF(E175="Commodity",IFERROR(VLOOKUP(F175,Parameters!$P$4:$Q$12,2,FALSE),"Other"),"")</x:f>
      </x:c>
      <x:c r="AH175" s="27" t="str">
        <x:f>IF(F175="","Unknown",F175)</x:f>
        <x:v>Unknown</x:v>
      </x:c>
      <x:c r="AI175" s="27" t="str">
        <x:f>IF(E175="Interest Rate",G175&amp;IF(OR(LOWER(AC175)="basis",LOWER(AC175)="volatility"),"_"&amp;AC175,""),IF(E175="FX",IF(H175&lt;I175,H175&amp;"/"&amp;I175,I175&amp;"/"&amp;H175)&amp;IF(OR(LOWER(AC175)="basis",LOWER(AC175)="volatility"),"_"&amp;AC175,""),IF(OR(E175="Credit",E175="Equity"),J175&amp;IF(OR(LOWER(AC175)="basis",LOWER(AC175)="volatility"),"_"&amp;AC175,""),IF(E175="Commodity",AG175&amp;IF(OR(LOWER(AC175)="basis",LOWER(AC175)="volatility"),"_"&amp;AC175,""),"UNKNOWN"))))</x:f>
        <x:v>USD</x:v>
      </x:c>
      <x:c r="AJ175" s="27" t="str">
        <x:f>T175</x:f>
        <x:v>M</x:v>
      </x:c>
      <x:c r="AK175" s="41" t="n">
        <x:f>IF(E175="Interest Rate",VLOOKUP("Interest Rate",Parameters!$D$4:$E$12,2,FALSE),IF(E175="FX",VLOOKUP("FX",Parameters!$D$4:$E$12,2,FALSE),IF(E175="Credit",IFERROR(VLOOKUP(L175,Parameters!$G$4:$H$12,2,FALSE),VLOOKUP("BBB",Parameters!$G$4:$H$12,2,FALSE)),IF(E175="Equity",VLOOKUP(IF(LOWER(K175)="index","Equity Index","Equity Single Name"),Parameters!$D$4:$E$12,2,FALSE),IF(E175="Commodity",VLOOKUP(IFERROR(VLOOKUP(F175,Parameters!$S$4:$T$12,2,FALSE),"Commodity Other"),Parameters!$D$4:$E$12,2,FALSE),0)))))</x:f>
        <x:v>0.005</x:v>
      </x:c>
      <x:c r="AL175" s="42" t="n">
        <x:f>IF(LOWER(AC175)="basis",Parameters!$B$8,IF(LOWER(AC175)="volatility",Parameters!$B$9,1))</x:f>
        <x:v>1</x:v>
      </x:c>
      <x:c r="AM175" s="41" t="n">
        <x:f>AK175*AL175</x:f>
        <x:v>0.005</x:v>
      </x:c>
      <x:c r="AN175" s="42" t="str">
        <x:f>IF(E175="Credit",VLOOKUP(IF(LOWER(K175)="index","Credit Index","Credit Single Name"),Parameters!$J$4:$K$8,2,FALSE),IF(E175="Equity",VLOOKUP(IF(LOWER(K175)="index","Equity Index","Equity Single Name"),Parameters!$J$4:$K$8,2,FALSE),IF(E175="Commodity",VLOOKUP("Commodity",Parameters!$J$4:$K$8,2,FALSE),"")))</x:f>
      </x:c>
      <x:c r="AO175" s="27" t="n">
        <x:f>MAX((O175-M175)/365,0)</x:f>
        <x:v>0</x:v>
      </x:c>
      <x:c r="AP175" s="27" t="n">
        <x:f>MAX((P175-M175)/365,10/Parameters!$B$6)</x:f>
        <x:v>2.526027397260274</x:v>
      </x:c>
      <x:c r="AQ175" s="27" t="n">
        <x:f>IF(AP175&lt;=AO175,AO175+10/Parameters!$B$6,AP175)</x:f>
        <x:v>2.526027397260274</x:v>
      </x:c>
      <x:c r="AR175" s="41" t="n">
        <x:f>IF(OR(E175="Interest Rate",E175="Credit"),(EXP(-Parameters!$B$7*AO175)-EXP(-Parameters!$B$7*AQ175))/Parameters!$B$7,1)</x:f>
        <x:v>2.3730161066081745</x:v>
      </x:c>
      <x:c r="AS175" s="40" t="n">
        <x:f>IF(OR(E175="Interest Rate",E175="Credit"),ABS(Q175)*AR175,IF(E175="FX",IF(Q175&gt;0,Q175,MAX(ABS(R175),ABS(S175),ABS(Q175))),ABS(Q175)))</x:f>
        <x:v>552912752.8397046</x:v>
      </x:c>
      <x:c r="AT175" s="42" t="n">
        <x:f>IF(OR(E175="Interest Rate",E175="FX"),VLOOKUP(E175,Parameters!$M$4:$N$11,2,FALSE),IF(E175="Credit",VLOOKUP(IF(LOWER(K175)="index","Credit Index","Credit Single Name"),Parameters!$M$4:$N$11,2,FALSE),IF(E175="Equity",VLOOKUP(IF(LOWER(K175)="index","Equity Index","Equity Single Name"),Parameters!$M$4:$N$11,2,FALSE),IF(E175="Commodity",VLOOKUP(IF(F175="Electricity","Commodity Electricity","Commodity Other"),Parameters!$M$4:$N$11,2,FALSE),1))))</x:f>
        <x:v>0.5</x:v>
      </x:c>
      <x:c r="AU175" s="27" t="n">
        <x:f>IF(W175="B",1,-1)</x:f>
        <x:v>-1</x:v>
      </x:c>
      <x:c r="AV175" s="27" t="n">
        <x:f>IF(OR(AA175="",M175=""),MAX(AE175,1/365),MAX((AA175-M175)/365,1/365))</x:f>
        <x:v>1.893150684931507</x:v>
      </x:c>
      <x:c r="AW175" s="41" t="n">
        <x:f>IF(OR(Z175&lt;=0,Y175&lt;=0,AT175&lt;=0,AV175&lt;=0),"",(LN(Z175/Y175)+0.5*AT175^2*AV175)/(AT175*SQRT(AV175)))</x:f>
        <x:v>0.24156287939829613</x:v>
      </x:c>
      <x:c r="AX175" s="41" t="n">
        <x:f>IF(AND(X175&lt;&gt;"C",X175&lt;&gt;"P"),AU175,IF(AW175="",AU175,IF(X175="C",AU175*0.5*(1+ERF(AW175/SQRT(2))),-AU175*0.5*(1+ERF(-AW175/SQRT(2))))))</x:f>
        <x:v>-0.5954405558729561</x:v>
      </x:c>
      <x:c r="AY175" s="41" t="n">
        <x:f>IF(AJ175="M",1.5*SQRT(MAX(IF(U175="Y",5,10),IF(V175="",10,V175))/Parameters!$B$6),SQRT(MIN(MAX(AE175,10/Parameters!$B$6),1)))</x:f>
        <x:v>0.30000000000000004</x:v>
      </x:c>
      <x:c r="AZ175" s="40" t="n">
        <x:f>AS175*AX175*AY175</x:f>
        <x:v>-98768003.07003604</x:v>
      </x:c>
      <x:c r="BA175" s="40" t="n">
        <x:f>'Python_Trade_Output'!AZ175</x:f>
        <x:v>-98768003.07003604</x:v>
      </x:c>
      <x:c r="BB175" s="43" t="n">
        <x:f>AZ175-BA175</x:f>
        <x:v>0</x:v>
      </x:c>
    </x:row>
    <x:row r="176">
      <x:c r="A176" s="27" t="str">
        <x:f>'Inputs_Trades'!D176</x:f>
        <x:v>IND-000173</x:v>
      </x:c>
      <x:c r="B176" s="27" t="str">
        <x:f>'Inputs_Trades'!B176</x:f>
        <x:v>IND_CORPORATE_002</x:v>
      </x:c>
      <x:c r="C176" s="27" t="n">
        <x:f>'Inputs_Trades'!C176</x:f>
        <x:v>3074</x:v>
      </x:c>
      <x:c r="D176" s="27" t="str">
        <x:f>'Inputs_Trades'!E176</x:f>
        <x:v>Swaption</x:v>
      </x:c>
      <x:c r="E176" s="27" t="str">
        <x:f>'Inputs_Trades'!F176</x:f>
        <x:v>Interest Rate</x:v>
      </x:c>
      <x:c r="F176" s="27" t="n">
        <x:f>'Inputs_Trades'!G176</x:f>
        <x:v>0</x:v>
      </x:c>
      <x:c r="G176" s="27" t="str">
        <x:f>'Inputs_Trades'!J176</x:f>
        <x:v>CNY</x:v>
      </x:c>
      <x:c r="H176" s="27" t="str">
        <x:f>'Inputs_Trades'!H176</x:f>
        <x:v>CNY</x:v>
      </x:c>
      <x:c r="I176" s="27" t="str">
        <x:f>'Inputs_Trades'!I176</x:f>
        <x:v>CNY</x:v>
      </x:c>
      <x:c r="J176" s="27" t="str">
        <x:f>'Inputs_Trades'!M176</x:f>
        <x:v>CNY</x:v>
      </x:c>
      <x:c r="K176" s="27" t="n">
        <x:f>'Inputs_Trades'!N176</x:f>
        <x:v>0</x:v>
      </x:c>
      <x:c r="L176" s="27" t="n">
        <x:f>'Inputs_Trades'!O176</x:f>
        <x:v>0</x:v>
      </x:c>
      <x:c r="M176" s="39" t="n">
        <x:f>'Inputs_Trades'!A176</x:f>
        <x:v>45702</x:v>
      </x:c>
      <x:c r="N176" s="39" t="n">
        <x:f>'Inputs_Trades'!P176</x:f>
        <x:v>46042</x:v>
      </x:c>
      <x:c r="O176" s="39" t="n">
        <x:f>'Inputs_Trades'!Q176</x:f>
        <x:v>45589</x:v>
      </x:c>
      <x:c r="P176" s="39" t="n">
        <x:f>'Inputs_Trades'!R176</x:f>
        <x:v>46042</x:v>
      </x:c>
      <x:c r="Q176" s="40" t="n">
        <x:f>'Inputs_Trades'!U176</x:f>
        <x:v>314000000</x:v>
      </x:c>
      <x:c r="R176" s="40" t="n">
        <x:f>'Inputs_Trades'!S176</x:f>
        <x:v>2242857142.86</x:v>
      </x:c>
      <x:c r="S176" s="40" t="n">
        <x:f>'Inputs_Trades'!T176</x:f>
        <x:v>2242857142.86</x:v>
      </x:c>
      <x:c r="T176" s="27" t="str">
        <x:f>'Inputs_Trades'!V176</x:f>
        <x:v>M</x:v>
      </x:c>
      <x:c r="U176" s="27" t="str">
        <x:f>'Inputs_Trades'!W176</x:f>
        <x:v>Y</x:v>
      </x:c>
      <x:c r="V176" s="27" t="n">
        <x:f>'Inputs_Trades'!X176</x:f>
        <x:v>5</x:v>
      </x:c>
      <x:c r="W176" s="27" t="str">
        <x:f>'Inputs_Trades'!Y176</x:f>
        <x:v>S</x:v>
      </x:c>
      <x:c r="X176" s="27" t="str">
        <x:f>'Inputs_Trades'!AA176</x:f>
        <x:v>C</x:v>
      </x:c>
      <x:c r="Y176" s="27" t="n">
        <x:f>'Inputs_Trades'!AB176</x:f>
        <x:v>0.044822</x:v>
      </x:c>
      <x:c r="Z176" s="27" t="n">
        <x:f>'Inputs_Trades'!AC176</x:f>
        <x:v>0.0439</x:v>
      </x:c>
      <x:c r="AA176" s="39" t="n">
        <x:f>'Inputs_Trades'!Z176</x:f>
        <x:v>45957</x:v>
      </x:c>
      <x:c r="AB176" s="40" t="n">
        <x:f>'Inputs_Trades'!AD176</x:f>
        <x:v>-2291886</x:v>
      </x:c>
      <x:c r="AC176" s="27" t="n">
        <x:f>'Inputs_Trades'!K176</x:f>
        <x:v>0</x:v>
      </x:c>
      <x:c r="AD176" s="27" t="n">
        <x:f>N176-M176</x:f>
        <x:v>340</x:v>
      </x:c>
      <x:c r="AE176" s="41" t="n">
        <x:f>AD176/365</x:f>
        <x:v>0.9315068493150684</x:v>
      </x:c>
      <x:c r="AF176" s="27" t="str">
        <x:f>IF(AE176&lt;1,"&lt;1Y",IF(AE176&lt;=5,"1Y-5Y","&gt;5Y"))</x:f>
        <x:v>&lt;1Y</x:v>
      </x:c>
      <x:c r="AG176" s="27" t="str">
        <x:f>IF(E176="Commodity",IFERROR(VLOOKUP(F176,Parameters!$P$4:$Q$12,2,FALSE),"Other"),"")</x:f>
      </x:c>
      <x:c r="AH176" s="27" t="str">
        <x:f>IF(F176="","Unknown",F176)</x:f>
        <x:v>Unknown</x:v>
      </x:c>
      <x:c r="AI176" s="27" t="str">
        <x:f>IF(E176="Interest Rate",G176&amp;IF(OR(LOWER(AC176)="basis",LOWER(AC176)="volatility"),"_"&amp;AC176,""),IF(E176="FX",IF(H176&lt;I176,H176&amp;"/"&amp;I176,I176&amp;"/"&amp;H176)&amp;IF(OR(LOWER(AC176)="basis",LOWER(AC176)="volatility"),"_"&amp;AC176,""),IF(OR(E176="Credit",E176="Equity"),J176&amp;IF(OR(LOWER(AC176)="basis",LOWER(AC176)="volatility"),"_"&amp;AC176,""),IF(E176="Commodity",AG176&amp;IF(OR(LOWER(AC176)="basis",LOWER(AC176)="volatility"),"_"&amp;AC176,""),"UNKNOWN"))))</x:f>
        <x:v>CNY</x:v>
      </x:c>
      <x:c r="AJ176" s="27" t="str">
        <x:f>T176</x:f>
        <x:v>M</x:v>
      </x:c>
      <x:c r="AK176" s="41" t="n">
        <x:f>IF(E176="Interest Rate",VLOOKUP("Interest Rate",Parameters!$D$4:$E$12,2,FALSE),IF(E176="FX",VLOOKUP("FX",Parameters!$D$4:$E$12,2,FALSE),IF(E176="Credit",IFERROR(VLOOKUP(L176,Parameters!$G$4:$H$12,2,FALSE),VLOOKUP("BBB",Parameters!$G$4:$H$12,2,FALSE)),IF(E176="Equity",VLOOKUP(IF(LOWER(K176)="index","Equity Index","Equity Single Name"),Parameters!$D$4:$E$12,2,FALSE),IF(E176="Commodity",VLOOKUP(IFERROR(VLOOKUP(F176,Parameters!$S$4:$T$12,2,FALSE),"Commodity Other"),Parameters!$D$4:$E$12,2,FALSE),0)))))</x:f>
        <x:v>0.005</x:v>
      </x:c>
      <x:c r="AL176" s="42" t="n">
        <x:f>IF(LOWER(AC176)="basis",Parameters!$B$8,IF(LOWER(AC176)="volatility",Parameters!$B$9,1))</x:f>
        <x:v>1</x:v>
      </x:c>
      <x:c r="AM176" s="41" t="n">
        <x:f>AK176*AL176</x:f>
        <x:v>0.005</x:v>
      </x:c>
      <x:c r="AN176" s="42" t="str">
        <x:f>IF(E176="Credit",VLOOKUP(IF(LOWER(K176)="index","Credit Index","Credit Single Name"),Parameters!$J$4:$K$8,2,FALSE),IF(E176="Equity",VLOOKUP(IF(LOWER(K176)="index","Equity Index","Equity Single Name"),Parameters!$J$4:$K$8,2,FALSE),IF(E176="Commodity",VLOOKUP("Commodity",Parameters!$J$4:$K$8,2,FALSE),"")))</x:f>
      </x:c>
      <x:c r="AO176" s="27" t="n">
        <x:f>MAX((O176-M176)/365,0)</x:f>
        <x:v>0</x:v>
      </x:c>
      <x:c r="AP176" s="27" t="n">
        <x:f>MAX((P176-M176)/365,10/Parameters!$B$6)</x:f>
        <x:v>0.9315068493150684</x:v>
      </x:c>
      <x:c r="AQ176" s="27" t="n">
        <x:f>IF(AP176&lt;=AO176,AO176+10/Parameters!$B$6,AP176)</x:f>
        <x:v>0.9315068493150684</x:v>
      </x:c>
      <x:c r="AR176" s="41" t="n">
        <x:f>IF(OR(E176="Interest Rate",E176="Credit"),(EXP(-Parameters!$B$7*AO176)-EXP(-Parameters!$B$7*AQ176))/Parameters!$B$7,1)</x:f>
        <x:v>0.9101471193705035</x:v>
      </x:c>
      <x:c r="AS176" s="40" t="n">
        <x:f>IF(OR(E176="Interest Rate",E176="Credit"),ABS(Q176)*AR176,IF(E176="FX",IF(Q176&gt;0,Q176,MAX(ABS(R176),ABS(S176),ABS(Q176))),ABS(Q176)))</x:f>
        <x:v>285786195.48233813</x:v>
      </x:c>
      <x:c r="AT176" s="42" t="n">
        <x:f>IF(OR(E176="Interest Rate",E176="FX"),VLOOKUP(E176,Parameters!$M$4:$N$11,2,FALSE),IF(E176="Credit",VLOOKUP(IF(LOWER(K176)="index","Credit Index","Credit Single Name"),Parameters!$M$4:$N$11,2,FALSE),IF(E176="Equity",VLOOKUP(IF(LOWER(K176)="index","Equity Index","Equity Single Name"),Parameters!$M$4:$N$11,2,FALSE),IF(E176="Commodity",VLOOKUP(IF(F176="Electricity","Commodity Electricity","Commodity Other"),Parameters!$M$4:$N$11,2,FALSE),1))))</x:f>
        <x:v>0.5</x:v>
      </x:c>
      <x:c r="AU176" s="27" t="n">
        <x:f>IF(W176="B",1,-1)</x:f>
        <x:v>-1</x:v>
      </x:c>
      <x:c r="AV176" s="27" t="n">
        <x:f>IF(OR(AA176="",M176=""),MAX(AE176,1/365),MAX((AA176-M176)/365,1/365))</x:f>
        <x:v>0.6986301369863014</x:v>
      </x:c>
      <x:c r="AW176" s="41" t="n">
        <x:f>IF(OR(Z176&lt;=0,Y176&lt;=0,AT176&lt;=0,AV176&lt;=0),"",(LN(Z176/Y176)+0.5*AT176^2*AV176)/(AT176*SQRT(AV176)))</x:f>
        <x:v>0.15922645290201526</x:v>
      </x:c>
      <x:c r="AX176" s="41" t="n">
        <x:f>IF(AND(X176&lt;&gt;"C",X176&lt;&gt;"P"),AU176,IF(AW176="",AU176,IF(X176="C",AU176*0.5*(1+ERF(AW176/SQRT(2))),-AU176*0.5*(1+ERF(-AW176/SQRT(2))))))</x:f>
        <x:v>-0.5632547683384815</x:v>
      </x:c>
      <x:c r="AY176" s="41" t="n">
        <x:f>IF(AJ176="M",1.5*SQRT(MAX(IF(U176="Y",5,10),IF(V176="",10,V176))/Parameters!$B$6),SQRT(MIN(MAX(AE176,10/Parameters!$B$6),1)))</x:f>
        <x:v>0.21213203435596426</x:v>
      </x:c>
      <x:c r="AZ176" s="40" t="n">
        <x:f>AS176*AX176*AY176</x:f>
        <x:v>-34146986.34213921</x:v>
      </x:c>
      <x:c r="BA176" s="40" t="n">
        <x:f>'Python_Trade_Output'!AZ176</x:f>
        <x:v>-34146986.3421392</x:v>
      </x:c>
      <x:c r="BB176" s="43" t="n">
        <x:f>AZ176-BA176</x:f>
        <x:v>-7.450580596923828e-9</x:v>
      </x:c>
    </x:row>
    <x:row r="177">
      <x:c r="A177" s="27" t="str">
        <x:f>'Inputs_Trades'!D177</x:f>
        <x:v>IND-000174</x:v>
      </x:c>
      <x:c r="B177" s="27" t="str">
        <x:f>'Inputs_Trades'!B177</x:f>
        <x:v>IND_ASSET_MANAGER_001</x:v>
      </x:c>
      <x:c r="C177" s="27" t="n">
        <x:f>'Inputs_Trades'!C177</x:f>
        <x:v>3050</x:v>
      </x:c>
      <x:c r="D177" s="27" t="str">
        <x:f>'Inputs_Trades'!E177</x:f>
        <x:v>Swaption</x:v>
      </x:c>
      <x:c r="E177" s="27" t="str">
        <x:f>'Inputs_Trades'!F177</x:f>
        <x:v>Interest Rate</x:v>
      </x:c>
      <x:c r="F177" s="27" t="n">
        <x:f>'Inputs_Trades'!G177</x:f>
        <x:v>0</x:v>
      </x:c>
      <x:c r="G177" s="27" t="str">
        <x:f>'Inputs_Trades'!J177</x:f>
        <x:v>CNY</x:v>
      </x:c>
      <x:c r="H177" s="27" t="str">
        <x:f>'Inputs_Trades'!H177</x:f>
        <x:v>CNY</x:v>
      </x:c>
      <x:c r="I177" s="27" t="str">
        <x:f>'Inputs_Trades'!I177</x:f>
        <x:v>CNY</x:v>
      </x:c>
      <x:c r="J177" s="27" t="str">
        <x:f>'Inputs_Trades'!M177</x:f>
        <x:v>CNY</x:v>
      </x:c>
      <x:c r="K177" s="27" t="n">
        <x:f>'Inputs_Trades'!N177</x:f>
        <x:v>0</x:v>
      </x:c>
      <x:c r="L177" s="27" t="n">
        <x:f>'Inputs_Trades'!O177</x:f>
        <x:v>0</x:v>
      </x:c>
      <x:c r="M177" s="39" t="n">
        <x:f>'Inputs_Trades'!A177</x:f>
        <x:v>45702</x:v>
      </x:c>
      <x:c r="N177" s="39" t="n">
        <x:f>'Inputs_Trades'!P177</x:f>
        <x:v>46329</x:v>
      </x:c>
      <x:c r="O177" s="39" t="n">
        <x:f>'Inputs_Trades'!Q177</x:f>
        <x:v>45183</x:v>
      </x:c>
      <x:c r="P177" s="39" t="n">
        <x:f>'Inputs_Trades'!R177</x:f>
        <x:v>46329</x:v>
      </x:c>
      <x:c r="Q177" s="40" t="n">
        <x:f>'Inputs_Trades'!U177</x:f>
        <x:v>45100000</x:v>
      </x:c>
      <x:c r="R177" s="40" t="n">
        <x:f>'Inputs_Trades'!S177</x:f>
        <x:v>322142857.14</x:v>
      </x:c>
      <x:c r="S177" s="40" t="n">
        <x:f>'Inputs_Trades'!T177</x:f>
        <x:v>322142857.14</x:v>
      </x:c>
      <x:c r="T177" s="27" t="str">
        <x:f>'Inputs_Trades'!V177</x:f>
        <x:v>M</x:v>
      </x:c>
      <x:c r="U177" s="27" t="str">
        <x:f>'Inputs_Trades'!W177</x:f>
        <x:v>N</x:v>
      </x:c>
      <x:c r="V177" s="27" t="n">
        <x:f>'Inputs_Trades'!X177</x:f>
        <x:v>10</x:v>
      </x:c>
      <x:c r="W177" s="27" t="str">
        <x:f>'Inputs_Trades'!Y177</x:f>
        <x:v>S</x:v>
      </x:c>
      <x:c r="X177" s="27" t="str">
        <x:f>'Inputs_Trades'!AA177</x:f>
        <x:v>C</x:v>
      </x:c>
      <x:c r="Y177" s="27" t="n">
        <x:f>'Inputs_Trades'!AB177</x:f>
        <x:v>0.048639</x:v>
      </x:c>
      <x:c r="Z177" s="27" t="n">
        <x:f>'Inputs_Trades'!AC177</x:f>
        <x:v>0.0523</x:v>
      </x:c>
      <x:c r="AA177" s="39" t="n">
        <x:f>'Inputs_Trades'!Z177</x:f>
        <x:v>46172</x:v>
      </x:c>
      <x:c r="AB177" s="40" t="n">
        <x:f>'Inputs_Trades'!AD177</x:f>
        <x:v>205791.3</x:v>
      </x:c>
      <x:c r="AC177" s="27" t="n">
        <x:f>'Inputs_Trades'!K177</x:f>
        <x:v>0</x:v>
      </x:c>
      <x:c r="AD177" s="27" t="n">
        <x:f>N177-M177</x:f>
        <x:v>627</x:v>
      </x:c>
      <x:c r="AE177" s="41" t="n">
        <x:f>AD177/365</x:f>
        <x:v>1.7178082191780821</x:v>
      </x:c>
      <x:c r="AF177" s="27" t="str">
        <x:f>IF(AE177&lt;1,"&lt;1Y",IF(AE177&lt;=5,"1Y-5Y","&gt;5Y"))</x:f>
        <x:v>1Y-5Y</x:v>
      </x:c>
      <x:c r="AG177" s="27" t="str">
        <x:f>IF(E177="Commodity",IFERROR(VLOOKUP(F177,Parameters!$P$4:$Q$12,2,FALSE),"Other"),"")</x:f>
      </x:c>
      <x:c r="AH177" s="27" t="str">
        <x:f>IF(F177="","Unknown",F177)</x:f>
        <x:v>Unknown</x:v>
      </x:c>
      <x:c r="AI177" s="27" t="str">
        <x:f>IF(E177="Interest Rate",G177&amp;IF(OR(LOWER(AC177)="basis",LOWER(AC177)="volatility"),"_"&amp;AC177,""),IF(E177="FX",IF(H177&lt;I177,H177&amp;"/"&amp;I177,I177&amp;"/"&amp;H177)&amp;IF(OR(LOWER(AC177)="basis",LOWER(AC177)="volatility"),"_"&amp;AC177,""),IF(OR(E177="Credit",E177="Equity"),J177&amp;IF(OR(LOWER(AC177)="basis",LOWER(AC177)="volatility"),"_"&amp;AC177,""),IF(E177="Commodity",AG177&amp;IF(OR(LOWER(AC177)="basis",LOWER(AC177)="volatility"),"_"&amp;AC177,""),"UNKNOWN"))))</x:f>
        <x:v>CNY</x:v>
      </x:c>
      <x:c r="AJ177" s="27" t="str">
        <x:f>T177</x:f>
        <x:v>M</x:v>
      </x:c>
      <x:c r="AK177" s="41" t="n">
        <x:f>IF(E177="Interest Rate",VLOOKUP("Interest Rate",Parameters!$D$4:$E$12,2,FALSE),IF(E177="FX",VLOOKUP("FX",Parameters!$D$4:$E$12,2,FALSE),IF(E177="Credit",IFERROR(VLOOKUP(L177,Parameters!$G$4:$H$12,2,FALSE),VLOOKUP("BBB",Parameters!$G$4:$H$12,2,FALSE)),IF(E177="Equity",VLOOKUP(IF(LOWER(K177)="index","Equity Index","Equity Single Name"),Parameters!$D$4:$E$12,2,FALSE),IF(E177="Commodity",VLOOKUP(IFERROR(VLOOKUP(F177,Parameters!$S$4:$T$12,2,FALSE),"Commodity Other"),Parameters!$D$4:$E$12,2,FALSE),0)))))</x:f>
        <x:v>0.005</x:v>
      </x:c>
      <x:c r="AL177" s="42" t="n">
        <x:f>IF(LOWER(AC177)="basis",Parameters!$B$8,IF(LOWER(AC177)="volatility",Parameters!$B$9,1))</x:f>
        <x:v>1</x:v>
      </x:c>
      <x:c r="AM177" s="41" t="n">
        <x:f>AK177*AL177</x:f>
        <x:v>0.005</x:v>
      </x:c>
      <x:c r="AN177" s="42" t="str">
        <x:f>IF(E177="Credit",VLOOKUP(IF(LOWER(K177)="index","Credit Index","Credit Single Name"),Parameters!$J$4:$K$8,2,FALSE),IF(E177="Equity",VLOOKUP(IF(LOWER(K177)="index","Equity Index","Equity Single Name"),Parameters!$J$4:$K$8,2,FALSE),IF(E177="Commodity",VLOOKUP("Commodity",Parameters!$J$4:$K$8,2,FALSE),"")))</x:f>
      </x:c>
      <x:c r="AO177" s="27" t="n">
        <x:f>MAX((O177-M177)/365,0)</x:f>
        <x:v>0</x:v>
      </x:c>
      <x:c r="AP177" s="27" t="n">
        <x:f>MAX((P177-M177)/365,10/Parameters!$B$6)</x:f>
        <x:v>1.7178082191780821</x:v>
      </x:c>
      <x:c r="AQ177" s="27" t="n">
        <x:f>IF(AP177&lt;=AO177,AO177+10/Parameters!$B$6,AP177)</x:f>
        <x:v>1.7178082191780821</x:v>
      </x:c>
      <x:c r="AR177" s="41" t="n">
        <x:f>IF(OR(E177="Interest Rate",E177="Credit"),(EXP(-Parameters!$B$7*AO177)-EXP(-Parameters!$B$7*AQ177))/Parameters!$B$7,1)</x:f>
        <x:v>1.646104099953818</x:v>
      </x:c>
      <x:c r="AS177" s="40" t="n">
        <x:f>IF(OR(E177="Interest Rate",E177="Credit"),ABS(Q177)*AR177,IF(E177="FX",IF(Q177&gt;0,Q177,MAX(ABS(R177),ABS(S177),ABS(Q177))),ABS(Q177)))</x:f>
        <x:v>74239294.90791719</x:v>
      </x:c>
      <x:c r="AT177" s="42" t="n">
        <x:f>IF(OR(E177="Interest Rate",E177="FX"),VLOOKUP(E177,Parameters!$M$4:$N$11,2,FALSE),IF(E177="Credit",VLOOKUP(IF(LOWER(K177)="index","Credit Index","Credit Single Name"),Parameters!$M$4:$N$11,2,FALSE),IF(E177="Equity",VLOOKUP(IF(LOWER(K177)="index","Equity Index","Equity Single Name"),Parameters!$M$4:$N$11,2,FALSE),IF(E177="Commodity",VLOOKUP(IF(F177="Electricity","Commodity Electricity","Commodity Other"),Parameters!$M$4:$N$11,2,FALSE),1))))</x:f>
        <x:v>0.5</x:v>
      </x:c>
      <x:c r="AU177" s="27" t="n">
        <x:f>IF(W177="B",1,-1)</x:f>
        <x:v>-1</x:v>
      </x:c>
      <x:c r="AV177" s="27" t="n">
        <x:f>IF(OR(AA177="",M177=""),MAX(AE177,1/365),MAX((AA177-M177)/365,1/365))</x:f>
        <x:v>1.2876712328767124</x:v>
      </x:c>
      <x:c r="AW177" s="41" t="n">
        <x:f>IF(OR(Z177&lt;=0,Y177&lt;=0,AT177&lt;=0,AV177&lt;=0),"",(LN(Z177/Y177)+0.5*AT177^2*AV177)/(AT177*SQRT(AV177)))</x:f>
        <x:v>0.41159437290049933</x:v>
      </x:c>
      <x:c r="AX177" s="41" t="n">
        <x:f>IF(AND(X177&lt;&gt;"C",X177&lt;&gt;"P"),AU177,IF(AW177="",AU177,IF(X177="C",AU177*0.5*(1+ERF(AW177/SQRT(2))),-AU177*0.5*(1+ERF(-AW177/SQRT(2))))))</x:f>
        <x:v>-0.6596816216292054</x:v>
      </x:c>
      <x:c r="AY177" s="41" t="n">
        <x:f>IF(AJ177="M",1.5*SQRT(MAX(IF(U177="Y",5,10),IF(V177="",10,V177))/Parameters!$B$6),SQRT(MIN(MAX(AE177,10/Parameters!$B$6),1)))</x:f>
        <x:v>0.30000000000000004</x:v>
      </x:c>
      <x:c r="AZ177" s="40" t="n">
        <x:f>AS177*AX177*AY177</x:f>
        <x:v>-14692289.536039088</x:v>
      </x:c>
      <x:c r="BA177" s="40" t="n">
        <x:f>'Python_Trade_Output'!AZ177</x:f>
        <x:v>-14692289.536039088</x:v>
      </x:c>
      <x:c r="BB177" s="43" t="n">
        <x:f>AZ177-BA177</x:f>
        <x:v>0</x:v>
      </x:c>
    </x:row>
    <x:row r="178">
      <x:c r="A178" s="27" t="str">
        <x:f>'Inputs_Trades'!D178</x:f>
        <x:v>IND-000175</x:v>
      </x:c>
      <x:c r="B178" s="27" t="str">
        <x:f>'Inputs_Trades'!B178</x:f>
        <x:v>IND_BANK_002</x:v>
      </x:c>
      <x:c r="C178" s="27" t="n">
        <x:f>'Inputs_Trades'!C178</x:f>
        <x:v>3132</x:v>
      </x:c>
      <x:c r="D178" s="27" t="str">
        <x:f>'Inputs_Trades'!E178</x:f>
        <x:v>Cap/Floor</x:v>
      </x:c>
      <x:c r="E178" s="27" t="str">
        <x:f>'Inputs_Trades'!F178</x:f>
        <x:v>Interest Rate</x:v>
      </x:c>
      <x:c r="F178" s="27" t="n">
        <x:f>'Inputs_Trades'!G178</x:f>
        <x:v>0</x:v>
      </x:c>
      <x:c r="G178" s="27" t="str">
        <x:f>'Inputs_Trades'!J178</x:f>
        <x:v>USD</x:v>
      </x:c>
      <x:c r="H178" s="27" t="str">
        <x:f>'Inputs_Trades'!H178</x:f>
        <x:v>USD</x:v>
      </x:c>
      <x:c r="I178" s="27" t="str">
        <x:f>'Inputs_Trades'!I178</x:f>
        <x:v>USD</x:v>
      </x:c>
      <x:c r="J178" s="27" t="str">
        <x:f>'Inputs_Trades'!M178</x:f>
        <x:v>USD</x:v>
      </x:c>
      <x:c r="K178" s="27" t="n">
        <x:f>'Inputs_Trades'!N178</x:f>
        <x:v>0</x:v>
      </x:c>
      <x:c r="L178" s="27" t="n">
        <x:f>'Inputs_Trades'!O178</x:f>
        <x:v>0</x:v>
      </x:c>
      <x:c r="M178" s="39" t="n">
        <x:f>'Inputs_Trades'!A178</x:f>
        <x:v>45702</x:v>
      </x:c>
      <x:c r="N178" s="39" t="n">
        <x:f>'Inputs_Trades'!P178</x:f>
        <x:v>46094</x:v>
      </x:c>
      <x:c r="O178" s="39" t="n">
        <x:f>'Inputs_Trades'!Q178</x:f>
        <x:v>45572</x:v>
      </x:c>
      <x:c r="P178" s="39" t="n">
        <x:f>'Inputs_Trades'!R178</x:f>
        <x:v>46094</x:v>
      </x:c>
      <x:c r="Q178" s="40" t="n">
        <x:f>'Inputs_Trades'!U178</x:f>
        <x:v>373000000</x:v>
      </x:c>
      <x:c r="R178" s="40" t="n">
        <x:f>'Inputs_Trades'!S178</x:f>
        <x:v>373000000</x:v>
      </x:c>
      <x:c r="S178" s="40" t="n">
        <x:f>'Inputs_Trades'!T178</x:f>
        <x:v>373000000</x:v>
      </x:c>
      <x:c r="T178" s="27" t="str">
        <x:f>'Inputs_Trades'!V178</x:f>
        <x:v>U</x:v>
      </x:c>
      <x:c r="U178" s="27" t="str">
        <x:f>'Inputs_Trades'!W178</x:f>
        <x:v>Y</x:v>
      </x:c>
      <x:c r="V178" s="27" t="n">
        <x:f>'Inputs_Trades'!X178</x:f>
        <x:v>5</x:v>
      </x:c>
      <x:c r="W178" s="27" t="str">
        <x:f>'Inputs_Trades'!Y178</x:f>
        <x:v>B</x:v>
      </x:c>
      <x:c r="X178" s="27" t="str">
        <x:f>'Inputs_Trades'!AA178</x:f>
        <x:v>P</x:v>
      </x:c>
      <x:c r="Y178" s="27" t="n">
        <x:f>'Inputs_Trades'!AB178</x:f>
        <x:v>0.044689</x:v>
      </x:c>
      <x:c r="Z178" s="27" t="n">
        <x:f>'Inputs_Trades'!AC178</x:f>
        <x:v>0.0407</x:v>
      </x:c>
      <x:c r="AA178" s="39" t="n">
        <x:f>'Inputs_Trades'!Z178</x:f>
        <x:v>45996</x:v>
      </x:c>
      <x:c r="AB178" s="40" t="n">
        <x:f>'Inputs_Trades'!AD178</x:f>
        <x:v>-218205</x:v>
      </x:c>
      <x:c r="AC178" s="27" t="n">
        <x:f>'Inputs_Trades'!K178</x:f>
        <x:v>0</x:v>
      </x:c>
      <x:c r="AD178" s="27" t="n">
        <x:f>N178-M178</x:f>
        <x:v>392</x:v>
      </x:c>
      <x:c r="AE178" s="41" t="n">
        <x:f>AD178/365</x:f>
        <x:v>1.073972602739726</x:v>
      </x:c>
      <x:c r="AF178" s="27" t="str">
        <x:f>IF(AE178&lt;1,"&lt;1Y",IF(AE178&lt;=5,"1Y-5Y","&gt;5Y"))</x:f>
        <x:v>1Y-5Y</x:v>
      </x:c>
      <x:c r="AG178" s="27" t="str">
        <x:f>IF(E178="Commodity",IFERROR(VLOOKUP(F178,Parameters!$P$4:$Q$12,2,FALSE),"Other"),"")</x:f>
      </x:c>
      <x:c r="AH178" s="27" t="str">
        <x:f>IF(F178="","Unknown",F178)</x:f>
        <x:v>Unknown</x:v>
      </x:c>
      <x:c r="AI178" s="27" t="str">
        <x:f>IF(E178="Interest Rate",G178&amp;IF(OR(LOWER(AC178)="basis",LOWER(AC178)="volatility"),"_"&amp;AC178,""),IF(E178="FX",IF(H178&lt;I178,H178&amp;"/"&amp;I178,I178&amp;"/"&amp;H178)&amp;IF(OR(LOWER(AC178)="basis",LOWER(AC178)="volatility"),"_"&amp;AC178,""),IF(OR(E178="Credit",E178="Equity"),J178&amp;IF(OR(LOWER(AC178)="basis",LOWER(AC178)="volatility"),"_"&amp;AC178,""),IF(E178="Commodity",AG178&amp;IF(OR(LOWER(AC178)="basis",LOWER(AC178)="volatility"),"_"&amp;AC178,""),"UNKNOWN"))))</x:f>
        <x:v>USD</x:v>
      </x:c>
      <x:c r="AJ178" s="27" t="str">
        <x:f>T178</x:f>
        <x:v>U</x:v>
      </x:c>
      <x:c r="AK178" s="41" t="n">
        <x:f>IF(E178="Interest Rate",VLOOKUP("Interest Rate",Parameters!$D$4:$E$12,2,FALSE),IF(E178="FX",VLOOKUP("FX",Parameters!$D$4:$E$12,2,FALSE),IF(E178="Credit",IFERROR(VLOOKUP(L178,Parameters!$G$4:$H$12,2,FALSE),VLOOKUP("BBB",Parameters!$G$4:$H$12,2,FALSE)),IF(E178="Equity",VLOOKUP(IF(LOWER(K178)="index","Equity Index","Equity Single Name"),Parameters!$D$4:$E$12,2,FALSE),IF(E178="Commodity",VLOOKUP(IFERROR(VLOOKUP(F178,Parameters!$S$4:$T$12,2,FALSE),"Commodity Other"),Parameters!$D$4:$E$12,2,FALSE),0)))))</x:f>
        <x:v>0.005</x:v>
      </x:c>
      <x:c r="AL178" s="42" t="n">
        <x:f>IF(LOWER(AC178)="basis",Parameters!$B$8,IF(LOWER(AC178)="volatility",Parameters!$B$9,1))</x:f>
        <x:v>1</x:v>
      </x:c>
      <x:c r="AM178" s="41" t="n">
        <x:f>AK178*AL178</x:f>
        <x:v>0.005</x:v>
      </x:c>
      <x:c r="AN178" s="42" t="str">
        <x:f>IF(E178="Credit",VLOOKUP(IF(LOWER(K178)="index","Credit Index","Credit Single Name"),Parameters!$J$4:$K$8,2,FALSE),IF(E178="Equity",VLOOKUP(IF(LOWER(K178)="index","Equity Index","Equity Single Name"),Parameters!$J$4:$K$8,2,FALSE),IF(E178="Commodity",VLOOKUP("Commodity",Parameters!$J$4:$K$8,2,FALSE),"")))</x:f>
      </x:c>
      <x:c r="AO178" s="27" t="n">
        <x:f>MAX((O178-M178)/365,0)</x:f>
        <x:v>0</x:v>
      </x:c>
      <x:c r="AP178" s="27" t="n">
        <x:f>MAX((P178-M178)/365,10/Parameters!$B$6)</x:f>
        <x:v>1.073972602739726</x:v>
      </x:c>
      <x:c r="AQ178" s="27" t="n">
        <x:f>IF(AP178&lt;=AO178,AO178+10/Parameters!$B$6,AP178)</x:f>
        <x:v>1.073972602739726</x:v>
      </x:c>
      <x:c r="AR178" s="41" t="n">
        <x:f>IF(OR(E178="Interest Rate",E178="Credit"),(EXP(-Parameters!$B$7*AO178)-EXP(-Parameters!$B$7*AQ178))/Parameters!$B$7,1)</x:f>
        <x:v>1.045646459700773</x:v>
      </x:c>
      <x:c r="AS178" s="40" t="n">
        <x:f>IF(OR(E178="Interest Rate",E178="Credit"),ABS(Q178)*AR178,IF(E178="FX",IF(Q178&gt;0,Q178,MAX(ABS(R178),ABS(S178),ABS(Q178))),ABS(Q178)))</x:f>
        <x:v>390026129.4683884</x:v>
      </x:c>
      <x:c r="AT178" s="42" t="n">
        <x:f>IF(OR(E178="Interest Rate",E178="FX"),VLOOKUP(E178,Parameters!$M$4:$N$11,2,FALSE),IF(E178="Credit",VLOOKUP(IF(LOWER(K178)="index","Credit Index","Credit Single Name"),Parameters!$M$4:$N$11,2,FALSE),IF(E178="Equity",VLOOKUP(IF(LOWER(K178)="index","Equity Index","Equity Single Name"),Parameters!$M$4:$N$11,2,FALSE),IF(E178="Commodity",VLOOKUP(IF(F178="Electricity","Commodity Electricity","Commodity Other"),Parameters!$M$4:$N$11,2,FALSE),1))))</x:f>
        <x:v>0.5</x:v>
      </x:c>
      <x:c r="AU178" s="27" t="n">
        <x:f>IF(W178="B",1,-1)</x:f>
        <x:v>1</x:v>
      </x:c>
      <x:c r="AV178" s="27" t="n">
        <x:f>IF(OR(AA178="",M178=""),MAX(AE178,1/365),MAX((AA178-M178)/365,1/365))</x:f>
        <x:v>0.8054794520547945</x:v>
      </x:c>
      <x:c r="AW178" s="41" t="n">
        <x:f>IF(OR(Z178&lt;=0,Y178&lt;=0,AT178&lt;=0,AV178&lt;=0),"",(LN(Z178/Y178)+0.5*AT178^2*AV178)/(AT178*SQRT(AV178)))</x:f>
        <x:v>0.016012829329125445</x:v>
      </x:c>
      <x:c r="AX178" s="41" t="n">
        <x:f>IF(AND(X178&lt;&gt;"C",X178&lt;&gt;"P"),AU178,IF(AW178="",AU178,IF(X178="C",AU178*0.5*(1+ERF(AW178/SQRT(2))),-AU178*0.5*(1+ERF(-AW178/SQRT(2))))))</x:f>
        <x:v>-0.4936120783415069</x:v>
      </x:c>
      <x:c r="AY178" s="41" t="n">
        <x:f>IF(AJ178="M",1.5*SQRT(MAX(IF(U178="Y",5,10),IF(V178="",10,V178))/Parameters!$B$6),SQRT(MIN(MAX(AE178,10/Parameters!$B$6),1)))</x:f>
        <x:v>1</x:v>
      </x:c>
      <x:c r="AZ178" s="40" t="n">
        <x:f>AS178*AX178*AY178</x:f>
        <x:v>-192521608.37438482</x:v>
      </x:c>
      <x:c r="BA178" s="40" t="n">
        <x:f>'Python_Trade_Output'!AZ178</x:f>
        <x:v>-192521608.37438485</x:v>
      </x:c>
      <x:c r="BB178" s="43" t="n">
        <x:f>AZ178-BA178</x:f>
        <x:v>2.9802322387695312e-8</x:v>
      </x:c>
    </x:row>
    <x:row r="179">
      <x:c r="A179" s="27" t="str">
        <x:f>'Inputs_Trades'!D179</x:f>
        <x:v>IND-000176</x:v>
      </x:c>
      <x:c r="B179" s="27" t="str">
        <x:f>'Inputs_Trades'!B179</x:f>
        <x:v>IND_SOVEREIGN_001</x:v>
      </x:c>
      <x:c r="C179" s="27" t="n">
        <x:f>'Inputs_Trades'!C179</x:f>
        <x:v>3065</x:v>
      </x:c>
      <x:c r="D179" s="27" t="str">
        <x:f>'Inputs_Trades'!E179</x:f>
        <x:v>Cap/Floor</x:v>
      </x:c>
      <x:c r="E179" s="27" t="str">
        <x:f>'Inputs_Trades'!F179</x:f>
        <x:v>Interest Rate</x:v>
      </x:c>
      <x:c r="F179" s="27" t="n">
        <x:f>'Inputs_Trades'!G179</x:f>
        <x:v>0</x:v>
      </x:c>
      <x:c r="G179" s="27" t="str">
        <x:f>'Inputs_Trades'!J179</x:f>
        <x:v>EUR</x:v>
      </x:c>
      <x:c r="H179" s="27" t="str">
        <x:f>'Inputs_Trades'!H179</x:f>
        <x:v>EUR</x:v>
      </x:c>
      <x:c r="I179" s="27" t="str">
        <x:f>'Inputs_Trades'!I179</x:f>
        <x:v>EUR</x:v>
      </x:c>
      <x:c r="J179" s="27" t="str">
        <x:f>'Inputs_Trades'!M179</x:f>
        <x:v>EUR</x:v>
      </x:c>
      <x:c r="K179" s="27" t="n">
        <x:f>'Inputs_Trades'!N179</x:f>
        <x:v>0</x:v>
      </x:c>
      <x:c r="L179" s="27" t="n">
        <x:f>'Inputs_Trades'!O179</x:f>
        <x:v>0</x:v>
      </x:c>
      <x:c r="M179" s="39" t="n">
        <x:f>'Inputs_Trades'!A179</x:f>
        <x:v>45702</x:v>
      </x:c>
      <x:c r="N179" s="39" t="n">
        <x:f>'Inputs_Trades'!P179</x:f>
        <x:v>46498</x:v>
      </x:c>
      <x:c r="O179" s="39" t="n">
        <x:f>'Inputs_Trades'!Q179</x:f>
        <x:v>44926</x:v>
      </x:c>
      <x:c r="P179" s="39" t="n">
        <x:f>'Inputs_Trades'!R179</x:f>
        <x:v>46498</x:v>
      </x:c>
      <x:c r="Q179" s="40" t="n">
        <x:f>'Inputs_Trades'!U179</x:f>
        <x:v>75500000</x:v>
      </x:c>
      <x:c r="R179" s="40" t="n">
        <x:f>'Inputs_Trades'!S179</x:f>
        <x:v>71904761.9</x:v>
      </x:c>
      <x:c r="S179" s="40" t="n">
        <x:f>'Inputs_Trades'!T179</x:f>
        <x:v>71904761.9</x:v>
      </x:c>
      <x:c r="T179" s="27" t="str">
        <x:f>'Inputs_Trades'!V179</x:f>
        <x:v>U</x:v>
      </x:c>
      <x:c r="U179" s="27" t="str">
        <x:f>'Inputs_Trades'!W179</x:f>
        <x:v>Y</x:v>
      </x:c>
      <x:c r="V179" s="27" t="n">
        <x:f>'Inputs_Trades'!X179</x:f>
        <x:v>5</x:v>
      </x:c>
      <x:c r="W179" s="27" t="str">
        <x:f>'Inputs_Trades'!Y179</x:f>
        <x:v>B</x:v>
      </x:c>
      <x:c r="X179" s="27" t="str">
        <x:f>'Inputs_Trades'!AA179</x:f>
        <x:v>C</x:v>
      </x:c>
      <x:c r="Y179" s="27" t="n">
        <x:f>'Inputs_Trades'!AB179</x:f>
        <x:v>0.04114</x:v>
      </x:c>
      <x:c r="Z179" s="27" t="n">
        <x:f>'Inputs_Trades'!AC179</x:f>
        <x:v>0.0484</x:v>
      </x:c>
      <x:c r="AA179" s="39" t="n">
        <x:f>'Inputs_Trades'!Z179</x:f>
        <x:v>46299</x:v>
      </x:c>
      <x:c r="AB179" s="40" t="n">
        <x:f>'Inputs_Trades'!AD179</x:f>
        <x:v>107361</x:v>
      </x:c>
      <x:c r="AC179" s="27" t="n">
        <x:f>'Inputs_Trades'!K179</x:f>
        <x:v>0</x:v>
      </x:c>
      <x:c r="AD179" s="27" t="n">
        <x:f>N179-M179</x:f>
        <x:v>796</x:v>
      </x:c>
      <x:c r="AE179" s="41" t="n">
        <x:f>AD179/365</x:f>
        <x:v>2.180821917808219</x:v>
      </x:c>
      <x:c r="AF179" s="27" t="str">
        <x:f>IF(AE179&lt;1,"&lt;1Y",IF(AE179&lt;=5,"1Y-5Y","&gt;5Y"))</x:f>
        <x:v>1Y-5Y</x:v>
      </x:c>
      <x:c r="AG179" s="27" t="str">
        <x:f>IF(E179="Commodity",IFERROR(VLOOKUP(F179,Parameters!$P$4:$Q$12,2,FALSE),"Other"),"")</x:f>
      </x:c>
      <x:c r="AH179" s="27" t="str">
        <x:f>IF(F179="","Unknown",F179)</x:f>
        <x:v>Unknown</x:v>
      </x:c>
      <x:c r="AI179" s="27" t="str">
        <x:f>IF(E179="Interest Rate",G179&amp;IF(OR(LOWER(AC179)="basis",LOWER(AC179)="volatility"),"_"&amp;AC179,""),IF(E179="FX",IF(H179&lt;I179,H179&amp;"/"&amp;I179,I179&amp;"/"&amp;H179)&amp;IF(OR(LOWER(AC179)="basis",LOWER(AC179)="volatility"),"_"&amp;AC179,""),IF(OR(E179="Credit",E179="Equity"),J179&amp;IF(OR(LOWER(AC179)="basis",LOWER(AC179)="volatility"),"_"&amp;AC179,""),IF(E179="Commodity",AG179&amp;IF(OR(LOWER(AC179)="basis",LOWER(AC179)="volatility"),"_"&amp;AC179,""),"UNKNOWN"))))</x:f>
        <x:v>EUR</x:v>
      </x:c>
      <x:c r="AJ179" s="27" t="str">
        <x:f>T179</x:f>
        <x:v>U</x:v>
      </x:c>
      <x:c r="AK179" s="41" t="n">
        <x:f>IF(E179="Interest Rate",VLOOKUP("Interest Rate",Parameters!$D$4:$E$12,2,FALSE),IF(E179="FX",VLOOKUP("FX",Parameters!$D$4:$E$12,2,FALSE),IF(E179="Credit",IFERROR(VLOOKUP(L179,Parameters!$G$4:$H$12,2,FALSE),VLOOKUP("BBB",Parameters!$G$4:$H$12,2,FALSE)),IF(E179="Equity",VLOOKUP(IF(LOWER(K179)="index","Equity Index","Equity Single Name"),Parameters!$D$4:$E$12,2,FALSE),IF(E179="Commodity",VLOOKUP(IFERROR(VLOOKUP(F179,Parameters!$S$4:$T$12,2,FALSE),"Commodity Other"),Parameters!$D$4:$E$12,2,FALSE),0)))))</x:f>
        <x:v>0.005</x:v>
      </x:c>
      <x:c r="AL179" s="42" t="n">
        <x:f>IF(LOWER(AC179)="basis",Parameters!$B$8,IF(LOWER(AC179)="volatility",Parameters!$B$9,1))</x:f>
        <x:v>1</x:v>
      </x:c>
      <x:c r="AM179" s="41" t="n">
        <x:f>AK179*AL179</x:f>
        <x:v>0.005</x:v>
      </x:c>
      <x:c r="AN179" s="42" t="str">
        <x:f>IF(E179="Credit",VLOOKUP(IF(LOWER(K179)="index","Credit Index","Credit Single Name"),Parameters!$J$4:$K$8,2,FALSE),IF(E179="Equity",VLOOKUP(IF(LOWER(K179)="index","Equity Index","Equity Single Name"),Parameters!$J$4:$K$8,2,FALSE),IF(E179="Commodity",VLOOKUP("Commodity",Parameters!$J$4:$K$8,2,FALSE),"")))</x:f>
      </x:c>
      <x:c r="AO179" s="27" t="n">
        <x:f>MAX((O179-M179)/365,0)</x:f>
        <x:v>0</x:v>
      </x:c>
      <x:c r="AP179" s="27" t="n">
        <x:f>MAX((P179-M179)/365,10/Parameters!$B$6)</x:f>
        <x:v>2.180821917808219</x:v>
      </x:c>
      <x:c r="AQ179" s="27" t="n">
        <x:f>IF(AP179&lt;=AO179,AO179+10/Parameters!$B$6,AP179)</x:f>
        <x:v>2.180821917808219</x:v>
      </x:c>
      <x:c r="AR179" s="41" t="n">
        <x:f>IF(OR(E179="Interest Rate",E179="Credit"),(EXP(-Parameters!$B$7*AO179)-EXP(-Parameters!$B$7*AQ179))/Parameters!$B$7,1)</x:f>
        <x:v>2.066128673590182</x:v>
      </x:c>
      <x:c r="AS179" s="40" t="n">
        <x:f>IF(OR(E179="Interest Rate",E179="Credit"),ABS(Q179)*AR179,IF(E179="FX",IF(Q179&gt;0,Q179,MAX(ABS(R179),ABS(S179),ABS(Q179))),ABS(Q179)))</x:f>
        <x:v>155992714.85605872</x:v>
      </x:c>
      <x:c r="AT179" s="42" t="n">
        <x:f>IF(OR(E179="Interest Rate",E179="FX"),VLOOKUP(E179,Parameters!$M$4:$N$11,2,FALSE),IF(E179="Credit",VLOOKUP(IF(LOWER(K179)="index","Credit Index","Credit Single Name"),Parameters!$M$4:$N$11,2,FALSE),IF(E179="Equity",VLOOKUP(IF(LOWER(K179)="index","Equity Index","Equity Single Name"),Parameters!$M$4:$N$11,2,FALSE),IF(E179="Commodity",VLOOKUP(IF(F179="Electricity","Commodity Electricity","Commodity Other"),Parameters!$M$4:$N$11,2,FALSE),1))))</x:f>
        <x:v>0.5</x:v>
      </x:c>
      <x:c r="AU179" s="27" t="n">
        <x:f>IF(W179="B",1,-1)</x:f>
        <x:v>1</x:v>
      </x:c>
      <x:c r="AV179" s="27" t="n">
        <x:f>IF(OR(AA179="",M179=""),MAX(AE179,1/365),MAX((AA179-M179)/365,1/365))</x:f>
        <x:v>1.6356164383561644</x:v>
      </x:c>
      <x:c r="AW179" s="41" t="n">
        <x:f>IF(OR(Z179&lt;=0,Y179&lt;=0,AT179&lt;=0,AV179&lt;=0),"",(LN(Z179/Y179)+0.5*AT179^2*AV179)/(AT179*SQRT(AV179)))</x:f>
        <x:v>0.5738798671352383</x:v>
      </x:c>
      <x:c r="AX179" s="41" t="n">
        <x:f>IF(AND(X179&lt;&gt;"C",X179&lt;&gt;"P"),AU179,IF(AW179="",AU179,IF(X179="C",AU179*0.5*(1+ERF(AW179/SQRT(2))),-AU179*0.5*(1+ERF(-AW179/SQRT(2))))))</x:f>
        <x:v>0.7169754510929774</x:v>
      </x:c>
      <x:c r="AY179" s="41" t="n">
        <x:f>IF(AJ179="M",1.5*SQRT(MAX(IF(U179="Y",5,10),IF(V179="",10,V179))/Parameters!$B$6),SQRT(MIN(MAX(AE179,10/Parameters!$B$6),1)))</x:f>
        <x:v>1</x:v>
      </x:c>
      <x:c r="AZ179" s="40" t="n">
        <x:f>AS179*AX179*AY179</x:f>
        <x:v>111842947.1011409</x:v>
      </x:c>
      <x:c r="BA179" s="40" t="n">
        <x:f>'Python_Trade_Output'!AZ179</x:f>
        <x:v>111842947.1011409</x:v>
      </x:c>
      <x:c r="BB179" s="43" t="n">
        <x:f>AZ179-BA179</x:f>
        <x:v>0</x:v>
      </x:c>
    </x:row>
    <x:row r="180">
      <x:c r="A180" s="27" t="str">
        <x:f>'Inputs_Trades'!D180</x:f>
        <x:v>IND-000177</x:v>
      </x:c>
      <x:c r="B180" s="27" t="str">
        <x:f>'Inputs_Trades'!B180</x:f>
        <x:v>IND_INSURER_001</x:v>
      </x:c>
      <x:c r="C180" s="27" t="n">
        <x:f>'Inputs_Trades'!C180</x:f>
        <x:v>3297</x:v>
      </x:c>
      <x:c r="D180" s="27" t="str">
        <x:f>'Inputs_Trades'!E180</x:f>
        <x:v>Cap/Floor</x:v>
      </x:c>
      <x:c r="E180" s="27" t="str">
        <x:f>'Inputs_Trades'!F180</x:f>
        <x:v>Interest Rate</x:v>
      </x:c>
      <x:c r="F180" s="27" t="n">
        <x:f>'Inputs_Trades'!G180</x:f>
        <x:v>0</x:v>
      </x:c>
      <x:c r="G180" s="27" t="str">
        <x:f>'Inputs_Trades'!J180</x:f>
        <x:v>USD</x:v>
      </x:c>
      <x:c r="H180" s="27" t="str">
        <x:f>'Inputs_Trades'!H180</x:f>
        <x:v>USD</x:v>
      </x:c>
      <x:c r="I180" s="27" t="str">
        <x:f>'Inputs_Trades'!I180</x:f>
        <x:v>USD</x:v>
      </x:c>
      <x:c r="J180" s="27" t="str">
        <x:f>'Inputs_Trades'!M180</x:f>
        <x:v>USD</x:v>
      </x:c>
      <x:c r="K180" s="27" t="n">
        <x:f>'Inputs_Trades'!N180</x:f>
        <x:v>0</x:v>
      </x:c>
      <x:c r="L180" s="27" t="n">
        <x:f>'Inputs_Trades'!O180</x:f>
        <x:v>0</x:v>
      </x:c>
      <x:c r="M180" s="39" t="n">
        <x:f>'Inputs_Trades'!A180</x:f>
        <x:v>45702</x:v>
      </x:c>
      <x:c r="N180" s="39" t="n">
        <x:f>'Inputs_Trades'!P180</x:f>
        <x:v>47447</x:v>
      </x:c>
      <x:c r="O180" s="39" t="n">
        <x:f>'Inputs_Trades'!Q180</x:f>
        <x:v>45482</x:v>
      </x:c>
      <x:c r="P180" s="39" t="n">
        <x:f>'Inputs_Trades'!R180</x:f>
        <x:v>47447</x:v>
      </x:c>
      <x:c r="Q180" s="40" t="n">
        <x:f>'Inputs_Trades'!U180</x:f>
        <x:v>336000000</x:v>
      </x:c>
      <x:c r="R180" s="40" t="n">
        <x:f>'Inputs_Trades'!S180</x:f>
        <x:v>336000000</x:v>
      </x:c>
      <x:c r="S180" s="40" t="n">
        <x:f>'Inputs_Trades'!T180</x:f>
        <x:v>336000000</x:v>
      </x:c>
      <x:c r="T180" s="27" t="str">
        <x:f>'Inputs_Trades'!V180</x:f>
        <x:v>M</x:v>
      </x:c>
      <x:c r="U180" s="27" t="str">
        <x:f>'Inputs_Trades'!W180</x:f>
        <x:v>Y</x:v>
      </x:c>
      <x:c r="V180" s="27" t="n">
        <x:f>'Inputs_Trades'!X180</x:f>
        <x:v>5</x:v>
      </x:c>
      <x:c r="W180" s="27" t="str">
        <x:f>'Inputs_Trades'!Y180</x:f>
        <x:v>S</x:v>
      </x:c>
      <x:c r="X180" s="27" t="str">
        <x:f>'Inputs_Trades'!AA180</x:f>
        <x:v>C</x:v>
      </x:c>
      <x:c r="Y180" s="27" t="n">
        <x:f>'Inputs_Trades'!AB180</x:f>
        <x:v>0.056368</x:v>
      </x:c>
      <x:c r="Z180" s="27" t="n">
        <x:f>'Inputs_Trades'!AC180</x:f>
        <x:v>0.0506</x:v>
      </x:c>
      <x:c r="AA180" s="39" t="n">
        <x:f>'Inputs_Trades'!Z180</x:f>
        <x:v>47010</x:v>
      </x:c>
      <x:c r="AB180" s="40" t="n">
        <x:f>'Inputs_Trades'!AD180</x:f>
        <x:v>1013040</x:v>
      </x:c>
      <x:c r="AC180" s="27" t="n">
        <x:f>'Inputs_Trades'!K180</x:f>
        <x:v>0</x:v>
      </x:c>
      <x:c r="AD180" s="27" t="n">
        <x:f>N180-M180</x:f>
        <x:v>1745</x:v>
      </x:c>
      <x:c r="AE180" s="41" t="n">
        <x:f>AD180/365</x:f>
        <x:v>4.780821917808219</x:v>
      </x:c>
      <x:c r="AF180" s="27" t="str">
        <x:f>IF(AE180&lt;1,"&lt;1Y",IF(AE180&lt;=5,"1Y-5Y","&gt;5Y"))</x:f>
        <x:v>1Y-5Y</x:v>
      </x:c>
      <x:c r="AG180" s="27" t="str">
        <x:f>IF(E180="Commodity",IFERROR(VLOOKUP(F180,Parameters!$P$4:$Q$12,2,FALSE),"Other"),"")</x:f>
      </x:c>
      <x:c r="AH180" s="27" t="str">
        <x:f>IF(F180="","Unknown",F180)</x:f>
        <x:v>Unknown</x:v>
      </x:c>
      <x:c r="AI180" s="27" t="str">
        <x:f>IF(E180="Interest Rate",G180&amp;IF(OR(LOWER(AC180)="basis",LOWER(AC180)="volatility"),"_"&amp;AC180,""),IF(E180="FX",IF(H180&lt;I180,H180&amp;"/"&amp;I180,I180&amp;"/"&amp;H180)&amp;IF(OR(LOWER(AC180)="basis",LOWER(AC180)="volatility"),"_"&amp;AC180,""),IF(OR(E180="Credit",E180="Equity"),J180&amp;IF(OR(LOWER(AC180)="basis",LOWER(AC180)="volatility"),"_"&amp;AC180,""),IF(E180="Commodity",AG180&amp;IF(OR(LOWER(AC180)="basis",LOWER(AC180)="volatility"),"_"&amp;AC180,""),"UNKNOWN"))))</x:f>
        <x:v>USD</x:v>
      </x:c>
      <x:c r="AJ180" s="27" t="str">
        <x:f>T180</x:f>
        <x:v>M</x:v>
      </x:c>
      <x:c r="AK180" s="41" t="n">
        <x:f>IF(E180="Interest Rate",VLOOKUP("Interest Rate",Parameters!$D$4:$E$12,2,FALSE),IF(E180="FX",VLOOKUP("FX",Parameters!$D$4:$E$12,2,FALSE),IF(E180="Credit",IFERROR(VLOOKUP(L180,Parameters!$G$4:$H$12,2,FALSE),VLOOKUP("BBB",Parameters!$G$4:$H$12,2,FALSE)),IF(E180="Equity",VLOOKUP(IF(LOWER(K180)="index","Equity Index","Equity Single Name"),Parameters!$D$4:$E$12,2,FALSE),IF(E180="Commodity",VLOOKUP(IFERROR(VLOOKUP(F180,Parameters!$S$4:$T$12,2,FALSE),"Commodity Other"),Parameters!$D$4:$E$12,2,FALSE),0)))))</x:f>
        <x:v>0.005</x:v>
      </x:c>
      <x:c r="AL180" s="42" t="n">
        <x:f>IF(LOWER(AC180)="basis",Parameters!$B$8,IF(LOWER(AC180)="volatility",Parameters!$B$9,1))</x:f>
        <x:v>1</x:v>
      </x:c>
      <x:c r="AM180" s="41" t="n">
        <x:f>AK180*AL180</x:f>
        <x:v>0.005</x:v>
      </x:c>
      <x:c r="AN180" s="42" t="str">
        <x:f>IF(E180="Credit",VLOOKUP(IF(LOWER(K180)="index","Credit Index","Credit Single Name"),Parameters!$J$4:$K$8,2,FALSE),IF(E180="Equity",VLOOKUP(IF(LOWER(K180)="index","Equity Index","Equity Single Name"),Parameters!$J$4:$K$8,2,FALSE),IF(E180="Commodity",VLOOKUP("Commodity",Parameters!$J$4:$K$8,2,FALSE),"")))</x:f>
      </x:c>
      <x:c r="AO180" s="27" t="n">
        <x:f>MAX((O180-M180)/365,0)</x:f>
        <x:v>0</x:v>
      </x:c>
      <x:c r="AP180" s="27" t="n">
        <x:f>MAX((P180-M180)/365,10/Parameters!$B$6)</x:f>
        <x:v>4.780821917808219</x:v>
      </x:c>
      <x:c r="AQ180" s="27" t="n">
        <x:f>IF(AP180&lt;=AO180,AO180+10/Parameters!$B$6,AP180)</x:f>
        <x:v>4.780821917808219</x:v>
      </x:c>
      <x:c r="AR180" s="41" t="n">
        <x:f>IF(OR(E180="Interest Rate",E180="Credit"),(EXP(-Parameters!$B$7*AO180)-EXP(-Parameters!$B$7*AQ180))/Parameters!$B$7,1)</x:f>
        <x:v>4.252349529562271</x:v>
      </x:c>
      <x:c r="AS180" s="40" t="n">
        <x:f>IF(OR(E180="Interest Rate",E180="Credit"),ABS(Q180)*AR180,IF(E180="FX",IF(Q180&gt;0,Q180,MAX(ABS(R180),ABS(S180),ABS(Q180))),ABS(Q180)))</x:f>
        <x:v>1428789441.932923</x:v>
      </x:c>
      <x:c r="AT180" s="42" t="n">
        <x:f>IF(OR(E180="Interest Rate",E180="FX"),VLOOKUP(E180,Parameters!$M$4:$N$11,2,FALSE),IF(E180="Credit",VLOOKUP(IF(LOWER(K180)="index","Credit Index","Credit Single Name"),Parameters!$M$4:$N$11,2,FALSE),IF(E180="Equity",VLOOKUP(IF(LOWER(K180)="index","Equity Index","Equity Single Name"),Parameters!$M$4:$N$11,2,FALSE),IF(E180="Commodity",VLOOKUP(IF(F180="Electricity","Commodity Electricity","Commodity Other"),Parameters!$M$4:$N$11,2,FALSE),1))))</x:f>
        <x:v>0.5</x:v>
      </x:c>
      <x:c r="AU180" s="27" t="n">
        <x:f>IF(W180="B",1,-1)</x:f>
        <x:v>-1</x:v>
      </x:c>
      <x:c r="AV180" s="27" t="n">
        <x:f>IF(OR(AA180="",M180=""),MAX(AE180,1/365),MAX((AA180-M180)/365,1/365))</x:f>
        <x:v>3.5835616438356164</x:v>
      </x:c>
      <x:c r="AW180" s="41" t="n">
        <x:f>IF(OR(Z180&lt;=0,Y180&lt;=0,AT180&lt;=0,AV180&lt;=0),"",(LN(Z180/Y180)+0.5*AT180^2*AV180)/(AT180*SQRT(AV180)))</x:f>
        <x:v>0.35920741311717175</x:v>
      </x:c>
      <x:c r="AX180" s="41" t="n">
        <x:f>IF(AND(X180&lt;&gt;"C",X180&lt;&gt;"P"),AU180,IF(AW180="",AU180,IF(X180="C",AU180*0.5*(1+ERF(AW180/SQRT(2))),-AU180*0.5*(1+ERF(-AW180/SQRT(2))))))</x:f>
        <x:v>-0.640280034323926</x:v>
      </x:c>
      <x:c r="AY180" s="41" t="n">
        <x:f>IF(AJ180="M",1.5*SQRT(MAX(IF(U180="Y",5,10),IF(V180="",10,V180))/Parameters!$B$6),SQRT(MIN(MAX(AE180,10/Parameters!$B$6),1)))</x:f>
        <x:v>0.21213203435596426</x:v>
      </x:c>
      <x:c r="AZ180" s="40" t="n">
        <x:f>AS180*AX180*AY180</x:f>
        <x:v>-194063763.1958576</x:v>
      </x:c>
      <x:c r="BA180" s="40" t="n">
        <x:f>'Python_Trade_Output'!AZ180</x:f>
        <x:v>-194063763.19585755</x:v>
      </x:c>
      <x:c r="BB180" s="43" t="n">
        <x:f>AZ180-BA180</x:f>
        <x:v>-5.960464477539063e-8</x:v>
      </x:c>
    </x:row>
    <x:row r="181">
      <x:c r="A181" s="27" t="str">
        <x:f>'Inputs_Trades'!D181</x:f>
        <x:v>IND-000178</x:v>
      </x:c>
      <x:c r="B181" s="27" t="str">
        <x:f>'Inputs_Trades'!B181</x:f>
        <x:v>IND_BANK_002</x:v>
      </x:c>
      <x:c r="C181" s="27" t="n">
        <x:f>'Inputs_Trades'!C181</x:f>
        <x:v>3132</x:v>
      </x:c>
      <x:c r="D181" s="27" t="str">
        <x:f>'Inputs_Trades'!E181</x:f>
        <x:v>Cap/Floor</x:v>
      </x:c>
      <x:c r="E181" s="27" t="str">
        <x:f>'Inputs_Trades'!F181</x:f>
        <x:v>Interest Rate</x:v>
      </x:c>
      <x:c r="F181" s="27" t="n">
        <x:f>'Inputs_Trades'!G181</x:f>
        <x:v>0</x:v>
      </x:c>
      <x:c r="G181" s="27" t="str">
        <x:f>'Inputs_Trades'!J181</x:f>
        <x:v>USD</x:v>
      </x:c>
      <x:c r="H181" s="27" t="str">
        <x:f>'Inputs_Trades'!H181</x:f>
        <x:v>USD</x:v>
      </x:c>
      <x:c r="I181" s="27" t="str">
        <x:f>'Inputs_Trades'!I181</x:f>
        <x:v>USD</x:v>
      </x:c>
      <x:c r="J181" s="27" t="str">
        <x:f>'Inputs_Trades'!M181</x:f>
        <x:v>USD</x:v>
      </x:c>
      <x:c r="K181" s="27" t="n">
        <x:f>'Inputs_Trades'!N181</x:f>
        <x:v>0</x:v>
      </x:c>
      <x:c r="L181" s="27" t="n">
        <x:f>'Inputs_Trades'!O181</x:f>
        <x:v>0</x:v>
      </x:c>
      <x:c r="M181" s="39" t="n">
        <x:f>'Inputs_Trades'!A181</x:f>
        <x:v>45702</x:v>
      </x:c>
      <x:c r="N181" s="39" t="n">
        <x:f>'Inputs_Trades'!P181</x:f>
        <x:v>47441</x:v>
      </x:c>
      <x:c r="O181" s="39" t="n">
        <x:f>'Inputs_Trades'!Q181</x:f>
        <x:v>44810</x:v>
      </x:c>
      <x:c r="P181" s="39" t="n">
        <x:f>'Inputs_Trades'!R181</x:f>
        <x:v>47441</x:v>
      </x:c>
      <x:c r="Q181" s="40" t="n">
        <x:f>'Inputs_Trades'!U181</x:f>
        <x:v>25100000</x:v>
      </x:c>
      <x:c r="R181" s="40" t="n">
        <x:f>'Inputs_Trades'!S181</x:f>
        <x:v>25100000</x:v>
      </x:c>
      <x:c r="S181" s="40" t="n">
        <x:f>'Inputs_Trades'!T181</x:f>
        <x:v>25100000</x:v>
      </x:c>
      <x:c r="T181" s="27" t="str">
        <x:f>'Inputs_Trades'!V181</x:f>
        <x:v>U</x:v>
      </x:c>
      <x:c r="U181" s="27" t="str">
        <x:f>'Inputs_Trades'!W181</x:f>
        <x:v>N</x:v>
      </x:c>
      <x:c r="V181" s="27" t="n">
        <x:f>'Inputs_Trades'!X181</x:f>
        <x:v>0</x:v>
      </x:c>
      <x:c r="W181" s="27" t="str">
        <x:f>'Inputs_Trades'!Y181</x:f>
        <x:v>S</x:v>
      </x:c>
      <x:c r="X181" s="27" t="str">
        <x:f>'Inputs_Trades'!AA181</x:f>
        <x:v>P</x:v>
      </x:c>
      <x:c r="Y181" s="27" t="n">
        <x:f>'Inputs_Trades'!AB181</x:f>
        <x:v>0.034679</x:v>
      </x:c>
      <x:c r="Z181" s="27" t="n">
        <x:f>'Inputs_Trades'!AC181</x:f>
        <x:v>0.0338</x:v>
      </x:c>
      <x:c r="AA181" s="39" t="n">
        <x:f>'Inputs_Trades'!Z181</x:f>
        <x:v>47006</x:v>
      </x:c>
      <x:c r="AB181" s="40" t="n">
        <x:f>'Inputs_Trades'!AD181</x:f>
        <x:v>117693.9</x:v>
      </x:c>
      <x:c r="AC181" s="27" t="n">
        <x:f>'Inputs_Trades'!K181</x:f>
        <x:v>0</x:v>
      </x:c>
      <x:c r="AD181" s="27" t="n">
        <x:f>N181-M181</x:f>
        <x:v>1739</x:v>
      </x:c>
      <x:c r="AE181" s="41" t="n">
        <x:f>AD181/365</x:f>
        <x:v>4.764383561643836</x:v>
      </x:c>
      <x:c r="AF181" s="27" t="str">
        <x:f>IF(AE181&lt;1,"&lt;1Y",IF(AE181&lt;=5,"1Y-5Y","&gt;5Y"))</x:f>
        <x:v>1Y-5Y</x:v>
      </x:c>
      <x:c r="AG181" s="27" t="str">
        <x:f>IF(E181="Commodity",IFERROR(VLOOKUP(F181,Parameters!$P$4:$Q$12,2,FALSE),"Other"),"")</x:f>
      </x:c>
      <x:c r="AH181" s="27" t="str">
        <x:f>IF(F181="","Unknown",F181)</x:f>
        <x:v>Unknown</x:v>
      </x:c>
      <x:c r="AI181" s="27" t="str">
        <x:f>IF(E181="Interest Rate",G181&amp;IF(OR(LOWER(AC181)="basis",LOWER(AC181)="volatility"),"_"&amp;AC181,""),IF(E181="FX",IF(H181&lt;I181,H181&amp;"/"&amp;I181,I181&amp;"/"&amp;H181)&amp;IF(OR(LOWER(AC181)="basis",LOWER(AC181)="volatility"),"_"&amp;AC181,""),IF(OR(E181="Credit",E181="Equity"),J181&amp;IF(OR(LOWER(AC181)="basis",LOWER(AC181)="volatility"),"_"&amp;AC181,""),IF(E181="Commodity",AG181&amp;IF(OR(LOWER(AC181)="basis",LOWER(AC181)="volatility"),"_"&amp;AC181,""),"UNKNOWN"))))</x:f>
        <x:v>USD</x:v>
      </x:c>
      <x:c r="AJ181" s="27" t="str">
        <x:f>T181</x:f>
        <x:v>U</x:v>
      </x:c>
      <x:c r="AK181" s="41" t="n">
        <x:f>IF(E181="Interest Rate",VLOOKUP("Interest Rate",Parameters!$D$4:$E$12,2,FALSE),IF(E181="FX",VLOOKUP("FX",Parameters!$D$4:$E$12,2,FALSE),IF(E181="Credit",IFERROR(VLOOKUP(L181,Parameters!$G$4:$H$12,2,FALSE),VLOOKUP("BBB",Parameters!$G$4:$H$12,2,FALSE)),IF(E181="Equity",VLOOKUP(IF(LOWER(K181)="index","Equity Index","Equity Single Name"),Parameters!$D$4:$E$12,2,FALSE),IF(E181="Commodity",VLOOKUP(IFERROR(VLOOKUP(F181,Parameters!$S$4:$T$12,2,FALSE),"Commodity Other"),Parameters!$D$4:$E$12,2,FALSE),0)))))</x:f>
        <x:v>0.005</x:v>
      </x:c>
      <x:c r="AL181" s="42" t="n">
        <x:f>IF(LOWER(AC181)="basis",Parameters!$B$8,IF(LOWER(AC181)="volatility",Parameters!$B$9,1))</x:f>
        <x:v>1</x:v>
      </x:c>
      <x:c r="AM181" s="41" t="n">
        <x:f>AK181*AL181</x:f>
        <x:v>0.005</x:v>
      </x:c>
      <x:c r="AN181" s="42" t="str">
        <x:f>IF(E181="Credit",VLOOKUP(IF(LOWER(K181)="index","Credit Index","Credit Single Name"),Parameters!$J$4:$K$8,2,FALSE),IF(E181="Equity",VLOOKUP(IF(LOWER(K181)="index","Equity Index","Equity Single Name"),Parameters!$J$4:$K$8,2,FALSE),IF(E181="Commodity",VLOOKUP("Commodity",Parameters!$J$4:$K$8,2,FALSE),"")))</x:f>
      </x:c>
      <x:c r="AO181" s="27" t="n">
        <x:f>MAX((O181-M181)/365,0)</x:f>
        <x:v>0</x:v>
      </x:c>
      <x:c r="AP181" s="27" t="n">
        <x:f>MAX((P181-M181)/365,10/Parameters!$B$6)</x:f>
        <x:v>4.764383561643836</x:v>
      </x:c>
      <x:c r="AQ181" s="27" t="n">
        <x:f>IF(AP181&lt;=AO181,AO181+10/Parameters!$B$6,AP181)</x:f>
        <x:v>4.764383561643836</x:v>
      </x:c>
      <x:c r="AR181" s="41" t="n">
        <x:f>IF(OR(E181="Interest Rate",E181="Credit"),(EXP(-Parameters!$B$7*AO181)-EXP(-Parameters!$B$7*AQ181))/Parameters!$B$7,1)</x:f>
        <x:v>4.2394009345915595</x:v>
      </x:c>
      <x:c r="AS181" s="40" t="n">
        <x:f>IF(OR(E181="Interest Rate",E181="Credit"),ABS(Q181)*AR181,IF(E181="FX",IF(Q181&gt;0,Q181,MAX(ABS(R181),ABS(S181),ABS(Q181))),ABS(Q181)))</x:f>
        <x:v>106408963.45824814</x:v>
      </x:c>
      <x:c r="AT181" s="42" t="n">
        <x:f>IF(OR(E181="Interest Rate",E181="FX"),VLOOKUP(E181,Parameters!$M$4:$N$11,2,FALSE),IF(E181="Credit",VLOOKUP(IF(LOWER(K181)="index","Credit Index","Credit Single Name"),Parameters!$M$4:$N$11,2,FALSE),IF(E181="Equity",VLOOKUP(IF(LOWER(K181)="index","Equity Index","Equity Single Name"),Parameters!$M$4:$N$11,2,FALSE),IF(E181="Commodity",VLOOKUP(IF(F181="Electricity","Commodity Electricity","Commodity Other"),Parameters!$M$4:$N$11,2,FALSE),1))))</x:f>
        <x:v>0.5</x:v>
      </x:c>
      <x:c r="AU181" s="27" t="n">
        <x:f>IF(W181="B",1,-1)</x:f>
        <x:v>-1</x:v>
      </x:c>
      <x:c r="AV181" s="27" t="n">
        <x:f>IF(OR(AA181="",M181=""),MAX(AE181,1/365),MAX((AA181-M181)/365,1/365))</x:f>
        <x:v>3.5726027397260274</x:v>
      </x:c>
      <x:c r="AW181" s="41" t="n">
        <x:f>IF(OR(Z181&lt;=0,Y181&lt;=0,AT181&lt;=0,AV181&lt;=0),"",(LN(Z181/Y181)+0.5*AT181^2*AV181)/(AT181*SQRT(AV181)))</x:f>
        <x:v>0.44536742078965197</x:v>
      </x:c>
      <x:c r="AX181" s="41" t="n">
        <x:f>IF(AND(X181&lt;&gt;"C",X181&lt;&gt;"P"),AU181,IF(AW181="",AU181,IF(X181="C",AU181*0.5*(1+ERF(AW181/SQRT(2))),-AU181*0.5*(1+ERF(-AW181/SQRT(2))))))</x:f>
        <x:v>0.3280271260946715</x:v>
      </x:c>
      <x:c r="AY181" s="41" t="n">
        <x:f>IF(AJ181="M",1.5*SQRT(MAX(IF(U181="Y",5,10),IF(V181="",10,V181))/Parameters!$B$6),SQRT(MIN(MAX(AE181,10/Parameters!$B$6),1)))</x:f>
        <x:v>1</x:v>
      </x:c>
      <x:c r="AZ181" s="40" t="n">
        <x:f>AS181*AX181*AY181</x:f>
        <x:v>34905026.47392205</x:v>
      </x:c>
      <x:c r="BA181" s="40" t="n">
        <x:f>'Python_Trade_Output'!AZ181</x:f>
        <x:v>34905026.47392207</x:v>
      </x:c>
      <x:c r="BB181" s="43" t="n">
        <x:f>AZ181-BA181</x:f>
        <x:v>-1.4901161193847656e-8</x:v>
      </x:c>
    </x:row>
    <x:row r="182">
      <x:c r="A182" s="27" t="str">
        <x:f>'Inputs_Trades'!D182</x:f>
        <x:v>IND-000179</x:v>
      </x:c>
      <x:c r="B182" s="27" t="str">
        <x:f>'Inputs_Trades'!B182</x:f>
        <x:v>IND_INSURER_001</x:v>
      </x:c>
      <x:c r="C182" s="27" t="n">
        <x:f>'Inputs_Trades'!C182</x:f>
        <x:v>3297</x:v>
      </x:c>
      <x:c r="D182" s="27" t="str">
        <x:f>'Inputs_Trades'!E182</x:f>
        <x:v>Cap/Floor</x:v>
      </x:c>
      <x:c r="E182" s="27" t="str">
        <x:f>'Inputs_Trades'!F182</x:f>
        <x:v>Interest Rate</x:v>
      </x:c>
      <x:c r="F182" s="27" t="n">
        <x:f>'Inputs_Trades'!G182</x:f>
        <x:v>0</x:v>
      </x:c>
      <x:c r="G182" s="27" t="str">
        <x:f>'Inputs_Trades'!J182</x:f>
        <x:v>USD</x:v>
      </x:c>
      <x:c r="H182" s="27" t="str">
        <x:f>'Inputs_Trades'!H182</x:f>
        <x:v>USD</x:v>
      </x:c>
      <x:c r="I182" s="27" t="str">
        <x:f>'Inputs_Trades'!I182</x:f>
        <x:v>USD</x:v>
      </x:c>
      <x:c r="J182" s="27" t="str">
        <x:f>'Inputs_Trades'!M182</x:f>
        <x:v>USD</x:v>
      </x:c>
      <x:c r="K182" s="27" t="n">
        <x:f>'Inputs_Trades'!N182</x:f>
        <x:v>0</x:v>
      </x:c>
      <x:c r="L182" s="27" t="n">
        <x:f>'Inputs_Trades'!O182</x:f>
        <x:v>0</x:v>
      </x:c>
      <x:c r="M182" s="39" t="n">
        <x:f>'Inputs_Trades'!A182</x:f>
        <x:v>45702</x:v>
      </x:c>
      <x:c r="N182" s="39" t="n">
        <x:f>'Inputs_Trades'!P182</x:f>
        <x:v>47126</x:v>
      </x:c>
      <x:c r="O182" s="39" t="n">
        <x:f>'Inputs_Trades'!Q182</x:f>
        <x:v>44882</x:v>
      </x:c>
      <x:c r="P182" s="39" t="n">
        <x:f>'Inputs_Trades'!R182</x:f>
        <x:v>47126</x:v>
      </x:c>
      <x:c r="Q182" s="40" t="n">
        <x:f>'Inputs_Trades'!U182</x:f>
        <x:v>328000000</x:v>
      </x:c>
      <x:c r="R182" s="40" t="n">
        <x:f>'Inputs_Trades'!S182</x:f>
        <x:v>328000000</x:v>
      </x:c>
      <x:c r="S182" s="40" t="n">
        <x:f>'Inputs_Trades'!T182</x:f>
        <x:v>328000000</x:v>
      </x:c>
      <x:c r="T182" s="27" t="str">
        <x:f>'Inputs_Trades'!V182</x:f>
        <x:v>M</x:v>
      </x:c>
      <x:c r="U182" s="27" t="str">
        <x:f>'Inputs_Trades'!W182</x:f>
        <x:v>N</x:v>
      </x:c>
      <x:c r="V182" s="27" t="n">
        <x:f>'Inputs_Trades'!X182</x:f>
        <x:v>10</x:v>
      </x:c>
      <x:c r="W182" s="27" t="str">
        <x:f>'Inputs_Trades'!Y182</x:f>
        <x:v>B</x:v>
      </x:c>
      <x:c r="X182" s="27" t="str">
        <x:f>'Inputs_Trades'!AA182</x:f>
        <x:v>C</x:v>
      </x:c>
      <x:c r="Y182" s="27" t="n">
        <x:f>'Inputs_Trades'!AB182</x:f>
        <x:v>0.042059</x:v>
      </x:c>
      <x:c r="Z182" s="27" t="n">
        <x:f>'Inputs_Trades'!AC182</x:f>
        <x:v>0.0388</x:v>
      </x:c>
      <x:c r="AA182" s="39" t="n">
        <x:f>'Inputs_Trades'!Z182</x:f>
        <x:v>46770</x:v>
      </x:c>
      <x:c r="AB182" s="40" t="n">
        <x:f>'Inputs_Trades'!AD182</x:f>
        <x:v>-1198512</x:v>
      </x:c>
      <x:c r="AC182" s="27" t="n">
        <x:f>'Inputs_Trades'!K182</x:f>
        <x:v>0</x:v>
      </x:c>
      <x:c r="AD182" s="27" t="n">
        <x:f>N182-M182</x:f>
        <x:v>1424</x:v>
      </x:c>
      <x:c r="AE182" s="41" t="n">
        <x:f>AD182/365</x:f>
        <x:v>3.9013698630136986</x:v>
      </x:c>
      <x:c r="AF182" s="27" t="str">
        <x:f>IF(AE182&lt;1,"&lt;1Y",IF(AE182&lt;=5,"1Y-5Y","&gt;5Y"))</x:f>
        <x:v>1Y-5Y</x:v>
      </x:c>
      <x:c r="AG182" s="27" t="str">
        <x:f>IF(E182="Commodity",IFERROR(VLOOKUP(F182,Parameters!$P$4:$Q$12,2,FALSE),"Other"),"")</x:f>
      </x:c>
      <x:c r="AH182" s="27" t="str">
        <x:f>IF(F182="","Unknown",F182)</x:f>
        <x:v>Unknown</x:v>
      </x:c>
      <x:c r="AI182" s="27" t="str">
        <x:f>IF(E182="Interest Rate",G182&amp;IF(OR(LOWER(AC182)="basis",LOWER(AC182)="volatility"),"_"&amp;AC182,""),IF(E182="FX",IF(H182&lt;I182,H182&amp;"/"&amp;I182,I182&amp;"/"&amp;H182)&amp;IF(OR(LOWER(AC182)="basis",LOWER(AC182)="volatility"),"_"&amp;AC182,""),IF(OR(E182="Credit",E182="Equity"),J182&amp;IF(OR(LOWER(AC182)="basis",LOWER(AC182)="volatility"),"_"&amp;AC182,""),IF(E182="Commodity",AG182&amp;IF(OR(LOWER(AC182)="basis",LOWER(AC182)="volatility"),"_"&amp;AC182,""),"UNKNOWN"))))</x:f>
        <x:v>USD</x:v>
      </x:c>
      <x:c r="AJ182" s="27" t="str">
        <x:f>T182</x:f>
        <x:v>M</x:v>
      </x:c>
      <x:c r="AK182" s="41" t="n">
        <x:f>IF(E182="Interest Rate",VLOOKUP("Interest Rate",Parameters!$D$4:$E$12,2,FALSE),IF(E182="FX",VLOOKUP("FX",Parameters!$D$4:$E$12,2,FALSE),IF(E182="Credit",IFERROR(VLOOKUP(L182,Parameters!$G$4:$H$12,2,FALSE),VLOOKUP("BBB",Parameters!$G$4:$H$12,2,FALSE)),IF(E182="Equity",VLOOKUP(IF(LOWER(K182)="index","Equity Index","Equity Single Name"),Parameters!$D$4:$E$12,2,FALSE),IF(E182="Commodity",VLOOKUP(IFERROR(VLOOKUP(F182,Parameters!$S$4:$T$12,2,FALSE),"Commodity Other"),Parameters!$D$4:$E$12,2,FALSE),0)))))</x:f>
        <x:v>0.005</x:v>
      </x:c>
      <x:c r="AL182" s="42" t="n">
        <x:f>IF(LOWER(AC182)="basis",Parameters!$B$8,IF(LOWER(AC182)="volatility",Parameters!$B$9,1))</x:f>
        <x:v>1</x:v>
      </x:c>
      <x:c r="AM182" s="41" t="n">
        <x:f>AK182*AL182</x:f>
        <x:v>0.005</x:v>
      </x:c>
      <x:c r="AN182" s="42" t="str">
        <x:f>IF(E182="Credit",VLOOKUP(IF(LOWER(K182)="index","Credit Index","Credit Single Name"),Parameters!$J$4:$K$8,2,FALSE),IF(E182="Equity",VLOOKUP(IF(LOWER(K182)="index","Equity Index","Equity Single Name"),Parameters!$J$4:$K$8,2,FALSE),IF(E182="Commodity",VLOOKUP("Commodity",Parameters!$J$4:$K$8,2,FALSE),"")))</x:f>
      </x:c>
      <x:c r="AO182" s="27" t="n">
        <x:f>MAX((O182-M182)/365,0)</x:f>
        <x:v>0</x:v>
      </x:c>
      <x:c r="AP182" s="27" t="n">
        <x:f>MAX((P182-M182)/365,10/Parameters!$B$6)</x:f>
        <x:v>3.9013698630136986</x:v>
      </x:c>
      <x:c r="AQ182" s="27" t="n">
        <x:f>IF(AP182&lt;=AO182,AO182+10/Parameters!$B$6,AP182)</x:f>
        <x:v>3.9013698630136986</x:v>
      </x:c>
      <x:c r="AR182" s="41" t="n">
        <x:f>IF(OR(E182="Interest Rate",E182="Credit"),(EXP(-Parameters!$B$7*AO182)-EXP(-Parameters!$B$7*AQ182))/Parameters!$B$7,1)</x:f>
        <x:v>3.544433971043235</x:v>
      </x:c>
      <x:c r="AS182" s="40" t="n">
        <x:f>IF(OR(E182="Interest Rate",E182="Credit"),ABS(Q182)*AR182,IF(E182="FX",IF(Q182&gt;0,Q182,MAX(ABS(R182),ABS(S182),ABS(Q182))),ABS(Q182)))</x:f>
        <x:v>1162574342.502181</x:v>
      </x:c>
      <x:c r="AT182" s="42" t="n">
        <x:f>IF(OR(E182="Interest Rate",E182="FX"),VLOOKUP(E182,Parameters!$M$4:$N$11,2,FALSE),IF(E182="Credit",VLOOKUP(IF(LOWER(K182)="index","Credit Index","Credit Single Name"),Parameters!$M$4:$N$11,2,FALSE),IF(E182="Equity",VLOOKUP(IF(LOWER(K182)="index","Equity Index","Equity Single Name"),Parameters!$M$4:$N$11,2,FALSE),IF(E182="Commodity",VLOOKUP(IF(F182="Electricity","Commodity Electricity","Commodity Other"),Parameters!$M$4:$N$11,2,FALSE),1))))</x:f>
        <x:v>0.5</x:v>
      </x:c>
      <x:c r="AU182" s="27" t="n">
        <x:f>IF(W182="B",1,-1)</x:f>
        <x:v>1</x:v>
      </x:c>
      <x:c r="AV182" s="27" t="n">
        <x:f>IF(OR(AA182="",M182=""),MAX(AE182,1/365),MAX((AA182-M182)/365,1/365))</x:f>
        <x:v>2.926027397260274</x:v>
      </x:c>
      <x:c r="AW182" s="41" t="n">
        <x:f>IF(OR(Z182&lt;=0,Y182&lt;=0,AT182&lt;=0,AV182&lt;=0),"",(LN(Z182/Y182)+0.5*AT182^2*AV182)/(AT182*SQRT(AV182)))</x:f>
        <x:v>0.3333407748399228</x:v>
      </x:c>
      <x:c r="AX182" s="41" t="n">
        <x:f>IF(AND(X182&lt;&gt;"C",X182&lt;&gt;"P"),AU182,IF(AW182="",AU182,IF(X182="C",AU182*0.5*(1+ERF(AW182/SQRT(2))),-AU182*0.5*(1+ERF(-AW182/SQRT(2))))))</x:f>
        <x:v>0.6305614681145291</x:v>
      </x:c>
      <x:c r="AY182" s="41" t="n">
        <x:f>IF(AJ182="M",1.5*SQRT(MAX(IF(U182="Y",5,10),IF(V182="",10,V182))/Parameters!$B$6),SQRT(MIN(MAX(AE182,10/Parameters!$B$6),1)))</x:f>
        <x:v>0.30000000000000004</x:v>
      </x:c>
      <x:c r="AZ182" s="40" t="n">
        <x:f>AS182*AX182*AY182</x:f>
        <x:v>219922375.26013762</x:v>
      </x:c>
      <x:c r="BA182" s="40" t="n">
        <x:f>'Python_Trade_Output'!AZ182</x:f>
        <x:v>219922375.2601376</x:v>
      </x:c>
      <x:c r="BB182" s="43" t="n">
        <x:f>AZ182-BA182</x:f>
        <x:v>2.9802322387695312e-8</x:v>
      </x:c>
    </x:row>
    <x:row r="183">
      <x:c r="A183" s="27" t="str">
        <x:f>'Inputs_Trades'!D183</x:f>
        <x:v>IND-000180</x:v>
      </x:c>
      <x:c r="B183" s="27" t="str">
        <x:f>'Inputs_Trades'!B183</x:f>
        <x:v>IND_CORPORATE_001</x:v>
      </x:c>
      <x:c r="C183" s="27" t="n">
        <x:f>'Inputs_Trades'!C183</x:f>
        <x:v>3004</x:v>
      </x:c>
      <x:c r="D183" s="27" t="str">
        <x:f>'Inputs_Trades'!E183</x:f>
        <x:v>Cap/Floor</x:v>
      </x:c>
      <x:c r="E183" s="27" t="str">
        <x:f>'Inputs_Trades'!F183</x:f>
        <x:v>Interest Rate</x:v>
      </x:c>
      <x:c r="F183" s="27" t="n">
        <x:f>'Inputs_Trades'!G183</x:f>
        <x:v>0</x:v>
      </x:c>
      <x:c r="G183" s="27" t="str">
        <x:f>'Inputs_Trades'!J183</x:f>
        <x:v>EUR</x:v>
      </x:c>
      <x:c r="H183" s="27" t="str">
        <x:f>'Inputs_Trades'!H183</x:f>
        <x:v>EUR</x:v>
      </x:c>
      <x:c r="I183" s="27" t="str">
        <x:f>'Inputs_Trades'!I183</x:f>
        <x:v>EUR</x:v>
      </x:c>
      <x:c r="J183" s="27" t="str">
        <x:f>'Inputs_Trades'!M183</x:f>
        <x:v>EUR</x:v>
      </x:c>
      <x:c r="K183" s="27" t="n">
        <x:f>'Inputs_Trades'!N183</x:f>
        <x:v>0</x:v>
      </x:c>
      <x:c r="L183" s="27" t="n">
        <x:f>'Inputs_Trades'!O183</x:f>
        <x:v>0</x:v>
      </x:c>
      <x:c r="M183" s="39" t="n">
        <x:f>'Inputs_Trades'!A183</x:f>
        <x:v>45702</x:v>
      </x:c>
      <x:c r="N183" s="39" t="n">
        <x:f>'Inputs_Trades'!P183</x:f>
        <x:v>46792</x:v>
      </x:c>
      <x:c r="O183" s="39" t="n">
        <x:f>'Inputs_Trades'!Q183</x:f>
        <x:v>45216</x:v>
      </x:c>
      <x:c r="P183" s="39" t="n">
        <x:f>'Inputs_Trades'!R183</x:f>
        <x:v>46792</x:v>
      </x:c>
      <x:c r="Q183" s="40" t="n">
        <x:f>'Inputs_Trades'!U183</x:f>
        <x:v>202000000</x:v>
      </x:c>
      <x:c r="R183" s="40" t="n">
        <x:f>'Inputs_Trades'!S183</x:f>
        <x:v>192380952.38</x:v>
      </x:c>
      <x:c r="S183" s="40" t="n">
        <x:f>'Inputs_Trades'!T183</x:f>
        <x:v>192380952.38</x:v>
      </x:c>
      <x:c r="T183" s="27" t="str">
        <x:f>'Inputs_Trades'!V183</x:f>
        <x:v>M</x:v>
      </x:c>
      <x:c r="U183" s="27" t="str">
        <x:f>'Inputs_Trades'!W183</x:f>
        <x:v>Y</x:v>
      </x:c>
      <x:c r="V183" s="27" t="n">
        <x:f>'Inputs_Trades'!X183</x:f>
        <x:v>5</x:v>
      </x:c>
      <x:c r="W183" s="27" t="str">
        <x:f>'Inputs_Trades'!Y183</x:f>
        <x:v>S</x:v>
      </x:c>
      <x:c r="X183" s="27" t="str">
        <x:f>'Inputs_Trades'!AA183</x:f>
        <x:v>C</x:v>
      </x:c>
      <x:c r="Y183" s="27" t="n">
        <x:f>'Inputs_Trades'!AB183</x:f>
        <x:v>0.030956</x:v>
      </x:c>
      <x:c r="Z183" s="27" t="n">
        <x:f>'Inputs_Trades'!AC183</x:f>
        <x:v>0.0349</x:v>
      </x:c>
      <x:c r="AA183" s="39" t="n">
        <x:f>'Inputs_Trades'!Z183</x:f>
        <x:v>46519</x:v>
      </x:c>
      <x:c r="AB183" s="40" t="n">
        <x:f>'Inputs_Trades'!AD183</x:f>
        <x:v>-123624</x:v>
      </x:c>
      <x:c r="AC183" s="27" t="n">
        <x:f>'Inputs_Trades'!K183</x:f>
        <x:v>0</x:v>
      </x:c>
      <x:c r="AD183" s="27" t="n">
        <x:f>N183-M183</x:f>
        <x:v>1090</x:v>
      </x:c>
      <x:c r="AE183" s="41" t="n">
        <x:f>AD183/365</x:f>
        <x:v>2.9863013698630136</x:v>
      </x:c>
      <x:c r="AF183" s="27" t="str">
        <x:f>IF(AE183&lt;1,"&lt;1Y",IF(AE183&lt;=5,"1Y-5Y","&gt;5Y"))</x:f>
        <x:v>1Y-5Y</x:v>
      </x:c>
      <x:c r="AG183" s="27" t="str">
        <x:f>IF(E183="Commodity",IFERROR(VLOOKUP(F183,Parameters!$P$4:$Q$12,2,FALSE),"Other"),"")</x:f>
      </x:c>
      <x:c r="AH183" s="27" t="str">
        <x:f>IF(F183="","Unknown",F183)</x:f>
        <x:v>Unknown</x:v>
      </x:c>
      <x:c r="AI183" s="27" t="str">
        <x:f>IF(E183="Interest Rate",G183&amp;IF(OR(LOWER(AC183)="basis",LOWER(AC183)="volatility"),"_"&amp;AC183,""),IF(E183="FX",IF(H183&lt;I183,H183&amp;"/"&amp;I183,I183&amp;"/"&amp;H183)&amp;IF(OR(LOWER(AC183)="basis",LOWER(AC183)="volatility"),"_"&amp;AC183,""),IF(OR(E183="Credit",E183="Equity"),J183&amp;IF(OR(LOWER(AC183)="basis",LOWER(AC183)="volatility"),"_"&amp;AC183,""),IF(E183="Commodity",AG183&amp;IF(OR(LOWER(AC183)="basis",LOWER(AC183)="volatility"),"_"&amp;AC183,""),"UNKNOWN"))))</x:f>
        <x:v>EUR</x:v>
      </x:c>
      <x:c r="AJ183" s="27" t="str">
        <x:f>T183</x:f>
        <x:v>M</x:v>
      </x:c>
      <x:c r="AK183" s="41" t="n">
        <x:f>IF(E183="Interest Rate",VLOOKUP("Interest Rate",Parameters!$D$4:$E$12,2,FALSE),IF(E183="FX",VLOOKUP("FX",Parameters!$D$4:$E$12,2,FALSE),IF(E183="Credit",IFERROR(VLOOKUP(L183,Parameters!$G$4:$H$12,2,FALSE),VLOOKUP("BBB",Parameters!$G$4:$H$12,2,FALSE)),IF(E183="Equity",VLOOKUP(IF(LOWER(K183)="index","Equity Index","Equity Single Name"),Parameters!$D$4:$E$12,2,FALSE),IF(E183="Commodity",VLOOKUP(IFERROR(VLOOKUP(F183,Parameters!$S$4:$T$12,2,FALSE),"Commodity Other"),Parameters!$D$4:$E$12,2,FALSE),0)))))</x:f>
        <x:v>0.005</x:v>
      </x:c>
      <x:c r="AL183" s="42" t="n">
        <x:f>IF(LOWER(AC183)="basis",Parameters!$B$8,IF(LOWER(AC183)="volatility",Parameters!$B$9,1))</x:f>
        <x:v>1</x:v>
      </x:c>
      <x:c r="AM183" s="41" t="n">
        <x:f>AK183*AL183</x:f>
        <x:v>0.005</x:v>
      </x:c>
      <x:c r="AN183" s="42" t="str">
        <x:f>IF(E183="Credit",VLOOKUP(IF(LOWER(K183)="index","Credit Index","Credit Single Name"),Parameters!$J$4:$K$8,2,FALSE),IF(E183="Equity",VLOOKUP(IF(LOWER(K183)="index","Equity Index","Equity Single Name"),Parameters!$J$4:$K$8,2,FALSE),IF(E183="Commodity",VLOOKUP("Commodity",Parameters!$J$4:$K$8,2,FALSE),"")))</x:f>
      </x:c>
      <x:c r="AO183" s="27" t="n">
        <x:f>MAX((O183-M183)/365,0)</x:f>
        <x:v>0</x:v>
      </x:c>
      <x:c r="AP183" s="27" t="n">
        <x:f>MAX((P183-M183)/365,10/Parameters!$B$6)</x:f>
        <x:v>2.9863013698630136</x:v>
      </x:c>
      <x:c r="AQ183" s="27" t="n">
        <x:f>IF(AP183&lt;=AO183,AO183+10/Parameters!$B$6,AP183)</x:f>
        <x:v>2.9863013698630136</x:v>
      </x:c>
      <x:c r="AR183" s="41" t="n">
        <x:f>IF(OR(E183="Interest Rate",E183="Credit"),(EXP(-Parameters!$B$7*AO183)-EXP(-Parameters!$B$7*AQ183))/Parameters!$B$7,1)</x:f>
        <x:v>2.7740459125024097</x:v>
      </x:c>
      <x:c r="AS183" s="40" t="n">
        <x:f>IF(OR(E183="Interest Rate",E183="Credit"),ABS(Q183)*AR183,IF(E183="FX",IF(Q183&gt;0,Q183,MAX(ABS(R183),ABS(S183),ABS(Q183))),ABS(Q183)))</x:f>
        <x:v>560357274.3254868</x:v>
      </x:c>
      <x:c r="AT183" s="42" t="n">
        <x:f>IF(OR(E183="Interest Rate",E183="FX"),VLOOKUP(E183,Parameters!$M$4:$N$11,2,FALSE),IF(E183="Credit",VLOOKUP(IF(LOWER(K183)="index","Credit Index","Credit Single Name"),Parameters!$M$4:$N$11,2,FALSE),IF(E183="Equity",VLOOKUP(IF(LOWER(K183)="index","Equity Index","Equity Single Name"),Parameters!$M$4:$N$11,2,FALSE),IF(E183="Commodity",VLOOKUP(IF(F183="Electricity","Commodity Electricity","Commodity Other"),Parameters!$M$4:$N$11,2,FALSE),1))))</x:f>
        <x:v>0.5</x:v>
      </x:c>
      <x:c r="AU183" s="27" t="n">
        <x:f>IF(W183="B",1,-1)</x:f>
        <x:v>-1</x:v>
      </x:c>
      <x:c r="AV183" s="27" t="n">
        <x:f>IF(OR(AA183="",M183=""),MAX(AE183,1/365),MAX((AA183-M183)/365,1/365))</x:f>
        <x:v>2.2383561643835614</x:v>
      </x:c>
      <x:c r="AW183" s="41" t="n">
        <x:f>IF(OR(Z183&lt;=0,Y183&lt;=0,AT183&lt;=0,AV183&lt;=0),"",(LN(Z183/Y183)+0.5*AT183^2*AV183)/(AT183*SQRT(AV183)))</x:f>
        <x:v>0.534337078559388</x:v>
      </x:c>
      <x:c r="AX183" s="41" t="n">
        <x:f>IF(AND(X183&lt;&gt;"C",X183&lt;&gt;"P"),AU183,IF(AW183="",AU183,IF(X183="C",AU183*0.5*(1+ERF(AW183/SQRT(2))),-AU183*0.5*(1+ERF(-AW183/SQRT(2))))))</x:f>
        <x:v>-0.7034458283241091</x:v>
      </x:c>
      <x:c r="AY183" s="41" t="n">
        <x:f>IF(AJ183="M",1.5*SQRT(MAX(IF(U183="Y",5,10),IF(V183="",10,V183))/Parameters!$B$6),SQRT(MIN(MAX(AE183,10/Parameters!$B$6),1)))</x:f>
        <x:v>0.21213203435596426</x:v>
      </x:c>
      <x:c r="AZ183" s="40" t="n">
        <x:f>AS183*AX183*AY183</x:f>
        <x:v>-83618414.67576168</x:v>
      </x:c>
      <x:c r="BA183" s="40" t="n">
        <x:f>'Python_Trade_Output'!AZ183</x:f>
        <x:v>-83618414.6757617</x:v>
      </x:c>
      <x:c r="BB183" s="43" t="n">
        <x:f>AZ183-BA183</x:f>
        <x:v>1.4901161193847656e-8</x:v>
      </x:c>
    </x:row>
    <x:row r="184">
      <x:c r="A184" s="27" t="str">
        <x:f>'Inputs_Trades'!D184</x:f>
        <x:v>IND-000181</x:v>
      </x:c>
      <x:c r="B184" s="27" t="str">
        <x:f>'Inputs_Trades'!B184</x:f>
        <x:v>IND_HEDGE_FUND_001</x:v>
      </x:c>
      <x:c r="C184" s="27" t="n">
        <x:f>'Inputs_Trades'!C184</x:f>
        <x:v>3345</x:v>
      </x:c>
      <x:c r="D184" s="27" t="str">
        <x:f>'Inputs_Trades'!E184</x:f>
        <x:v>Cap/Floor</x:v>
      </x:c>
      <x:c r="E184" s="27" t="str">
        <x:f>'Inputs_Trades'!F184</x:f>
        <x:v>Interest Rate</x:v>
      </x:c>
      <x:c r="F184" s="27" t="n">
        <x:f>'Inputs_Trades'!G184</x:f>
        <x:v>0</x:v>
      </x:c>
      <x:c r="G184" s="27" t="str">
        <x:f>'Inputs_Trades'!J184</x:f>
        <x:v>USD</x:v>
      </x:c>
      <x:c r="H184" s="27" t="str">
        <x:f>'Inputs_Trades'!H184</x:f>
        <x:v>USD</x:v>
      </x:c>
      <x:c r="I184" s="27" t="str">
        <x:f>'Inputs_Trades'!I184</x:f>
        <x:v>USD</x:v>
      </x:c>
      <x:c r="J184" s="27" t="str">
        <x:f>'Inputs_Trades'!M184</x:f>
        <x:v>USD</x:v>
      </x:c>
      <x:c r="K184" s="27" t="n">
        <x:f>'Inputs_Trades'!N184</x:f>
        <x:v>0</x:v>
      </x:c>
      <x:c r="L184" s="27" t="n">
        <x:f>'Inputs_Trades'!O184</x:f>
        <x:v>0</x:v>
      </x:c>
      <x:c r="M184" s="39" t="n">
        <x:f>'Inputs_Trades'!A184</x:f>
        <x:v>45702</x:v>
      </x:c>
      <x:c r="N184" s="39" t="n">
        <x:f>'Inputs_Trades'!P184</x:f>
        <x:v>45994</x:v>
      </x:c>
      <x:c r="O184" s="39" t="n">
        <x:f>'Inputs_Trades'!Q184</x:f>
        <x:v>45592</x:v>
      </x:c>
      <x:c r="P184" s="39" t="n">
        <x:f>'Inputs_Trades'!R184</x:f>
        <x:v>45994</x:v>
      </x:c>
      <x:c r="Q184" s="40" t="n">
        <x:f>'Inputs_Trades'!U184</x:f>
        <x:v>304000000</x:v>
      </x:c>
      <x:c r="R184" s="40" t="n">
        <x:f>'Inputs_Trades'!S184</x:f>
        <x:v>304000000</x:v>
      </x:c>
      <x:c r="S184" s="40" t="n">
        <x:f>'Inputs_Trades'!T184</x:f>
        <x:v>304000000</x:v>
      </x:c>
      <x:c r="T184" s="27" t="str">
        <x:f>'Inputs_Trades'!V184</x:f>
        <x:v>M</x:v>
      </x:c>
      <x:c r="U184" s="27" t="str">
        <x:f>'Inputs_Trades'!W184</x:f>
        <x:v>N</x:v>
      </x:c>
      <x:c r="V184" s="27" t="n">
        <x:f>'Inputs_Trades'!X184</x:f>
        <x:v>10</x:v>
      </x:c>
      <x:c r="W184" s="27" t="str">
        <x:f>'Inputs_Trades'!Y184</x:f>
        <x:v>B</x:v>
      </x:c>
      <x:c r="X184" s="27" t="str">
        <x:f>'Inputs_Trades'!AA184</x:f>
        <x:v>C</x:v>
      </x:c>
      <x:c r="Y184" s="27" t="n">
        <x:f>'Inputs_Trades'!AB184</x:f>
        <x:v>0.015272</x:v>
      </x:c>
      <x:c r="Z184" s="27" t="n">
        <x:f>'Inputs_Trades'!AC184</x:f>
        <x:v>0.0156</x:v>
      </x:c>
      <x:c r="AA184" s="39" t="n">
        <x:f>'Inputs_Trades'!Z184</x:f>
        <x:v>45921</x:v>
      </x:c>
      <x:c r="AB184" s="40" t="n">
        <x:f>'Inputs_Trades'!AD184</x:f>
        <x:v>588240</x:v>
      </x:c>
      <x:c r="AC184" s="27" t="n">
        <x:f>'Inputs_Trades'!K184</x:f>
        <x:v>0</x:v>
      </x:c>
      <x:c r="AD184" s="27" t="n">
        <x:f>N184-M184</x:f>
        <x:v>292</x:v>
      </x:c>
      <x:c r="AE184" s="41" t="n">
        <x:f>AD184/365</x:f>
        <x:v>0.8</x:v>
      </x:c>
      <x:c r="AF184" s="27" t="str">
        <x:f>IF(AE184&lt;1,"&lt;1Y",IF(AE184&lt;=5,"1Y-5Y","&gt;5Y"))</x:f>
        <x:v>&lt;1Y</x:v>
      </x:c>
      <x:c r="AG184" s="27" t="str">
        <x:f>IF(E184="Commodity",IFERROR(VLOOKUP(F184,Parameters!$P$4:$Q$12,2,FALSE),"Other"),"")</x:f>
      </x:c>
      <x:c r="AH184" s="27" t="str">
        <x:f>IF(F184="","Unknown",F184)</x:f>
        <x:v>Unknown</x:v>
      </x:c>
      <x:c r="AI184" s="27" t="str">
        <x:f>IF(E184="Interest Rate",G184&amp;IF(OR(LOWER(AC184)="basis",LOWER(AC184)="volatility"),"_"&amp;AC184,""),IF(E184="FX",IF(H184&lt;I184,H184&amp;"/"&amp;I184,I184&amp;"/"&amp;H184)&amp;IF(OR(LOWER(AC184)="basis",LOWER(AC184)="volatility"),"_"&amp;AC184,""),IF(OR(E184="Credit",E184="Equity"),J184&amp;IF(OR(LOWER(AC184)="basis",LOWER(AC184)="volatility"),"_"&amp;AC184,""),IF(E184="Commodity",AG184&amp;IF(OR(LOWER(AC184)="basis",LOWER(AC184)="volatility"),"_"&amp;AC184,""),"UNKNOWN"))))</x:f>
        <x:v>USD</x:v>
      </x:c>
      <x:c r="AJ184" s="27" t="str">
        <x:f>T184</x:f>
        <x:v>M</x:v>
      </x:c>
      <x:c r="AK184" s="41" t="n">
        <x:f>IF(E184="Interest Rate",VLOOKUP("Interest Rate",Parameters!$D$4:$E$12,2,FALSE),IF(E184="FX",VLOOKUP("FX",Parameters!$D$4:$E$12,2,FALSE),IF(E184="Credit",IFERROR(VLOOKUP(L184,Parameters!$G$4:$H$12,2,FALSE),VLOOKUP("BBB",Parameters!$G$4:$H$12,2,FALSE)),IF(E184="Equity",VLOOKUP(IF(LOWER(K184)="index","Equity Index","Equity Single Name"),Parameters!$D$4:$E$12,2,FALSE),IF(E184="Commodity",VLOOKUP(IFERROR(VLOOKUP(F184,Parameters!$S$4:$T$12,2,FALSE),"Commodity Other"),Parameters!$D$4:$E$12,2,FALSE),0)))))</x:f>
        <x:v>0.005</x:v>
      </x:c>
      <x:c r="AL184" s="42" t="n">
        <x:f>IF(LOWER(AC184)="basis",Parameters!$B$8,IF(LOWER(AC184)="volatility",Parameters!$B$9,1))</x:f>
        <x:v>1</x:v>
      </x:c>
      <x:c r="AM184" s="41" t="n">
        <x:f>AK184*AL184</x:f>
        <x:v>0.005</x:v>
      </x:c>
      <x:c r="AN184" s="42" t="str">
        <x:f>IF(E184="Credit",VLOOKUP(IF(LOWER(K184)="index","Credit Index","Credit Single Name"),Parameters!$J$4:$K$8,2,FALSE),IF(E184="Equity",VLOOKUP(IF(LOWER(K184)="index","Equity Index","Equity Single Name"),Parameters!$J$4:$K$8,2,FALSE),IF(E184="Commodity",VLOOKUP("Commodity",Parameters!$J$4:$K$8,2,FALSE),"")))</x:f>
      </x:c>
      <x:c r="AO184" s="27" t="n">
        <x:f>MAX((O184-M184)/365,0)</x:f>
        <x:v>0</x:v>
      </x:c>
      <x:c r="AP184" s="27" t="n">
        <x:f>MAX((P184-M184)/365,10/Parameters!$B$6)</x:f>
        <x:v>0.8</x:v>
      </x:c>
      <x:c r="AQ184" s="27" t="n">
        <x:f>IF(AP184&lt;=AO184,AO184+10/Parameters!$B$6,AP184)</x:f>
        <x:v>0.8</x:v>
      </x:c>
      <x:c r="AR184" s="41" t="n">
        <x:f>IF(OR(E184="Interest Rate",E184="Credit"),(EXP(-Parameters!$B$7*AO184)-EXP(-Parameters!$B$7*AQ184))/Parameters!$B$7,1)</x:f>
        <x:v>0.7842112169535365</x:v>
      </x:c>
      <x:c r="AS184" s="40" t="n">
        <x:f>IF(OR(E184="Interest Rate",E184="Credit"),ABS(Q184)*AR184,IF(E184="FX",IF(Q184&gt;0,Q184,MAX(ABS(R184),ABS(S184),ABS(Q184))),ABS(Q184)))</x:f>
        <x:v>238400209.9538751</x:v>
      </x:c>
      <x:c r="AT184" s="42" t="n">
        <x:f>IF(OR(E184="Interest Rate",E184="FX"),VLOOKUP(E184,Parameters!$M$4:$N$11,2,FALSE),IF(E184="Credit",VLOOKUP(IF(LOWER(K184)="index","Credit Index","Credit Single Name"),Parameters!$M$4:$N$11,2,FALSE),IF(E184="Equity",VLOOKUP(IF(LOWER(K184)="index","Equity Index","Equity Single Name"),Parameters!$M$4:$N$11,2,FALSE),IF(E184="Commodity",VLOOKUP(IF(F184="Electricity","Commodity Electricity","Commodity Other"),Parameters!$M$4:$N$11,2,FALSE),1))))</x:f>
        <x:v>0.5</x:v>
      </x:c>
      <x:c r="AU184" s="27" t="n">
        <x:f>IF(W184="B",1,-1)</x:f>
        <x:v>1</x:v>
      </x:c>
      <x:c r="AV184" s="27" t="n">
        <x:f>IF(OR(AA184="",M184=""),MAX(AE184,1/365),MAX((AA184-M184)/365,1/365))</x:f>
        <x:v>0.6</x:v>
      </x:c>
      <x:c r="AW184" s="41" t="n">
        <x:f>IF(OR(Z184&lt;=0,Y184&lt;=0,AT184&lt;=0,AV184&lt;=0),"",(LN(Z184/Y184)+0.5*AT184^2*AV184)/(AT184*SQRT(AV184)))</x:f>
        <x:v>0.24851598684589354</x:v>
      </x:c>
      <x:c r="AX184" s="41" t="n">
        <x:f>IF(AND(X184&lt;&gt;"C",X184&lt;&gt;"P"),AU184,IF(AW184="",AU184,IF(X184="C",AU184*0.5*(1+ERF(AW184/SQRT(2))),-AU184*0.5*(1+ERF(-AW184/SQRT(2))))))</x:f>
        <x:v>0.5981323988641691</x:v>
      </x:c>
      <x:c r="AY184" s="41" t="n">
        <x:f>IF(AJ184="M",1.5*SQRT(MAX(IF(U184="Y",5,10),IF(V184="",10,V184))/Parameters!$B$6),SQRT(MIN(MAX(AE184,10/Parameters!$B$6),1)))</x:f>
        <x:v>0.30000000000000004</x:v>
      </x:c>
      <x:c r="AZ184" s="40" t="n">
        <x:f>AS184*AX184*AY184</x:f>
        <x:v>42778466.84082987</x:v>
      </x:c>
      <x:c r="BA184" s="40" t="n">
        <x:f>'Python_Trade_Output'!AZ184</x:f>
        <x:v>42778466.84082987</x:v>
      </x:c>
      <x:c r="BB184" s="43" t="n">
        <x:f>AZ184-BA184</x:f>
        <x:v>0</x:v>
      </x:c>
    </x:row>
    <x:row r="185">
      <x:c r="A185" s="27" t="str">
        <x:f>'Inputs_Trades'!D185</x:f>
        <x:v>IND-000182</x:v>
      </x:c>
      <x:c r="B185" s="27" t="str">
        <x:f>'Inputs_Trades'!B185</x:f>
        <x:v>IND_SOVEREIGN_001</x:v>
      </x:c>
      <x:c r="C185" s="27" t="n">
        <x:f>'Inputs_Trades'!C185</x:f>
        <x:v>3246</x:v>
      </x:c>
      <x:c r="D185" s="27" t="str">
        <x:f>'Inputs_Trades'!E185</x:f>
        <x:v>Cap/Floor</x:v>
      </x:c>
      <x:c r="E185" s="27" t="str">
        <x:f>'Inputs_Trades'!F185</x:f>
        <x:v>Interest Rate</x:v>
      </x:c>
      <x:c r="F185" s="27" t="n">
        <x:f>'Inputs_Trades'!G185</x:f>
        <x:v>0</x:v>
      </x:c>
      <x:c r="G185" s="27" t="str">
        <x:f>'Inputs_Trades'!J185</x:f>
        <x:v>EUR</x:v>
      </x:c>
      <x:c r="H185" s="27" t="str">
        <x:f>'Inputs_Trades'!H185</x:f>
        <x:v>EUR</x:v>
      </x:c>
      <x:c r="I185" s="27" t="str">
        <x:f>'Inputs_Trades'!I185</x:f>
        <x:v>EUR</x:v>
      </x:c>
      <x:c r="J185" s="27" t="str">
        <x:f>'Inputs_Trades'!M185</x:f>
        <x:v>EUR</x:v>
      </x:c>
      <x:c r="K185" s="27" t="n">
        <x:f>'Inputs_Trades'!N185</x:f>
        <x:v>0</x:v>
      </x:c>
      <x:c r="L185" s="27" t="n">
        <x:f>'Inputs_Trades'!O185</x:f>
        <x:v>0</x:v>
      </x:c>
      <x:c r="M185" s="39" t="n">
        <x:f>'Inputs_Trades'!A185</x:f>
        <x:v>45702</x:v>
      </x:c>
      <x:c r="N185" s="39" t="n">
        <x:f>'Inputs_Trades'!P185</x:f>
        <x:v>45967</x:v>
      </x:c>
      <x:c r="O185" s="39" t="n">
        <x:f>'Inputs_Trades'!Q185</x:f>
        <x:v>45055</x:v>
      </x:c>
      <x:c r="P185" s="39" t="n">
        <x:f>'Inputs_Trades'!R185</x:f>
        <x:v>45967</x:v>
      </x:c>
      <x:c r="Q185" s="40" t="n">
        <x:f>'Inputs_Trades'!U185</x:f>
        <x:v>109000000</x:v>
      </x:c>
      <x:c r="R185" s="40" t="n">
        <x:f>'Inputs_Trades'!S185</x:f>
        <x:v>103809523.81</x:v>
      </x:c>
      <x:c r="S185" s="40" t="n">
        <x:f>'Inputs_Trades'!T185</x:f>
        <x:v>103809523.81</x:v>
      </x:c>
      <x:c r="T185" s="27" t="str">
        <x:f>'Inputs_Trades'!V185</x:f>
        <x:v>M</x:v>
      </x:c>
      <x:c r="U185" s="27" t="str">
        <x:f>'Inputs_Trades'!W185</x:f>
        <x:v>Y</x:v>
      </x:c>
      <x:c r="V185" s="27" t="n">
        <x:f>'Inputs_Trades'!X185</x:f>
        <x:v>5</x:v>
      </x:c>
      <x:c r="W185" s="27" t="str">
        <x:f>'Inputs_Trades'!Y185</x:f>
        <x:v>B</x:v>
      </x:c>
      <x:c r="X185" s="27" t="str">
        <x:f>'Inputs_Trades'!AA185</x:f>
        <x:v>C</x:v>
      </x:c>
      <x:c r="Y185" s="27" t="n">
        <x:f>'Inputs_Trades'!AB185</x:f>
        <x:v>0.051283</x:v>
      </x:c>
      <x:c r="Z185" s="27" t="n">
        <x:f>'Inputs_Trades'!AC185</x:f>
        <x:v>0.0537</x:v>
      </x:c>
      <x:c r="AA185" s="39" t="n">
        <x:f>'Inputs_Trades'!Z185</x:f>
        <x:v>45900</x:v>
      </x:c>
      <x:c r="AB185" s="40" t="n">
        <x:f>'Inputs_Trades'!AD185</x:f>
        <x:v>930969</x:v>
      </x:c>
      <x:c r="AC185" s="27" t="n">
        <x:f>'Inputs_Trades'!K185</x:f>
        <x:v>0</x:v>
      </x:c>
      <x:c r="AD185" s="27" t="n">
        <x:f>N185-M185</x:f>
        <x:v>265</x:v>
      </x:c>
      <x:c r="AE185" s="41" t="n">
        <x:f>AD185/365</x:f>
        <x:v>0.726027397260274</x:v>
      </x:c>
      <x:c r="AF185" s="27" t="str">
        <x:f>IF(AE185&lt;1,"&lt;1Y",IF(AE185&lt;=5,"1Y-5Y","&gt;5Y"))</x:f>
        <x:v>&lt;1Y</x:v>
      </x:c>
      <x:c r="AG185" s="27" t="str">
        <x:f>IF(E185="Commodity",IFERROR(VLOOKUP(F185,Parameters!$P$4:$Q$12,2,FALSE),"Other"),"")</x:f>
      </x:c>
      <x:c r="AH185" s="27" t="str">
        <x:f>IF(F185="","Unknown",F185)</x:f>
        <x:v>Unknown</x:v>
      </x:c>
      <x:c r="AI185" s="27" t="str">
        <x:f>IF(E185="Interest Rate",G185&amp;IF(OR(LOWER(AC185)="basis",LOWER(AC185)="volatility"),"_"&amp;AC185,""),IF(E185="FX",IF(H185&lt;I185,H185&amp;"/"&amp;I185,I185&amp;"/"&amp;H185)&amp;IF(OR(LOWER(AC185)="basis",LOWER(AC185)="volatility"),"_"&amp;AC185,""),IF(OR(E185="Credit",E185="Equity"),J185&amp;IF(OR(LOWER(AC185)="basis",LOWER(AC185)="volatility"),"_"&amp;AC185,""),IF(E185="Commodity",AG185&amp;IF(OR(LOWER(AC185)="basis",LOWER(AC185)="volatility"),"_"&amp;AC185,""),"UNKNOWN"))))</x:f>
        <x:v>EUR</x:v>
      </x:c>
      <x:c r="AJ185" s="27" t="str">
        <x:f>T185</x:f>
        <x:v>M</x:v>
      </x:c>
      <x:c r="AK185" s="41" t="n">
        <x:f>IF(E185="Interest Rate",VLOOKUP("Interest Rate",Parameters!$D$4:$E$12,2,FALSE),IF(E185="FX",VLOOKUP("FX",Parameters!$D$4:$E$12,2,FALSE),IF(E185="Credit",IFERROR(VLOOKUP(L185,Parameters!$G$4:$H$12,2,FALSE),VLOOKUP("BBB",Parameters!$G$4:$H$12,2,FALSE)),IF(E185="Equity",VLOOKUP(IF(LOWER(K185)="index","Equity Index","Equity Single Name"),Parameters!$D$4:$E$12,2,FALSE),IF(E185="Commodity",VLOOKUP(IFERROR(VLOOKUP(F185,Parameters!$S$4:$T$12,2,FALSE),"Commodity Other"),Parameters!$D$4:$E$12,2,FALSE),0)))))</x:f>
        <x:v>0.005</x:v>
      </x:c>
      <x:c r="AL185" s="42" t="n">
        <x:f>IF(LOWER(AC185)="basis",Parameters!$B$8,IF(LOWER(AC185)="volatility",Parameters!$B$9,1))</x:f>
        <x:v>1</x:v>
      </x:c>
      <x:c r="AM185" s="41" t="n">
        <x:f>AK185*AL185</x:f>
        <x:v>0.005</x:v>
      </x:c>
      <x:c r="AN185" s="42" t="str">
        <x:f>IF(E185="Credit",VLOOKUP(IF(LOWER(K185)="index","Credit Index","Credit Single Name"),Parameters!$J$4:$K$8,2,FALSE),IF(E185="Equity",VLOOKUP(IF(LOWER(K185)="index","Equity Index","Equity Single Name"),Parameters!$J$4:$K$8,2,FALSE),IF(E185="Commodity",VLOOKUP("Commodity",Parameters!$J$4:$K$8,2,FALSE),"")))</x:f>
      </x:c>
      <x:c r="AO185" s="27" t="n">
        <x:f>MAX((O185-M185)/365,0)</x:f>
        <x:v>0</x:v>
      </x:c>
      <x:c r="AP185" s="27" t="n">
        <x:f>MAX((P185-M185)/365,10/Parameters!$B$6)</x:f>
        <x:v>0.726027397260274</x:v>
      </x:c>
      <x:c r="AQ185" s="27" t="n">
        <x:f>IF(AP185&lt;=AO185,AO185+10/Parameters!$B$6,AP185)</x:f>
        <x:v>0.726027397260274</x:v>
      </x:c>
      <x:c r="AR185" s="41" t="n">
        <x:f>IF(OR(E185="Interest Rate",E185="Credit"),(EXP(-Parameters!$B$7*AO185)-EXP(-Parameters!$B$7*AQ185))/Parameters!$B$7,1)</x:f>
        <x:v>0.7130075245647194</x:v>
      </x:c>
      <x:c r="AS185" s="40" t="n">
        <x:f>IF(OR(E185="Interest Rate",E185="Credit"),ABS(Q185)*AR185,IF(E185="FX",IF(Q185&gt;0,Q185,MAX(ABS(R185),ABS(S185),ABS(Q185))),ABS(Q185)))</x:f>
        <x:v>77717820.17755441</x:v>
      </x:c>
      <x:c r="AT185" s="42" t="n">
        <x:f>IF(OR(E185="Interest Rate",E185="FX"),VLOOKUP(E185,Parameters!$M$4:$N$11,2,FALSE),IF(E185="Credit",VLOOKUP(IF(LOWER(K185)="index","Credit Index","Credit Single Name"),Parameters!$M$4:$N$11,2,FALSE),IF(E185="Equity",VLOOKUP(IF(LOWER(K185)="index","Equity Index","Equity Single Name"),Parameters!$M$4:$N$11,2,FALSE),IF(E185="Commodity",VLOOKUP(IF(F185="Electricity","Commodity Electricity","Commodity Other"),Parameters!$M$4:$N$11,2,FALSE),1))))</x:f>
        <x:v>0.5</x:v>
      </x:c>
      <x:c r="AU185" s="27" t="n">
        <x:f>IF(W185="B",1,-1)</x:f>
        <x:v>1</x:v>
      </x:c>
      <x:c r="AV185" s="27" t="n">
        <x:f>IF(OR(AA185="",M185=""),MAX(AE185,1/365),MAX((AA185-M185)/365,1/365))</x:f>
        <x:v>0.5424657534246575</x:v>
      </x:c>
      <x:c r="AW185" s="41" t="n">
        <x:f>IF(OR(Z185&lt;=0,Y185&lt;=0,AT185&lt;=0,AV185&lt;=0),"",(LN(Z185/Y185)+0.5*AT185^2*AV185)/(AT185*SQRT(AV185)))</x:f>
        <x:v>0.3091877563176125</x:v>
      </x:c>
      <x:c r="AX185" s="41" t="n">
        <x:f>IF(AND(X185&lt;&gt;"C",X185&lt;&gt;"P"),AU185,IF(AW185="",AU185,IF(X185="C",AU185*0.5*(1+ERF(AW185/SQRT(2))),-AU185*0.5*(1+ERF(-AW185/SQRT(2))))))</x:f>
        <x:v>0.6214106465163756</x:v>
      </x:c>
      <x:c r="AY185" s="41" t="n">
        <x:f>IF(AJ185="M",1.5*SQRT(MAX(IF(U185="Y",5,10),IF(V185="",10,V185))/Parameters!$B$6),SQRT(MIN(MAX(AE185,10/Parameters!$B$6),1)))</x:f>
        <x:v>0.21213203435596426</x:v>
      </x:c>
      <x:c r="AZ185" s="40" t="n">
        <x:f>AS185*AX185*AY185</x:f>
        <x:v>10244848.904150834</x:v>
      </x:c>
      <x:c r="BA185" s="40" t="n">
        <x:f>'Python_Trade_Output'!AZ185</x:f>
        <x:v>10244848.904150834</x:v>
      </x:c>
      <x:c r="BB185" s="43" t="n">
        <x:f>AZ185-BA185</x:f>
        <x:v>0</x:v>
      </x:c>
    </x:row>
    <x:row r="186">
      <x:c r="A186" s="27" t="str">
        <x:f>'Inputs_Trades'!D186</x:f>
        <x:v>IND-000183</x:v>
      </x:c>
      <x:c r="B186" s="27" t="str">
        <x:f>'Inputs_Trades'!B186</x:f>
        <x:v>IND_PENSION_001</x:v>
      </x:c>
      <x:c r="C186" s="27" t="n">
        <x:f>'Inputs_Trades'!C186</x:f>
        <x:v>3174</x:v>
      </x:c>
      <x:c r="D186" s="27" t="str">
        <x:f>'Inputs_Trades'!E186</x:f>
        <x:v>Cap/Floor</x:v>
      </x:c>
      <x:c r="E186" s="27" t="str">
        <x:f>'Inputs_Trades'!F186</x:f>
        <x:v>Interest Rate</x:v>
      </x:c>
      <x:c r="F186" s="27" t="n">
        <x:f>'Inputs_Trades'!G186</x:f>
        <x:v>0</x:v>
      </x:c>
      <x:c r="G186" s="27" t="str">
        <x:f>'Inputs_Trades'!J186</x:f>
        <x:v>CNY</x:v>
      </x:c>
      <x:c r="H186" s="27" t="str">
        <x:f>'Inputs_Trades'!H186</x:f>
        <x:v>CNY</x:v>
      </x:c>
      <x:c r="I186" s="27" t="str">
        <x:f>'Inputs_Trades'!I186</x:f>
        <x:v>CNY</x:v>
      </x:c>
      <x:c r="J186" s="27" t="str">
        <x:f>'Inputs_Trades'!M186</x:f>
        <x:v>CNY</x:v>
      </x:c>
      <x:c r="K186" s="27" t="n">
        <x:f>'Inputs_Trades'!N186</x:f>
        <x:v>0</x:v>
      </x:c>
      <x:c r="L186" s="27" t="n">
        <x:f>'Inputs_Trades'!O186</x:f>
        <x:v>0</x:v>
      </x:c>
      <x:c r="M186" s="39" t="n">
        <x:f>'Inputs_Trades'!A186</x:f>
        <x:v>45702</x:v>
      </x:c>
      <x:c r="N186" s="39" t="n">
        <x:f>'Inputs_Trades'!P186</x:f>
        <x:v>45882</x:v>
      </x:c>
      <x:c r="O186" s="39" t="n">
        <x:f>'Inputs_Trades'!Q186</x:f>
        <x:v>45498</x:v>
      </x:c>
      <x:c r="P186" s="39" t="n">
        <x:f>'Inputs_Trades'!R186</x:f>
        <x:v>45882</x:v>
      </x:c>
      <x:c r="Q186" s="40" t="n">
        <x:f>'Inputs_Trades'!U186</x:f>
        <x:v>279000000</x:v>
      </x:c>
      <x:c r="R186" s="40" t="n">
        <x:f>'Inputs_Trades'!S186</x:f>
        <x:v>1992857142.86</x:v>
      </x:c>
      <x:c r="S186" s="40" t="n">
        <x:f>'Inputs_Trades'!T186</x:f>
        <x:v>1992857142.86</x:v>
      </x:c>
      <x:c r="T186" s="27" t="str">
        <x:f>'Inputs_Trades'!V186</x:f>
        <x:v>U</x:v>
      </x:c>
      <x:c r="U186" s="27" t="str">
        <x:f>'Inputs_Trades'!W186</x:f>
        <x:v>N</x:v>
      </x:c>
      <x:c r="V186" s="27" t="n">
        <x:f>'Inputs_Trades'!X186</x:f>
        <x:v>0</x:v>
      </x:c>
      <x:c r="W186" s="27" t="str">
        <x:f>'Inputs_Trades'!Y186</x:f>
        <x:v>S</x:v>
      </x:c>
      <x:c r="X186" s="27" t="str">
        <x:f>'Inputs_Trades'!AA186</x:f>
        <x:v>C</x:v>
      </x:c>
      <x:c r="Y186" s="27" t="n">
        <x:f>'Inputs_Trades'!AB186</x:f>
        <x:v>0.017075</x:v>
      </x:c>
      <x:c r="Z186" s="27" t="n">
        <x:f>'Inputs_Trades'!AC186</x:f>
        <x:v>0.0185</x:v>
      </x:c>
      <x:c r="AA186" s="39" t="n">
        <x:f>'Inputs_Trades'!Z186</x:f>
        <x:v>45837</x:v>
      </x:c>
      <x:c r="AB186" s="40" t="n">
        <x:f>'Inputs_Trades'!AD186</x:f>
        <x:v>150660</x:v>
      </x:c>
      <x:c r="AC186" s="27" t="n">
        <x:f>'Inputs_Trades'!K186</x:f>
        <x:v>0</x:v>
      </x:c>
      <x:c r="AD186" s="27" t="n">
        <x:f>N186-M186</x:f>
        <x:v>180</x:v>
      </x:c>
      <x:c r="AE186" s="41" t="n">
        <x:f>AD186/365</x:f>
        <x:v>0.4931506849315068</x:v>
      </x:c>
      <x:c r="AF186" s="27" t="str">
        <x:f>IF(AE186&lt;1,"&lt;1Y",IF(AE186&lt;=5,"1Y-5Y","&gt;5Y"))</x:f>
        <x:v>&lt;1Y</x:v>
      </x:c>
      <x:c r="AG186" s="27" t="str">
        <x:f>IF(E186="Commodity",IFERROR(VLOOKUP(F186,Parameters!$P$4:$Q$12,2,FALSE),"Other"),"")</x:f>
      </x:c>
      <x:c r="AH186" s="27" t="str">
        <x:f>IF(F186="","Unknown",F186)</x:f>
        <x:v>Unknown</x:v>
      </x:c>
      <x:c r="AI186" s="27" t="str">
        <x:f>IF(E186="Interest Rate",G186&amp;IF(OR(LOWER(AC186)="basis",LOWER(AC186)="volatility"),"_"&amp;AC186,""),IF(E186="FX",IF(H186&lt;I186,H186&amp;"/"&amp;I186,I186&amp;"/"&amp;H186)&amp;IF(OR(LOWER(AC186)="basis",LOWER(AC186)="volatility"),"_"&amp;AC186,""),IF(OR(E186="Credit",E186="Equity"),J186&amp;IF(OR(LOWER(AC186)="basis",LOWER(AC186)="volatility"),"_"&amp;AC186,""),IF(E186="Commodity",AG186&amp;IF(OR(LOWER(AC186)="basis",LOWER(AC186)="volatility"),"_"&amp;AC186,""),"UNKNOWN"))))</x:f>
        <x:v>CNY</x:v>
      </x:c>
      <x:c r="AJ186" s="27" t="str">
        <x:f>T186</x:f>
        <x:v>U</x:v>
      </x:c>
      <x:c r="AK186" s="41" t="n">
        <x:f>IF(E186="Interest Rate",VLOOKUP("Interest Rate",Parameters!$D$4:$E$12,2,FALSE),IF(E186="FX",VLOOKUP("FX",Parameters!$D$4:$E$12,2,FALSE),IF(E186="Credit",IFERROR(VLOOKUP(L186,Parameters!$G$4:$H$12,2,FALSE),VLOOKUP("BBB",Parameters!$G$4:$H$12,2,FALSE)),IF(E186="Equity",VLOOKUP(IF(LOWER(K186)="index","Equity Index","Equity Single Name"),Parameters!$D$4:$E$12,2,FALSE),IF(E186="Commodity",VLOOKUP(IFERROR(VLOOKUP(F186,Parameters!$S$4:$T$12,2,FALSE),"Commodity Other"),Parameters!$D$4:$E$12,2,FALSE),0)))))</x:f>
        <x:v>0.005</x:v>
      </x:c>
      <x:c r="AL186" s="42" t="n">
        <x:f>IF(LOWER(AC186)="basis",Parameters!$B$8,IF(LOWER(AC186)="volatility",Parameters!$B$9,1))</x:f>
        <x:v>1</x:v>
      </x:c>
      <x:c r="AM186" s="41" t="n">
        <x:f>AK186*AL186</x:f>
        <x:v>0.005</x:v>
      </x:c>
      <x:c r="AN186" s="42" t="str">
        <x:f>IF(E186="Credit",VLOOKUP(IF(LOWER(K186)="index","Credit Index","Credit Single Name"),Parameters!$J$4:$K$8,2,FALSE),IF(E186="Equity",VLOOKUP(IF(LOWER(K186)="index","Equity Index","Equity Single Name"),Parameters!$J$4:$K$8,2,FALSE),IF(E186="Commodity",VLOOKUP("Commodity",Parameters!$J$4:$K$8,2,FALSE),"")))</x:f>
      </x:c>
      <x:c r="AO186" s="27" t="n">
        <x:f>MAX((O186-M186)/365,0)</x:f>
        <x:v>0</x:v>
      </x:c>
      <x:c r="AP186" s="27" t="n">
        <x:f>MAX((P186-M186)/365,10/Parameters!$B$6)</x:f>
        <x:v>0.4931506849315068</x:v>
      </x:c>
      <x:c r="AQ186" s="27" t="n">
        <x:f>IF(AP186&lt;=AO186,AO186+10/Parameters!$B$6,AP186)</x:f>
        <x:v>0.4931506849315068</x:v>
      </x:c>
      <x:c r="AR186" s="41" t="n">
        <x:f>IF(OR(E186="Interest Rate",E186="Credit"),(EXP(-Parameters!$B$7*AO186)-EXP(-Parameters!$B$7*AQ186))/Parameters!$B$7,1)</x:f>
        <x:v>0.487120410555153</x:v>
      </x:c>
      <x:c r="AS186" s="40" t="n">
        <x:f>IF(OR(E186="Interest Rate",E186="Credit"),ABS(Q186)*AR186,IF(E186="FX",IF(Q186&gt;0,Q186,MAX(ABS(R186),ABS(S186),ABS(Q186))),ABS(Q186)))</x:f>
        <x:v>135906594.5448877</x:v>
      </x:c>
      <x:c r="AT186" s="42" t="n">
        <x:f>IF(OR(E186="Interest Rate",E186="FX"),VLOOKUP(E186,Parameters!$M$4:$N$11,2,FALSE),IF(E186="Credit",VLOOKUP(IF(LOWER(K186)="index","Credit Index","Credit Single Name"),Parameters!$M$4:$N$11,2,FALSE),IF(E186="Equity",VLOOKUP(IF(LOWER(K186)="index","Equity Index","Equity Single Name"),Parameters!$M$4:$N$11,2,FALSE),IF(E186="Commodity",VLOOKUP(IF(F186="Electricity","Commodity Electricity","Commodity Other"),Parameters!$M$4:$N$11,2,FALSE),1))))</x:f>
        <x:v>0.5</x:v>
      </x:c>
      <x:c r="AU186" s="27" t="n">
        <x:f>IF(W186="B",1,-1)</x:f>
        <x:v>-1</x:v>
      </x:c>
      <x:c r="AV186" s="27" t="n">
        <x:f>IF(OR(AA186="",M186=""),MAX(AE186,1/365),MAX((AA186-M186)/365,1/365))</x:f>
        <x:v>0.3698630136986301</x:v>
      </x:c>
      <x:c r="AW186" s="41" t="n">
        <x:f>IF(OR(Z186&lt;=0,Y186&lt;=0,AT186&lt;=0,AV186&lt;=0),"",(LN(Z186/Y186)+0.5*AT186^2*AV186)/(AT186*SQRT(AV186)))</x:f>
        <x:v>0.4156388015024093</x:v>
      </x:c>
      <x:c r="AX186" s="41" t="n">
        <x:f>IF(AND(X186&lt;&gt;"C",X186&lt;&gt;"P"),AU186,IF(AW186="",AU186,IF(X186="C",AU186*0.5*(1+ERF(AW186/SQRT(2))),-AU186*0.5*(1+ERF(-AW186/SQRT(2))))))</x:f>
        <x:v>-0.6611628353620139</x:v>
      </x:c>
      <x:c r="AY186" s="41" t="n">
        <x:f>IF(AJ186="M",1.5*SQRT(MAX(IF(U186="Y",5,10),IF(V186="",10,V186))/Parameters!$B$6),SQRT(MIN(MAX(AE186,10/Parameters!$B$6),1)))</x:f>
        <x:v>0.7022468831767834</x:v>
      </x:c>
      <x:c r="AZ186" s="40" t="n">
        <x:f>AS186*AX186*AY186</x:f>
        <x:v>-63101369.38524069</x:v>
      </x:c>
      <x:c r="BA186" s="40" t="n">
        <x:f>'Python_Trade_Output'!AZ186</x:f>
        <x:v>-63101369.38524069</x:v>
      </x:c>
      <x:c r="BB186" s="43" t="n">
        <x:f>AZ186-BA186</x:f>
        <x:v>0</x:v>
      </x:c>
    </x:row>
    <x:row r="187">
      <x:c r="A187" s="27" t="str">
        <x:f>'Inputs_Trades'!D187</x:f>
        <x:v>IND-000184</x:v>
      </x:c>
      <x:c r="B187" s="27" t="str">
        <x:f>'Inputs_Trades'!B187</x:f>
        <x:v>IND_HEDGE_FUND_001</x:v>
      </x:c>
      <x:c r="C187" s="27" t="n">
        <x:f>'Inputs_Trades'!C187</x:f>
        <x:v>3345</x:v>
      </x:c>
      <x:c r="D187" s="27" t="str">
        <x:f>'Inputs_Trades'!E187</x:f>
        <x:v>Cap/Floor</x:v>
      </x:c>
      <x:c r="E187" s="27" t="str">
        <x:f>'Inputs_Trades'!F187</x:f>
        <x:v>Interest Rate</x:v>
      </x:c>
      <x:c r="F187" s="27" t="n">
        <x:f>'Inputs_Trades'!G187</x:f>
        <x:v>0</x:v>
      </x:c>
      <x:c r="G187" s="27" t="str">
        <x:f>'Inputs_Trades'!J187</x:f>
        <x:v>USD</x:v>
      </x:c>
      <x:c r="H187" s="27" t="str">
        <x:f>'Inputs_Trades'!H187</x:f>
        <x:v>USD</x:v>
      </x:c>
      <x:c r="I187" s="27" t="str">
        <x:f>'Inputs_Trades'!I187</x:f>
        <x:v>USD</x:v>
      </x:c>
      <x:c r="J187" s="27" t="str">
        <x:f>'Inputs_Trades'!M187</x:f>
        <x:v>USD</x:v>
      </x:c>
      <x:c r="K187" s="27" t="n">
        <x:f>'Inputs_Trades'!N187</x:f>
        <x:v>0</x:v>
      </x:c>
      <x:c r="L187" s="27" t="n">
        <x:f>'Inputs_Trades'!O187</x:f>
        <x:v>0</x:v>
      </x:c>
      <x:c r="M187" s="39" t="n">
        <x:f>'Inputs_Trades'!A187</x:f>
        <x:v>45702</x:v>
      </x:c>
      <x:c r="N187" s="39" t="n">
        <x:f>'Inputs_Trades'!P187</x:f>
        <x:v>45945</x:v>
      </x:c>
      <x:c r="O187" s="39" t="n">
        <x:f>'Inputs_Trades'!Q187</x:f>
        <x:v>45225</x:v>
      </x:c>
      <x:c r="P187" s="39" t="n">
        <x:f>'Inputs_Trades'!R187</x:f>
        <x:v>45945</x:v>
      </x:c>
      <x:c r="Q187" s="40" t="n">
        <x:f>'Inputs_Trades'!U187</x:f>
        <x:v>233000000</x:v>
      </x:c>
      <x:c r="R187" s="40" t="n">
        <x:f>'Inputs_Trades'!S187</x:f>
        <x:v>233000000</x:v>
      </x:c>
      <x:c r="S187" s="40" t="n">
        <x:f>'Inputs_Trades'!T187</x:f>
        <x:v>233000000</x:v>
      </x:c>
      <x:c r="T187" s="27" t="str">
        <x:f>'Inputs_Trades'!V187</x:f>
        <x:v>M</x:v>
      </x:c>
      <x:c r="U187" s="27" t="str">
        <x:f>'Inputs_Trades'!W187</x:f>
        <x:v>N</x:v>
      </x:c>
      <x:c r="V187" s="27" t="n">
        <x:f>'Inputs_Trades'!X187</x:f>
        <x:v>10</x:v>
      </x:c>
      <x:c r="W187" s="27" t="str">
        <x:f>'Inputs_Trades'!Y187</x:f>
        <x:v>S</x:v>
      </x:c>
      <x:c r="X187" s="27" t="str">
        <x:f>'Inputs_Trades'!AA187</x:f>
        <x:v>C</x:v>
      </x:c>
      <x:c r="Y187" s="27" t="n">
        <x:f>'Inputs_Trades'!AB187</x:f>
        <x:v>0.023358</x:v>
      </x:c>
      <x:c r="Z187" s="27" t="n">
        <x:f>'Inputs_Trades'!AC187</x:f>
        <x:v>0.0208</x:v>
      </x:c>
      <x:c r="AA187" s="39" t="n">
        <x:f>'Inputs_Trades'!Z187</x:f>
        <x:v>45884</x:v>
      </x:c>
      <x:c r="AB187" s="40" t="n">
        <x:f>'Inputs_Trades'!AD187</x:f>
        <x:v>543123</x:v>
      </x:c>
      <x:c r="AC187" s="27" t="n">
        <x:f>'Inputs_Trades'!K187</x:f>
        <x:v>0</x:v>
      </x:c>
      <x:c r="AD187" s="27" t="n">
        <x:f>N187-M187</x:f>
        <x:v>243</x:v>
      </x:c>
      <x:c r="AE187" s="41" t="n">
        <x:f>AD187/365</x:f>
        <x:v>0.6657534246575343</x:v>
      </x:c>
      <x:c r="AF187" s="27" t="str">
        <x:f>IF(AE187&lt;1,"&lt;1Y",IF(AE187&lt;=5,"1Y-5Y","&gt;5Y"))</x:f>
        <x:v>&lt;1Y</x:v>
      </x:c>
      <x:c r="AG187" s="27" t="str">
        <x:f>IF(E187="Commodity",IFERROR(VLOOKUP(F187,Parameters!$P$4:$Q$12,2,FALSE),"Other"),"")</x:f>
      </x:c>
      <x:c r="AH187" s="27" t="str">
        <x:f>IF(F187="","Unknown",F187)</x:f>
        <x:v>Unknown</x:v>
      </x:c>
      <x:c r="AI187" s="27" t="str">
        <x:f>IF(E187="Interest Rate",G187&amp;IF(OR(LOWER(AC187)="basis",LOWER(AC187)="volatility"),"_"&amp;AC187,""),IF(E187="FX",IF(H187&lt;I187,H187&amp;"/"&amp;I187,I187&amp;"/"&amp;H187)&amp;IF(OR(LOWER(AC187)="basis",LOWER(AC187)="volatility"),"_"&amp;AC187,""),IF(OR(E187="Credit",E187="Equity"),J187&amp;IF(OR(LOWER(AC187)="basis",LOWER(AC187)="volatility"),"_"&amp;AC187,""),IF(E187="Commodity",AG187&amp;IF(OR(LOWER(AC187)="basis",LOWER(AC187)="volatility"),"_"&amp;AC187,""),"UNKNOWN"))))</x:f>
        <x:v>USD</x:v>
      </x:c>
      <x:c r="AJ187" s="27" t="str">
        <x:f>T187</x:f>
        <x:v>M</x:v>
      </x:c>
      <x:c r="AK187" s="41" t="n">
        <x:f>IF(E187="Interest Rate",VLOOKUP("Interest Rate",Parameters!$D$4:$E$12,2,FALSE),IF(E187="FX",VLOOKUP("FX",Parameters!$D$4:$E$12,2,FALSE),IF(E187="Credit",IFERROR(VLOOKUP(L187,Parameters!$G$4:$H$12,2,FALSE),VLOOKUP("BBB",Parameters!$G$4:$H$12,2,FALSE)),IF(E187="Equity",VLOOKUP(IF(LOWER(K187)="index","Equity Index","Equity Single Name"),Parameters!$D$4:$E$12,2,FALSE),IF(E187="Commodity",VLOOKUP(IFERROR(VLOOKUP(F187,Parameters!$S$4:$T$12,2,FALSE),"Commodity Other"),Parameters!$D$4:$E$12,2,FALSE),0)))))</x:f>
        <x:v>0.005</x:v>
      </x:c>
      <x:c r="AL187" s="42" t="n">
        <x:f>IF(LOWER(AC187)="basis",Parameters!$B$8,IF(LOWER(AC187)="volatility",Parameters!$B$9,1))</x:f>
        <x:v>1</x:v>
      </x:c>
      <x:c r="AM187" s="41" t="n">
        <x:f>AK187*AL187</x:f>
        <x:v>0.005</x:v>
      </x:c>
      <x:c r="AN187" s="42" t="str">
        <x:f>IF(E187="Credit",VLOOKUP(IF(LOWER(K187)="index","Credit Index","Credit Single Name"),Parameters!$J$4:$K$8,2,FALSE),IF(E187="Equity",VLOOKUP(IF(LOWER(K187)="index","Equity Index","Equity Single Name"),Parameters!$J$4:$K$8,2,FALSE),IF(E187="Commodity",VLOOKUP("Commodity",Parameters!$J$4:$K$8,2,FALSE),"")))</x:f>
      </x:c>
      <x:c r="AO187" s="27" t="n">
        <x:f>MAX((O187-M187)/365,0)</x:f>
        <x:v>0</x:v>
      </x:c>
      <x:c r="AP187" s="27" t="n">
        <x:f>MAX((P187-M187)/365,10/Parameters!$B$6)</x:f>
        <x:v>0.6657534246575343</x:v>
      </x:c>
      <x:c r="AQ187" s="27" t="n">
        <x:f>IF(AP187&lt;=AO187,AO187+10/Parameters!$B$6,AP187)</x:f>
        <x:v>0.6657534246575343</x:v>
      </x:c>
      <x:c r="AR187" s="41" t="n">
        <x:f>IF(OR(E187="Interest Rate",E187="Credit"),(EXP(-Parameters!$B$7*AO187)-EXP(-Parameters!$B$7*AQ187))/Parameters!$B$7,1)</x:f>
        <x:v>0.6547946678179839</x:v>
      </x:c>
      <x:c r="AS187" s="40" t="n">
        <x:f>IF(OR(E187="Interest Rate",E187="Credit"),ABS(Q187)*AR187,IF(E187="FX",IF(Q187&gt;0,Q187,MAX(ABS(R187),ABS(S187),ABS(Q187))),ABS(Q187)))</x:f>
        <x:v>152567157.60159025</x:v>
      </x:c>
      <x:c r="AT187" s="42" t="n">
        <x:f>IF(OR(E187="Interest Rate",E187="FX"),VLOOKUP(E187,Parameters!$M$4:$N$11,2,FALSE),IF(E187="Credit",VLOOKUP(IF(LOWER(K187)="index","Credit Index","Credit Single Name"),Parameters!$M$4:$N$11,2,FALSE),IF(E187="Equity",VLOOKUP(IF(LOWER(K187)="index","Equity Index","Equity Single Name"),Parameters!$M$4:$N$11,2,FALSE),IF(E187="Commodity",VLOOKUP(IF(F187="Electricity","Commodity Electricity","Commodity Other"),Parameters!$M$4:$N$11,2,FALSE),1))))</x:f>
        <x:v>0.5</x:v>
      </x:c>
      <x:c r="AU187" s="27" t="n">
        <x:f>IF(W187="B",1,-1)</x:f>
        <x:v>-1</x:v>
      </x:c>
      <x:c r="AV187" s="27" t="n">
        <x:f>IF(OR(AA187="",M187=""),MAX(AE187,1/365),MAX((AA187-M187)/365,1/365))</x:f>
        <x:v>0.4986301369863014</x:v>
      </x:c>
      <x:c r="AW187" s="41" t="n">
        <x:f>IF(OR(Z187&lt;=0,Y187&lt;=0,AT187&lt;=0,AV187&lt;=0),"",(LN(Z187/Y187)+0.5*AT187^2*AV187)/(AT187*SQRT(AV187)))</x:f>
        <x:v>-0.15197546014274227</x:v>
      </x:c>
      <x:c r="AX187" s="41" t="n">
        <x:f>IF(AND(X187&lt;&gt;"C",X187&lt;&gt;"P"),AU187,IF(AW187="",AU187,IF(X187="C",AU187*0.5*(1+ERF(AW187/SQRT(2))),-AU187*0.5*(1+ERF(-AW187/SQRT(2))))))</x:f>
        <x:v>-0.43960314538722123</x:v>
      </x:c>
      <x:c r="AY187" s="41" t="n">
        <x:f>IF(AJ187="M",1.5*SQRT(MAX(IF(U187="Y",5,10),IF(V187="",10,V187))/Parameters!$B$6),SQRT(MIN(MAX(AE187,10/Parameters!$B$6),1)))</x:f>
        <x:v>0.30000000000000004</x:v>
      </x:c>
      <x:c r="AZ187" s="40" t="n">
        <x:f>AS187*AX187*AY187</x:f>
        <x:v>-20120700.709334094</x:v>
      </x:c>
      <x:c r="BA187" s="40" t="n">
        <x:f>'Python_Trade_Output'!AZ187</x:f>
        <x:v>-20120700.7093341</x:v>
      </x:c>
      <x:c r="BB187" s="43" t="n">
        <x:f>AZ187-BA187</x:f>
        <x:v>7.450580596923828e-9</x:v>
      </x:c>
    </x:row>
    <x:row r="188">
      <x:c r="A188" s="27" t="str">
        <x:f>'Inputs_Trades'!D188</x:f>
        <x:v>IND-000185</x:v>
      </x:c>
      <x:c r="B188" s="27" t="str">
        <x:f>'Inputs_Trades'!B188</x:f>
        <x:v>IND_CLEARING_MEMBER_001</x:v>
      </x:c>
      <x:c r="C188" s="27" t="n">
        <x:f>'Inputs_Trades'!C188</x:f>
        <x:v>3399</x:v>
      </x:c>
      <x:c r="D188" s="27" t="str">
        <x:f>'Inputs_Trades'!E188</x:f>
        <x:v>Cap/Floor</x:v>
      </x:c>
      <x:c r="E188" s="27" t="str">
        <x:f>'Inputs_Trades'!F188</x:f>
        <x:v>Interest Rate</x:v>
      </x:c>
      <x:c r="F188" s="27" t="n">
        <x:f>'Inputs_Trades'!G188</x:f>
        <x:v>0</x:v>
      </x:c>
      <x:c r="G188" s="27" t="str">
        <x:f>'Inputs_Trades'!J188</x:f>
        <x:v>USD</x:v>
      </x:c>
      <x:c r="H188" s="27" t="str">
        <x:f>'Inputs_Trades'!H188</x:f>
        <x:v>USD</x:v>
      </x:c>
      <x:c r="I188" s="27" t="str">
        <x:f>'Inputs_Trades'!I188</x:f>
        <x:v>USD</x:v>
      </x:c>
      <x:c r="J188" s="27" t="str">
        <x:f>'Inputs_Trades'!M188</x:f>
        <x:v>USD</x:v>
      </x:c>
      <x:c r="K188" s="27" t="n">
        <x:f>'Inputs_Trades'!N188</x:f>
        <x:v>0</x:v>
      </x:c>
      <x:c r="L188" s="27" t="n">
        <x:f>'Inputs_Trades'!O188</x:f>
        <x:v>0</x:v>
      </x:c>
      <x:c r="M188" s="39" t="n">
        <x:f>'Inputs_Trades'!A188</x:f>
        <x:v>45702</x:v>
      </x:c>
      <x:c r="N188" s="39" t="n">
        <x:f>'Inputs_Trades'!P188</x:f>
        <x:v>46562</x:v>
      </x:c>
      <x:c r="O188" s="39" t="n">
        <x:f>'Inputs_Trades'!Q188</x:f>
        <x:v>45521</x:v>
      </x:c>
      <x:c r="P188" s="39" t="n">
        <x:f>'Inputs_Trades'!R188</x:f>
        <x:v>46562</x:v>
      </x:c>
      <x:c r="Q188" s="40" t="n">
        <x:f>'Inputs_Trades'!U188</x:f>
        <x:v>397000000</x:v>
      </x:c>
      <x:c r="R188" s="40" t="n">
        <x:f>'Inputs_Trades'!S188</x:f>
        <x:v>397000000</x:v>
      </x:c>
      <x:c r="S188" s="40" t="n">
        <x:f>'Inputs_Trades'!T188</x:f>
        <x:v>397000000</x:v>
      </x:c>
      <x:c r="T188" s="27" t="str">
        <x:f>'Inputs_Trades'!V188</x:f>
        <x:v>U</x:v>
      </x:c>
      <x:c r="U188" s="27" t="str">
        <x:f>'Inputs_Trades'!W188</x:f>
        <x:v>N</x:v>
      </x:c>
      <x:c r="V188" s="27" t="n">
        <x:f>'Inputs_Trades'!X188</x:f>
        <x:v>0</x:v>
      </x:c>
      <x:c r="W188" s="27" t="str">
        <x:f>'Inputs_Trades'!Y188</x:f>
        <x:v>S</x:v>
      </x:c>
      <x:c r="X188" s="27" t="str">
        <x:f>'Inputs_Trades'!AA188</x:f>
        <x:v>C</x:v>
      </x:c>
      <x:c r="Y188" s="27" t="n">
        <x:f>'Inputs_Trades'!AB188</x:f>
        <x:v>0.042792</x:v>
      </x:c>
      <x:c r="Z188" s="27" t="n">
        <x:f>'Inputs_Trades'!AC188</x:f>
        <x:v>0.0493</x:v>
      </x:c>
      <x:c r="AA188" s="39" t="n">
        <x:f>'Inputs_Trades'!Z188</x:f>
        <x:v>46347</x:v>
      </x:c>
      <x:c r="AB188" s="40" t="n">
        <x:f>'Inputs_Trades'!AD188</x:f>
        <x:v>1168371</x:v>
      </x:c>
      <x:c r="AC188" s="27" t="n">
        <x:f>'Inputs_Trades'!K188</x:f>
        <x:v>0</x:v>
      </x:c>
      <x:c r="AD188" s="27" t="n">
        <x:f>N188-M188</x:f>
        <x:v>860</x:v>
      </x:c>
      <x:c r="AE188" s="41" t="n">
        <x:f>AD188/365</x:f>
        <x:v>2.356164383561644</x:v>
      </x:c>
      <x:c r="AF188" s="27" t="str">
        <x:f>IF(AE188&lt;1,"&lt;1Y",IF(AE188&lt;=5,"1Y-5Y","&gt;5Y"))</x:f>
        <x:v>1Y-5Y</x:v>
      </x:c>
      <x:c r="AG188" s="27" t="str">
        <x:f>IF(E188="Commodity",IFERROR(VLOOKUP(F188,Parameters!$P$4:$Q$12,2,FALSE),"Other"),"")</x:f>
      </x:c>
      <x:c r="AH188" s="27" t="str">
        <x:f>IF(F188="","Unknown",F188)</x:f>
        <x:v>Unknown</x:v>
      </x:c>
      <x:c r="AI188" s="27" t="str">
        <x:f>IF(E188="Interest Rate",G188&amp;IF(OR(LOWER(AC188)="basis",LOWER(AC188)="volatility"),"_"&amp;AC188,""),IF(E188="FX",IF(H188&lt;I188,H188&amp;"/"&amp;I188,I188&amp;"/"&amp;H188)&amp;IF(OR(LOWER(AC188)="basis",LOWER(AC188)="volatility"),"_"&amp;AC188,""),IF(OR(E188="Credit",E188="Equity"),J188&amp;IF(OR(LOWER(AC188)="basis",LOWER(AC188)="volatility"),"_"&amp;AC188,""),IF(E188="Commodity",AG188&amp;IF(OR(LOWER(AC188)="basis",LOWER(AC188)="volatility"),"_"&amp;AC188,""),"UNKNOWN"))))</x:f>
        <x:v>USD</x:v>
      </x:c>
      <x:c r="AJ188" s="27" t="str">
        <x:f>T188</x:f>
        <x:v>U</x:v>
      </x:c>
      <x:c r="AK188" s="41" t="n">
        <x:f>IF(E188="Interest Rate",VLOOKUP("Interest Rate",Parameters!$D$4:$E$12,2,FALSE),IF(E188="FX",VLOOKUP("FX",Parameters!$D$4:$E$12,2,FALSE),IF(E188="Credit",IFERROR(VLOOKUP(L188,Parameters!$G$4:$H$12,2,FALSE),VLOOKUP("BBB",Parameters!$G$4:$H$12,2,FALSE)),IF(E188="Equity",VLOOKUP(IF(LOWER(K188)="index","Equity Index","Equity Single Name"),Parameters!$D$4:$E$12,2,FALSE),IF(E188="Commodity",VLOOKUP(IFERROR(VLOOKUP(F188,Parameters!$S$4:$T$12,2,FALSE),"Commodity Other"),Parameters!$D$4:$E$12,2,FALSE),0)))))</x:f>
        <x:v>0.005</x:v>
      </x:c>
      <x:c r="AL188" s="42" t="n">
        <x:f>IF(LOWER(AC188)="basis",Parameters!$B$8,IF(LOWER(AC188)="volatility",Parameters!$B$9,1))</x:f>
        <x:v>1</x:v>
      </x:c>
      <x:c r="AM188" s="41" t="n">
        <x:f>AK188*AL188</x:f>
        <x:v>0.005</x:v>
      </x:c>
      <x:c r="AN188" s="42" t="str">
        <x:f>IF(E188="Credit",VLOOKUP(IF(LOWER(K188)="index","Credit Index","Credit Single Name"),Parameters!$J$4:$K$8,2,FALSE),IF(E188="Equity",VLOOKUP(IF(LOWER(K188)="index","Equity Index","Equity Single Name"),Parameters!$J$4:$K$8,2,FALSE),IF(E188="Commodity",VLOOKUP("Commodity",Parameters!$J$4:$K$8,2,FALSE),"")))</x:f>
      </x:c>
      <x:c r="AO188" s="27" t="n">
        <x:f>MAX((O188-M188)/365,0)</x:f>
        <x:v>0</x:v>
      </x:c>
      <x:c r="AP188" s="27" t="n">
        <x:f>MAX((P188-M188)/365,10/Parameters!$B$6)</x:f>
        <x:v>2.356164383561644</x:v>
      </x:c>
      <x:c r="AQ188" s="27" t="n">
        <x:f>IF(AP188&lt;=AO188,AO188+10/Parameters!$B$6,AP188)</x:f>
        <x:v>2.356164383561644</x:v>
      </x:c>
      <x:c r="AR188" s="41" t="n">
        <x:f>IF(OR(E188="Interest Rate",E188="Credit"),(EXP(-Parameters!$B$7*AO188)-EXP(-Parameters!$B$7*AQ188))/Parameters!$B$7,1)</x:f>
        <x:v>2.2226699236372705</x:v>
      </x:c>
      <x:c r="AS188" s="40" t="n">
        <x:f>IF(OR(E188="Interest Rate",E188="Credit"),ABS(Q188)*AR188,IF(E188="FX",IF(Q188&gt;0,Q188,MAX(ABS(R188),ABS(S188),ABS(Q188))),ABS(Q188)))</x:f>
        <x:v>882399959.6839963</x:v>
      </x:c>
      <x:c r="AT188" s="42" t="n">
        <x:f>IF(OR(E188="Interest Rate",E188="FX"),VLOOKUP(E188,Parameters!$M$4:$N$11,2,FALSE),IF(E188="Credit",VLOOKUP(IF(LOWER(K188)="index","Credit Index","Credit Single Name"),Parameters!$M$4:$N$11,2,FALSE),IF(E188="Equity",VLOOKUP(IF(LOWER(K188)="index","Equity Index","Equity Single Name"),Parameters!$M$4:$N$11,2,FALSE),IF(E188="Commodity",VLOOKUP(IF(F188="Electricity","Commodity Electricity","Commodity Other"),Parameters!$M$4:$N$11,2,FALSE),1))))</x:f>
        <x:v>0.5</x:v>
      </x:c>
      <x:c r="AU188" s="27" t="n">
        <x:f>IF(W188="B",1,-1)</x:f>
        <x:v>-1</x:v>
      </x:c>
      <x:c r="AV188" s="27" t="n">
        <x:f>IF(OR(AA188="",M188=""),MAX(AE188,1/365),MAX((AA188-M188)/365,1/365))</x:f>
        <x:v>1.7671232876712328</x:v>
      </x:c>
      <x:c r="AW188" s="41" t="n">
        <x:f>IF(OR(Z188&lt;=0,Y188&lt;=0,AT188&lt;=0,AV188&lt;=0),"",(LN(Z188/Y188)+0.5*AT188^2*AV188)/(AT188*SQRT(AV188)))</x:f>
        <x:v>0.5453315670521139</x:v>
      </x:c>
      <x:c r="AX188" s="41" t="n">
        <x:f>IF(AND(X188&lt;&gt;"C",X188&lt;&gt;"P"),AU188,IF(AW188="",AU188,IF(X188="C",AU188*0.5*(1+ERF(AW188/SQRT(2))),-AU188*0.5*(1+ERF(-AW188/SQRT(2))))))</x:f>
        <x:v>-0.7072372514783036</x:v>
      </x:c>
      <x:c r="AY188" s="41" t="n">
        <x:f>IF(AJ188="M",1.5*SQRT(MAX(IF(U188="Y",5,10),IF(V188="",10,V188))/Parameters!$B$6),SQRT(MIN(MAX(AE188,10/Parameters!$B$6),1)))</x:f>
        <x:v>1</x:v>
      </x:c>
      <x:c r="AZ188" s="40" t="n">
        <x:f>AS188*AX188*AY188</x:f>
        <x:v>-624066122.1914755</x:v>
      </x:c>
      <x:c r="BA188" s="40" t="n">
        <x:f>'Python_Trade_Output'!AZ188</x:f>
        <x:v>-624066122.1914761</x:v>
      </x:c>
      <x:c r="BB188" s="43" t="n">
        <x:f>AZ188-BA188</x:f>
        <x:v>5.960464477539062e-7</x:v>
      </x:c>
    </x:row>
    <x:row r="189">
      <x:c r="A189" s="27" t="str">
        <x:f>'Inputs_Trades'!D189</x:f>
        <x:v>IND-000186</x:v>
      </x:c>
      <x:c r="B189" s="27" t="str">
        <x:f>'Inputs_Trades'!B189</x:f>
        <x:v>IND_CORPORATE_001</x:v>
      </x:c>
      <x:c r="C189" s="27" t="n">
        <x:f>'Inputs_Trades'!C189</x:f>
        <x:v>3004</x:v>
      </x:c>
      <x:c r="D189" s="27" t="str">
        <x:f>'Inputs_Trades'!E189</x:f>
        <x:v>Cap/Floor</x:v>
      </x:c>
      <x:c r="E189" s="27" t="str">
        <x:f>'Inputs_Trades'!F189</x:f>
        <x:v>Interest Rate</x:v>
      </x:c>
      <x:c r="F189" s="27" t="n">
        <x:f>'Inputs_Trades'!G189</x:f>
        <x:v>0</x:v>
      </x:c>
      <x:c r="G189" s="27" t="str">
        <x:f>'Inputs_Trades'!J189</x:f>
        <x:v>EUR</x:v>
      </x:c>
      <x:c r="H189" s="27" t="str">
        <x:f>'Inputs_Trades'!H189</x:f>
        <x:v>EUR</x:v>
      </x:c>
      <x:c r="I189" s="27" t="str">
        <x:f>'Inputs_Trades'!I189</x:f>
        <x:v>EUR</x:v>
      </x:c>
      <x:c r="J189" s="27" t="str">
        <x:f>'Inputs_Trades'!M189</x:f>
        <x:v>EUR</x:v>
      </x:c>
      <x:c r="K189" s="27" t="n">
        <x:f>'Inputs_Trades'!N189</x:f>
        <x:v>0</x:v>
      </x:c>
      <x:c r="L189" s="27" t="n">
        <x:f>'Inputs_Trades'!O189</x:f>
        <x:v>0</x:v>
      </x:c>
      <x:c r="M189" s="39" t="n">
        <x:f>'Inputs_Trades'!A189</x:f>
        <x:v>45702</x:v>
      </x:c>
      <x:c r="N189" s="39" t="n">
        <x:f>'Inputs_Trades'!P189</x:f>
        <x:v>46893</x:v>
      </x:c>
      <x:c r="O189" s="39" t="n">
        <x:f>'Inputs_Trades'!Q189</x:f>
        <x:v>44894</x:v>
      </x:c>
      <x:c r="P189" s="39" t="n">
        <x:f>'Inputs_Trades'!R189</x:f>
        <x:v>46893</x:v>
      </x:c>
      <x:c r="Q189" s="40" t="n">
        <x:f>'Inputs_Trades'!U189</x:f>
        <x:v>213000000</x:v>
      </x:c>
      <x:c r="R189" s="40" t="n">
        <x:f>'Inputs_Trades'!S189</x:f>
        <x:v>202857142.86</x:v>
      </x:c>
      <x:c r="S189" s="40" t="n">
        <x:f>'Inputs_Trades'!T189</x:f>
        <x:v>202857142.86</x:v>
      </x:c>
      <x:c r="T189" s="27" t="str">
        <x:f>'Inputs_Trades'!V189</x:f>
        <x:v>M</x:v>
      </x:c>
      <x:c r="U189" s="27" t="str">
        <x:f>'Inputs_Trades'!W189</x:f>
        <x:v>N</x:v>
      </x:c>
      <x:c r="V189" s="27" t="n">
        <x:f>'Inputs_Trades'!X189</x:f>
        <x:v>10</x:v>
      </x:c>
      <x:c r="W189" s="27" t="str">
        <x:f>'Inputs_Trades'!Y189</x:f>
        <x:v>S</x:v>
      </x:c>
      <x:c r="X189" s="27" t="str">
        <x:f>'Inputs_Trades'!AA189</x:f>
        <x:v>C</x:v>
      </x:c>
      <x:c r="Y189" s="27" t="n">
        <x:f>'Inputs_Trades'!AB189</x:f>
        <x:v>0.017691</x:v>
      </x:c>
      <x:c r="Z189" s="27" t="n">
        <x:f>'Inputs_Trades'!AC189</x:f>
        <x:v>0.0188</x:v>
      </x:c>
      <x:c r="AA189" s="39" t="n">
        <x:f>'Inputs_Trades'!Z189</x:f>
        <x:v>46595</x:v>
      </x:c>
      <x:c r="AB189" s="40" t="n">
        <x:f>'Inputs_Trades'!AD189</x:f>
        <x:v>-17253</x:v>
      </x:c>
      <x:c r="AC189" s="27" t="n">
        <x:f>'Inputs_Trades'!K189</x:f>
        <x:v>0</x:v>
      </x:c>
      <x:c r="AD189" s="27" t="n">
        <x:f>N189-M189</x:f>
        <x:v>1191</x:v>
      </x:c>
      <x:c r="AE189" s="41" t="n">
        <x:f>AD189/365</x:f>
        <x:v>3.263013698630137</x:v>
      </x:c>
      <x:c r="AF189" s="27" t="str">
        <x:f>IF(AE189&lt;1,"&lt;1Y",IF(AE189&lt;=5,"1Y-5Y","&gt;5Y"))</x:f>
        <x:v>1Y-5Y</x:v>
      </x:c>
      <x:c r="AG189" s="27" t="str">
        <x:f>IF(E189="Commodity",IFERROR(VLOOKUP(F189,Parameters!$P$4:$Q$12,2,FALSE),"Other"),"")</x:f>
      </x:c>
      <x:c r="AH189" s="27" t="str">
        <x:f>IF(F189="","Unknown",F189)</x:f>
        <x:v>Unknown</x:v>
      </x:c>
      <x:c r="AI189" s="27" t="str">
        <x:f>IF(E189="Interest Rate",G189&amp;IF(OR(LOWER(AC189)="basis",LOWER(AC189)="volatility"),"_"&amp;AC189,""),IF(E189="FX",IF(H189&lt;I189,H189&amp;"/"&amp;I189,I189&amp;"/"&amp;H189)&amp;IF(OR(LOWER(AC189)="basis",LOWER(AC189)="volatility"),"_"&amp;AC189,""),IF(OR(E189="Credit",E189="Equity"),J189&amp;IF(OR(LOWER(AC189)="basis",LOWER(AC189)="volatility"),"_"&amp;AC189,""),IF(E189="Commodity",AG189&amp;IF(OR(LOWER(AC189)="basis",LOWER(AC189)="volatility"),"_"&amp;AC189,""),"UNKNOWN"))))</x:f>
        <x:v>EUR</x:v>
      </x:c>
      <x:c r="AJ189" s="27" t="str">
        <x:f>T189</x:f>
        <x:v>M</x:v>
      </x:c>
      <x:c r="AK189" s="41" t="n">
        <x:f>IF(E189="Interest Rate",VLOOKUP("Interest Rate",Parameters!$D$4:$E$12,2,FALSE),IF(E189="FX",VLOOKUP("FX",Parameters!$D$4:$E$12,2,FALSE),IF(E189="Credit",IFERROR(VLOOKUP(L189,Parameters!$G$4:$H$12,2,FALSE),VLOOKUP("BBB",Parameters!$G$4:$H$12,2,FALSE)),IF(E189="Equity",VLOOKUP(IF(LOWER(K189)="index","Equity Index","Equity Single Name"),Parameters!$D$4:$E$12,2,FALSE),IF(E189="Commodity",VLOOKUP(IFERROR(VLOOKUP(F189,Parameters!$S$4:$T$12,2,FALSE),"Commodity Other"),Parameters!$D$4:$E$12,2,FALSE),0)))))</x:f>
        <x:v>0.005</x:v>
      </x:c>
      <x:c r="AL189" s="42" t="n">
        <x:f>IF(LOWER(AC189)="basis",Parameters!$B$8,IF(LOWER(AC189)="volatility",Parameters!$B$9,1))</x:f>
        <x:v>1</x:v>
      </x:c>
      <x:c r="AM189" s="41" t="n">
        <x:f>AK189*AL189</x:f>
        <x:v>0.005</x:v>
      </x:c>
      <x:c r="AN189" s="42" t="str">
        <x:f>IF(E189="Credit",VLOOKUP(IF(LOWER(K189)="index","Credit Index","Credit Single Name"),Parameters!$J$4:$K$8,2,FALSE),IF(E189="Equity",VLOOKUP(IF(LOWER(K189)="index","Equity Index","Equity Single Name"),Parameters!$J$4:$K$8,2,FALSE),IF(E189="Commodity",VLOOKUP("Commodity",Parameters!$J$4:$K$8,2,FALSE),"")))</x:f>
      </x:c>
      <x:c r="AO189" s="27" t="n">
        <x:f>MAX((O189-M189)/365,0)</x:f>
        <x:v>0</x:v>
      </x:c>
      <x:c r="AP189" s="27" t="n">
        <x:f>MAX((P189-M189)/365,10/Parameters!$B$6)</x:f>
        <x:v>3.263013698630137</x:v>
      </x:c>
      <x:c r="AQ189" s="27" t="n">
        <x:f>IF(AP189&lt;=AO189,AO189+10/Parameters!$B$6,AP189)</x:f>
        <x:v>3.263013698630137</x:v>
      </x:c>
      <x:c r="AR189" s="41" t="n">
        <x:f>IF(OR(E189="Interest Rate",E189="Credit"),(EXP(-Parameters!$B$7*AO189)-EXP(-Parameters!$B$7*AQ189))/Parameters!$B$7,1)</x:f>
        <x:v>3.010736450610847</x:v>
      </x:c>
      <x:c r="AS189" s="40" t="n">
        <x:f>IF(OR(E189="Interest Rate",E189="Credit"),ABS(Q189)*AR189,IF(E189="FX",IF(Q189&gt;0,Q189,MAX(ABS(R189),ABS(S189),ABS(Q189))),ABS(Q189)))</x:f>
        <x:v>641286863.9801104</x:v>
      </x:c>
      <x:c r="AT189" s="42" t="n">
        <x:f>IF(OR(E189="Interest Rate",E189="FX"),VLOOKUP(E189,Parameters!$M$4:$N$11,2,FALSE),IF(E189="Credit",VLOOKUP(IF(LOWER(K189)="index","Credit Index","Credit Single Name"),Parameters!$M$4:$N$11,2,FALSE),IF(E189="Equity",VLOOKUP(IF(LOWER(K189)="index","Equity Index","Equity Single Name"),Parameters!$M$4:$N$11,2,FALSE),IF(E189="Commodity",VLOOKUP(IF(F189="Electricity","Commodity Electricity","Commodity Other"),Parameters!$M$4:$N$11,2,FALSE),1))))</x:f>
        <x:v>0.5</x:v>
      </x:c>
      <x:c r="AU189" s="27" t="n">
        <x:f>IF(W189="B",1,-1)</x:f>
        <x:v>-1</x:v>
      </x:c>
      <x:c r="AV189" s="27" t="n">
        <x:f>IF(OR(AA189="",M189=""),MAX(AE189,1/365),MAX((AA189-M189)/365,1/365))</x:f>
        <x:v>2.4465753424657533</x:v>
      </x:c>
      <x:c r="AW189" s="41" t="n">
        <x:f>IF(OR(Z189&lt;=0,Y189&lt;=0,AT189&lt;=0,AV189&lt;=0),"",(LN(Z189/Y189)+0.5*AT189^2*AV189)/(AT189*SQRT(AV189)))</x:f>
        <x:v>0.46878111908873143</x:v>
      </x:c>
      <x:c r="AX189" s="41" t="n">
        <x:f>IF(AND(X189&lt;&gt;"C",X189&lt;&gt;"P"),AU189,IF(AW189="",AU189,IF(X189="C",AU189*0.5*(1+ERF(AW189/SQRT(2))),-AU189*0.5*(1+ERF(-AW189/SQRT(2))))))</x:f>
        <x:v>-0.6803869514525358</x:v>
      </x:c>
      <x:c r="AY189" s="41" t="n">
        <x:f>IF(AJ189="M",1.5*SQRT(MAX(IF(U189="Y",5,10),IF(V189="",10,V189))/Parameters!$B$6),SQRT(MIN(MAX(AE189,10/Parameters!$B$6),1)))</x:f>
        <x:v>0.30000000000000004</x:v>
      </x:c>
      <x:c r="AZ189" s="40" t="n">
        <x:f>AS189*AX189*AY189</x:f>
        <x:v>-130896964.31699531</x:v>
      </x:c>
      <x:c r="BA189" s="40" t="n">
        <x:f>'Python_Trade_Output'!AZ189</x:f>
        <x:v>-130896964.3169953</x:v>
      </x:c>
      <x:c r="BB189" s="43" t="n">
        <x:f>AZ189-BA189</x:f>
        <x:v>-1.4901161193847656e-8</x:v>
      </x:c>
    </x:row>
    <x:row r="190">
      <x:c r="A190" s="27" t="str">
        <x:f>'Inputs_Trades'!D190</x:f>
        <x:v>IND-000187</x:v>
      </x:c>
      <x:c r="B190" s="27" t="str">
        <x:f>'Inputs_Trades'!B190</x:f>
        <x:v>IND_BANK_002</x:v>
      </x:c>
      <x:c r="C190" s="27" t="n">
        <x:f>'Inputs_Trades'!C190</x:f>
        <x:v>3049</x:v>
      </x:c>
      <x:c r="D190" s="27" t="str">
        <x:f>'Inputs_Trades'!E190</x:f>
        <x:v>Cap/Floor</x:v>
      </x:c>
      <x:c r="E190" s="27" t="str">
        <x:f>'Inputs_Trades'!F190</x:f>
        <x:v>Interest Rate</x:v>
      </x:c>
      <x:c r="F190" s="27" t="n">
        <x:f>'Inputs_Trades'!G190</x:f>
        <x:v>0</x:v>
      </x:c>
      <x:c r="G190" s="27" t="str">
        <x:f>'Inputs_Trades'!J190</x:f>
        <x:v>USD</x:v>
      </x:c>
      <x:c r="H190" s="27" t="str">
        <x:f>'Inputs_Trades'!H190</x:f>
        <x:v>USD</x:v>
      </x:c>
      <x:c r="I190" s="27" t="str">
        <x:f>'Inputs_Trades'!I190</x:f>
        <x:v>USD</x:v>
      </x:c>
      <x:c r="J190" s="27" t="str">
        <x:f>'Inputs_Trades'!M190</x:f>
        <x:v>USD</x:v>
      </x:c>
      <x:c r="K190" s="27" t="n">
        <x:f>'Inputs_Trades'!N190</x:f>
        <x:v>0</x:v>
      </x:c>
      <x:c r="L190" s="27" t="n">
        <x:f>'Inputs_Trades'!O190</x:f>
        <x:v>0</x:v>
      </x:c>
      <x:c r="M190" s="39" t="n">
        <x:f>'Inputs_Trades'!A190</x:f>
        <x:v>45702</x:v>
      </x:c>
      <x:c r="N190" s="39" t="n">
        <x:f>'Inputs_Trades'!P190</x:f>
        <x:v>46452</x:v>
      </x:c>
      <x:c r="O190" s="39" t="n">
        <x:f>'Inputs_Trades'!Q190</x:f>
        <x:v>45595</x:v>
      </x:c>
      <x:c r="P190" s="39" t="n">
        <x:f>'Inputs_Trades'!R190</x:f>
        <x:v>46452</x:v>
      </x:c>
      <x:c r="Q190" s="40" t="n">
        <x:f>'Inputs_Trades'!U190</x:f>
        <x:v>175000000</x:v>
      </x:c>
      <x:c r="R190" s="40" t="n">
        <x:f>'Inputs_Trades'!S190</x:f>
        <x:v>175000000</x:v>
      </x:c>
      <x:c r="S190" s="40" t="n">
        <x:f>'Inputs_Trades'!T190</x:f>
        <x:v>175000000</x:v>
      </x:c>
      <x:c r="T190" s="27" t="str">
        <x:f>'Inputs_Trades'!V190</x:f>
        <x:v>M</x:v>
      </x:c>
      <x:c r="U190" s="27" t="str">
        <x:f>'Inputs_Trades'!W190</x:f>
        <x:v>N</x:v>
      </x:c>
      <x:c r="V190" s="27" t="n">
        <x:f>'Inputs_Trades'!X190</x:f>
        <x:v>10</x:v>
      </x:c>
      <x:c r="W190" s="27" t="str">
        <x:f>'Inputs_Trades'!Y190</x:f>
        <x:v>S</x:v>
      </x:c>
      <x:c r="X190" s="27" t="str">
        <x:f>'Inputs_Trades'!AA190</x:f>
        <x:v>C</x:v>
      </x:c>
      <x:c r="Y190" s="27" t="n">
        <x:f>'Inputs_Trades'!AB190</x:f>
        <x:v>0.050251</x:v>
      </x:c>
      <x:c r="Z190" s="27" t="n">
        <x:f>'Inputs_Trades'!AC190</x:f>
        <x:v>0.0464</x:v>
      </x:c>
      <x:c r="AA190" s="39" t="n">
        <x:f>'Inputs_Trades'!Z190</x:f>
        <x:v>46264</x:v>
      </x:c>
      <x:c r="AB190" s="40" t="n">
        <x:f>'Inputs_Trades'!AD190</x:f>
        <x:v>1168650</x:v>
      </x:c>
      <x:c r="AC190" s="27" t="n">
        <x:f>'Inputs_Trades'!K190</x:f>
        <x:v>0</x:v>
      </x:c>
      <x:c r="AD190" s="27" t="n">
        <x:f>N190-M190</x:f>
        <x:v>750</x:v>
      </x:c>
      <x:c r="AE190" s="41" t="n">
        <x:f>AD190/365</x:f>
        <x:v>2.0547945205479454</x:v>
      </x:c>
      <x:c r="AF190" s="27" t="str">
        <x:f>IF(AE190&lt;1,"&lt;1Y",IF(AE190&lt;=5,"1Y-5Y","&gt;5Y"))</x:f>
        <x:v>1Y-5Y</x:v>
      </x:c>
      <x:c r="AG190" s="27" t="str">
        <x:f>IF(E190="Commodity",IFERROR(VLOOKUP(F190,Parameters!$P$4:$Q$12,2,FALSE),"Other"),"")</x:f>
      </x:c>
      <x:c r="AH190" s="27" t="str">
        <x:f>IF(F190="","Unknown",F190)</x:f>
        <x:v>Unknown</x:v>
      </x:c>
      <x:c r="AI190" s="27" t="str">
        <x:f>IF(E190="Interest Rate",G190&amp;IF(OR(LOWER(AC190)="basis",LOWER(AC190)="volatility"),"_"&amp;AC190,""),IF(E190="FX",IF(H190&lt;I190,H190&amp;"/"&amp;I190,I190&amp;"/"&amp;H190)&amp;IF(OR(LOWER(AC190)="basis",LOWER(AC190)="volatility"),"_"&amp;AC190,""),IF(OR(E190="Credit",E190="Equity"),J190&amp;IF(OR(LOWER(AC190)="basis",LOWER(AC190)="volatility"),"_"&amp;AC190,""),IF(E190="Commodity",AG190&amp;IF(OR(LOWER(AC190)="basis",LOWER(AC190)="volatility"),"_"&amp;AC190,""),"UNKNOWN"))))</x:f>
        <x:v>USD</x:v>
      </x:c>
      <x:c r="AJ190" s="27" t="str">
        <x:f>T190</x:f>
        <x:v>M</x:v>
      </x:c>
      <x:c r="AK190" s="41" t="n">
        <x:f>IF(E190="Interest Rate",VLOOKUP("Interest Rate",Parameters!$D$4:$E$12,2,FALSE),IF(E190="FX",VLOOKUP("FX",Parameters!$D$4:$E$12,2,FALSE),IF(E190="Credit",IFERROR(VLOOKUP(L190,Parameters!$G$4:$H$12,2,FALSE),VLOOKUP("BBB",Parameters!$G$4:$H$12,2,FALSE)),IF(E190="Equity",VLOOKUP(IF(LOWER(K190)="index","Equity Index","Equity Single Name"),Parameters!$D$4:$E$12,2,FALSE),IF(E190="Commodity",VLOOKUP(IFERROR(VLOOKUP(F190,Parameters!$S$4:$T$12,2,FALSE),"Commodity Other"),Parameters!$D$4:$E$12,2,FALSE),0)))))</x:f>
        <x:v>0.005</x:v>
      </x:c>
      <x:c r="AL190" s="42" t="n">
        <x:f>IF(LOWER(AC190)="basis",Parameters!$B$8,IF(LOWER(AC190)="volatility",Parameters!$B$9,1))</x:f>
        <x:v>1</x:v>
      </x:c>
      <x:c r="AM190" s="41" t="n">
        <x:f>AK190*AL190</x:f>
        <x:v>0.005</x:v>
      </x:c>
      <x:c r="AN190" s="42" t="str">
        <x:f>IF(E190="Credit",VLOOKUP(IF(LOWER(K190)="index","Credit Index","Credit Single Name"),Parameters!$J$4:$K$8,2,FALSE),IF(E190="Equity",VLOOKUP(IF(LOWER(K190)="index","Equity Index","Equity Single Name"),Parameters!$J$4:$K$8,2,FALSE),IF(E190="Commodity",VLOOKUP("Commodity",Parameters!$J$4:$K$8,2,FALSE),"")))</x:f>
      </x:c>
      <x:c r="AO190" s="27" t="n">
        <x:f>MAX((O190-M190)/365,0)</x:f>
        <x:v>0</x:v>
      </x:c>
      <x:c r="AP190" s="27" t="n">
        <x:f>MAX((P190-M190)/365,10/Parameters!$B$6)</x:f>
        <x:v>2.0547945205479454</x:v>
      </x:c>
      <x:c r="AQ190" s="27" t="n">
        <x:f>IF(AP190&lt;=AO190,AO190+10/Parameters!$B$6,AP190)</x:f>
        <x:v>2.0547945205479454</x:v>
      </x:c>
      <x:c r="AR190" s="41" t="n">
        <x:f>IF(OR(E190="Interest Rate",E190="Credit"),(EXP(-Parameters!$B$7*AO190)-EXP(-Parameters!$B$7*AQ190))/Parameters!$B$7,1)</x:f>
        <x:v>1.952763915769311</x:v>
      </x:c>
      <x:c r="AS190" s="40" t="n">
        <x:f>IF(OR(E190="Interest Rate",E190="Credit"),ABS(Q190)*AR190,IF(E190="FX",IF(Q190&gt;0,Q190,MAX(ABS(R190),ABS(S190),ABS(Q190))),ABS(Q190)))</x:f>
        <x:v>341733685.2596294</x:v>
      </x:c>
      <x:c r="AT190" s="42" t="n">
        <x:f>IF(OR(E190="Interest Rate",E190="FX"),VLOOKUP(E190,Parameters!$M$4:$N$11,2,FALSE),IF(E190="Credit",VLOOKUP(IF(LOWER(K190)="index","Credit Index","Credit Single Name"),Parameters!$M$4:$N$11,2,FALSE),IF(E190="Equity",VLOOKUP(IF(LOWER(K190)="index","Equity Index","Equity Single Name"),Parameters!$M$4:$N$11,2,FALSE),IF(E190="Commodity",VLOOKUP(IF(F190="Electricity","Commodity Electricity","Commodity Other"),Parameters!$M$4:$N$11,2,FALSE),1))))</x:f>
        <x:v>0.5</x:v>
      </x:c>
      <x:c r="AU190" s="27" t="n">
        <x:f>IF(W190="B",1,-1)</x:f>
        <x:v>-1</x:v>
      </x:c>
      <x:c r="AV190" s="27" t="n">
        <x:f>IF(OR(AA190="",M190=""),MAX(AE190,1/365),MAX((AA190-M190)/365,1/365))</x:f>
        <x:v>1.5397260273972602</x:v>
      </x:c>
      <x:c r="AW190" s="41" t="n">
        <x:f>IF(OR(Z190&lt;=0,Y190&lt;=0,AT190&lt;=0,AV190&lt;=0),"",(LN(Z190/Y190)+0.5*AT190^2*AV190)/(AT190*SQRT(AV190)))</x:f>
        <x:v>0.18170468937655088</x:v>
      </x:c>
      <x:c r="AX190" s="41" t="n">
        <x:f>IF(AND(X190&lt;&gt;"C",X190&lt;&gt;"P"),AU190,IF(AW190="",AU190,IF(X190="C",AU190*0.5*(1+ERF(AW190/SQRT(2))),-AU190*0.5*(1+ERF(-AW190/SQRT(2))))))</x:f>
        <x:v>-0.5720927571751486</x:v>
      </x:c>
      <x:c r="AY190" s="41" t="n">
        <x:f>IF(AJ190="M",1.5*SQRT(MAX(IF(U190="Y",5,10),IF(V190="",10,V190))/Parameters!$B$6),SQRT(MIN(MAX(AE190,10/Parameters!$B$6),1)))</x:f>
        <x:v>0.30000000000000004</x:v>
      </x:c>
      <x:c r="AZ190" s="40" t="n">
        <x:f>AS190*AX190*AY190</x:f>
        <x:v>-58651009.86594176</x:v>
      </x:c>
      <x:c r="BA190" s="40" t="n">
        <x:f>'Python_Trade_Output'!AZ190</x:f>
        <x:v>-58651009.86594178</x:v>
      </x:c>
      <x:c r="BB190" s="43" t="n">
        <x:f>AZ190-BA190</x:f>
        <x:v>1.4901161193847656e-8</x:v>
      </x:c>
    </x:row>
    <x:row r="191">
      <x:c r="A191" s="27" t="str">
        <x:f>'Inputs_Trades'!D191</x:f>
        <x:v>IND-000188</x:v>
      </x:c>
      <x:c r="B191" s="27" t="str">
        <x:f>'Inputs_Trades'!B191</x:f>
        <x:v>IND_BROKER_001</x:v>
      </x:c>
      <x:c r="C191" s="27" t="n">
        <x:f>'Inputs_Trades'!C191</x:f>
        <x:v>3332</x:v>
      </x:c>
      <x:c r="D191" s="27" t="str">
        <x:f>'Inputs_Trades'!E191</x:f>
        <x:v>Cap/Floor</x:v>
      </x:c>
      <x:c r="E191" s="27" t="str">
        <x:f>'Inputs_Trades'!F191</x:f>
        <x:v>Interest Rate</x:v>
      </x:c>
      <x:c r="F191" s="27" t="n">
        <x:f>'Inputs_Trades'!G191</x:f>
        <x:v>0</x:v>
      </x:c>
      <x:c r="G191" s="27" t="str">
        <x:f>'Inputs_Trades'!J191</x:f>
        <x:v>EUR</x:v>
      </x:c>
      <x:c r="H191" s="27" t="str">
        <x:f>'Inputs_Trades'!H191</x:f>
        <x:v>EUR</x:v>
      </x:c>
      <x:c r="I191" s="27" t="str">
        <x:f>'Inputs_Trades'!I191</x:f>
        <x:v>EUR</x:v>
      </x:c>
      <x:c r="J191" s="27" t="str">
        <x:f>'Inputs_Trades'!M191</x:f>
        <x:v>EUR</x:v>
      </x:c>
      <x:c r="K191" s="27" t="n">
        <x:f>'Inputs_Trades'!N191</x:f>
        <x:v>0</x:v>
      </x:c>
      <x:c r="L191" s="27" t="n">
        <x:f>'Inputs_Trades'!O191</x:f>
        <x:v>0</x:v>
      </x:c>
      <x:c r="M191" s="39" t="n">
        <x:f>'Inputs_Trades'!A191</x:f>
        <x:v>45702</x:v>
      </x:c>
      <x:c r="N191" s="39" t="n">
        <x:f>'Inputs_Trades'!P191</x:f>
        <x:v>47398</x:v>
      </x:c>
      <x:c r="O191" s="39" t="n">
        <x:f>'Inputs_Trades'!Q191</x:f>
        <x:v>45238</x:v>
      </x:c>
      <x:c r="P191" s="39" t="n">
        <x:f>'Inputs_Trades'!R191</x:f>
        <x:v>47398</x:v>
      </x:c>
      <x:c r="Q191" s="40" t="n">
        <x:f>'Inputs_Trades'!U191</x:f>
        <x:v>247000000</x:v>
      </x:c>
      <x:c r="R191" s="40" t="n">
        <x:f>'Inputs_Trades'!S191</x:f>
        <x:v>235238095.24</x:v>
      </x:c>
      <x:c r="S191" s="40" t="n">
        <x:f>'Inputs_Trades'!T191</x:f>
        <x:v>235238095.24</x:v>
      </x:c>
      <x:c r="T191" s="27" t="str">
        <x:f>'Inputs_Trades'!V191</x:f>
        <x:v>M</x:v>
      </x:c>
      <x:c r="U191" s="27" t="str">
        <x:f>'Inputs_Trades'!W191</x:f>
        <x:v>Y</x:v>
      </x:c>
      <x:c r="V191" s="27" t="n">
        <x:f>'Inputs_Trades'!X191</x:f>
        <x:v>5</x:v>
      </x:c>
      <x:c r="W191" s="27" t="str">
        <x:f>'Inputs_Trades'!Y191</x:f>
        <x:v>S</x:v>
      </x:c>
      <x:c r="X191" s="27" t="str">
        <x:f>'Inputs_Trades'!AA191</x:f>
        <x:v>P</x:v>
      </x:c>
      <x:c r="Y191" s="27" t="n">
        <x:f>'Inputs_Trades'!AB191</x:f>
        <x:v>0.026705</x:v>
      </x:c>
      <x:c r="Z191" s="27" t="n">
        <x:f>'Inputs_Trades'!AC191</x:f>
        <x:v>0.0245</x:v>
      </x:c>
      <x:c r="AA191" s="39" t="n">
        <x:f>'Inputs_Trades'!Z191</x:f>
        <x:v>46974</x:v>
      </x:c>
      <x:c r="AB191" s="40" t="n">
        <x:f>'Inputs_Trades'!AD191</x:f>
        <x:v>-2205216</x:v>
      </x:c>
      <x:c r="AC191" s="27" t="n">
        <x:f>'Inputs_Trades'!K191</x:f>
        <x:v>0</x:v>
      </x:c>
      <x:c r="AD191" s="27" t="n">
        <x:f>N191-M191</x:f>
        <x:v>1696</x:v>
      </x:c>
      <x:c r="AE191" s="41" t="n">
        <x:f>AD191/365</x:f>
        <x:v>4.646575342465753</x:v>
      </x:c>
      <x:c r="AF191" s="27" t="str">
        <x:f>IF(AE191&lt;1,"&lt;1Y",IF(AE191&lt;=5,"1Y-5Y","&gt;5Y"))</x:f>
        <x:v>1Y-5Y</x:v>
      </x:c>
      <x:c r="AG191" s="27" t="str">
        <x:f>IF(E191="Commodity",IFERROR(VLOOKUP(F191,Parameters!$P$4:$Q$12,2,FALSE),"Other"),"")</x:f>
      </x:c>
      <x:c r="AH191" s="27" t="str">
        <x:f>IF(F191="","Unknown",F191)</x:f>
        <x:v>Unknown</x:v>
      </x:c>
      <x:c r="AI191" s="27" t="str">
        <x:f>IF(E191="Interest Rate",G191&amp;IF(OR(LOWER(AC191)="basis",LOWER(AC191)="volatility"),"_"&amp;AC191,""),IF(E191="FX",IF(H191&lt;I191,H191&amp;"/"&amp;I191,I191&amp;"/"&amp;H191)&amp;IF(OR(LOWER(AC191)="basis",LOWER(AC191)="volatility"),"_"&amp;AC191,""),IF(OR(E191="Credit",E191="Equity"),J191&amp;IF(OR(LOWER(AC191)="basis",LOWER(AC191)="volatility"),"_"&amp;AC191,""),IF(E191="Commodity",AG191&amp;IF(OR(LOWER(AC191)="basis",LOWER(AC191)="volatility"),"_"&amp;AC191,""),"UNKNOWN"))))</x:f>
        <x:v>EUR</x:v>
      </x:c>
      <x:c r="AJ191" s="27" t="str">
        <x:f>T191</x:f>
        <x:v>M</x:v>
      </x:c>
      <x:c r="AK191" s="41" t="n">
        <x:f>IF(E191="Interest Rate",VLOOKUP("Interest Rate",Parameters!$D$4:$E$12,2,FALSE),IF(E191="FX",VLOOKUP("FX",Parameters!$D$4:$E$12,2,FALSE),IF(E191="Credit",IFERROR(VLOOKUP(L191,Parameters!$G$4:$H$12,2,FALSE),VLOOKUP("BBB",Parameters!$G$4:$H$12,2,FALSE)),IF(E191="Equity",VLOOKUP(IF(LOWER(K191)="index","Equity Index","Equity Single Name"),Parameters!$D$4:$E$12,2,FALSE),IF(E191="Commodity",VLOOKUP(IFERROR(VLOOKUP(F191,Parameters!$S$4:$T$12,2,FALSE),"Commodity Other"),Parameters!$D$4:$E$12,2,FALSE),0)))))</x:f>
        <x:v>0.005</x:v>
      </x:c>
      <x:c r="AL191" s="42" t="n">
        <x:f>IF(LOWER(AC191)="basis",Parameters!$B$8,IF(LOWER(AC191)="volatility",Parameters!$B$9,1))</x:f>
        <x:v>1</x:v>
      </x:c>
      <x:c r="AM191" s="41" t="n">
        <x:f>AK191*AL191</x:f>
        <x:v>0.005</x:v>
      </x:c>
      <x:c r="AN191" s="42" t="str">
        <x:f>IF(E191="Credit",VLOOKUP(IF(LOWER(K191)="index","Credit Index","Credit Single Name"),Parameters!$J$4:$K$8,2,FALSE),IF(E191="Equity",VLOOKUP(IF(LOWER(K191)="index","Equity Index","Equity Single Name"),Parameters!$J$4:$K$8,2,FALSE),IF(E191="Commodity",VLOOKUP("Commodity",Parameters!$J$4:$K$8,2,FALSE),"")))</x:f>
      </x:c>
      <x:c r="AO191" s="27" t="n">
        <x:f>MAX((O191-M191)/365,0)</x:f>
        <x:v>0</x:v>
      </x:c>
      <x:c r="AP191" s="27" t="n">
        <x:f>MAX((P191-M191)/365,10/Parameters!$B$6)</x:f>
        <x:v>4.646575342465753</x:v>
      </x:c>
      <x:c r="AQ191" s="27" t="n">
        <x:f>IF(AP191&lt;=AO191,AO191+10/Parameters!$B$6,AP191)</x:f>
        <x:v>4.646575342465753</x:v>
      </x:c>
      <x:c r="AR191" s="41" t="n">
        <x:f>IF(OR(E191="Interest Rate",E191="Credit"),(EXP(-Parameters!$B$7*AO191)-EXP(-Parameters!$B$7*AQ191))/Parameters!$B$7,1)</x:f>
        <x:v>4.146290569199689</x:v>
      </x:c>
      <x:c r="AS191" s="40" t="n">
        <x:f>IF(OR(E191="Interest Rate",E191="Credit"),ABS(Q191)*AR191,IF(E191="FX",IF(Q191&gt;0,Q191,MAX(ABS(R191),ABS(S191),ABS(Q191))),ABS(Q191)))</x:f>
        <x:v>1024133770.5923231</x:v>
      </x:c>
      <x:c r="AT191" s="42" t="n">
        <x:f>IF(OR(E191="Interest Rate",E191="FX"),VLOOKUP(E191,Parameters!$M$4:$N$11,2,FALSE),IF(E191="Credit",VLOOKUP(IF(LOWER(K191)="index","Credit Index","Credit Single Name"),Parameters!$M$4:$N$11,2,FALSE),IF(E191="Equity",VLOOKUP(IF(LOWER(K191)="index","Equity Index","Equity Single Name"),Parameters!$M$4:$N$11,2,FALSE),IF(E191="Commodity",VLOOKUP(IF(F191="Electricity","Commodity Electricity","Commodity Other"),Parameters!$M$4:$N$11,2,FALSE),1))))</x:f>
        <x:v>0.5</x:v>
      </x:c>
      <x:c r="AU191" s="27" t="n">
        <x:f>IF(W191="B",1,-1)</x:f>
        <x:v>-1</x:v>
      </x:c>
      <x:c r="AV191" s="27" t="n">
        <x:f>IF(OR(AA191="",M191=""),MAX(AE191,1/365),MAX((AA191-M191)/365,1/365))</x:f>
        <x:v>3.484931506849315</x:v>
      </x:c>
      <x:c r="AW191" s="41" t="n">
        <x:f>IF(OR(Z191&lt;=0,Y191&lt;=0,AT191&lt;=0,AV191&lt;=0),"",(LN(Z191/Y191)+0.5*AT191^2*AV191)/(AT191*SQRT(AV191)))</x:f>
        <x:v>0.37437248792413047</x:v>
      </x:c>
      <x:c r="AX191" s="41" t="n">
        <x:f>IF(AND(X191&lt;&gt;"C",X191&lt;&gt;"P"),AU191,IF(AW191="",AU191,IF(X191="C",AU191*0.5*(1+ERF(AW191/SQRT(2))),-AU191*0.5*(1+ERF(-AW191/SQRT(2))))))</x:f>
        <x:v>0.3540636043308469</x:v>
      </x:c>
      <x:c r="AY191" s="41" t="n">
        <x:f>IF(AJ191="M",1.5*SQRT(MAX(IF(U191="Y",5,10),IF(V191="",10,V191))/Parameters!$B$6),SQRT(MIN(MAX(AE191,10/Parameters!$B$6),1)))</x:f>
        <x:v>0.21213203435596426</x:v>
      </x:c>
      <x:c r="AZ191" s="40" t="n">
        <x:f>AS191*AX191*AY191</x:f>
        <x:v>76920877.53515601</x:v>
      </x:c>
      <x:c r="BA191" s="40" t="n">
        <x:f>'Python_Trade_Output'!AZ191</x:f>
        <x:v>76920877.53515601</x:v>
      </x:c>
      <x:c r="BB191" s="43" t="n">
        <x:f>AZ191-BA191</x:f>
        <x:v>0</x:v>
      </x:c>
    </x:row>
    <x:row r="192">
      <x:c r="A192" s="27" t="str">
        <x:f>'Inputs_Trades'!D192</x:f>
        <x:v>IND-000189</x:v>
      </x:c>
      <x:c r="B192" s="27" t="str">
        <x:f>'Inputs_Trades'!B192</x:f>
        <x:v>IND_CORPORATE_001</x:v>
      </x:c>
      <x:c r="C192" s="27" t="n">
        <x:f>'Inputs_Trades'!C192</x:f>
        <x:v>3100</x:v>
      </x:c>
      <x:c r="D192" s="27" t="str">
        <x:f>'Inputs_Trades'!E192</x:f>
        <x:v>Precious Metal Forward</x:v>
      </x:c>
      <x:c r="E192" s="27" t="str">
        <x:f>'Inputs_Trades'!F192</x:f>
        <x:v>Commodity</x:v>
      </x:c>
      <x:c r="F192" s="27" t="str">
        <x:f>'Inputs_Trades'!G192</x:f>
        <x:v>Gold</x:v>
      </x:c>
      <x:c r="G192" s="27" t="str">
        <x:f>'Inputs_Trades'!J192</x:f>
        <x:v>CNY</x:v>
      </x:c>
      <x:c r="H192" s="27" t="str">
        <x:f>'Inputs_Trades'!H192</x:f>
        <x:v>XAU</x:v>
      </x:c>
      <x:c r="I192" s="27" t="str">
        <x:f>'Inputs_Trades'!I192</x:f>
        <x:v>CNY</x:v>
      </x:c>
      <x:c r="J192" s="27" t="str">
        <x:f>'Inputs_Trades'!M192</x:f>
        <x:v>XAU/CNY</x:v>
      </x:c>
      <x:c r="K192" s="27" t="n">
        <x:f>'Inputs_Trades'!N192</x:f>
        <x:v>0</x:v>
      </x:c>
      <x:c r="L192" s="27" t="n">
        <x:f>'Inputs_Trades'!O192</x:f>
        <x:v>0</x:v>
      </x:c>
      <x:c r="M192" s="39" t="n">
        <x:f>'Inputs_Trades'!A192</x:f>
        <x:v>45702</x:v>
      </x:c>
      <x:c r="N192" s="39" t="n">
        <x:f>'Inputs_Trades'!P192</x:f>
        <x:v>45952</x:v>
      </x:c>
      <x:c r="O192" s="39" t="n">
        <x:f>'Inputs_Trades'!Q192</x:f>
        <x:v>44968</x:v>
      </x:c>
      <x:c r="P192" s="39" t="n">
        <x:f>'Inputs_Trades'!R192</x:f>
        <x:v>45952</x:v>
      </x:c>
      <x:c r="Q192" s="40" t="n">
        <x:f>'Inputs_Trades'!U192</x:f>
        <x:v>1400000</x:v>
      </x:c>
      <x:c r="R192" s="40" t="n">
        <x:f>'Inputs_Trades'!S192</x:f>
        <x:v>700</x:v>
      </x:c>
      <x:c r="S192" s="40" t="n">
        <x:f>'Inputs_Trades'!T192</x:f>
        <x:v>10000000</x:v>
      </x:c>
      <x:c r="T192" s="27" t="str">
        <x:f>'Inputs_Trades'!V192</x:f>
        <x:v>M</x:v>
      </x:c>
      <x:c r="U192" s="27" t="str">
        <x:f>'Inputs_Trades'!W192</x:f>
        <x:v>N</x:v>
      </x:c>
      <x:c r="V192" s="27" t="n">
        <x:f>'Inputs_Trades'!X192</x:f>
        <x:v>10</x:v>
      </x:c>
      <x:c r="W192" s="27" t="str">
        <x:f>'Inputs_Trades'!Y192</x:f>
        <x:v>B</x:v>
      </x:c>
      <x:c r="X192" s="27" t="n">
        <x:f>'Inputs_Trades'!AA192</x:f>
        <x:v>0</x:v>
      </x:c>
      <x:c r="Y192" s="27" t="n">
        <x:f>'Inputs_Trades'!AB192</x:f>
        <x:v>0</x:v>
      </x:c>
      <x:c r="Z192" s="27" t="n">
        <x:f>'Inputs_Trades'!AC192</x:f>
        <x:v>0</x:v>
      </x:c>
      <x:c r="AA192" s="39" t="n">
        <x:f>'Inputs_Trades'!Z192</x:f>
        <x:v>0</x:v>
      </x:c>
      <x:c r="AB192" s="40" t="n">
        <x:f>'Inputs_Trades'!AD192</x:f>
        <x:v>34524</x:v>
      </x:c>
      <x:c r="AC192" s="27" t="n">
        <x:f>'Inputs_Trades'!K192</x:f>
        <x:v>0</x:v>
      </x:c>
      <x:c r="AD192" s="27" t="n">
        <x:f>N192-M192</x:f>
        <x:v>250</x:v>
      </x:c>
      <x:c r="AE192" s="41" t="n">
        <x:f>AD192/365</x:f>
        <x:v>0.684931506849315</x:v>
      </x:c>
      <x:c r="AF192" s="27" t="str">
        <x:f>IF(AE192&lt;1,"&lt;1Y",IF(AE192&lt;=5,"1Y-5Y","&gt;5Y"))</x:f>
        <x:v>&lt;1Y</x:v>
      </x:c>
      <x:c r="AG192" s="27" t="str">
        <x:f>IF(E192="Commodity",IFERROR(VLOOKUP(F192,Parameters!$P$4:$Q$12,2,FALSE),"Other"),"")</x:f>
        <x:v>Metals</x:v>
      </x:c>
      <x:c r="AH192" s="27" t="str">
        <x:f>IF(F192="","Unknown",F192)</x:f>
        <x:v>Gold</x:v>
      </x:c>
      <x:c r="AI192" s="27" t="str">
        <x:f>IF(E192="Interest Rate",G192&amp;IF(OR(LOWER(AC192)="basis",LOWER(AC192)="volatility"),"_"&amp;AC192,""),IF(E192="FX",IF(H192&lt;I192,H192&amp;"/"&amp;I192,I192&amp;"/"&amp;H192)&amp;IF(OR(LOWER(AC192)="basis",LOWER(AC192)="volatility"),"_"&amp;AC192,""),IF(OR(E192="Credit",E192="Equity"),J192&amp;IF(OR(LOWER(AC192)="basis",LOWER(AC192)="volatility"),"_"&amp;AC192,""),IF(E192="Commodity",AG192&amp;IF(OR(LOWER(AC192)="basis",LOWER(AC192)="volatility"),"_"&amp;AC192,""),"UNKNOWN"))))</x:f>
        <x:v>Metals</x:v>
      </x:c>
      <x:c r="AJ192" s="27" t="str">
        <x:f>T192</x:f>
        <x:v>M</x:v>
      </x:c>
      <x:c r="AK192" s="41" t="n">
        <x:f>IF(E192="Interest Rate",VLOOKUP("Interest Rate",Parameters!$D$4:$E$12,2,FALSE),IF(E192="FX",VLOOKUP("FX",Parameters!$D$4:$E$12,2,FALSE),IF(E192="Credit",IFERROR(VLOOKUP(L192,Parameters!$G$4:$H$12,2,FALSE),VLOOKUP("BBB",Parameters!$G$4:$H$12,2,FALSE)),IF(E192="Equity",VLOOKUP(IF(LOWER(K192)="index","Equity Index","Equity Single Name"),Parameters!$D$4:$E$12,2,FALSE),IF(E192="Commodity",VLOOKUP(IFERROR(VLOOKUP(F192,Parameters!$S$4:$T$12,2,FALSE),"Commodity Other"),Parameters!$D$4:$E$12,2,FALSE),0)))))</x:f>
        <x:v>0.18</x:v>
      </x:c>
      <x:c r="AL192" s="42" t="n">
        <x:f>IF(LOWER(AC192)="basis",Parameters!$B$8,IF(LOWER(AC192)="volatility",Parameters!$B$9,1))</x:f>
        <x:v>1</x:v>
      </x:c>
      <x:c r="AM192" s="41" t="n">
        <x:f>AK192*AL192</x:f>
        <x:v>0.18</x:v>
      </x:c>
      <x:c r="AN192" s="42" t="n">
        <x:f>IF(E192="Credit",VLOOKUP(IF(LOWER(K192)="index","Credit Index","Credit Single Name"),Parameters!$J$4:$K$8,2,FALSE),IF(E192="Equity",VLOOKUP(IF(LOWER(K192)="index","Equity Index","Equity Single Name"),Parameters!$J$4:$K$8,2,FALSE),IF(E192="Commodity",VLOOKUP("Commodity",Parameters!$J$4:$K$8,2,FALSE),"")))</x:f>
        <x:v>0.4</x:v>
      </x:c>
      <x:c r="AO192" s="27" t="n">
        <x:f>MAX((O192-M192)/365,0)</x:f>
        <x:v>0</x:v>
      </x:c>
      <x:c r="AP192" s="27" t="n">
        <x:f>MAX((P192-M192)/365,10/Parameters!$B$6)</x:f>
        <x:v>0.684931506849315</x:v>
      </x:c>
      <x:c r="AQ192" s="27" t="n">
        <x:f>IF(AP192&lt;=AO192,AO192+10/Parameters!$B$6,AP192)</x:f>
        <x:v>0.684931506849315</x:v>
      </x:c>
      <x:c r="AR192" s="41" t="n">
        <x:f>IF(OR(E192="Interest Rate",E192="Credit"),(EXP(-Parameters!$B$7*AO192)-EXP(-Parameters!$B$7*AQ192))/Parameters!$B$7,1)</x:f>
        <x:v>1</x:v>
      </x:c>
      <x:c r="AS192" s="40" t="n">
        <x:f>IF(OR(E192="Interest Rate",E192="Credit"),ABS(Q192)*AR192,IF(E192="FX",IF(Q192&gt;0,Q192,MAX(ABS(R192),ABS(S192),ABS(Q192))),ABS(Q192)))</x:f>
        <x:v>1400000</x:v>
      </x:c>
      <x:c r="AT192" s="42" t="n">
        <x:f>IF(OR(E192="Interest Rate",E192="FX"),VLOOKUP(E192,Parameters!$M$4:$N$11,2,FALSE),IF(E192="Credit",VLOOKUP(IF(LOWER(K192)="index","Credit Index","Credit Single Name"),Parameters!$M$4:$N$11,2,FALSE),IF(E192="Equity",VLOOKUP(IF(LOWER(K192)="index","Equity Index","Equity Single Name"),Parameters!$M$4:$N$11,2,FALSE),IF(E192="Commodity",VLOOKUP(IF(F192="Electricity","Commodity Electricity","Commodity Other"),Parameters!$M$4:$N$11,2,FALSE),1))))</x:f>
        <x:v>0.7</x:v>
      </x:c>
      <x:c r="AU192" s="27" t="n">
        <x:f>IF(W192="B",1,-1)</x:f>
        <x:v>1</x:v>
      </x:c>
      <x:c r="AV192" s="27" t="n">
        <x:f>IF(OR(AA192="",M192=""),MAX(AE192,1/365),MAX((AA192-M192)/365,1/365))</x:f>
        <x:v>0.684931506849315</x:v>
      </x:c>
      <x:c r="AW192" s="41" t="str">
        <x:f>IF(OR(Z192&lt;=0,Y192&lt;=0,AT192&lt;=0,AV192&lt;=0),"",(LN(Z192/Y192)+0.5*AT192^2*AV192)/(AT192*SQRT(AV192)))</x:f>
      </x:c>
      <x:c r="AX192" s="41" t="n">
        <x:f>IF(AND(X192&lt;&gt;"C",X192&lt;&gt;"P"),AU192,IF(AW192="",AU192,IF(X192="C",AU192*0.5*(1+ERF(AW192/SQRT(2))),-AU192*0.5*(1+ERF(-AW192/SQRT(2))))))</x:f>
        <x:v>1</x:v>
      </x:c>
      <x:c r="AY192" s="41" t="n">
        <x:f>IF(AJ192="M",1.5*SQRT(MAX(IF(U192="Y",5,10),IF(V192="",10,V192))/Parameters!$B$6),SQRT(MIN(MAX(AE192,10/Parameters!$B$6),1)))</x:f>
        <x:v>0.30000000000000004</x:v>
      </x:c>
      <x:c r="AZ192" s="40" t="n">
        <x:f>AS192*AX192*AY192</x:f>
        <x:v>420000.00000000006</x:v>
      </x:c>
      <x:c r="BA192" s="40" t="n">
        <x:f>'Python_Trade_Output'!AZ192</x:f>
        <x:v>420000.00000000006</x:v>
      </x:c>
      <x:c r="BB192" s="43" t="n">
        <x:f>AZ192-BA192</x:f>
        <x:v>0</x:v>
      </x:c>
    </x:row>
    <x:row r="193">
      <x:c r="A193" s="27" t="str">
        <x:f>'Inputs_Trades'!D193</x:f>
        <x:v>IND-000190</x:v>
      </x:c>
      <x:c r="B193" s="27" t="str">
        <x:f>'Inputs_Trades'!B193</x:f>
        <x:v>IND_PENSION_001</x:v>
      </x:c>
      <x:c r="C193" s="27" t="n">
        <x:f>'Inputs_Trades'!C193</x:f>
        <x:v>3113</x:v>
      </x:c>
      <x:c r="D193" s="27" t="str">
        <x:f>'Inputs_Trades'!E193</x:f>
        <x:v>Precious Metal Forward</x:v>
      </x:c>
      <x:c r="E193" s="27" t="str">
        <x:f>'Inputs_Trades'!F193</x:f>
        <x:v>Commodity</x:v>
      </x:c>
      <x:c r="F193" s="27" t="str">
        <x:f>'Inputs_Trades'!G193</x:f>
        <x:v>Gold</x:v>
      </x:c>
      <x:c r="G193" s="27" t="str">
        <x:f>'Inputs_Trades'!J193</x:f>
        <x:v>CNY</x:v>
      </x:c>
      <x:c r="H193" s="27" t="str">
        <x:f>'Inputs_Trades'!H193</x:f>
        <x:v>XAU</x:v>
      </x:c>
      <x:c r="I193" s="27" t="str">
        <x:f>'Inputs_Trades'!I193</x:f>
        <x:v>CNY</x:v>
      </x:c>
      <x:c r="J193" s="27" t="str">
        <x:f>'Inputs_Trades'!M193</x:f>
        <x:v>XAU/CNY</x:v>
      </x:c>
      <x:c r="K193" s="27" t="n">
        <x:f>'Inputs_Trades'!N193</x:f>
        <x:v>0</x:v>
      </x:c>
      <x:c r="L193" s="27" t="n">
        <x:f>'Inputs_Trades'!O193</x:f>
        <x:v>0</x:v>
      </x:c>
      <x:c r="M193" s="39" t="n">
        <x:f>'Inputs_Trades'!A193</x:f>
        <x:v>45702</x:v>
      </x:c>
      <x:c r="N193" s="39" t="n">
        <x:f>'Inputs_Trades'!P193</x:f>
        <x:v>45761</x:v>
      </x:c>
      <x:c r="O193" s="39" t="n">
        <x:f>'Inputs_Trades'!Q193</x:f>
        <x:v>44856</x:v>
      </x:c>
      <x:c r="P193" s="39" t="n">
        <x:f>'Inputs_Trades'!R193</x:f>
        <x:v>45761</x:v>
      </x:c>
      <x:c r="Q193" s="40" t="n">
        <x:f>'Inputs_Trades'!U193</x:f>
        <x:v>74600000</x:v>
      </x:c>
      <x:c r="R193" s="40" t="n">
        <x:f>'Inputs_Trades'!S193</x:f>
        <x:v>37300</x:v>
      </x:c>
      <x:c r="S193" s="40" t="n">
        <x:f>'Inputs_Trades'!T193</x:f>
        <x:v>532857142.86</x:v>
      </x:c>
      <x:c r="T193" s="27" t="str">
        <x:f>'Inputs_Trades'!V193</x:f>
        <x:v>M</x:v>
      </x:c>
      <x:c r="U193" s="27" t="str">
        <x:f>'Inputs_Trades'!W193</x:f>
        <x:v>N</x:v>
      </x:c>
      <x:c r="V193" s="27" t="n">
        <x:f>'Inputs_Trades'!X193</x:f>
        <x:v>10</x:v>
      </x:c>
      <x:c r="W193" s="27" t="str">
        <x:f>'Inputs_Trades'!Y193</x:f>
        <x:v>B</x:v>
      </x:c>
      <x:c r="X193" s="27" t="n">
        <x:f>'Inputs_Trades'!AA193</x:f>
        <x:v>0</x:v>
      </x:c>
      <x:c r="Y193" s="27" t="n">
        <x:f>'Inputs_Trades'!AB193</x:f>
        <x:v>0</x:v>
      </x:c>
      <x:c r="Z193" s="27" t="n">
        <x:f>'Inputs_Trades'!AC193</x:f>
        <x:v>0</x:v>
      </x:c>
      <x:c r="AA193" s="39" t="n">
        <x:f>'Inputs_Trades'!Z193</x:f>
        <x:v>0</x:v>
      </x:c>
      <x:c r="AB193" s="40" t="n">
        <x:f>'Inputs_Trades'!AD193</x:f>
        <x:v>1685214</x:v>
      </x:c>
      <x:c r="AC193" s="27" t="n">
        <x:f>'Inputs_Trades'!K193</x:f>
        <x:v>0</x:v>
      </x:c>
      <x:c r="AD193" s="27" t="n">
        <x:f>N193-M193</x:f>
        <x:v>59</x:v>
      </x:c>
      <x:c r="AE193" s="41" t="n">
        <x:f>AD193/365</x:f>
        <x:v>0.16164383561643836</x:v>
      </x:c>
      <x:c r="AF193" s="27" t="str">
        <x:f>IF(AE193&lt;1,"&lt;1Y",IF(AE193&lt;=5,"1Y-5Y","&gt;5Y"))</x:f>
        <x:v>&lt;1Y</x:v>
      </x:c>
      <x:c r="AG193" s="27" t="str">
        <x:f>IF(E193="Commodity",IFERROR(VLOOKUP(F193,Parameters!$P$4:$Q$12,2,FALSE),"Other"),"")</x:f>
        <x:v>Metals</x:v>
      </x:c>
      <x:c r="AH193" s="27" t="str">
        <x:f>IF(F193="","Unknown",F193)</x:f>
        <x:v>Gold</x:v>
      </x:c>
      <x:c r="AI193" s="27" t="str">
        <x:f>IF(E193="Interest Rate",G193&amp;IF(OR(LOWER(AC193)="basis",LOWER(AC193)="volatility"),"_"&amp;AC193,""),IF(E193="FX",IF(H193&lt;I193,H193&amp;"/"&amp;I193,I193&amp;"/"&amp;H193)&amp;IF(OR(LOWER(AC193)="basis",LOWER(AC193)="volatility"),"_"&amp;AC193,""),IF(OR(E193="Credit",E193="Equity"),J193&amp;IF(OR(LOWER(AC193)="basis",LOWER(AC193)="volatility"),"_"&amp;AC193,""),IF(E193="Commodity",AG193&amp;IF(OR(LOWER(AC193)="basis",LOWER(AC193)="volatility"),"_"&amp;AC193,""),"UNKNOWN"))))</x:f>
        <x:v>Metals</x:v>
      </x:c>
      <x:c r="AJ193" s="27" t="str">
        <x:f>T193</x:f>
        <x:v>M</x:v>
      </x:c>
      <x:c r="AK193" s="41" t="n">
        <x:f>IF(E193="Interest Rate",VLOOKUP("Interest Rate",Parameters!$D$4:$E$12,2,FALSE),IF(E193="FX",VLOOKUP("FX",Parameters!$D$4:$E$12,2,FALSE),IF(E193="Credit",IFERROR(VLOOKUP(L193,Parameters!$G$4:$H$12,2,FALSE),VLOOKUP("BBB",Parameters!$G$4:$H$12,2,FALSE)),IF(E193="Equity",VLOOKUP(IF(LOWER(K193)="index","Equity Index","Equity Single Name"),Parameters!$D$4:$E$12,2,FALSE),IF(E193="Commodity",VLOOKUP(IFERROR(VLOOKUP(F193,Parameters!$S$4:$T$12,2,FALSE),"Commodity Other"),Parameters!$D$4:$E$12,2,FALSE),0)))))</x:f>
        <x:v>0.18</x:v>
      </x:c>
      <x:c r="AL193" s="42" t="n">
        <x:f>IF(LOWER(AC193)="basis",Parameters!$B$8,IF(LOWER(AC193)="volatility",Parameters!$B$9,1))</x:f>
        <x:v>1</x:v>
      </x:c>
      <x:c r="AM193" s="41" t="n">
        <x:f>AK193*AL193</x:f>
        <x:v>0.18</x:v>
      </x:c>
      <x:c r="AN193" s="42" t="n">
        <x:f>IF(E193="Credit",VLOOKUP(IF(LOWER(K193)="index","Credit Index","Credit Single Name"),Parameters!$J$4:$K$8,2,FALSE),IF(E193="Equity",VLOOKUP(IF(LOWER(K193)="index","Equity Index","Equity Single Name"),Parameters!$J$4:$K$8,2,FALSE),IF(E193="Commodity",VLOOKUP("Commodity",Parameters!$J$4:$K$8,2,FALSE),"")))</x:f>
        <x:v>0.4</x:v>
      </x:c>
      <x:c r="AO193" s="27" t="n">
        <x:f>MAX((O193-M193)/365,0)</x:f>
        <x:v>0</x:v>
      </x:c>
      <x:c r="AP193" s="27" t="n">
        <x:f>MAX((P193-M193)/365,10/Parameters!$B$6)</x:f>
        <x:v>0.16164383561643836</x:v>
      </x:c>
      <x:c r="AQ193" s="27" t="n">
        <x:f>IF(AP193&lt;=AO193,AO193+10/Parameters!$B$6,AP193)</x:f>
        <x:v>0.16164383561643836</x:v>
      </x:c>
      <x:c r="AR193" s="41" t="n">
        <x:f>IF(OR(E193="Interest Rate",E193="Credit"),(EXP(-Parameters!$B$7*AO193)-EXP(-Parameters!$B$7*AQ193))/Parameters!$B$7,1)</x:f>
        <x:v>1</x:v>
      </x:c>
      <x:c r="AS193" s="40" t="n">
        <x:f>IF(OR(E193="Interest Rate",E193="Credit"),ABS(Q193)*AR193,IF(E193="FX",IF(Q193&gt;0,Q193,MAX(ABS(R193),ABS(S193),ABS(Q193))),ABS(Q193)))</x:f>
        <x:v>74600000</x:v>
      </x:c>
      <x:c r="AT193" s="42" t="n">
        <x:f>IF(OR(E193="Interest Rate",E193="FX"),VLOOKUP(E193,Parameters!$M$4:$N$11,2,FALSE),IF(E193="Credit",VLOOKUP(IF(LOWER(K193)="index","Credit Index","Credit Single Name"),Parameters!$M$4:$N$11,2,FALSE),IF(E193="Equity",VLOOKUP(IF(LOWER(K193)="index","Equity Index","Equity Single Name"),Parameters!$M$4:$N$11,2,FALSE),IF(E193="Commodity",VLOOKUP(IF(F193="Electricity","Commodity Electricity","Commodity Other"),Parameters!$M$4:$N$11,2,FALSE),1))))</x:f>
        <x:v>0.7</x:v>
      </x:c>
      <x:c r="AU193" s="27" t="n">
        <x:f>IF(W193="B",1,-1)</x:f>
        <x:v>1</x:v>
      </x:c>
      <x:c r="AV193" s="27" t="n">
        <x:f>IF(OR(AA193="",M193=""),MAX(AE193,1/365),MAX((AA193-M193)/365,1/365))</x:f>
        <x:v>0.16164383561643836</x:v>
      </x:c>
      <x:c r="AW193" s="41" t="str">
        <x:f>IF(OR(Z193&lt;=0,Y193&lt;=0,AT193&lt;=0,AV193&lt;=0),"",(LN(Z193/Y193)+0.5*AT193^2*AV193)/(AT193*SQRT(AV193)))</x:f>
      </x:c>
      <x:c r="AX193" s="41" t="n">
        <x:f>IF(AND(X193&lt;&gt;"C",X193&lt;&gt;"P"),AU193,IF(AW193="",AU193,IF(X193="C",AU193*0.5*(1+ERF(AW193/SQRT(2))),-AU193*0.5*(1+ERF(-AW193/SQRT(2))))))</x:f>
        <x:v>1</x:v>
      </x:c>
      <x:c r="AY193" s="41" t="n">
        <x:f>IF(AJ193="M",1.5*SQRT(MAX(IF(U193="Y",5,10),IF(V193="",10,V193))/Parameters!$B$6),SQRT(MIN(MAX(AE193,10/Parameters!$B$6),1)))</x:f>
        <x:v>0.30000000000000004</x:v>
      </x:c>
      <x:c r="AZ193" s="40" t="n">
        <x:f>AS193*AX193*AY193</x:f>
        <x:v>22380000.000000004</x:v>
      </x:c>
      <x:c r="BA193" s="40" t="n">
        <x:f>'Python_Trade_Output'!AZ193</x:f>
        <x:v>22380000.000000004</x:v>
      </x:c>
      <x:c r="BB193" s="43" t="n">
        <x:f>AZ193-BA193</x:f>
        <x:v>0</x:v>
      </x:c>
    </x:row>
    <x:row r="194">
      <x:c r="A194" s="27" t="str">
        <x:f>'Inputs_Trades'!D194</x:f>
        <x:v>IND-000191</x:v>
      </x:c>
      <x:c r="B194" s="27" t="str">
        <x:f>'Inputs_Trades'!B194</x:f>
        <x:v>IND_CORPORATE_001</x:v>
      </x:c>
      <x:c r="C194" s="27" t="n">
        <x:f>'Inputs_Trades'!C194</x:f>
        <x:v>3358</x:v>
      </x:c>
      <x:c r="D194" s="27" t="str">
        <x:f>'Inputs_Trades'!E194</x:f>
        <x:v>Precious Metal Forward</x:v>
      </x:c>
      <x:c r="E194" s="27" t="str">
        <x:f>'Inputs_Trades'!F194</x:f>
        <x:v>Commodity</x:v>
      </x:c>
      <x:c r="F194" s="27" t="str">
        <x:f>'Inputs_Trades'!G194</x:f>
        <x:v>Gold</x:v>
      </x:c>
      <x:c r="G194" s="27" t="str">
        <x:f>'Inputs_Trades'!J194</x:f>
        <x:v>CNY</x:v>
      </x:c>
      <x:c r="H194" s="27" t="str">
        <x:f>'Inputs_Trades'!H194</x:f>
        <x:v>XAU</x:v>
      </x:c>
      <x:c r="I194" s="27" t="str">
        <x:f>'Inputs_Trades'!I194</x:f>
        <x:v>CNY</x:v>
      </x:c>
      <x:c r="J194" s="27" t="str">
        <x:f>'Inputs_Trades'!M194</x:f>
        <x:v>XAU/CNY</x:v>
      </x:c>
      <x:c r="K194" s="27" t="n">
        <x:f>'Inputs_Trades'!N194</x:f>
        <x:v>0</x:v>
      </x:c>
      <x:c r="L194" s="27" t="n">
        <x:f>'Inputs_Trades'!O194</x:f>
        <x:v>0</x:v>
      </x:c>
      <x:c r="M194" s="39" t="n">
        <x:f>'Inputs_Trades'!A194</x:f>
        <x:v>45702</x:v>
      </x:c>
      <x:c r="N194" s="39" t="n">
        <x:f>'Inputs_Trades'!P194</x:f>
        <x:v>46563</x:v>
      </x:c>
      <x:c r="O194" s="39" t="n">
        <x:f>'Inputs_Trades'!Q194</x:f>
        <x:v>45637</x:v>
      </x:c>
      <x:c r="P194" s="39" t="n">
        <x:f>'Inputs_Trades'!R194</x:f>
        <x:v>46563</x:v>
      </x:c>
      <x:c r="Q194" s="40" t="n">
        <x:f>'Inputs_Trades'!U194</x:f>
        <x:v>10200000</x:v>
      </x:c>
      <x:c r="R194" s="40" t="n">
        <x:f>'Inputs_Trades'!S194</x:f>
        <x:v>5100</x:v>
      </x:c>
      <x:c r="S194" s="40" t="n">
        <x:f>'Inputs_Trades'!T194</x:f>
        <x:v>72857142.86</x:v>
      </x:c>
      <x:c r="T194" s="27" t="str">
        <x:f>'Inputs_Trades'!V194</x:f>
        <x:v>U</x:v>
      </x:c>
      <x:c r="U194" s="27" t="str">
        <x:f>'Inputs_Trades'!W194</x:f>
        <x:v>N</x:v>
      </x:c>
      <x:c r="V194" s="27" t="n">
        <x:f>'Inputs_Trades'!X194</x:f>
        <x:v>0</x:v>
      </x:c>
      <x:c r="W194" s="27" t="str">
        <x:f>'Inputs_Trades'!Y194</x:f>
        <x:v>S</x:v>
      </x:c>
      <x:c r="X194" s="27" t="n">
        <x:f>'Inputs_Trades'!AA194</x:f>
        <x:v>0</x:v>
      </x:c>
      <x:c r="Y194" s="27" t="n">
        <x:f>'Inputs_Trades'!AB194</x:f>
        <x:v>0</x:v>
      </x:c>
      <x:c r="Z194" s="27" t="n">
        <x:f>'Inputs_Trades'!AC194</x:f>
        <x:v>0</x:v>
      </x:c>
      <x:c r="AA194" s="39" t="n">
        <x:f>'Inputs_Trades'!Z194</x:f>
        <x:v>0</x:v>
      </x:c>
      <x:c r="AB194" s="40" t="n">
        <x:f>'Inputs_Trades'!AD194</x:f>
        <x:v>300186</x:v>
      </x:c>
      <x:c r="AC194" s="27" t="n">
        <x:f>'Inputs_Trades'!K194</x:f>
        <x:v>0</x:v>
      </x:c>
      <x:c r="AD194" s="27" t="n">
        <x:f>N194-M194</x:f>
        <x:v>861</x:v>
      </x:c>
      <x:c r="AE194" s="41" t="n">
        <x:f>AD194/365</x:f>
        <x:v>2.3589041095890413</x:v>
      </x:c>
      <x:c r="AF194" s="27" t="str">
        <x:f>IF(AE194&lt;1,"&lt;1Y",IF(AE194&lt;=5,"1Y-5Y","&gt;5Y"))</x:f>
        <x:v>1Y-5Y</x:v>
      </x:c>
      <x:c r="AG194" s="27" t="str">
        <x:f>IF(E194="Commodity",IFERROR(VLOOKUP(F194,Parameters!$P$4:$Q$12,2,FALSE),"Other"),"")</x:f>
        <x:v>Metals</x:v>
      </x:c>
      <x:c r="AH194" s="27" t="str">
        <x:f>IF(F194="","Unknown",F194)</x:f>
        <x:v>Gold</x:v>
      </x:c>
      <x:c r="AI194" s="27" t="str">
        <x:f>IF(E194="Interest Rate",G194&amp;IF(OR(LOWER(AC194)="basis",LOWER(AC194)="volatility"),"_"&amp;AC194,""),IF(E194="FX",IF(H194&lt;I194,H194&amp;"/"&amp;I194,I194&amp;"/"&amp;H194)&amp;IF(OR(LOWER(AC194)="basis",LOWER(AC194)="volatility"),"_"&amp;AC194,""),IF(OR(E194="Credit",E194="Equity"),J194&amp;IF(OR(LOWER(AC194)="basis",LOWER(AC194)="volatility"),"_"&amp;AC194,""),IF(E194="Commodity",AG194&amp;IF(OR(LOWER(AC194)="basis",LOWER(AC194)="volatility"),"_"&amp;AC194,""),"UNKNOWN"))))</x:f>
        <x:v>Metals</x:v>
      </x:c>
      <x:c r="AJ194" s="27" t="str">
        <x:f>T194</x:f>
        <x:v>U</x:v>
      </x:c>
      <x:c r="AK194" s="41" t="n">
        <x:f>IF(E194="Interest Rate",VLOOKUP("Interest Rate",Parameters!$D$4:$E$12,2,FALSE),IF(E194="FX",VLOOKUP("FX",Parameters!$D$4:$E$12,2,FALSE),IF(E194="Credit",IFERROR(VLOOKUP(L194,Parameters!$G$4:$H$12,2,FALSE),VLOOKUP("BBB",Parameters!$G$4:$H$12,2,FALSE)),IF(E194="Equity",VLOOKUP(IF(LOWER(K194)="index","Equity Index","Equity Single Name"),Parameters!$D$4:$E$12,2,FALSE),IF(E194="Commodity",VLOOKUP(IFERROR(VLOOKUP(F194,Parameters!$S$4:$T$12,2,FALSE),"Commodity Other"),Parameters!$D$4:$E$12,2,FALSE),0)))))</x:f>
        <x:v>0.18</x:v>
      </x:c>
      <x:c r="AL194" s="42" t="n">
        <x:f>IF(LOWER(AC194)="basis",Parameters!$B$8,IF(LOWER(AC194)="volatility",Parameters!$B$9,1))</x:f>
        <x:v>1</x:v>
      </x:c>
      <x:c r="AM194" s="41" t="n">
        <x:f>AK194*AL194</x:f>
        <x:v>0.18</x:v>
      </x:c>
      <x:c r="AN194" s="42" t="n">
        <x:f>IF(E194="Credit",VLOOKUP(IF(LOWER(K194)="index","Credit Index","Credit Single Name"),Parameters!$J$4:$K$8,2,FALSE),IF(E194="Equity",VLOOKUP(IF(LOWER(K194)="index","Equity Index","Equity Single Name"),Parameters!$J$4:$K$8,2,FALSE),IF(E194="Commodity",VLOOKUP("Commodity",Parameters!$J$4:$K$8,2,FALSE),"")))</x:f>
        <x:v>0.4</x:v>
      </x:c>
      <x:c r="AO194" s="27" t="n">
        <x:f>MAX((O194-M194)/365,0)</x:f>
        <x:v>0</x:v>
      </x:c>
      <x:c r="AP194" s="27" t="n">
        <x:f>MAX((P194-M194)/365,10/Parameters!$B$6)</x:f>
        <x:v>2.3589041095890413</x:v>
      </x:c>
      <x:c r="AQ194" s="27" t="n">
        <x:f>IF(AP194&lt;=AO194,AO194+10/Parameters!$B$6,AP194)</x:f>
        <x:v>2.3589041095890413</x:v>
      </x:c>
      <x:c r="AR194" s="41" t="n">
        <x:f>IF(OR(E194="Interest Rate",E194="Credit"),(EXP(-Parameters!$B$7*AO194)-EXP(-Parameters!$B$7*AQ194))/Parameters!$B$7,1)</x:f>
        <x:v>1</x:v>
      </x:c>
      <x:c r="AS194" s="40" t="n">
        <x:f>IF(OR(E194="Interest Rate",E194="Credit"),ABS(Q194)*AR194,IF(E194="FX",IF(Q194&gt;0,Q194,MAX(ABS(R194),ABS(S194),ABS(Q194))),ABS(Q194)))</x:f>
        <x:v>10200000</x:v>
      </x:c>
      <x:c r="AT194" s="42" t="n">
        <x:f>IF(OR(E194="Interest Rate",E194="FX"),VLOOKUP(E194,Parameters!$M$4:$N$11,2,FALSE),IF(E194="Credit",VLOOKUP(IF(LOWER(K194)="index","Credit Index","Credit Single Name"),Parameters!$M$4:$N$11,2,FALSE),IF(E194="Equity",VLOOKUP(IF(LOWER(K194)="index","Equity Index","Equity Single Name"),Parameters!$M$4:$N$11,2,FALSE),IF(E194="Commodity",VLOOKUP(IF(F194="Electricity","Commodity Electricity","Commodity Other"),Parameters!$M$4:$N$11,2,FALSE),1))))</x:f>
        <x:v>0.7</x:v>
      </x:c>
      <x:c r="AU194" s="27" t="n">
        <x:f>IF(W194="B",1,-1)</x:f>
        <x:v>-1</x:v>
      </x:c>
      <x:c r="AV194" s="27" t="n">
        <x:f>IF(OR(AA194="",M194=""),MAX(AE194,1/365),MAX((AA194-M194)/365,1/365))</x:f>
        <x:v>2.3589041095890413</x:v>
      </x:c>
      <x:c r="AW194" s="41" t="str">
        <x:f>IF(OR(Z194&lt;=0,Y194&lt;=0,AT194&lt;=0,AV194&lt;=0),"",(LN(Z194/Y194)+0.5*AT194^2*AV194)/(AT194*SQRT(AV194)))</x:f>
      </x:c>
      <x:c r="AX194" s="41" t="n">
        <x:f>IF(AND(X194&lt;&gt;"C",X194&lt;&gt;"P"),AU194,IF(AW194="",AU194,IF(X194="C",AU194*0.5*(1+ERF(AW194/SQRT(2))),-AU194*0.5*(1+ERF(-AW194/SQRT(2))))))</x:f>
        <x:v>-1</x:v>
      </x:c>
      <x:c r="AY194" s="41" t="n">
        <x:f>IF(AJ194="M",1.5*SQRT(MAX(IF(U194="Y",5,10),IF(V194="",10,V194))/Parameters!$B$6),SQRT(MIN(MAX(AE194,10/Parameters!$B$6),1)))</x:f>
        <x:v>1</x:v>
      </x:c>
      <x:c r="AZ194" s="40" t="n">
        <x:f>AS194*AX194*AY194</x:f>
        <x:v>-10200000</x:v>
      </x:c>
      <x:c r="BA194" s="40" t="n">
        <x:f>'Python_Trade_Output'!AZ194</x:f>
        <x:v>-10200000</x:v>
      </x:c>
      <x:c r="BB194" s="43" t="n">
        <x:f>AZ194-BA194</x:f>
        <x:v>0</x:v>
      </x:c>
    </x:row>
    <x:row r="195">
      <x:c r="A195" s="27" t="str">
        <x:f>'Inputs_Trades'!D195</x:f>
        <x:v>IND-000192</x:v>
      </x:c>
      <x:c r="B195" s="27" t="str">
        <x:f>'Inputs_Trades'!B195</x:f>
        <x:v>IND_CORPORATE_001</x:v>
      </x:c>
      <x:c r="C195" s="27" t="n">
        <x:f>'Inputs_Trades'!C195</x:f>
        <x:v>3100</x:v>
      </x:c>
      <x:c r="D195" s="27" t="str">
        <x:f>'Inputs_Trades'!E195</x:f>
        <x:v>Precious Metal Forward</x:v>
      </x:c>
      <x:c r="E195" s="27" t="str">
        <x:f>'Inputs_Trades'!F195</x:f>
        <x:v>Commodity</x:v>
      </x:c>
      <x:c r="F195" s="27" t="str">
        <x:f>'Inputs_Trades'!G195</x:f>
        <x:v>Gold</x:v>
      </x:c>
      <x:c r="G195" s="27" t="str">
        <x:f>'Inputs_Trades'!J195</x:f>
        <x:v>CNY</x:v>
      </x:c>
      <x:c r="H195" s="27" t="str">
        <x:f>'Inputs_Trades'!H195</x:f>
        <x:v>XAU</x:v>
      </x:c>
      <x:c r="I195" s="27" t="str">
        <x:f>'Inputs_Trades'!I195</x:f>
        <x:v>CNY</x:v>
      </x:c>
      <x:c r="J195" s="27" t="str">
        <x:f>'Inputs_Trades'!M195</x:f>
        <x:v>XAU/CNY</x:v>
      </x:c>
      <x:c r="K195" s="27" t="n">
        <x:f>'Inputs_Trades'!N195</x:f>
        <x:v>0</x:v>
      </x:c>
      <x:c r="L195" s="27" t="n">
        <x:f>'Inputs_Trades'!O195</x:f>
        <x:v>0</x:v>
      </x:c>
      <x:c r="M195" s="39" t="n">
        <x:f>'Inputs_Trades'!A195</x:f>
        <x:v>45702</x:v>
      </x:c>
      <x:c r="N195" s="39" t="n">
        <x:f>'Inputs_Trades'!P195</x:f>
        <x:v>45807</x:v>
      </x:c>
      <x:c r="O195" s="39" t="n">
        <x:f>'Inputs_Trades'!Q195</x:f>
        <x:v>44845</x:v>
      </x:c>
      <x:c r="P195" s="39" t="n">
        <x:f>'Inputs_Trades'!R195</x:f>
        <x:v>45807</x:v>
      </x:c>
      <x:c r="Q195" s="40" t="n">
        <x:f>'Inputs_Trades'!U195</x:f>
        <x:v>110000000</x:v>
      </x:c>
      <x:c r="R195" s="40" t="n">
        <x:f>'Inputs_Trades'!S195</x:f>
        <x:v>55000</x:v>
      </x:c>
      <x:c r="S195" s="40" t="n">
        <x:f>'Inputs_Trades'!T195</x:f>
        <x:v>785714285.71</x:v>
      </x:c>
      <x:c r="T195" s="27" t="str">
        <x:f>'Inputs_Trades'!V195</x:f>
        <x:v>M</x:v>
      </x:c>
      <x:c r="U195" s="27" t="str">
        <x:f>'Inputs_Trades'!W195</x:f>
        <x:v>N</x:v>
      </x:c>
      <x:c r="V195" s="27" t="n">
        <x:f>'Inputs_Trades'!X195</x:f>
        <x:v>10</x:v>
      </x:c>
      <x:c r="W195" s="27" t="str">
        <x:f>'Inputs_Trades'!Y195</x:f>
        <x:v>S</x:v>
      </x:c>
      <x:c r="X195" s="27" t="n">
        <x:f>'Inputs_Trades'!AA195</x:f>
        <x:v>0</x:v>
      </x:c>
      <x:c r="Y195" s="27" t="n">
        <x:f>'Inputs_Trades'!AB195</x:f>
        <x:v>0</x:v>
      </x:c>
      <x:c r="Z195" s="27" t="n">
        <x:f>'Inputs_Trades'!AC195</x:f>
        <x:v>0</x:v>
      </x:c>
      <x:c r="AA195" s="39" t="n">
        <x:f>'Inputs_Trades'!Z195</x:f>
        <x:v>0</x:v>
      </x:c>
      <x:c r="AB195" s="40" t="n">
        <x:f>'Inputs_Trades'!AD195</x:f>
        <x:v>211200</x:v>
      </x:c>
      <x:c r="AC195" s="27" t="n">
        <x:f>'Inputs_Trades'!K195</x:f>
        <x:v>0</x:v>
      </x:c>
      <x:c r="AD195" s="27" t="n">
        <x:f>N195-M195</x:f>
        <x:v>105</x:v>
      </x:c>
      <x:c r="AE195" s="41" t="n">
        <x:f>AD195/365</x:f>
        <x:v>0.2876712328767123</x:v>
      </x:c>
      <x:c r="AF195" s="27" t="str">
        <x:f>IF(AE195&lt;1,"&lt;1Y",IF(AE195&lt;=5,"1Y-5Y","&gt;5Y"))</x:f>
        <x:v>&lt;1Y</x:v>
      </x:c>
      <x:c r="AG195" s="27" t="str">
        <x:f>IF(E195="Commodity",IFERROR(VLOOKUP(F195,Parameters!$P$4:$Q$12,2,FALSE),"Other"),"")</x:f>
        <x:v>Metals</x:v>
      </x:c>
      <x:c r="AH195" s="27" t="str">
        <x:f>IF(F195="","Unknown",F195)</x:f>
        <x:v>Gold</x:v>
      </x:c>
      <x:c r="AI195" s="27" t="str">
        <x:f>IF(E195="Interest Rate",G195&amp;IF(OR(LOWER(AC195)="basis",LOWER(AC195)="volatility"),"_"&amp;AC195,""),IF(E195="FX",IF(H195&lt;I195,H195&amp;"/"&amp;I195,I195&amp;"/"&amp;H195)&amp;IF(OR(LOWER(AC195)="basis",LOWER(AC195)="volatility"),"_"&amp;AC195,""),IF(OR(E195="Credit",E195="Equity"),J195&amp;IF(OR(LOWER(AC195)="basis",LOWER(AC195)="volatility"),"_"&amp;AC195,""),IF(E195="Commodity",AG195&amp;IF(OR(LOWER(AC195)="basis",LOWER(AC195)="volatility"),"_"&amp;AC195,""),"UNKNOWN"))))</x:f>
        <x:v>Metals</x:v>
      </x:c>
      <x:c r="AJ195" s="27" t="str">
        <x:f>T195</x:f>
        <x:v>M</x:v>
      </x:c>
      <x:c r="AK195" s="41" t="n">
        <x:f>IF(E195="Interest Rate",VLOOKUP("Interest Rate",Parameters!$D$4:$E$12,2,FALSE),IF(E195="FX",VLOOKUP("FX",Parameters!$D$4:$E$12,2,FALSE),IF(E195="Credit",IFERROR(VLOOKUP(L195,Parameters!$G$4:$H$12,2,FALSE),VLOOKUP("BBB",Parameters!$G$4:$H$12,2,FALSE)),IF(E195="Equity",VLOOKUP(IF(LOWER(K195)="index","Equity Index","Equity Single Name"),Parameters!$D$4:$E$12,2,FALSE),IF(E195="Commodity",VLOOKUP(IFERROR(VLOOKUP(F195,Parameters!$S$4:$T$12,2,FALSE),"Commodity Other"),Parameters!$D$4:$E$12,2,FALSE),0)))))</x:f>
        <x:v>0.18</x:v>
      </x:c>
      <x:c r="AL195" s="42" t="n">
        <x:f>IF(LOWER(AC195)="basis",Parameters!$B$8,IF(LOWER(AC195)="volatility",Parameters!$B$9,1))</x:f>
        <x:v>1</x:v>
      </x:c>
      <x:c r="AM195" s="41" t="n">
        <x:f>AK195*AL195</x:f>
        <x:v>0.18</x:v>
      </x:c>
      <x:c r="AN195" s="42" t="n">
        <x:f>IF(E195="Credit",VLOOKUP(IF(LOWER(K195)="index","Credit Index","Credit Single Name"),Parameters!$J$4:$K$8,2,FALSE),IF(E195="Equity",VLOOKUP(IF(LOWER(K195)="index","Equity Index","Equity Single Name"),Parameters!$J$4:$K$8,2,FALSE),IF(E195="Commodity",VLOOKUP("Commodity",Parameters!$J$4:$K$8,2,FALSE),"")))</x:f>
        <x:v>0.4</x:v>
      </x:c>
      <x:c r="AO195" s="27" t="n">
        <x:f>MAX((O195-M195)/365,0)</x:f>
        <x:v>0</x:v>
      </x:c>
      <x:c r="AP195" s="27" t="n">
        <x:f>MAX((P195-M195)/365,10/Parameters!$B$6)</x:f>
        <x:v>0.2876712328767123</x:v>
      </x:c>
      <x:c r="AQ195" s="27" t="n">
        <x:f>IF(AP195&lt;=AO195,AO195+10/Parameters!$B$6,AP195)</x:f>
        <x:v>0.2876712328767123</x:v>
      </x:c>
      <x:c r="AR195" s="41" t="n">
        <x:f>IF(OR(E195="Interest Rate",E195="Credit"),(EXP(-Parameters!$B$7*AO195)-EXP(-Parameters!$B$7*AQ195))/Parameters!$B$7,1)</x:f>
        <x:v>1</x:v>
      </x:c>
      <x:c r="AS195" s="40" t="n">
        <x:f>IF(OR(E195="Interest Rate",E195="Credit"),ABS(Q195)*AR195,IF(E195="FX",IF(Q195&gt;0,Q195,MAX(ABS(R195),ABS(S195),ABS(Q195))),ABS(Q195)))</x:f>
        <x:v>110000000</x:v>
      </x:c>
      <x:c r="AT195" s="42" t="n">
        <x:f>IF(OR(E195="Interest Rate",E195="FX"),VLOOKUP(E195,Parameters!$M$4:$N$11,2,FALSE),IF(E195="Credit",VLOOKUP(IF(LOWER(K195)="index","Credit Index","Credit Single Name"),Parameters!$M$4:$N$11,2,FALSE),IF(E195="Equity",VLOOKUP(IF(LOWER(K195)="index","Equity Index","Equity Single Name"),Parameters!$M$4:$N$11,2,FALSE),IF(E195="Commodity",VLOOKUP(IF(F195="Electricity","Commodity Electricity","Commodity Other"),Parameters!$M$4:$N$11,2,FALSE),1))))</x:f>
        <x:v>0.7</x:v>
      </x:c>
      <x:c r="AU195" s="27" t="n">
        <x:f>IF(W195="B",1,-1)</x:f>
        <x:v>-1</x:v>
      </x:c>
      <x:c r="AV195" s="27" t="n">
        <x:f>IF(OR(AA195="",M195=""),MAX(AE195,1/365),MAX((AA195-M195)/365,1/365))</x:f>
        <x:v>0.2876712328767123</x:v>
      </x:c>
      <x:c r="AW195" s="41" t="str">
        <x:f>IF(OR(Z195&lt;=0,Y195&lt;=0,AT195&lt;=0,AV195&lt;=0),"",(LN(Z195/Y195)+0.5*AT195^2*AV195)/(AT195*SQRT(AV195)))</x:f>
      </x:c>
      <x:c r="AX195" s="41" t="n">
        <x:f>IF(AND(X195&lt;&gt;"C",X195&lt;&gt;"P"),AU195,IF(AW195="",AU195,IF(X195="C",AU195*0.5*(1+ERF(AW195/SQRT(2))),-AU195*0.5*(1+ERF(-AW195/SQRT(2))))))</x:f>
        <x:v>-1</x:v>
      </x:c>
      <x:c r="AY195" s="41" t="n">
        <x:f>IF(AJ195="M",1.5*SQRT(MAX(IF(U195="Y",5,10),IF(V195="",10,V195))/Parameters!$B$6),SQRT(MIN(MAX(AE195,10/Parameters!$B$6),1)))</x:f>
        <x:v>0.30000000000000004</x:v>
      </x:c>
      <x:c r="AZ195" s="40" t="n">
        <x:f>AS195*AX195*AY195</x:f>
        <x:v>-33000000.000000004</x:v>
      </x:c>
      <x:c r="BA195" s="40" t="n">
        <x:f>'Python_Trade_Output'!AZ195</x:f>
        <x:v>-33000000.000000004</x:v>
      </x:c>
      <x:c r="BB195" s="43" t="n">
        <x:f>AZ195-BA195</x:f>
        <x:v>0</x:v>
      </x:c>
    </x:row>
    <x:row r="196">
      <x:c r="A196" s="27" t="str">
        <x:f>'Inputs_Trades'!D196</x:f>
        <x:v>IND-000193</x:v>
      </x:c>
      <x:c r="B196" s="27" t="str">
        <x:f>'Inputs_Trades'!B196</x:f>
        <x:v>IND_PENSION_001</x:v>
      </x:c>
      <x:c r="C196" s="27" t="n">
        <x:f>'Inputs_Trades'!C196</x:f>
        <x:v>3060</x:v>
      </x:c>
      <x:c r="D196" s="27" t="str">
        <x:f>'Inputs_Trades'!E196</x:f>
        <x:v>Precious Metal Forward</x:v>
      </x:c>
      <x:c r="E196" s="27" t="str">
        <x:f>'Inputs_Trades'!F196</x:f>
        <x:v>Commodity</x:v>
      </x:c>
      <x:c r="F196" s="27" t="str">
        <x:f>'Inputs_Trades'!G196</x:f>
        <x:v>Gold</x:v>
      </x:c>
      <x:c r="G196" s="27" t="str">
        <x:f>'Inputs_Trades'!J196</x:f>
        <x:v>CNY</x:v>
      </x:c>
      <x:c r="H196" s="27" t="str">
        <x:f>'Inputs_Trades'!H196</x:f>
        <x:v>XAU</x:v>
      </x:c>
      <x:c r="I196" s="27" t="str">
        <x:f>'Inputs_Trades'!I196</x:f>
        <x:v>CNY</x:v>
      </x:c>
      <x:c r="J196" s="27" t="str">
        <x:f>'Inputs_Trades'!M196</x:f>
        <x:v>XAU/CNY</x:v>
      </x:c>
      <x:c r="K196" s="27" t="n">
        <x:f>'Inputs_Trades'!N196</x:f>
        <x:v>0</x:v>
      </x:c>
      <x:c r="L196" s="27" t="n">
        <x:f>'Inputs_Trades'!O196</x:f>
        <x:v>0</x:v>
      </x:c>
      <x:c r="M196" s="39" t="n">
        <x:f>'Inputs_Trades'!A196</x:f>
        <x:v>45702</x:v>
      </x:c>
      <x:c r="N196" s="39" t="n">
        <x:f>'Inputs_Trades'!P196</x:f>
        <x:v>46913</x:v>
      </x:c>
      <x:c r="O196" s="39" t="n">
        <x:f>'Inputs_Trades'!Q196</x:f>
        <x:v>45685</x:v>
      </x:c>
      <x:c r="P196" s="39" t="n">
        <x:f>'Inputs_Trades'!R196</x:f>
        <x:v>46913</x:v>
      </x:c>
      <x:c r="Q196" s="40" t="n">
        <x:f>'Inputs_Trades'!U196</x:f>
        <x:v>70000000</x:v>
      </x:c>
      <x:c r="R196" s="40" t="n">
        <x:f>'Inputs_Trades'!S196</x:f>
        <x:v>35000</x:v>
      </x:c>
      <x:c r="S196" s="40" t="n">
        <x:f>'Inputs_Trades'!T196</x:f>
        <x:v>500000000</x:v>
      </x:c>
      <x:c r="T196" s="27" t="str">
        <x:f>'Inputs_Trades'!V196</x:f>
        <x:v>U</x:v>
      </x:c>
      <x:c r="U196" s="27" t="str">
        <x:f>'Inputs_Trades'!W196</x:f>
        <x:v>N</x:v>
      </x:c>
      <x:c r="V196" s="27" t="n">
        <x:f>'Inputs_Trades'!X196</x:f>
        <x:v>0</x:v>
      </x:c>
      <x:c r="W196" s="27" t="str">
        <x:f>'Inputs_Trades'!Y196</x:f>
        <x:v>S</x:v>
      </x:c>
      <x:c r="X196" s="27" t="n">
        <x:f>'Inputs_Trades'!AA196</x:f>
        <x:v>0</x:v>
      </x:c>
      <x:c r="Y196" s="27" t="n">
        <x:f>'Inputs_Trades'!AB196</x:f>
        <x:v>0</x:v>
      </x:c>
      <x:c r="Z196" s="27" t="n">
        <x:f>'Inputs_Trades'!AC196</x:f>
        <x:v>0</x:v>
      </x:c>
      <x:c r="AA196" s="39" t="n">
        <x:f>'Inputs_Trades'!Z196</x:f>
        <x:v>0</x:v>
      </x:c>
      <x:c r="AB196" s="40" t="n">
        <x:f>'Inputs_Trades'!AD196</x:f>
        <x:v>417900</x:v>
      </x:c>
      <x:c r="AC196" s="27" t="n">
        <x:f>'Inputs_Trades'!K196</x:f>
        <x:v>0</x:v>
      </x:c>
      <x:c r="AD196" s="27" t="n">
        <x:f>N196-M196</x:f>
        <x:v>1211</x:v>
      </x:c>
      <x:c r="AE196" s="41" t="n">
        <x:f>AD196/365</x:f>
        <x:v>3.317808219178082</x:v>
      </x:c>
      <x:c r="AF196" s="27" t="str">
        <x:f>IF(AE196&lt;1,"&lt;1Y",IF(AE196&lt;=5,"1Y-5Y","&gt;5Y"))</x:f>
        <x:v>1Y-5Y</x:v>
      </x:c>
      <x:c r="AG196" s="27" t="str">
        <x:f>IF(E196="Commodity",IFERROR(VLOOKUP(F196,Parameters!$P$4:$Q$12,2,FALSE),"Other"),"")</x:f>
        <x:v>Metals</x:v>
      </x:c>
      <x:c r="AH196" s="27" t="str">
        <x:f>IF(F196="","Unknown",F196)</x:f>
        <x:v>Gold</x:v>
      </x:c>
      <x:c r="AI196" s="27" t="str">
        <x:f>IF(E196="Interest Rate",G196&amp;IF(OR(LOWER(AC196)="basis",LOWER(AC196)="volatility"),"_"&amp;AC196,""),IF(E196="FX",IF(H196&lt;I196,H196&amp;"/"&amp;I196,I196&amp;"/"&amp;H196)&amp;IF(OR(LOWER(AC196)="basis",LOWER(AC196)="volatility"),"_"&amp;AC196,""),IF(OR(E196="Credit",E196="Equity"),J196&amp;IF(OR(LOWER(AC196)="basis",LOWER(AC196)="volatility"),"_"&amp;AC196,""),IF(E196="Commodity",AG196&amp;IF(OR(LOWER(AC196)="basis",LOWER(AC196)="volatility"),"_"&amp;AC196,""),"UNKNOWN"))))</x:f>
        <x:v>Metals</x:v>
      </x:c>
      <x:c r="AJ196" s="27" t="str">
        <x:f>T196</x:f>
        <x:v>U</x:v>
      </x:c>
      <x:c r="AK196" s="41" t="n">
        <x:f>IF(E196="Interest Rate",VLOOKUP("Interest Rate",Parameters!$D$4:$E$12,2,FALSE),IF(E196="FX",VLOOKUP("FX",Parameters!$D$4:$E$12,2,FALSE),IF(E196="Credit",IFERROR(VLOOKUP(L196,Parameters!$G$4:$H$12,2,FALSE),VLOOKUP("BBB",Parameters!$G$4:$H$12,2,FALSE)),IF(E196="Equity",VLOOKUP(IF(LOWER(K196)="index","Equity Index","Equity Single Name"),Parameters!$D$4:$E$12,2,FALSE),IF(E196="Commodity",VLOOKUP(IFERROR(VLOOKUP(F196,Parameters!$S$4:$T$12,2,FALSE),"Commodity Other"),Parameters!$D$4:$E$12,2,FALSE),0)))))</x:f>
        <x:v>0.18</x:v>
      </x:c>
      <x:c r="AL196" s="42" t="n">
        <x:f>IF(LOWER(AC196)="basis",Parameters!$B$8,IF(LOWER(AC196)="volatility",Parameters!$B$9,1))</x:f>
        <x:v>1</x:v>
      </x:c>
      <x:c r="AM196" s="41" t="n">
        <x:f>AK196*AL196</x:f>
        <x:v>0.18</x:v>
      </x:c>
      <x:c r="AN196" s="42" t="n">
        <x:f>IF(E196="Credit",VLOOKUP(IF(LOWER(K196)="index","Credit Index","Credit Single Name"),Parameters!$J$4:$K$8,2,FALSE),IF(E196="Equity",VLOOKUP(IF(LOWER(K196)="index","Equity Index","Equity Single Name"),Parameters!$J$4:$K$8,2,FALSE),IF(E196="Commodity",VLOOKUP("Commodity",Parameters!$J$4:$K$8,2,FALSE),"")))</x:f>
        <x:v>0.4</x:v>
      </x:c>
      <x:c r="AO196" s="27" t="n">
        <x:f>MAX((O196-M196)/365,0)</x:f>
        <x:v>0</x:v>
      </x:c>
      <x:c r="AP196" s="27" t="n">
        <x:f>MAX((P196-M196)/365,10/Parameters!$B$6)</x:f>
        <x:v>3.317808219178082</x:v>
      </x:c>
      <x:c r="AQ196" s="27" t="n">
        <x:f>IF(AP196&lt;=AO196,AO196+10/Parameters!$B$6,AP196)</x:f>
        <x:v>3.317808219178082</x:v>
      </x:c>
      <x:c r="AR196" s="41" t="n">
        <x:f>IF(OR(E196="Interest Rate",E196="Credit"),(EXP(-Parameters!$B$7*AO196)-EXP(-Parameters!$B$7*AQ196))/Parameters!$B$7,1)</x:f>
        <x:v>1</x:v>
      </x:c>
      <x:c r="AS196" s="40" t="n">
        <x:f>IF(OR(E196="Interest Rate",E196="Credit"),ABS(Q196)*AR196,IF(E196="FX",IF(Q196&gt;0,Q196,MAX(ABS(R196),ABS(S196),ABS(Q196))),ABS(Q196)))</x:f>
        <x:v>70000000</x:v>
      </x:c>
      <x:c r="AT196" s="42" t="n">
        <x:f>IF(OR(E196="Interest Rate",E196="FX"),VLOOKUP(E196,Parameters!$M$4:$N$11,2,FALSE),IF(E196="Credit",VLOOKUP(IF(LOWER(K196)="index","Credit Index","Credit Single Name"),Parameters!$M$4:$N$11,2,FALSE),IF(E196="Equity",VLOOKUP(IF(LOWER(K196)="index","Equity Index","Equity Single Name"),Parameters!$M$4:$N$11,2,FALSE),IF(E196="Commodity",VLOOKUP(IF(F196="Electricity","Commodity Electricity","Commodity Other"),Parameters!$M$4:$N$11,2,FALSE),1))))</x:f>
        <x:v>0.7</x:v>
      </x:c>
      <x:c r="AU196" s="27" t="n">
        <x:f>IF(W196="B",1,-1)</x:f>
        <x:v>-1</x:v>
      </x:c>
      <x:c r="AV196" s="27" t="n">
        <x:f>IF(OR(AA196="",M196=""),MAX(AE196,1/365),MAX((AA196-M196)/365,1/365))</x:f>
        <x:v>3.317808219178082</x:v>
      </x:c>
      <x:c r="AW196" s="41" t="str">
        <x:f>IF(OR(Z196&lt;=0,Y196&lt;=0,AT196&lt;=0,AV196&lt;=0),"",(LN(Z196/Y196)+0.5*AT196^2*AV196)/(AT196*SQRT(AV196)))</x:f>
      </x:c>
      <x:c r="AX196" s="41" t="n">
        <x:f>IF(AND(X196&lt;&gt;"C",X196&lt;&gt;"P"),AU196,IF(AW196="",AU196,IF(X196="C",AU196*0.5*(1+ERF(AW196/SQRT(2))),-AU196*0.5*(1+ERF(-AW196/SQRT(2))))))</x:f>
        <x:v>-1</x:v>
      </x:c>
      <x:c r="AY196" s="41" t="n">
        <x:f>IF(AJ196="M",1.5*SQRT(MAX(IF(U196="Y",5,10),IF(V196="",10,V196))/Parameters!$B$6),SQRT(MIN(MAX(AE196,10/Parameters!$B$6),1)))</x:f>
        <x:v>1</x:v>
      </x:c>
      <x:c r="AZ196" s="40" t="n">
        <x:f>AS196*AX196*AY196</x:f>
        <x:v>-70000000</x:v>
      </x:c>
      <x:c r="BA196" s="40" t="n">
        <x:f>'Python_Trade_Output'!AZ196</x:f>
        <x:v>-70000000</x:v>
      </x:c>
      <x:c r="BB196" s="43" t="n">
        <x:f>AZ196-BA196</x:f>
        <x:v>0</x:v>
      </x:c>
    </x:row>
    <x:row r="197">
      <x:c r="A197" s="27" t="str">
        <x:f>'Inputs_Trades'!D197</x:f>
        <x:v>IND-000194</x:v>
      </x:c>
      <x:c r="B197" s="27" t="str">
        <x:f>'Inputs_Trades'!B197</x:f>
        <x:v>IND_CORPORATE_001</x:v>
      </x:c>
      <x:c r="C197" s="27" t="n">
        <x:f>'Inputs_Trades'!C197</x:f>
        <x:v>3100</x:v>
      </x:c>
      <x:c r="D197" s="27" t="str">
        <x:f>'Inputs_Trades'!E197</x:f>
        <x:v>Precious Metal Forward</x:v>
      </x:c>
      <x:c r="E197" s="27" t="str">
        <x:f>'Inputs_Trades'!F197</x:f>
        <x:v>Commodity</x:v>
      </x:c>
      <x:c r="F197" s="27" t="str">
        <x:f>'Inputs_Trades'!G197</x:f>
        <x:v>Gold</x:v>
      </x:c>
      <x:c r="G197" s="27" t="str">
        <x:f>'Inputs_Trades'!J197</x:f>
        <x:v>CNY</x:v>
      </x:c>
      <x:c r="H197" s="27" t="str">
        <x:f>'Inputs_Trades'!H197</x:f>
        <x:v>XAU</x:v>
      </x:c>
      <x:c r="I197" s="27" t="str">
        <x:f>'Inputs_Trades'!I197</x:f>
        <x:v>CNY</x:v>
      </x:c>
      <x:c r="J197" s="27" t="str">
        <x:f>'Inputs_Trades'!M197</x:f>
        <x:v>XAU/CNY</x:v>
      </x:c>
      <x:c r="K197" s="27" t="n">
        <x:f>'Inputs_Trades'!N197</x:f>
        <x:v>0</x:v>
      </x:c>
      <x:c r="L197" s="27" t="n">
        <x:f>'Inputs_Trades'!O197</x:f>
        <x:v>0</x:v>
      </x:c>
      <x:c r="M197" s="39" t="n">
        <x:f>'Inputs_Trades'!A197</x:f>
        <x:v>45702</x:v>
      </x:c>
      <x:c r="N197" s="39" t="n">
        <x:f>'Inputs_Trades'!P197</x:f>
        <x:v>46875</x:v>
      </x:c>
      <x:c r="O197" s="39" t="n">
        <x:f>'Inputs_Trades'!Q197</x:f>
        <x:v>45062</x:v>
      </x:c>
      <x:c r="P197" s="39" t="n">
        <x:f>'Inputs_Trades'!R197</x:f>
        <x:v>46875</x:v>
      </x:c>
      <x:c r="Q197" s="40" t="n">
        <x:f>'Inputs_Trades'!U197</x:f>
        <x:v>17300000</x:v>
      </x:c>
      <x:c r="R197" s="40" t="n">
        <x:f>'Inputs_Trades'!S197</x:f>
        <x:v>8650</x:v>
      </x:c>
      <x:c r="S197" s="40" t="n">
        <x:f>'Inputs_Trades'!T197</x:f>
        <x:v>123571428.57</x:v>
      </x:c>
      <x:c r="T197" s="27" t="str">
        <x:f>'Inputs_Trades'!V197</x:f>
        <x:v>M</x:v>
      </x:c>
      <x:c r="U197" s="27" t="str">
        <x:f>'Inputs_Trades'!W197</x:f>
        <x:v>N</x:v>
      </x:c>
      <x:c r="V197" s="27" t="n">
        <x:f>'Inputs_Trades'!X197</x:f>
        <x:v>10</x:v>
      </x:c>
      <x:c r="W197" s="27" t="str">
        <x:f>'Inputs_Trades'!Y197</x:f>
        <x:v>B</x:v>
      </x:c>
      <x:c r="X197" s="27" t="n">
        <x:f>'Inputs_Trades'!AA197</x:f>
        <x:v>0</x:v>
      </x:c>
      <x:c r="Y197" s="27" t="n">
        <x:f>'Inputs_Trades'!AB197</x:f>
        <x:v>0</x:v>
      </x:c>
      <x:c r="Z197" s="27" t="n">
        <x:f>'Inputs_Trades'!AC197</x:f>
        <x:v>0</x:v>
      </x:c>
      <x:c r="AA197" s="39" t="n">
        <x:f>'Inputs_Trades'!Z197</x:f>
        <x:v>0</x:v>
      </x:c>
      <x:c r="AB197" s="40" t="n">
        <x:f>'Inputs_Trades'!AD197</x:f>
        <x:v>-242892</x:v>
      </x:c>
      <x:c r="AC197" s="27" t="n">
        <x:f>'Inputs_Trades'!K197</x:f>
        <x:v>0</x:v>
      </x:c>
      <x:c r="AD197" s="27" t="n">
        <x:f>N197-M197</x:f>
        <x:v>1173</x:v>
      </x:c>
      <x:c r="AE197" s="41" t="n">
        <x:f>AD197/365</x:f>
        <x:v>3.213698630136986</x:v>
      </x:c>
      <x:c r="AF197" s="27" t="str">
        <x:f>IF(AE197&lt;1,"&lt;1Y",IF(AE197&lt;=5,"1Y-5Y","&gt;5Y"))</x:f>
        <x:v>1Y-5Y</x:v>
      </x:c>
      <x:c r="AG197" s="27" t="str">
        <x:f>IF(E197="Commodity",IFERROR(VLOOKUP(F197,Parameters!$P$4:$Q$12,2,FALSE),"Other"),"")</x:f>
        <x:v>Metals</x:v>
      </x:c>
      <x:c r="AH197" s="27" t="str">
        <x:f>IF(F197="","Unknown",F197)</x:f>
        <x:v>Gold</x:v>
      </x:c>
      <x:c r="AI197" s="27" t="str">
        <x:f>IF(E197="Interest Rate",G197&amp;IF(OR(LOWER(AC197)="basis",LOWER(AC197)="volatility"),"_"&amp;AC197,""),IF(E197="FX",IF(H197&lt;I197,H197&amp;"/"&amp;I197,I197&amp;"/"&amp;H197)&amp;IF(OR(LOWER(AC197)="basis",LOWER(AC197)="volatility"),"_"&amp;AC197,""),IF(OR(E197="Credit",E197="Equity"),J197&amp;IF(OR(LOWER(AC197)="basis",LOWER(AC197)="volatility"),"_"&amp;AC197,""),IF(E197="Commodity",AG197&amp;IF(OR(LOWER(AC197)="basis",LOWER(AC197)="volatility"),"_"&amp;AC197,""),"UNKNOWN"))))</x:f>
        <x:v>Metals</x:v>
      </x:c>
      <x:c r="AJ197" s="27" t="str">
        <x:f>T197</x:f>
        <x:v>M</x:v>
      </x:c>
      <x:c r="AK197" s="41" t="n">
        <x:f>IF(E197="Interest Rate",VLOOKUP("Interest Rate",Parameters!$D$4:$E$12,2,FALSE),IF(E197="FX",VLOOKUP("FX",Parameters!$D$4:$E$12,2,FALSE),IF(E197="Credit",IFERROR(VLOOKUP(L197,Parameters!$G$4:$H$12,2,FALSE),VLOOKUP("BBB",Parameters!$G$4:$H$12,2,FALSE)),IF(E197="Equity",VLOOKUP(IF(LOWER(K197)="index","Equity Index","Equity Single Name"),Parameters!$D$4:$E$12,2,FALSE),IF(E197="Commodity",VLOOKUP(IFERROR(VLOOKUP(F197,Parameters!$S$4:$T$12,2,FALSE),"Commodity Other"),Parameters!$D$4:$E$12,2,FALSE),0)))))</x:f>
        <x:v>0.18</x:v>
      </x:c>
      <x:c r="AL197" s="42" t="n">
        <x:f>IF(LOWER(AC197)="basis",Parameters!$B$8,IF(LOWER(AC197)="volatility",Parameters!$B$9,1))</x:f>
        <x:v>1</x:v>
      </x:c>
      <x:c r="AM197" s="41" t="n">
        <x:f>AK197*AL197</x:f>
        <x:v>0.18</x:v>
      </x:c>
      <x:c r="AN197" s="42" t="n">
        <x:f>IF(E197="Credit",VLOOKUP(IF(LOWER(K197)="index","Credit Index","Credit Single Name"),Parameters!$J$4:$K$8,2,FALSE),IF(E197="Equity",VLOOKUP(IF(LOWER(K197)="index","Equity Index","Equity Single Name"),Parameters!$J$4:$K$8,2,FALSE),IF(E197="Commodity",VLOOKUP("Commodity",Parameters!$J$4:$K$8,2,FALSE),"")))</x:f>
        <x:v>0.4</x:v>
      </x:c>
      <x:c r="AO197" s="27" t="n">
        <x:f>MAX((O197-M197)/365,0)</x:f>
        <x:v>0</x:v>
      </x:c>
      <x:c r="AP197" s="27" t="n">
        <x:f>MAX((P197-M197)/365,10/Parameters!$B$6)</x:f>
        <x:v>3.213698630136986</x:v>
      </x:c>
      <x:c r="AQ197" s="27" t="n">
        <x:f>IF(AP197&lt;=AO197,AO197+10/Parameters!$B$6,AP197)</x:f>
        <x:v>3.213698630136986</x:v>
      </x:c>
      <x:c r="AR197" s="41" t="n">
        <x:f>IF(OR(E197="Interest Rate",E197="Credit"),(EXP(-Parameters!$B$7*AO197)-EXP(-Parameters!$B$7*AQ197))/Parameters!$B$7,1)</x:f>
        <x:v>1</x:v>
      </x:c>
      <x:c r="AS197" s="40" t="n">
        <x:f>IF(OR(E197="Interest Rate",E197="Credit"),ABS(Q197)*AR197,IF(E197="FX",IF(Q197&gt;0,Q197,MAX(ABS(R197),ABS(S197),ABS(Q197))),ABS(Q197)))</x:f>
        <x:v>17300000</x:v>
      </x:c>
      <x:c r="AT197" s="42" t="n">
        <x:f>IF(OR(E197="Interest Rate",E197="FX"),VLOOKUP(E197,Parameters!$M$4:$N$11,2,FALSE),IF(E197="Credit",VLOOKUP(IF(LOWER(K197)="index","Credit Index","Credit Single Name"),Parameters!$M$4:$N$11,2,FALSE),IF(E197="Equity",VLOOKUP(IF(LOWER(K197)="index","Equity Index","Equity Single Name"),Parameters!$M$4:$N$11,2,FALSE),IF(E197="Commodity",VLOOKUP(IF(F197="Electricity","Commodity Electricity","Commodity Other"),Parameters!$M$4:$N$11,2,FALSE),1))))</x:f>
        <x:v>0.7</x:v>
      </x:c>
      <x:c r="AU197" s="27" t="n">
        <x:f>IF(W197="B",1,-1)</x:f>
        <x:v>1</x:v>
      </x:c>
      <x:c r="AV197" s="27" t="n">
        <x:f>IF(OR(AA197="",M197=""),MAX(AE197,1/365),MAX((AA197-M197)/365,1/365))</x:f>
        <x:v>3.213698630136986</x:v>
      </x:c>
      <x:c r="AW197" s="41" t="str">
        <x:f>IF(OR(Z197&lt;=0,Y197&lt;=0,AT197&lt;=0,AV197&lt;=0),"",(LN(Z197/Y197)+0.5*AT197^2*AV197)/(AT197*SQRT(AV197)))</x:f>
      </x:c>
      <x:c r="AX197" s="41" t="n">
        <x:f>IF(AND(X197&lt;&gt;"C",X197&lt;&gt;"P"),AU197,IF(AW197="",AU197,IF(X197="C",AU197*0.5*(1+ERF(AW197/SQRT(2))),-AU197*0.5*(1+ERF(-AW197/SQRT(2))))))</x:f>
        <x:v>1</x:v>
      </x:c>
      <x:c r="AY197" s="41" t="n">
        <x:f>IF(AJ197="M",1.5*SQRT(MAX(IF(U197="Y",5,10),IF(V197="",10,V197))/Parameters!$B$6),SQRT(MIN(MAX(AE197,10/Parameters!$B$6),1)))</x:f>
        <x:v>0.30000000000000004</x:v>
      </x:c>
      <x:c r="AZ197" s="40" t="n">
        <x:f>AS197*AX197*AY197</x:f>
        <x:v>5190000.000000001</x:v>
      </x:c>
      <x:c r="BA197" s="40" t="n">
        <x:f>'Python_Trade_Output'!AZ197</x:f>
        <x:v>5190000.000000001</x:v>
      </x:c>
      <x:c r="BB197" s="43" t="n">
        <x:f>AZ197-BA197</x:f>
        <x:v>0</x:v>
      </x:c>
    </x:row>
    <x:row r="198">
      <x:c r="A198" s="27" t="str">
        <x:f>'Inputs_Trades'!D198</x:f>
        <x:v>IND-000195</x:v>
      </x:c>
      <x:c r="B198" s="27" t="str">
        <x:f>'Inputs_Trades'!B198</x:f>
        <x:v>IND_PENSION_001</x:v>
      </x:c>
      <x:c r="C198" s="27" t="n">
        <x:f>'Inputs_Trades'!C198</x:f>
        <x:v>3113</x:v>
      </x:c>
      <x:c r="D198" s="27" t="str">
        <x:f>'Inputs_Trades'!E198</x:f>
        <x:v>Precious Metal Forward</x:v>
      </x:c>
      <x:c r="E198" s="27" t="str">
        <x:f>'Inputs_Trades'!F198</x:f>
        <x:v>Commodity</x:v>
      </x:c>
      <x:c r="F198" s="27" t="str">
        <x:f>'Inputs_Trades'!G198</x:f>
        <x:v>Gold</x:v>
      </x:c>
      <x:c r="G198" s="27" t="str">
        <x:f>'Inputs_Trades'!J198</x:f>
        <x:v>CNY</x:v>
      </x:c>
      <x:c r="H198" s="27" t="str">
        <x:f>'Inputs_Trades'!H198</x:f>
        <x:v>XAU</x:v>
      </x:c>
      <x:c r="I198" s="27" t="str">
        <x:f>'Inputs_Trades'!I198</x:f>
        <x:v>CNY</x:v>
      </x:c>
      <x:c r="J198" s="27" t="str">
        <x:f>'Inputs_Trades'!M198</x:f>
        <x:v>XAU/CNY</x:v>
      </x:c>
      <x:c r="K198" s="27" t="n">
        <x:f>'Inputs_Trades'!N198</x:f>
        <x:v>0</x:v>
      </x:c>
      <x:c r="L198" s="27" t="n">
        <x:f>'Inputs_Trades'!O198</x:f>
        <x:v>0</x:v>
      </x:c>
      <x:c r="M198" s="39" t="n">
        <x:f>'Inputs_Trades'!A198</x:f>
        <x:v>45702</x:v>
      </x:c>
      <x:c r="N198" s="39" t="n">
        <x:f>'Inputs_Trades'!P198</x:f>
        <x:v>46758</x:v>
      </x:c>
      <x:c r="O198" s="39" t="n">
        <x:f>'Inputs_Trades'!Q198</x:f>
        <x:v>45195</x:v>
      </x:c>
      <x:c r="P198" s="39" t="n">
        <x:f>'Inputs_Trades'!R198</x:f>
        <x:v>46758</x:v>
      </x:c>
      <x:c r="Q198" s="40" t="n">
        <x:f>'Inputs_Trades'!U198</x:f>
        <x:v>104000000</x:v>
      </x:c>
      <x:c r="R198" s="40" t="n">
        <x:f>'Inputs_Trades'!S198</x:f>
        <x:v>52000</x:v>
      </x:c>
      <x:c r="S198" s="40" t="n">
        <x:f>'Inputs_Trades'!T198</x:f>
        <x:v>742857142.86</x:v>
      </x:c>
      <x:c r="T198" s="27" t="str">
        <x:f>'Inputs_Trades'!V198</x:f>
        <x:v>M</x:v>
      </x:c>
      <x:c r="U198" s="27" t="str">
        <x:f>'Inputs_Trades'!W198</x:f>
        <x:v>N</x:v>
      </x:c>
      <x:c r="V198" s="27" t="n">
        <x:f>'Inputs_Trades'!X198</x:f>
        <x:v>10</x:v>
      </x:c>
      <x:c r="W198" s="27" t="str">
        <x:f>'Inputs_Trades'!Y198</x:f>
        <x:v>B</x:v>
      </x:c>
      <x:c r="X198" s="27" t="n">
        <x:f>'Inputs_Trades'!AA198</x:f>
        <x:v>0</x:v>
      </x:c>
      <x:c r="Y198" s="27" t="n">
        <x:f>'Inputs_Trades'!AB198</x:f>
        <x:v>0</x:v>
      </x:c>
      <x:c r="Z198" s="27" t="n">
        <x:f>'Inputs_Trades'!AC198</x:f>
        <x:v>0</x:v>
      </x:c>
      <x:c r="AA198" s="39" t="n">
        <x:f>'Inputs_Trades'!Z198</x:f>
        <x:v>0</x:v>
      </x:c>
      <x:c r="AB198" s="40" t="n">
        <x:f>'Inputs_Trades'!AD198</x:f>
        <x:v>-705120</x:v>
      </x:c>
      <x:c r="AC198" s="27" t="n">
        <x:f>'Inputs_Trades'!K198</x:f>
        <x:v>0</x:v>
      </x:c>
      <x:c r="AD198" s="27" t="n">
        <x:f>N198-M198</x:f>
        <x:v>1056</x:v>
      </x:c>
      <x:c r="AE198" s="41" t="n">
        <x:f>AD198/365</x:f>
        <x:v>2.893150684931507</x:v>
      </x:c>
      <x:c r="AF198" s="27" t="str">
        <x:f>IF(AE198&lt;1,"&lt;1Y",IF(AE198&lt;=5,"1Y-5Y","&gt;5Y"))</x:f>
        <x:v>1Y-5Y</x:v>
      </x:c>
      <x:c r="AG198" s="27" t="str">
        <x:f>IF(E198="Commodity",IFERROR(VLOOKUP(F198,Parameters!$P$4:$Q$12,2,FALSE),"Other"),"")</x:f>
        <x:v>Metals</x:v>
      </x:c>
      <x:c r="AH198" s="27" t="str">
        <x:f>IF(F198="","Unknown",F198)</x:f>
        <x:v>Gold</x:v>
      </x:c>
      <x:c r="AI198" s="27" t="str">
        <x:f>IF(E198="Interest Rate",G198&amp;IF(OR(LOWER(AC198)="basis",LOWER(AC198)="volatility"),"_"&amp;AC198,""),IF(E198="FX",IF(H198&lt;I198,H198&amp;"/"&amp;I198,I198&amp;"/"&amp;H198)&amp;IF(OR(LOWER(AC198)="basis",LOWER(AC198)="volatility"),"_"&amp;AC198,""),IF(OR(E198="Credit",E198="Equity"),J198&amp;IF(OR(LOWER(AC198)="basis",LOWER(AC198)="volatility"),"_"&amp;AC198,""),IF(E198="Commodity",AG198&amp;IF(OR(LOWER(AC198)="basis",LOWER(AC198)="volatility"),"_"&amp;AC198,""),"UNKNOWN"))))</x:f>
        <x:v>Metals</x:v>
      </x:c>
      <x:c r="AJ198" s="27" t="str">
        <x:f>T198</x:f>
        <x:v>M</x:v>
      </x:c>
      <x:c r="AK198" s="41" t="n">
        <x:f>IF(E198="Interest Rate",VLOOKUP("Interest Rate",Parameters!$D$4:$E$12,2,FALSE),IF(E198="FX",VLOOKUP("FX",Parameters!$D$4:$E$12,2,FALSE),IF(E198="Credit",IFERROR(VLOOKUP(L198,Parameters!$G$4:$H$12,2,FALSE),VLOOKUP("BBB",Parameters!$G$4:$H$12,2,FALSE)),IF(E198="Equity",VLOOKUP(IF(LOWER(K198)="index","Equity Index","Equity Single Name"),Parameters!$D$4:$E$12,2,FALSE),IF(E198="Commodity",VLOOKUP(IFERROR(VLOOKUP(F198,Parameters!$S$4:$T$12,2,FALSE),"Commodity Other"),Parameters!$D$4:$E$12,2,FALSE),0)))))</x:f>
        <x:v>0.18</x:v>
      </x:c>
      <x:c r="AL198" s="42" t="n">
        <x:f>IF(LOWER(AC198)="basis",Parameters!$B$8,IF(LOWER(AC198)="volatility",Parameters!$B$9,1))</x:f>
        <x:v>1</x:v>
      </x:c>
      <x:c r="AM198" s="41" t="n">
        <x:f>AK198*AL198</x:f>
        <x:v>0.18</x:v>
      </x:c>
      <x:c r="AN198" s="42" t="n">
        <x:f>IF(E198="Credit",VLOOKUP(IF(LOWER(K198)="index","Credit Index","Credit Single Name"),Parameters!$J$4:$K$8,2,FALSE),IF(E198="Equity",VLOOKUP(IF(LOWER(K198)="index","Equity Index","Equity Single Name"),Parameters!$J$4:$K$8,2,FALSE),IF(E198="Commodity",VLOOKUP("Commodity",Parameters!$J$4:$K$8,2,FALSE),"")))</x:f>
        <x:v>0.4</x:v>
      </x:c>
      <x:c r="AO198" s="27" t="n">
        <x:f>MAX((O198-M198)/365,0)</x:f>
        <x:v>0</x:v>
      </x:c>
      <x:c r="AP198" s="27" t="n">
        <x:f>MAX((P198-M198)/365,10/Parameters!$B$6)</x:f>
        <x:v>2.893150684931507</x:v>
      </x:c>
      <x:c r="AQ198" s="27" t="n">
        <x:f>IF(AP198&lt;=AO198,AO198+10/Parameters!$B$6,AP198)</x:f>
        <x:v>2.893150684931507</x:v>
      </x:c>
      <x:c r="AR198" s="41" t="n">
        <x:f>IF(OR(E198="Interest Rate",E198="Credit"),(EXP(-Parameters!$B$7*AO198)-EXP(-Parameters!$B$7*AQ198))/Parameters!$B$7,1)</x:f>
        <x:v>1</x:v>
      </x:c>
      <x:c r="AS198" s="40" t="n">
        <x:f>IF(OR(E198="Interest Rate",E198="Credit"),ABS(Q198)*AR198,IF(E198="FX",IF(Q198&gt;0,Q198,MAX(ABS(R198),ABS(S198),ABS(Q198))),ABS(Q198)))</x:f>
        <x:v>104000000</x:v>
      </x:c>
      <x:c r="AT198" s="42" t="n">
        <x:f>IF(OR(E198="Interest Rate",E198="FX"),VLOOKUP(E198,Parameters!$M$4:$N$11,2,FALSE),IF(E198="Credit",VLOOKUP(IF(LOWER(K198)="index","Credit Index","Credit Single Name"),Parameters!$M$4:$N$11,2,FALSE),IF(E198="Equity",VLOOKUP(IF(LOWER(K198)="index","Equity Index","Equity Single Name"),Parameters!$M$4:$N$11,2,FALSE),IF(E198="Commodity",VLOOKUP(IF(F198="Electricity","Commodity Electricity","Commodity Other"),Parameters!$M$4:$N$11,2,FALSE),1))))</x:f>
        <x:v>0.7</x:v>
      </x:c>
      <x:c r="AU198" s="27" t="n">
        <x:f>IF(W198="B",1,-1)</x:f>
        <x:v>1</x:v>
      </x:c>
      <x:c r="AV198" s="27" t="n">
        <x:f>IF(OR(AA198="",M198=""),MAX(AE198,1/365),MAX((AA198-M198)/365,1/365))</x:f>
        <x:v>2.893150684931507</x:v>
      </x:c>
      <x:c r="AW198" s="41" t="str">
        <x:f>IF(OR(Z198&lt;=0,Y198&lt;=0,AT198&lt;=0,AV198&lt;=0),"",(LN(Z198/Y198)+0.5*AT198^2*AV198)/(AT198*SQRT(AV198)))</x:f>
      </x:c>
      <x:c r="AX198" s="41" t="n">
        <x:f>IF(AND(X198&lt;&gt;"C",X198&lt;&gt;"P"),AU198,IF(AW198="",AU198,IF(X198="C",AU198*0.5*(1+ERF(AW198/SQRT(2))),-AU198*0.5*(1+ERF(-AW198/SQRT(2))))))</x:f>
        <x:v>1</x:v>
      </x:c>
      <x:c r="AY198" s="41" t="n">
        <x:f>IF(AJ198="M",1.5*SQRT(MAX(IF(U198="Y",5,10),IF(V198="",10,V198))/Parameters!$B$6),SQRT(MIN(MAX(AE198,10/Parameters!$B$6),1)))</x:f>
        <x:v>0.30000000000000004</x:v>
      </x:c>
      <x:c r="AZ198" s="40" t="n">
        <x:f>AS198*AX198*AY198</x:f>
        <x:v>31200000.000000004</x:v>
      </x:c>
      <x:c r="BA198" s="40" t="n">
        <x:f>'Python_Trade_Output'!AZ198</x:f>
        <x:v>31200000.000000004</x:v>
      </x:c>
      <x:c r="BB198" s="43" t="n">
        <x:f>AZ198-BA198</x:f>
        <x:v>0</x:v>
      </x:c>
    </x:row>
    <x:row r="199">
      <x:c r="A199" s="27" t="str">
        <x:f>'Inputs_Trades'!D199</x:f>
        <x:v>IND-000196</x:v>
      </x:c>
      <x:c r="B199" s="27" t="str">
        <x:f>'Inputs_Trades'!B199</x:f>
        <x:v>IND_ASSET_MANAGER_001</x:v>
      </x:c>
      <x:c r="C199" s="27" t="n">
        <x:f>'Inputs_Trades'!C199</x:f>
        <x:v>3205</x:v>
      </x:c>
      <x:c r="D199" s="27" t="str">
        <x:f>'Inputs_Trades'!E199</x:f>
        <x:v>Precious Metal Forward</x:v>
      </x:c>
      <x:c r="E199" s="27" t="str">
        <x:f>'Inputs_Trades'!F199</x:f>
        <x:v>Commodity</x:v>
      </x:c>
      <x:c r="F199" s="27" t="str">
        <x:f>'Inputs_Trades'!G199</x:f>
        <x:v>Gold</x:v>
      </x:c>
      <x:c r="G199" s="27" t="str">
        <x:f>'Inputs_Trades'!J199</x:f>
        <x:v>CNY</x:v>
      </x:c>
      <x:c r="H199" s="27" t="str">
        <x:f>'Inputs_Trades'!H199</x:f>
        <x:v>XAU</x:v>
      </x:c>
      <x:c r="I199" s="27" t="str">
        <x:f>'Inputs_Trades'!I199</x:f>
        <x:v>CNY</x:v>
      </x:c>
      <x:c r="J199" s="27" t="str">
        <x:f>'Inputs_Trades'!M199</x:f>
        <x:v>XAU/CNY</x:v>
      </x:c>
      <x:c r="K199" s="27" t="n">
        <x:f>'Inputs_Trades'!N199</x:f>
        <x:v>0</x:v>
      </x:c>
      <x:c r="L199" s="27" t="n">
        <x:f>'Inputs_Trades'!O199</x:f>
        <x:v>0</x:v>
      </x:c>
      <x:c r="M199" s="39" t="n">
        <x:f>'Inputs_Trades'!A199</x:f>
        <x:v>45702</x:v>
      </x:c>
      <x:c r="N199" s="39" t="n">
        <x:f>'Inputs_Trades'!P199</x:f>
        <x:v>46508</x:v>
      </x:c>
      <x:c r="O199" s="39" t="n">
        <x:f>'Inputs_Trades'!Q199</x:f>
        <x:v>45259</x:v>
      </x:c>
      <x:c r="P199" s="39" t="n">
        <x:f>'Inputs_Trades'!R199</x:f>
        <x:v>46508</x:v>
      </x:c>
      <x:c r="Q199" s="40" t="n">
        <x:f>'Inputs_Trades'!U199</x:f>
        <x:v>89900000</x:v>
      </x:c>
      <x:c r="R199" s="40" t="n">
        <x:f>'Inputs_Trades'!S199</x:f>
        <x:v>44950</x:v>
      </x:c>
      <x:c r="S199" s="40" t="n">
        <x:f>'Inputs_Trades'!T199</x:f>
        <x:v>642142857.14</x:v>
      </x:c>
      <x:c r="T199" s="27" t="str">
        <x:f>'Inputs_Trades'!V199</x:f>
        <x:v>U</x:v>
      </x:c>
      <x:c r="U199" s="27" t="str">
        <x:f>'Inputs_Trades'!W199</x:f>
        <x:v>N</x:v>
      </x:c>
      <x:c r="V199" s="27" t="n">
        <x:f>'Inputs_Trades'!X199</x:f>
        <x:v>0</x:v>
      </x:c>
      <x:c r="W199" s="27" t="str">
        <x:f>'Inputs_Trades'!Y199</x:f>
        <x:v>S</x:v>
      </x:c>
      <x:c r="X199" s="27" t="n">
        <x:f>'Inputs_Trades'!AA199</x:f>
        <x:v>0</x:v>
      </x:c>
      <x:c r="Y199" s="27" t="n">
        <x:f>'Inputs_Trades'!AB199</x:f>
        <x:v>0</x:v>
      </x:c>
      <x:c r="Z199" s="27" t="n">
        <x:f>'Inputs_Trades'!AC199</x:f>
        <x:v>0</x:v>
      </x:c>
      <x:c r="AA199" s="39" t="n">
        <x:f>'Inputs_Trades'!Z199</x:f>
        <x:v>0</x:v>
      </x:c>
      <x:c r="AB199" s="40" t="n">
        <x:f>'Inputs_Trades'!AD199</x:f>
        <x:v>-2691606</x:v>
      </x:c>
      <x:c r="AC199" s="27" t="n">
        <x:f>'Inputs_Trades'!K199</x:f>
        <x:v>0</x:v>
      </x:c>
      <x:c r="AD199" s="27" t="n">
        <x:f>N199-M199</x:f>
        <x:v>806</x:v>
      </x:c>
      <x:c r="AE199" s="41" t="n">
        <x:f>AD199/365</x:f>
        <x:v>2.208219178082192</x:v>
      </x:c>
      <x:c r="AF199" s="27" t="str">
        <x:f>IF(AE199&lt;1,"&lt;1Y",IF(AE199&lt;=5,"1Y-5Y","&gt;5Y"))</x:f>
        <x:v>1Y-5Y</x:v>
      </x:c>
      <x:c r="AG199" s="27" t="str">
        <x:f>IF(E199="Commodity",IFERROR(VLOOKUP(F199,Parameters!$P$4:$Q$12,2,FALSE),"Other"),"")</x:f>
        <x:v>Metals</x:v>
      </x:c>
      <x:c r="AH199" s="27" t="str">
        <x:f>IF(F199="","Unknown",F199)</x:f>
        <x:v>Gold</x:v>
      </x:c>
      <x:c r="AI199" s="27" t="str">
        <x:f>IF(E199="Interest Rate",G199&amp;IF(OR(LOWER(AC199)="basis",LOWER(AC199)="volatility"),"_"&amp;AC199,""),IF(E199="FX",IF(H199&lt;I199,H199&amp;"/"&amp;I199,I199&amp;"/"&amp;H199)&amp;IF(OR(LOWER(AC199)="basis",LOWER(AC199)="volatility"),"_"&amp;AC199,""),IF(OR(E199="Credit",E199="Equity"),J199&amp;IF(OR(LOWER(AC199)="basis",LOWER(AC199)="volatility"),"_"&amp;AC199,""),IF(E199="Commodity",AG199&amp;IF(OR(LOWER(AC199)="basis",LOWER(AC199)="volatility"),"_"&amp;AC199,""),"UNKNOWN"))))</x:f>
        <x:v>Metals</x:v>
      </x:c>
      <x:c r="AJ199" s="27" t="str">
        <x:f>T199</x:f>
        <x:v>U</x:v>
      </x:c>
      <x:c r="AK199" s="41" t="n">
        <x:f>IF(E199="Interest Rate",VLOOKUP("Interest Rate",Parameters!$D$4:$E$12,2,FALSE),IF(E199="FX",VLOOKUP("FX",Parameters!$D$4:$E$12,2,FALSE),IF(E199="Credit",IFERROR(VLOOKUP(L199,Parameters!$G$4:$H$12,2,FALSE),VLOOKUP("BBB",Parameters!$G$4:$H$12,2,FALSE)),IF(E199="Equity",VLOOKUP(IF(LOWER(K199)="index","Equity Index","Equity Single Name"),Parameters!$D$4:$E$12,2,FALSE),IF(E199="Commodity",VLOOKUP(IFERROR(VLOOKUP(F199,Parameters!$S$4:$T$12,2,FALSE),"Commodity Other"),Parameters!$D$4:$E$12,2,FALSE),0)))))</x:f>
        <x:v>0.18</x:v>
      </x:c>
      <x:c r="AL199" s="42" t="n">
        <x:f>IF(LOWER(AC199)="basis",Parameters!$B$8,IF(LOWER(AC199)="volatility",Parameters!$B$9,1))</x:f>
        <x:v>1</x:v>
      </x:c>
      <x:c r="AM199" s="41" t="n">
        <x:f>AK199*AL199</x:f>
        <x:v>0.18</x:v>
      </x:c>
      <x:c r="AN199" s="42" t="n">
        <x:f>IF(E199="Credit",VLOOKUP(IF(LOWER(K199)="index","Credit Index","Credit Single Name"),Parameters!$J$4:$K$8,2,FALSE),IF(E199="Equity",VLOOKUP(IF(LOWER(K199)="index","Equity Index","Equity Single Name"),Parameters!$J$4:$K$8,2,FALSE),IF(E199="Commodity",VLOOKUP("Commodity",Parameters!$J$4:$K$8,2,FALSE),"")))</x:f>
        <x:v>0.4</x:v>
      </x:c>
      <x:c r="AO199" s="27" t="n">
        <x:f>MAX((O199-M199)/365,0)</x:f>
        <x:v>0</x:v>
      </x:c>
      <x:c r="AP199" s="27" t="n">
        <x:f>MAX((P199-M199)/365,10/Parameters!$B$6)</x:f>
        <x:v>2.208219178082192</x:v>
      </x:c>
      <x:c r="AQ199" s="27" t="n">
        <x:f>IF(AP199&lt;=AO199,AO199+10/Parameters!$B$6,AP199)</x:f>
        <x:v>2.208219178082192</x:v>
      </x:c>
      <x:c r="AR199" s="41" t="n">
        <x:f>IF(OR(E199="Interest Rate",E199="Credit"),(EXP(-Parameters!$B$7*AO199)-EXP(-Parameters!$B$7*AQ199))/Parameters!$B$7,1)</x:f>
        <x:v>1</x:v>
      </x:c>
      <x:c r="AS199" s="40" t="n">
        <x:f>IF(OR(E199="Interest Rate",E199="Credit"),ABS(Q199)*AR199,IF(E199="FX",IF(Q199&gt;0,Q199,MAX(ABS(R199),ABS(S199),ABS(Q199))),ABS(Q199)))</x:f>
        <x:v>89900000</x:v>
      </x:c>
      <x:c r="AT199" s="42" t="n">
        <x:f>IF(OR(E199="Interest Rate",E199="FX"),VLOOKUP(E199,Parameters!$M$4:$N$11,2,FALSE),IF(E199="Credit",VLOOKUP(IF(LOWER(K199)="index","Credit Index","Credit Single Name"),Parameters!$M$4:$N$11,2,FALSE),IF(E199="Equity",VLOOKUP(IF(LOWER(K199)="index","Equity Index","Equity Single Name"),Parameters!$M$4:$N$11,2,FALSE),IF(E199="Commodity",VLOOKUP(IF(F199="Electricity","Commodity Electricity","Commodity Other"),Parameters!$M$4:$N$11,2,FALSE),1))))</x:f>
        <x:v>0.7</x:v>
      </x:c>
      <x:c r="AU199" s="27" t="n">
        <x:f>IF(W199="B",1,-1)</x:f>
        <x:v>-1</x:v>
      </x:c>
      <x:c r="AV199" s="27" t="n">
        <x:f>IF(OR(AA199="",M199=""),MAX(AE199,1/365),MAX((AA199-M199)/365,1/365))</x:f>
        <x:v>2.208219178082192</x:v>
      </x:c>
      <x:c r="AW199" s="41" t="str">
        <x:f>IF(OR(Z199&lt;=0,Y199&lt;=0,AT199&lt;=0,AV199&lt;=0),"",(LN(Z199/Y199)+0.5*AT199^2*AV199)/(AT199*SQRT(AV199)))</x:f>
      </x:c>
      <x:c r="AX199" s="41" t="n">
        <x:f>IF(AND(X199&lt;&gt;"C",X199&lt;&gt;"P"),AU199,IF(AW199="",AU199,IF(X199="C",AU199*0.5*(1+ERF(AW199/SQRT(2))),-AU199*0.5*(1+ERF(-AW199/SQRT(2))))))</x:f>
        <x:v>-1</x:v>
      </x:c>
      <x:c r="AY199" s="41" t="n">
        <x:f>IF(AJ199="M",1.5*SQRT(MAX(IF(U199="Y",5,10),IF(V199="",10,V199))/Parameters!$B$6),SQRT(MIN(MAX(AE199,10/Parameters!$B$6),1)))</x:f>
        <x:v>1</x:v>
      </x:c>
      <x:c r="AZ199" s="40" t="n">
        <x:f>AS199*AX199*AY199</x:f>
        <x:v>-89900000</x:v>
      </x:c>
      <x:c r="BA199" s="40" t="n">
        <x:f>'Python_Trade_Output'!AZ199</x:f>
        <x:v>-89900000</x:v>
      </x:c>
      <x:c r="BB199" s="43" t="n">
        <x:f>AZ199-BA199</x:f>
        <x:v>0</x:v>
      </x:c>
    </x:row>
    <x:row r="200">
      <x:c r="A200" s="27" t="str">
        <x:f>'Inputs_Trades'!D200</x:f>
        <x:v>IND-000197</x:v>
      </x:c>
      <x:c r="B200" s="27" t="str">
        <x:f>'Inputs_Trades'!B200</x:f>
        <x:v>IND_BANK_001</x:v>
      </x:c>
      <x:c r="C200" s="27" t="n">
        <x:f>'Inputs_Trades'!C200</x:f>
        <x:v>3172</x:v>
      </x:c>
      <x:c r="D200" s="27" t="str">
        <x:f>'Inputs_Trades'!E200</x:f>
        <x:v>Precious Metal Forward</x:v>
      </x:c>
      <x:c r="E200" s="27" t="str">
        <x:f>'Inputs_Trades'!F200</x:f>
        <x:v>Commodity</x:v>
      </x:c>
      <x:c r="F200" s="27" t="str">
        <x:f>'Inputs_Trades'!G200</x:f>
        <x:v>Gold</x:v>
      </x:c>
      <x:c r="G200" s="27" t="str">
        <x:f>'Inputs_Trades'!J200</x:f>
        <x:v>USD</x:v>
      </x:c>
      <x:c r="H200" s="27" t="str">
        <x:f>'Inputs_Trades'!H200</x:f>
        <x:v>XAU</x:v>
      </x:c>
      <x:c r="I200" s="27" t="str">
        <x:f>'Inputs_Trades'!I200</x:f>
        <x:v>USD</x:v>
      </x:c>
      <x:c r="J200" s="27" t="str">
        <x:f>'Inputs_Trades'!M200</x:f>
        <x:v>XAU/USD</x:v>
      </x:c>
      <x:c r="K200" s="27" t="n">
        <x:f>'Inputs_Trades'!N200</x:f>
        <x:v>0</x:v>
      </x:c>
      <x:c r="L200" s="27" t="n">
        <x:f>'Inputs_Trades'!O200</x:f>
        <x:v>0</x:v>
      </x:c>
      <x:c r="M200" s="39" t="n">
        <x:f>'Inputs_Trades'!A200</x:f>
        <x:v>45702</x:v>
      </x:c>
      <x:c r="N200" s="39" t="n">
        <x:f>'Inputs_Trades'!P200</x:f>
        <x:v>47463</x:v>
      </x:c>
      <x:c r="O200" s="39" t="n">
        <x:f>'Inputs_Trades'!Q200</x:f>
        <x:v>45451</x:v>
      </x:c>
      <x:c r="P200" s="39" t="n">
        <x:f>'Inputs_Trades'!R200</x:f>
        <x:v>47463</x:v>
      </x:c>
      <x:c r="Q200" s="40" t="n">
        <x:f>'Inputs_Trades'!U200</x:f>
        <x:v>24700000</x:v>
      </x:c>
      <x:c r="R200" s="40" t="n">
        <x:f>'Inputs_Trades'!S200</x:f>
        <x:v>12350</x:v>
      </x:c>
      <x:c r="S200" s="40" t="n">
        <x:f>'Inputs_Trades'!T200</x:f>
        <x:v>24700000</x:v>
      </x:c>
      <x:c r="T200" s="27" t="str">
        <x:f>'Inputs_Trades'!V200</x:f>
        <x:v>M</x:v>
      </x:c>
      <x:c r="U200" s="27" t="str">
        <x:f>'Inputs_Trades'!W200</x:f>
        <x:v>N</x:v>
      </x:c>
      <x:c r="V200" s="27" t="n">
        <x:f>'Inputs_Trades'!X200</x:f>
        <x:v>10</x:v>
      </x:c>
      <x:c r="W200" s="27" t="str">
        <x:f>'Inputs_Trades'!Y200</x:f>
        <x:v>B</x:v>
      </x:c>
      <x:c r="X200" s="27" t="n">
        <x:f>'Inputs_Trades'!AA200</x:f>
        <x:v>0</x:v>
      </x:c>
      <x:c r="Y200" s="27" t="n">
        <x:f>'Inputs_Trades'!AB200</x:f>
        <x:v>0</x:v>
      </x:c>
      <x:c r="Z200" s="27" t="n">
        <x:f>'Inputs_Trades'!AC200</x:f>
        <x:v>0</x:v>
      </x:c>
      <x:c r="AA200" s="39" t="n">
        <x:f>'Inputs_Trades'!Z200</x:f>
        <x:v>0</x:v>
      </x:c>
      <x:c r="AB200" s="40" t="n">
        <x:f>'Inputs_Trades'!AD200</x:f>
        <x:v>172653</x:v>
      </x:c>
      <x:c r="AC200" s="27" t="n">
        <x:f>'Inputs_Trades'!K200</x:f>
        <x:v>0</x:v>
      </x:c>
      <x:c r="AD200" s="27" t="n">
        <x:f>N200-M200</x:f>
        <x:v>1761</x:v>
      </x:c>
      <x:c r="AE200" s="41" t="n">
        <x:f>AD200/365</x:f>
        <x:v>4.824657534246575</x:v>
      </x:c>
      <x:c r="AF200" s="27" t="str">
        <x:f>IF(AE200&lt;1,"&lt;1Y",IF(AE200&lt;=5,"1Y-5Y","&gt;5Y"))</x:f>
        <x:v>1Y-5Y</x:v>
      </x:c>
      <x:c r="AG200" s="27" t="str">
        <x:f>IF(E200="Commodity",IFERROR(VLOOKUP(F200,Parameters!$P$4:$Q$12,2,FALSE),"Other"),"")</x:f>
        <x:v>Metals</x:v>
      </x:c>
      <x:c r="AH200" s="27" t="str">
        <x:f>IF(F200="","Unknown",F200)</x:f>
        <x:v>Gold</x:v>
      </x:c>
      <x:c r="AI200" s="27" t="str">
        <x:f>IF(E200="Interest Rate",G200&amp;IF(OR(LOWER(AC200)="basis",LOWER(AC200)="volatility"),"_"&amp;AC200,""),IF(E200="FX",IF(H200&lt;I200,H200&amp;"/"&amp;I200,I200&amp;"/"&amp;H200)&amp;IF(OR(LOWER(AC200)="basis",LOWER(AC200)="volatility"),"_"&amp;AC200,""),IF(OR(E200="Credit",E200="Equity"),J200&amp;IF(OR(LOWER(AC200)="basis",LOWER(AC200)="volatility"),"_"&amp;AC200,""),IF(E200="Commodity",AG200&amp;IF(OR(LOWER(AC200)="basis",LOWER(AC200)="volatility"),"_"&amp;AC200,""),"UNKNOWN"))))</x:f>
        <x:v>Metals</x:v>
      </x:c>
      <x:c r="AJ200" s="27" t="str">
        <x:f>T200</x:f>
        <x:v>M</x:v>
      </x:c>
      <x:c r="AK200" s="41" t="n">
        <x:f>IF(E200="Interest Rate",VLOOKUP("Interest Rate",Parameters!$D$4:$E$12,2,FALSE),IF(E200="FX",VLOOKUP("FX",Parameters!$D$4:$E$12,2,FALSE),IF(E200="Credit",IFERROR(VLOOKUP(L200,Parameters!$G$4:$H$12,2,FALSE),VLOOKUP("BBB",Parameters!$G$4:$H$12,2,FALSE)),IF(E200="Equity",VLOOKUP(IF(LOWER(K200)="index","Equity Index","Equity Single Name"),Parameters!$D$4:$E$12,2,FALSE),IF(E200="Commodity",VLOOKUP(IFERROR(VLOOKUP(F200,Parameters!$S$4:$T$12,2,FALSE),"Commodity Other"),Parameters!$D$4:$E$12,2,FALSE),0)))))</x:f>
        <x:v>0.18</x:v>
      </x:c>
      <x:c r="AL200" s="42" t="n">
        <x:f>IF(LOWER(AC200)="basis",Parameters!$B$8,IF(LOWER(AC200)="volatility",Parameters!$B$9,1))</x:f>
        <x:v>1</x:v>
      </x:c>
      <x:c r="AM200" s="41" t="n">
        <x:f>AK200*AL200</x:f>
        <x:v>0.18</x:v>
      </x:c>
      <x:c r="AN200" s="42" t="n">
        <x:f>IF(E200="Credit",VLOOKUP(IF(LOWER(K200)="index","Credit Index","Credit Single Name"),Parameters!$J$4:$K$8,2,FALSE),IF(E200="Equity",VLOOKUP(IF(LOWER(K200)="index","Equity Index","Equity Single Name"),Parameters!$J$4:$K$8,2,FALSE),IF(E200="Commodity",VLOOKUP("Commodity",Parameters!$J$4:$K$8,2,FALSE),"")))</x:f>
        <x:v>0.4</x:v>
      </x:c>
      <x:c r="AO200" s="27" t="n">
        <x:f>MAX((O200-M200)/365,0)</x:f>
        <x:v>0</x:v>
      </x:c>
      <x:c r="AP200" s="27" t="n">
        <x:f>MAX((P200-M200)/365,10/Parameters!$B$6)</x:f>
        <x:v>4.824657534246575</x:v>
      </x:c>
      <x:c r="AQ200" s="27" t="n">
        <x:f>IF(AP200&lt;=AO200,AO200+10/Parameters!$B$6,AP200)</x:f>
        <x:v>4.824657534246575</x:v>
      </x:c>
      <x:c r="AR200" s="41" t="n">
        <x:f>IF(OR(E200="Interest Rate",E200="Credit"),(EXP(-Parameters!$B$7*AO200)-EXP(-Parameters!$B$7*AQ200))/Parameters!$B$7,1)</x:f>
        <x:v>1</x:v>
      </x:c>
      <x:c r="AS200" s="40" t="n">
        <x:f>IF(OR(E200="Interest Rate",E200="Credit"),ABS(Q200)*AR200,IF(E200="FX",IF(Q200&gt;0,Q200,MAX(ABS(R200),ABS(S200),ABS(Q200))),ABS(Q200)))</x:f>
        <x:v>24700000</x:v>
      </x:c>
      <x:c r="AT200" s="42" t="n">
        <x:f>IF(OR(E200="Interest Rate",E200="FX"),VLOOKUP(E200,Parameters!$M$4:$N$11,2,FALSE),IF(E200="Credit",VLOOKUP(IF(LOWER(K200)="index","Credit Index","Credit Single Name"),Parameters!$M$4:$N$11,2,FALSE),IF(E200="Equity",VLOOKUP(IF(LOWER(K200)="index","Equity Index","Equity Single Name"),Parameters!$M$4:$N$11,2,FALSE),IF(E200="Commodity",VLOOKUP(IF(F200="Electricity","Commodity Electricity","Commodity Other"),Parameters!$M$4:$N$11,2,FALSE),1))))</x:f>
        <x:v>0.7</x:v>
      </x:c>
      <x:c r="AU200" s="27" t="n">
        <x:f>IF(W200="B",1,-1)</x:f>
        <x:v>1</x:v>
      </x:c>
      <x:c r="AV200" s="27" t="n">
        <x:f>IF(OR(AA200="",M200=""),MAX(AE200,1/365),MAX((AA200-M200)/365,1/365))</x:f>
        <x:v>4.824657534246575</x:v>
      </x:c>
      <x:c r="AW200" s="41" t="str">
        <x:f>IF(OR(Z200&lt;=0,Y200&lt;=0,AT200&lt;=0,AV200&lt;=0),"",(LN(Z200/Y200)+0.5*AT200^2*AV200)/(AT200*SQRT(AV200)))</x:f>
      </x:c>
      <x:c r="AX200" s="41" t="n">
        <x:f>IF(AND(X200&lt;&gt;"C",X200&lt;&gt;"P"),AU200,IF(AW200="",AU200,IF(X200="C",AU200*0.5*(1+ERF(AW200/SQRT(2))),-AU200*0.5*(1+ERF(-AW200/SQRT(2))))))</x:f>
        <x:v>1</x:v>
      </x:c>
      <x:c r="AY200" s="41" t="n">
        <x:f>IF(AJ200="M",1.5*SQRT(MAX(IF(U200="Y",5,10),IF(V200="",10,V200))/Parameters!$B$6),SQRT(MIN(MAX(AE200,10/Parameters!$B$6),1)))</x:f>
        <x:v>0.30000000000000004</x:v>
      </x:c>
      <x:c r="AZ200" s="40" t="n">
        <x:f>AS200*AX200*AY200</x:f>
        <x:v>7410000.000000001</x:v>
      </x:c>
      <x:c r="BA200" s="40" t="n">
        <x:f>'Python_Trade_Output'!AZ200</x:f>
        <x:v>7410000.000000001</x:v>
      </x:c>
      <x:c r="BB200" s="43" t="n">
        <x:f>AZ200-BA200</x:f>
        <x:v>0</x:v>
      </x:c>
    </x:row>
    <x:row r="201">
      <x:c r="A201" s="27" t="str">
        <x:f>'Inputs_Trades'!D201</x:f>
        <x:v>IND-000198</x:v>
      </x:c>
      <x:c r="B201" s="27" t="str">
        <x:f>'Inputs_Trades'!B201</x:f>
        <x:v>IND_BANK_002</x:v>
      </x:c>
      <x:c r="C201" s="27" t="n">
        <x:f>'Inputs_Trades'!C201</x:f>
        <x:v>3323</x:v>
      </x:c>
      <x:c r="D201" s="27" t="str">
        <x:f>'Inputs_Trades'!E201</x:f>
        <x:v>Precious Metal Forward</x:v>
      </x:c>
      <x:c r="E201" s="27" t="str">
        <x:f>'Inputs_Trades'!F201</x:f>
        <x:v>Commodity</x:v>
      </x:c>
      <x:c r="F201" s="27" t="str">
        <x:f>'Inputs_Trades'!G201</x:f>
        <x:v>Gold</x:v>
      </x:c>
      <x:c r="G201" s="27" t="str">
        <x:f>'Inputs_Trades'!J201</x:f>
        <x:v>CNY</x:v>
      </x:c>
      <x:c r="H201" s="27" t="str">
        <x:f>'Inputs_Trades'!H201</x:f>
        <x:v>XAU</x:v>
      </x:c>
      <x:c r="I201" s="27" t="str">
        <x:f>'Inputs_Trades'!I201</x:f>
        <x:v>CNY</x:v>
      </x:c>
      <x:c r="J201" s="27" t="str">
        <x:f>'Inputs_Trades'!M201</x:f>
        <x:v>XAU/CNY</x:v>
      </x:c>
      <x:c r="K201" s="27" t="n">
        <x:f>'Inputs_Trades'!N201</x:f>
        <x:v>0</x:v>
      </x:c>
      <x:c r="L201" s="27" t="n">
        <x:f>'Inputs_Trades'!O201</x:f>
        <x:v>0</x:v>
      </x:c>
      <x:c r="M201" s="39" t="n">
        <x:f>'Inputs_Trades'!A201</x:f>
        <x:v>45702</x:v>
      </x:c>
      <x:c r="N201" s="39" t="n">
        <x:f>'Inputs_Trades'!P201</x:f>
        <x:v>46968</x:v>
      </x:c>
      <x:c r="O201" s="39" t="n">
        <x:f>'Inputs_Trades'!Q201</x:f>
        <x:v>45438</x:v>
      </x:c>
      <x:c r="P201" s="39" t="n">
        <x:f>'Inputs_Trades'!R201</x:f>
        <x:v>46968</x:v>
      </x:c>
      <x:c r="Q201" s="40" t="n">
        <x:f>'Inputs_Trades'!U201</x:f>
        <x:v>6200000</x:v>
      </x:c>
      <x:c r="R201" s="40" t="n">
        <x:f>'Inputs_Trades'!S201</x:f>
        <x:v>3100</x:v>
      </x:c>
      <x:c r="S201" s="40" t="n">
        <x:f>'Inputs_Trades'!T201</x:f>
        <x:v>44285714.29</x:v>
      </x:c>
      <x:c r="T201" s="27" t="str">
        <x:f>'Inputs_Trades'!V201</x:f>
        <x:v>U</x:v>
      </x:c>
      <x:c r="U201" s="27" t="str">
        <x:f>'Inputs_Trades'!W201</x:f>
        <x:v>N</x:v>
      </x:c>
      <x:c r="V201" s="27" t="n">
        <x:f>'Inputs_Trades'!X201</x:f>
        <x:v>0</x:v>
      </x:c>
      <x:c r="W201" s="27" t="str">
        <x:f>'Inputs_Trades'!Y201</x:f>
        <x:v>B</x:v>
      </x:c>
      <x:c r="X201" s="27" t="n">
        <x:f>'Inputs_Trades'!AA201</x:f>
        <x:v>0</x:v>
      </x:c>
      <x:c r="Y201" s="27" t="n">
        <x:f>'Inputs_Trades'!AB201</x:f>
        <x:v>0</x:v>
      </x:c>
      <x:c r="Z201" s="27" t="n">
        <x:f>'Inputs_Trades'!AC201</x:f>
        <x:v>0</x:v>
      </x:c>
      <x:c r="AA201" s="39" t="n">
        <x:f>'Inputs_Trades'!Z201</x:f>
        <x:v>0</x:v>
      </x:c>
      <x:c r="AB201" s="40" t="n">
        <x:f>'Inputs_Trades'!AD201</x:f>
        <x:v>158100</x:v>
      </x:c>
      <x:c r="AC201" s="27" t="n">
        <x:f>'Inputs_Trades'!K201</x:f>
        <x:v>0</x:v>
      </x:c>
      <x:c r="AD201" s="27" t="n">
        <x:f>N201-M201</x:f>
        <x:v>1266</x:v>
      </x:c>
      <x:c r="AE201" s="41" t="n">
        <x:f>AD201/365</x:f>
        <x:v>3.4684931506849317</x:v>
      </x:c>
      <x:c r="AF201" s="27" t="str">
        <x:f>IF(AE201&lt;1,"&lt;1Y",IF(AE201&lt;=5,"1Y-5Y","&gt;5Y"))</x:f>
        <x:v>1Y-5Y</x:v>
      </x:c>
      <x:c r="AG201" s="27" t="str">
        <x:f>IF(E201="Commodity",IFERROR(VLOOKUP(F201,Parameters!$P$4:$Q$12,2,FALSE),"Other"),"")</x:f>
        <x:v>Metals</x:v>
      </x:c>
      <x:c r="AH201" s="27" t="str">
        <x:f>IF(F201="","Unknown",F201)</x:f>
        <x:v>Gold</x:v>
      </x:c>
      <x:c r="AI201" s="27" t="str">
        <x:f>IF(E201="Interest Rate",G201&amp;IF(OR(LOWER(AC201)="basis",LOWER(AC201)="volatility"),"_"&amp;AC201,""),IF(E201="FX",IF(H201&lt;I201,H201&amp;"/"&amp;I201,I201&amp;"/"&amp;H201)&amp;IF(OR(LOWER(AC201)="basis",LOWER(AC201)="volatility"),"_"&amp;AC201,""),IF(OR(E201="Credit",E201="Equity"),J201&amp;IF(OR(LOWER(AC201)="basis",LOWER(AC201)="volatility"),"_"&amp;AC201,""),IF(E201="Commodity",AG201&amp;IF(OR(LOWER(AC201)="basis",LOWER(AC201)="volatility"),"_"&amp;AC201,""),"UNKNOWN"))))</x:f>
        <x:v>Metals</x:v>
      </x:c>
      <x:c r="AJ201" s="27" t="str">
        <x:f>T201</x:f>
        <x:v>U</x:v>
      </x:c>
      <x:c r="AK201" s="41" t="n">
        <x:f>IF(E201="Interest Rate",VLOOKUP("Interest Rate",Parameters!$D$4:$E$12,2,FALSE),IF(E201="FX",VLOOKUP("FX",Parameters!$D$4:$E$12,2,FALSE),IF(E201="Credit",IFERROR(VLOOKUP(L201,Parameters!$G$4:$H$12,2,FALSE),VLOOKUP("BBB",Parameters!$G$4:$H$12,2,FALSE)),IF(E201="Equity",VLOOKUP(IF(LOWER(K201)="index","Equity Index","Equity Single Name"),Parameters!$D$4:$E$12,2,FALSE),IF(E201="Commodity",VLOOKUP(IFERROR(VLOOKUP(F201,Parameters!$S$4:$T$12,2,FALSE),"Commodity Other"),Parameters!$D$4:$E$12,2,FALSE),0)))))</x:f>
        <x:v>0.18</x:v>
      </x:c>
      <x:c r="AL201" s="42" t="n">
        <x:f>IF(LOWER(AC201)="basis",Parameters!$B$8,IF(LOWER(AC201)="volatility",Parameters!$B$9,1))</x:f>
        <x:v>1</x:v>
      </x:c>
      <x:c r="AM201" s="41" t="n">
        <x:f>AK201*AL201</x:f>
        <x:v>0.18</x:v>
      </x:c>
      <x:c r="AN201" s="42" t="n">
        <x:f>IF(E201="Credit",VLOOKUP(IF(LOWER(K201)="index","Credit Index","Credit Single Name"),Parameters!$J$4:$K$8,2,FALSE),IF(E201="Equity",VLOOKUP(IF(LOWER(K201)="index","Equity Index","Equity Single Name"),Parameters!$J$4:$K$8,2,FALSE),IF(E201="Commodity",VLOOKUP("Commodity",Parameters!$J$4:$K$8,2,FALSE),"")))</x:f>
        <x:v>0.4</x:v>
      </x:c>
      <x:c r="AO201" s="27" t="n">
        <x:f>MAX((O201-M201)/365,0)</x:f>
        <x:v>0</x:v>
      </x:c>
      <x:c r="AP201" s="27" t="n">
        <x:f>MAX((P201-M201)/365,10/Parameters!$B$6)</x:f>
        <x:v>3.4684931506849317</x:v>
      </x:c>
      <x:c r="AQ201" s="27" t="n">
        <x:f>IF(AP201&lt;=AO201,AO201+10/Parameters!$B$6,AP201)</x:f>
        <x:v>3.4684931506849317</x:v>
      </x:c>
      <x:c r="AR201" s="41" t="n">
        <x:f>IF(OR(E201="Interest Rate",E201="Credit"),(EXP(-Parameters!$B$7*AO201)-EXP(-Parameters!$B$7*AQ201))/Parameters!$B$7,1)</x:f>
        <x:v>1</x:v>
      </x:c>
      <x:c r="AS201" s="40" t="n">
        <x:f>IF(OR(E201="Interest Rate",E201="Credit"),ABS(Q201)*AR201,IF(E201="FX",IF(Q201&gt;0,Q201,MAX(ABS(R201),ABS(S201),ABS(Q201))),ABS(Q201)))</x:f>
        <x:v>6200000</x:v>
      </x:c>
      <x:c r="AT201" s="42" t="n">
        <x:f>IF(OR(E201="Interest Rate",E201="FX"),VLOOKUP(E201,Parameters!$M$4:$N$11,2,FALSE),IF(E201="Credit",VLOOKUP(IF(LOWER(K201)="index","Credit Index","Credit Single Name"),Parameters!$M$4:$N$11,2,FALSE),IF(E201="Equity",VLOOKUP(IF(LOWER(K201)="index","Equity Index","Equity Single Name"),Parameters!$M$4:$N$11,2,FALSE),IF(E201="Commodity",VLOOKUP(IF(F201="Electricity","Commodity Electricity","Commodity Other"),Parameters!$M$4:$N$11,2,FALSE),1))))</x:f>
        <x:v>0.7</x:v>
      </x:c>
      <x:c r="AU201" s="27" t="n">
        <x:f>IF(W201="B",1,-1)</x:f>
        <x:v>1</x:v>
      </x:c>
      <x:c r="AV201" s="27" t="n">
        <x:f>IF(OR(AA201="",M201=""),MAX(AE201,1/365),MAX((AA201-M201)/365,1/365))</x:f>
        <x:v>3.4684931506849317</x:v>
      </x:c>
      <x:c r="AW201" s="41" t="str">
        <x:f>IF(OR(Z201&lt;=0,Y201&lt;=0,AT201&lt;=0,AV201&lt;=0),"",(LN(Z201/Y201)+0.5*AT201^2*AV201)/(AT201*SQRT(AV201)))</x:f>
      </x:c>
      <x:c r="AX201" s="41" t="n">
        <x:f>IF(AND(X201&lt;&gt;"C",X201&lt;&gt;"P"),AU201,IF(AW201="",AU201,IF(X201="C",AU201*0.5*(1+ERF(AW201/SQRT(2))),-AU201*0.5*(1+ERF(-AW201/SQRT(2))))))</x:f>
        <x:v>1</x:v>
      </x:c>
      <x:c r="AY201" s="41" t="n">
        <x:f>IF(AJ201="M",1.5*SQRT(MAX(IF(U201="Y",5,10),IF(V201="",10,V201))/Parameters!$B$6),SQRT(MIN(MAX(AE201,10/Parameters!$B$6),1)))</x:f>
        <x:v>1</x:v>
      </x:c>
      <x:c r="AZ201" s="40" t="n">
        <x:f>AS201*AX201*AY201</x:f>
        <x:v>6200000</x:v>
      </x:c>
      <x:c r="BA201" s="40" t="n">
        <x:f>'Python_Trade_Output'!AZ201</x:f>
        <x:v>6200000</x:v>
      </x:c>
      <x:c r="BB201" s="43" t="n">
        <x:f>AZ201-BA201</x:f>
        <x:v>0</x:v>
      </x:c>
    </x:row>
    <x:row r="202">
      <x:c r="A202" s="27" t="str">
        <x:f>'Inputs_Trades'!D202</x:f>
        <x:v>IND-000199</x:v>
      </x:c>
      <x:c r="B202" s="27" t="str">
        <x:f>'Inputs_Trades'!B202</x:f>
        <x:v>IND_CORPORATE_001</x:v>
      </x:c>
      <x:c r="C202" s="27" t="n">
        <x:f>'Inputs_Trades'!C202</x:f>
        <x:v>3100</x:v>
      </x:c>
      <x:c r="D202" s="27" t="str">
        <x:f>'Inputs_Trades'!E202</x:f>
        <x:v>Precious Metal Forward</x:v>
      </x:c>
      <x:c r="E202" s="27" t="str">
        <x:f>'Inputs_Trades'!F202</x:f>
        <x:v>Commodity</x:v>
      </x:c>
      <x:c r="F202" s="27" t="str">
        <x:f>'Inputs_Trades'!G202</x:f>
        <x:v>Gold</x:v>
      </x:c>
      <x:c r="G202" s="27" t="str">
        <x:f>'Inputs_Trades'!J202</x:f>
        <x:v>CNY</x:v>
      </x:c>
      <x:c r="H202" s="27" t="str">
        <x:f>'Inputs_Trades'!H202</x:f>
        <x:v>XAU</x:v>
      </x:c>
      <x:c r="I202" s="27" t="str">
        <x:f>'Inputs_Trades'!I202</x:f>
        <x:v>CNY</x:v>
      </x:c>
      <x:c r="J202" s="27" t="str">
        <x:f>'Inputs_Trades'!M202</x:f>
        <x:v>XAU/CNY</x:v>
      </x:c>
      <x:c r="K202" s="27" t="n">
        <x:f>'Inputs_Trades'!N202</x:f>
        <x:v>0</x:v>
      </x:c>
      <x:c r="L202" s="27" t="n">
        <x:f>'Inputs_Trades'!O202</x:f>
        <x:v>0</x:v>
      </x:c>
      <x:c r="M202" s="39" t="n">
        <x:f>'Inputs_Trades'!A202</x:f>
        <x:v>45702</x:v>
      </x:c>
      <x:c r="N202" s="39" t="n">
        <x:f>'Inputs_Trades'!P202</x:f>
        <x:v>46417</x:v>
      </x:c>
      <x:c r="O202" s="39" t="n">
        <x:f>'Inputs_Trades'!Q202</x:f>
        <x:v>45333</x:v>
      </x:c>
      <x:c r="P202" s="39" t="n">
        <x:f>'Inputs_Trades'!R202</x:f>
        <x:v>46417</x:v>
      </x:c>
      <x:c r="Q202" s="40" t="n">
        <x:f>'Inputs_Trades'!U202</x:f>
        <x:v>8300000</x:v>
      </x:c>
      <x:c r="R202" s="40" t="n">
        <x:f>'Inputs_Trades'!S202</x:f>
        <x:v>4150</x:v>
      </x:c>
      <x:c r="S202" s="40" t="n">
        <x:f>'Inputs_Trades'!T202</x:f>
        <x:v>59285714.29</x:v>
      </x:c>
      <x:c r="T202" s="27" t="str">
        <x:f>'Inputs_Trades'!V202</x:f>
        <x:v>M</x:v>
      </x:c>
      <x:c r="U202" s="27" t="str">
        <x:f>'Inputs_Trades'!W202</x:f>
        <x:v>N</x:v>
      </x:c>
      <x:c r="V202" s="27" t="n">
        <x:f>'Inputs_Trades'!X202</x:f>
        <x:v>10</x:v>
      </x:c>
      <x:c r="W202" s="27" t="str">
        <x:f>'Inputs_Trades'!Y202</x:f>
        <x:v>B</x:v>
      </x:c>
      <x:c r="X202" s="27" t="n">
        <x:f>'Inputs_Trades'!AA202</x:f>
        <x:v>0</x:v>
      </x:c>
      <x:c r="Y202" s="27" t="n">
        <x:f>'Inputs_Trades'!AB202</x:f>
        <x:v>0</x:v>
      </x:c>
      <x:c r="Z202" s="27" t="n">
        <x:f>'Inputs_Trades'!AC202</x:f>
        <x:v>0</x:v>
      </x:c>
      <x:c r="AA202" s="39" t="n">
        <x:f>'Inputs_Trades'!Z202</x:f>
        <x:v>0</x:v>
      </x:c>
      <x:c r="AB202" s="40" t="n">
        <x:f>'Inputs_Trades'!AD202</x:f>
        <x:v>183264</x:v>
      </x:c>
      <x:c r="AC202" s="27" t="n">
        <x:f>'Inputs_Trades'!K202</x:f>
        <x:v>0</x:v>
      </x:c>
      <x:c r="AD202" s="27" t="n">
        <x:f>N202-M202</x:f>
        <x:v>715</x:v>
      </x:c>
      <x:c r="AE202" s="41" t="n">
        <x:f>AD202/365</x:f>
        <x:v>1.9589041095890412</x:v>
      </x:c>
      <x:c r="AF202" s="27" t="str">
        <x:f>IF(AE202&lt;1,"&lt;1Y",IF(AE202&lt;=5,"1Y-5Y","&gt;5Y"))</x:f>
        <x:v>1Y-5Y</x:v>
      </x:c>
      <x:c r="AG202" s="27" t="str">
        <x:f>IF(E202="Commodity",IFERROR(VLOOKUP(F202,Parameters!$P$4:$Q$12,2,FALSE),"Other"),"")</x:f>
        <x:v>Metals</x:v>
      </x:c>
      <x:c r="AH202" s="27" t="str">
        <x:f>IF(F202="","Unknown",F202)</x:f>
        <x:v>Gold</x:v>
      </x:c>
      <x:c r="AI202" s="27" t="str">
        <x:f>IF(E202="Interest Rate",G202&amp;IF(OR(LOWER(AC202)="basis",LOWER(AC202)="volatility"),"_"&amp;AC202,""),IF(E202="FX",IF(H202&lt;I202,H202&amp;"/"&amp;I202,I202&amp;"/"&amp;H202)&amp;IF(OR(LOWER(AC202)="basis",LOWER(AC202)="volatility"),"_"&amp;AC202,""),IF(OR(E202="Credit",E202="Equity"),J202&amp;IF(OR(LOWER(AC202)="basis",LOWER(AC202)="volatility"),"_"&amp;AC202,""),IF(E202="Commodity",AG202&amp;IF(OR(LOWER(AC202)="basis",LOWER(AC202)="volatility"),"_"&amp;AC202,""),"UNKNOWN"))))</x:f>
        <x:v>Metals</x:v>
      </x:c>
      <x:c r="AJ202" s="27" t="str">
        <x:f>T202</x:f>
        <x:v>M</x:v>
      </x:c>
      <x:c r="AK202" s="41" t="n">
        <x:f>IF(E202="Interest Rate",VLOOKUP("Interest Rate",Parameters!$D$4:$E$12,2,FALSE),IF(E202="FX",VLOOKUP("FX",Parameters!$D$4:$E$12,2,FALSE),IF(E202="Credit",IFERROR(VLOOKUP(L202,Parameters!$G$4:$H$12,2,FALSE),VLOOKUP("BBB",Parameters!$G$4:$H$12,2,FALSE)),IF(E202="Equity",VLOOKUP(IF(LOWER(K202)="index","Equity Index","Equity Single Name"),Parameters!$D$4:$E$12,2,FALSE),IF(E202="Commodity",VLOOKUP(IFERROR(VLOOKUP(F202,Parameters!$S$4:$T$12,2,FALSE),"Commodity Other"),Parameters!$D$4:$E$12,2,FALSE),0)))))</x:f>
        <x:v>0.18</x:v>
      </x:c>
      <x:c r="AL202" s="42" t="n">
        <x:f>IF(LOWER(AC202)="basis",Parameters!$B$8,IF(LOWER(AC202)="volatility",Parameters!$B$9,1))</x:f>
        <x:v>1</x:v>
      </x:c>
      <x:c r="AM202" s="41" t="n">
        <x:f>AK202*AL202</x:f>
        <x:v>0.18</x:v>
      </x:c>
      <x:c r="AN202" s="42" t="n">
        <x:f>IF(E202="Credit",VLOOKUP(IF(LOWER(K202)="index","Credit Index","Credit Single Name"),Parameters!$J$4:$K$8,2,FALSE),IF(E202="Equity",VLOOKUP(IF(LOWER(K202)="index","Equity Index","Equity Single Name"),Parameters!$J$4:$K$8,2,FALSE),IF(E202="Commodity",VLOOKUP("Commodity",Parameters!$J$4:$K$8,2,FALSE),"")))</x:f>
        <x:v>0.4</x:v>
      </x:c>
      <x:c r="AO202" s="27" t="n">
        <x:f>MAX((O202-M202)/365,0)</x:f>
        <x:v>0</x:v>
      </x:c>
      <x:c r="AP202" s="27" t="n">
        <x:f>MAX((P202-M202)/365,10/Parameters!$B$6)</x:f>
        <x:v>1.9589041095890412</x:v>
      </x:c>
      <x:c r="AQ202" s="27" t="n">
        <x:f>IF(AP202&lt;=AO202,AO202+10/Parameters!$B$6,AP202)</x:f>
        <x:v>1.9589041095890412</x:v>
      </x:c>
      <x:c r="AR202" s="41" t="n">
        <x:f>IF(OR(E202="Interest Rate",E202="Credit"),(EXP(-Parameters!$B$7*AO202)-EXP(-Parameters!$B$7*AQ202))/Parameters!$B$7,1)</x:f>
        <x:v>1</x:v>
      </x:c>
      <x:c r="AS202" s="40" t="n">
        <x:f>IF(OR(E202="Interest Rate",E202="Credit"),ABS(Q202)*AR202,IF(E202="FX",IF(Q202&gt;0,Q202,MAX(ABS(R202),ABS(S202),ABS(Q202))),ABS(Q202)))</x:f>
        <x:v>8300000</x:v>
      </x:c>
      <x:c r="AT202" s="42" t="n">
        <x:f>IF(OR(E202="Interest Rate",E202="FX"),VLOOKUP(E202,Parameters!$M$4:$N$11,2,FALSE),IF(E202="Credit",VLOOKUP(IF(LOWER(K202)="index","Credit Index","Credit Single Name"),Parameters!$M$4:$N$11,2,FALSE),IF(E202="Equity",VLOOKUP(IF(LOWER(K202)="index","Equity Index","Equity Single Name"),Parameters!$M$4:$N$11,2,FALSE),IF(E202="Commodity",VLOOKUP(IF(F202="Electricity","Commodity Electricity","Commodity Other"),Parameters!$M$4:$N$11,2,FALSE),1))))</x:f>
        <x:v>0.7</x:v>
      </x:c>
      <x:c r="AU202" s="27" t="n">
        <x:f>IF(W202="B",1,-1)</x:f>
        <x:v>1</x:v>
      </x:c>
      <x:c r="AV202" s="27" t="n">
        <x:f>IF(OR(AA202="",M202=""),MAX(AE202,1/365),MAX((AA202-M202)/365,1/365))</x:f>
        <x:v>1.9589041095890412</x:v>
      </x:c>
      <x:c r="AW202" s="41" t="str">
        <x:f>IF(OR(Z202&lt;=0,Y202&lt;=0,AT202&lt;=0,AV202&lt;=0),"",(LN(Z202/Y202)+0.5*AT202^2*AV202)/(AT202*SQRT(AV202)))</x:f>
      </x:c>
      <x:c r="AX202" s="41" t="n">
        <x:f>IF(AND(X202&lt;&gt;"C",X202&lt;&gt;"P"),AU202,IF(AW202="",AU202,IF(X202="C",AU202*0.5*(1+ERF(AW202/SQRT(2))),-AU202*0.5*(1+ERF(-AW202/SQRT(2))))))</x:f>
        <x:v>1</x:v>
      </x:c>
      <x:c r="AY202" s="41" t="n">
        <x:f>IF(AJ202="M",1.5*SQRT(MAX(IF(U202="Y",5,10),IF(V202="",10,V202))/Parameters!$B$6),SQRT(MIN(MAX(AE202,10/Parameters!$B$6),1)))</x:f>
        <x:v>0.30000000000000004</x:v>
      </x:c>
      <x:c r="AZ202" s="40" t="n">
        <x:f>AS202*AX202*AY202</x:f>
        <x:v>2490000.0000000005</x:v>
      </x:c>
      <x:c r="BA202" s="40" t="n">
        <x:f>'Python_Trade_Output'!AZ202</x:f>
        <x:v>2490000.0000000005</x:v>
      </x:c>
      <x:c r="BB202" s="43" t="n">
        <x:f>AZ202-BA202</x:f>
        <x:v>0</x:v>
      </x:c>
    </x:row>
    <x:row r="203">
      <x:c r="A203" s="27" t="str">
        <x:f>'Inputs_Trades'!D203</x:f>
        <x:v>IND-000200</x:v>
      </x:c>
      <x:c r="B203" s="27" t="str">
        <x:f>'Inputs_Trades'!B203</x:f>
        <x:v>IND_REGIONAL_BANK_001</x:v>
      </x:c>
      <x:c r="C203" s="27" t="n">
        <x:f>'Inputs_Trades'!C203</x:f>
        <x:v>3082</x:v>
      </x:c>
      <x:c r="D203" s="27" t="str">
        <x:f>'Inputs_Trades'!E203</x:f>
        <x:v>Precious Metal Forward</x:v>
      </x:c>
      <x:c r="E203" s="27" t="str">
        <x:f>'Inputs_Trades'!F203</x:f>
        <x:v>Commodity</x:v>
      </x:c>
      <x:c r="F203" s="27" t="str">
        <x:f>'Inputs_Trades'!G203</x:f>
        <x:v>Gold</x:v>
      </x:c>
      <x:c r="G203" s="27" t="str">
        <x:f>'Inputs_Trades'!J203</x:f>
        <x:v>CNY</x:v>
      </x:c>
      <x:c r="H203" s="27" t="str">
        <x:f>'Inputs_Trades'!H203</x:f>
        <x:v>XAU</x:v>
      </x:c>
      <x:c r="I203" s="27" t="str">
        <x:f>'Inputs_Trades'!I203</x:f>
        <x:v>CNY</x:v>
      </x:c>
      <x:c r="J203" s="27" t="str">
        <x:f>'Inputs_Trades'!M203</x:f>
        <x:v>XAU/CNY</x:v>
      </x:c>
      <x:c r="K203" s="27" t="n">
        <x:f>'Inputs_Trades'!N203</x:f>
        <x:v>0</x:v>
      </x:c>
      <x:c r="L203" s="27" t="n">
        <x:f>'Inputs_Trades'!O203</x:f>
        <x:v>0</x:v>
      </x:c>
      <x:c r="M203" s="39" t="n">
        <x:f>'Inputs_Trades'!A203</x:f>
        <x:v>45702</x:v>
      </x:c>
      <x:c r="N203" s="39" t="n">
        <x:f>'Inputs_Trades'!P203</x:f>
        <x:v>46051</x:v>
      </x:c>
      <x:c r="O203" s="39" t="n">
        <x:f>'Inputs_Trades'!Q203</x:f>
        <x:v>45638</x:v>
      </x:c>
      <x:c r="P203" s="39" t="n">
        <x:f>'Inputs_Trades'!R203</x:f>
        <x:v>46051</x:v>
      </x:c>
      <x:c r="Q203" s="40" t="n">
        <x:f>'Inputs_Trades'!U203</x:f>
        <x:v>12600000</x:v>
      </x:c>
      <x:c r="R203" s="40" t="n">
        <x:f>'Inputs_Trades'!S203</x:f>
        <x:v>6300</x:v>
      </x:c>
      <x:c r="S203" s="40" t="n">
        <x:f>'Inputs_Trades'!T203</x:f>
        <x:v>90000000</x:v>
      </x:c>
      <x:c r="T203" s="27" t="str">
        <x:f>'Inputs_Trades'!V203</x:f>
        <x:v>M</x:v>
      </x:c>
      <x:c r="U203" s="27" t="str">
        <x:f>'Inputs_Trades'!W203</x:f>
        <x:v>N</x:v>
      </x:c>
      <x:c r="V203" s="27" t="n">
        <x:f>'Inputs_Trades'!X203</x:f>
        <x:v>10</x:v>
      </x:c>
      <x:c r="W203" s="27" t="str">
        <x:f>'Inputs_Trades'!Y203</x:f>
        <x:v>S</x:v>
      </x:c>
      <x:c r="X203" s="27" t="n">
        <x:f>'Inputs_Trades'!AA203</x:f>
        <x:v>0</x:v>
      </x:c>
      <x:c r="Y203" s="27" t="n">
        <x:f>'Inputs_Trades'!AB203</x:f>
        <x:v>0</x:v>
      </x:c>
      <x:c r="Z203" s="27" t="n">
        <x:f>'Inputs_Trades'!AC203</x:f>
        <x:v>0</x:v>
      </x:c>
      <x:c r="AA203" s="39" t="n">
        <x:f>'Inputs_Trades'!Z203</x:f>
        <x:v>0</x:v>
      </x:c>
      <x:c r="AB203" s="40" t="n">
        <x:f>'Inputs_Trades'!AD203</x:f>
        <x:v>346626</x:v>
      </x:c>
      <x:c r="AC203" s="27" t="n">
        <x:f>'Inputs_Trades'!K203</x:f>
        <x:v>0</x:v>
      </x:c>
      <x:c r="AD203" s="27" t="n">
        <x:f>N203-M203</x:f>
        <x:v>349</x:v>
      </x:c>
      <x:c r="AE203" s="41" t="n">
        <x:f>AD203/365</x:f>
        <x:v>0.9561643835616438</x:v>
      </x:c>
      <x:c r="AF203" s="27" t="str">
        <x:f>IF(AE203&lt;1,"&lt;1Y",IF(AE203&lt;=5,"1Y-5Y","&gt;5Y"))</x:f>
        <x:v>&lt;1Y</x:v>
      </x:c>
      <x:c r="AG203" s="27" t="str">
        <x:f>IF(E203="Commodity",IFERROR(VLOOKUP(F203,Parameters!$P$4:$Q$12,2,FALSE),"Other"),"")</x:f>
        <x:v>Metals</x:v>
      </x:c>
      <x:c r="AH203" s="27" t="str">
        <x:f>IF(F203="","Unknown",F203)</x:f>
        <x:v>Gold</x:v>
      </x:c>
      <x:c r="AI203" s="27" t="str">
        <x:f>IF(E203="Interest Rate",G203&amp;IF(OR(LOWER(AC203)="basis",LOWER(AC203)="volatility"),"_"&amp;AC203,""),IF(E203="FX",IF(H203&lt;I203,H203&amp;"/"&amp;I203,I203&amp;"/"&amp;H203)&amp;IF(OR(LOWER(AC203)="basis",LOWER(AC203)="volatility"),"_"&amp;AC203,""),IF(OR(E203="Credit",E203="Equity"),J203&amp;IF(OR(LOWER(AC203)="basis",LOWER(AC203)="volatility"),"_"&amp;AC203,""),IF(E203="Commodity",AG203&amp;IF(OR(LOWER(AC203)="basis",LOWER(AC203)="volatility"),"_"&amp;AC203,""),"UNKNOWN"))))</x:f>
        <x:v>Metals</x:v>
      </x:c>
      <x:c r="AJ203" s="27" t="str">
        <x:f>T203</x:f>
        <x:v>M</x:v>
      </x:c>
      <x:c r="AK203" s="41" t="n">
        <x:f>IF(E203="Interest Rate",VLOOKUP("Interest Rate",Parameters!$D$4:$E$12,2,FALSE),IF(E203="FX",VLOOKUP("FX",Parameters!$D$4:$E$12,2,FALSE),IF(E203="Credit",IFERROR(VLOOKUP(L203,Parameters!$G$4:$H$12,2,FALSE),VLOOKUP("BBB",Parameters!$G$4:$H$12,2,FALSE)),IF(E203="Equity",VLOOKUP(IF(LOWER(K203)="index","Equity Index","Equity Single Name"),Parameters!$D$4:$E$12,2,FALSE),IF(E203="Commodity",VLOOKUP(IFERROR(VLOOKUP(F203,Parameters!$S$4:$T$12,2,FALSE),"Commodity Other"),Parameters!$D$4:$E$12,2,FALSE),0)))))</x:f>
        <x:v>0.18</x:v>
      </x:c>
      <x:c r="AL203" s="42" t="n">
        <x:f>IF(LOWER(AC203)="basis",Parameters!$B$8,IF(LOWER(AC203)="volatility",Parameters!$B$9,1))</x:f>
        <x:v>1</x:v>
      </x:c>
      <x:c r="AM203" s="41" t="n">
        <x:f>AK203*AL203</x:f>
        <x:v>0.18</x:v>
      </x:c>
      <x:c r="AN203" s="42" t="n">
        <x:f>IF(E203="Credit",VLOOKUP(IF(LOWER(K203)="index","Credit Index","Credit Single Name"),Parameters!$J$4:$K$8,2,FALSE),IF(E203="Equity",VLOOKUP(IF(LOWER(K203)="index","Equity Index","Equity Single Name"),Parameters!$J$4:$K$8,2,FALSE),IF(E203="Commodity",VLOOKUP("Commodity",Parameters!$J$4:$K$8,2,FALSE),"")))</x:f>
        <x:v>0.4</x:v>
      </x:c>
      <x:c r="AO203" s="27" t="n">
        <x:f>MAX((O203-M203)/365,0)</x:f>
        <x:v>0</x:v>
      </x:c>
      <x:c r="AP203" s="27" t="n">
        <x:f>MAX((P203-M203)/365,10/Parameters!$B$6)</x:f>
        <x:v>0.9561643835616438</x:v>
      </x:c>
      <x:c r="AQ203" s="27" t="n">
        <x:f>IF(AP203&lt;=AO203,AO203+10/Parameters!$B$6,AP203)</x:f>
        <x:v>0.9561643835616438</x:v>
      </x:c>
      <x:c r="AR203" s="41" t="n">
        <x:f>IF(OR(E203="Interest Rate",E203="Credit"),(EXP(-Parameters!$B$7*AO203)-EXP(-Parameters!$B$7*AQ203))/Parameters!$B$7,1)</x:f>
        <x:v>1</x:v>
      </x:c>
      <x:c r="AS203" s="40" t="n">
        <x:f>IF(OR(E203="Interest Rate",E203="Credit"),ABS(Q203)*AR203,IF(E203="FX",IF(Q203&gt;0,Q203,MAX(ABS(R203),ABS(S203),ABS(Q203))),ABS(Q203)))</x:f>
        <x:v>12600000</x:v>
      </x:c>
      <x:c r="AT203" s="42" t="n">
        <x:f>IF(OR(E203="Interest Rate",E203="FX"),VLOOKUP(E203,Parameters!$M$4:$N$11,2,FALSE),IF(E203="Credit",VLOOKUP(IF(LOWER(K203)="index","Credit Index","Credit Single Name"),Parameters!$M$4:$N$11,2,FALSE),IF(E203="Equity",VLOOKUP(IF(LOWER(K203)="index","Equity Index","Equity Single Name"),Parameters!$M$4:$N$11,2,FALSE),IF(E203="Commodity",VLOOKUP(IF(F203="Electricity","Commodity Electricity","Commodity Other"),Parameters!$M$4:$N$11,2,FALSE),1))))</x:f>
        <x:v>0.7</x:v>
      </x:c>
      <x:c r="AU203" s="27" t="n">
        <x:f>IF(W203="B",1,-1)</x:f>
        <x:v>-1</x:v>
      </x:c>
      <x:c r="AV203" s="27" t="n">
        <x:f>IF(OR(AA203="",M203=""),MAX(AE203,1/365),MAX((AA203-M203)/365,1/365))</x:f>
        <x:v>0.9561643835616438</x:v>
      </x:c>
      <x:c r="AW203" s="41" t="str">
        <x:f>IF(OR(Z203&lt;=0,Y203&lt;=0,AT203&lt;=0,AV203&lt;=0),"",(LN(Z203/Y203)+0.5*AT203^2*AV203)/(AT203*SQRT(AV203)))</x:f>
      </x:c>
      <x:c r="AX203" s="41" t="n">
        <x:f>IF(AND(X203&lt;&gt;"C",X203&lt;&gt;"P"),AU203,IF(AW203="",AU203,IF(X203="C",AU203*0.5*(1+ERF(AW203/SQRT(2))),-AU203*0.5*(1+ERF(-AW203/SQRT(2))))))</x:f>
        <x:v>-1</x:v>
      </x:c>
      <x:c r="AY203" s="41" t="n">
        <x:f>IF(AJ203="M",1.5*SQRT(MAX(IF(U203="Y",5,10),IF(V203="",10,V203))/Parameters!$B$6),SQRT(MIN(MAX(AE203,10/Parameters!$B$6),1)))</x:f>
        <x:v>0.30000000000000004</x:v>
      </x:c>
      <x:c r="AZ203" s="40" t="n">
        <x:f>AS203*AX203*AY203</x:f>
        <x:v>-3780000.0000000005</x:v>
      </x:c>
      <x:c r="BA203" s="40" t="n">
        <x:f>'Python_Trade_Output'!AZ203</x:f>
        <x:v>-3780000.0000000005</x:v>
      </x:c>
      <x:c r="BB203" s="43" t="n">
        <x:f>AZ203-BA203</x:f>
        <x:v>0</x:v>
      </x:c>
    </x:row>
    <x:row r="204">
      <x:c r="A204" s="27" t="str">
        <x:f>'Inputs_Trades'!D204</x:f>
        <x:v>IND-000201</x:v>
      </x:c>
      <x:c r="B204" s="27" t="str">
        <x:f>'Inputs_Trades'!B204</x:f>
        <x:v>IND_BANK_002</x:v>
      </x:c>
      <x:c r="C204" s="27" t="n">
        <x:f>'Inputs_Trades'!C204</x:f>
        <x:v>3259</x:v>
      </x:c>
      <x:c r="D204" s="27" t="str">
        <x:f>'Inputs_Trades'!E204</x:f>
        <x:v>Precious Metal Forward</x:v>
      </x:c>
      <x:c r="E204" s="27" t="str">
        <x:f>'Inputs_Trades'!F204</x:f>
        <x:v>Commodity</x:v>
      </x:c>
      <x:c r="F204" s="27" t="str">
        <x:f>'Inputs_Trades'!G204</x:f>
        <x:v>Gold</x:v>
      </x:c>
      <x:c r="G204" s="27" t="str">
        <x:f>'Inputs_Trades'!J204</x:f>
        <x:v>CNY</x:v>
      </x:c>
      <x:c r="H204" s="27" t="str">
        <x:f>'Inputs_Trades'!H204</x:f>
        <x:v>XAU</x:v>
      </x:c>
      <x:c r="I204" s="27" t="str">
        <x:f>'Inputs_Trades'!I204</x:f>
        <x:v>CNY</x:v>
      </x:c>
      <x:c r="J204" s="27" t="str">
        <x:f>'Inputs_Trades'!M204</x:f>
        <x:v>XAU/CNY</x:v>
      </x:c>
      <x:c r="K204" s="27" t="n">
        <x:f>'Inputs_Trades'!N204</x:f>
        <x:v>0</x:v>
      </x:c>
      <x:c r="L204" s="27" t="n">
        <x:f>'Inputs_Trades'!O204</x:f>
        <x:v>0</x:v>
      </x:c>
      <x:c r="M204" s="39" t="n">
        <x:f>'Inputs_Trades'!A204</x:f>
        <x:v>45702</x:v>
      </x:c>
      <x:c r="N204" s="39" t="n">
        <x:f>'Inputs_Trades'!P204</x:f>
        <x:v>45997</x:v>
      </x:c>
      <x:c r="O204" s="39" t="n">
        <x:f>'Inputs_Trades'!Q204</x:f>
        <x:v>45189</x:v>
      </x:c>
      <x:c r="P204" s="39" t="n">
        <x:f>'Inputs_Trades'!R204</x:f>
        <x:v>45997</x:v>
      </x:c>
      <x:c r="Q204" s="40" t="n">
        <x:f>'Inputs_Trades'!U204</x:f>
        <x:v>59900000</x:v>
      </x:c>
      <x:c r="R204" s="40" t="n">
        <x:f>'Inputs_Trades'!S204</x:f>
        <x:v>29950</x:v>
      </x:c>
      <x:c r="S204" s="40" t="n">
        <x:f>'Inputs_Trades'!T204</x:f>
        <x:v>427857142.86</x:v>
      </x:c>
      <x:c r="T204" s="27" t="str">
        <x:f>'Inputs_Trades'!V204</x:f>
        <x:v>M</x:v>
      </x:c>
      <x:c r="U204" s="27" t="str">
        <x:f>'Inputs_Trades'!W204</x:f>
        <x:v>N</x:v>
      </x:c>
      <x:c r="V204" s="27" t="n">
        <x:f>'Inputs_Trades'!X204</x:f>
        <x:v>10</x:v>
      </x:c>
      <x:c r="W204" s="27" t="str">
        <x:f>'Inputs_Trades'!Y204</x:f>
        <x:v>B</x:v>
      </x:c>
      <x:c r="X204" s="27" t="n">
        <x:f>'Inputs_Trades'!AA204</x:f>
        <x:v>0</x:v>
      </x:c>
      <x:c r="Y204" s="27" t="n">
        <x:f>'Inputs_Trades'!AB204</x:f>
        <x:v>0</x:v>
      </x:c>
      <x:c r="Z204" s="27" t="n">
        <x:f>'Inputs_Trades'!AC204</x:f>
        <x:v>0</x:v>
      </x:c>
      <x:c r="AA204" s="39" t="n">
        <x:f>'Inputs_Trades'!Z204</x:f>
        <x:v>0</x:v>
      </x:c>
      <x:c r="AB204" s="40" t="n">
        <x:f>'Inputs_Trades'!AD204</x:f>
        <x:v>-1522059</x:v>
      </x:c>
      <x:c r="AC204" s="27" t="n">
        <x:f>'Inputs_Trades'!K204</x:f>
        <x:v>0</x:v>
      </x:c>
      <x:c r="AD204" s="27" t="n">
        <x:f>N204-M204</x:f>
        <x:v>295</x:v>
      </x:c>
      <x:c r="AE204" s="41" t="n">
        <x:f>AD204/365</x:f>
        <x:v>0.8082191780821918</x:v>
      </x:c>
      <x:c r="AF204" s="27" t="str">
        <x:f>IF(AE204&lt;1,"&lt;1Y",IF(AE204&lt;=5,"1Y-5Y","&gt;5Y"))</x:f>
        <x:v>&lt;1Y</x:v>
      </x:c>
      <x:c r="AG204" s="27" t="str">
        <x:f>IF(E204="Commodity",IFERROR(VLOOKUP(F204,Parameters!$P$4:$Q$12,2,FALSE),"Other"),"")</x:f>
        <x:v>Metals</x:v>
      </x:c>
      <x:c r="AH204" s="27" t="str">
        <x:f>IF(F204="","Unknown",F204)</x:f>
        <x:v>Gold</x:v>
      </x:c>
      <x:c r="AI204" s="27" t="str">
        <x:f>IF(E204="Interest Rate",G204&amp;IF(OR(LOWER(AC204)="basis",LOWER(AC204)="volatility"),"_"&amp;AC204,""),IF(E204="FX",IF(H204&lt;I204,H204&amp;"/"&amp;I204,I204&amp;"/"&amp;H204)&amp;IF(OR(LOWER(AC204)="basis",LOWER(AC204)="volatility"),"_"&amp;AC204,""),IF(OR(E204="Credit",E204="Equity"),J204&amp;IF(OR(LOWER(AC204)="basis",LOWER(AC204)="volatility"),"_"&amp;AC204,""),IF(E204="Commodity",AG204&amp;IF(OR(LOWER(AC204)="basis",LOWER(AC204)="volatility"),"_"&amp;AC204,""),"UNKNOWN"))))</x:f>
        <x:v>Metals</x:v>
      </x:c>
      <x:c r="AJ204" s="27" t="str">
        <x:f>T204</x:f>
        <x:v>M</x:v>
      </x:c>
      <x:c r="AK204" s="41" t="n">
        <x:f>IF(E204="Interest Rate",VLOOKUP("Interest Rate",Parameters!$D$4:$E$12,2,FALSE),IF(E204="FX",VLOOKUP("FX",Parameters!$D$4:$E$12,2,FALSE),IF(E204="Credit",IFERROR(VLOOKUP(L204,Parameters!$G$4:$H$12,2,FALSE),VLOOKUP("BBB",Parameters!$G$4:$H$12,2,FALSE)),IF(E204="Equity",VLOOKUP(IF(LOWER(K204)="index","Equity Index","Equity Single Name"),Parameters!$D$4:$E$12,2,FALSE),IF(E204="Commodity",VLOOKUP(IFERROR(VLOOKUP(F204,Parameters!$S$4:$T$12,2,FALSE),"Commodity Other"),Parameters!$D$4:$E$12,2,FALSE),0)))))</x:f>
        <x:v>0.18</x:v>
      </x:c>
      <x:c r="AL204" s="42" t="n">
        <x:f>IF(LOWER(AC204)="basis",Parameters!$B$8,IF(LOWER(AC204)="volatility",Parameters!$B$9,1))</x:f>
        <x:v>1</x:v>
      </x:c>
      <x:c r="AM204" s="41" t="n">
        <x:f>AK204*AL204</x:f>
        <x:v>0.18</x:v>
      </x:c>
      <x:c r="AN204" s="42" t="n">
        <x:f>IF(E204="Credit",VLOOKUP(IF(LOWER(K204)="index","Credit Index","Credit Single Name"),Parameters!$J$4:$K$8,2,FALSE),IF(E204="Equity",VLOOKUP(IF(LOWER(K204)="index","Equity Index","Equity Single Name"),Parameters!$J$4:$K$8,2,FALSE),IF(E204="Commodity",VLOOKUP("Commodity",Parameters!$J$4:$K$8,2,FALSE),"")))</x:f>
        <x:v>0.4</x:v>
      </x:c>
      <x:c r="AO204" s="27" t="n">
        <x:f>MAX((O204-M204)/365,0)</x:f>
        <x:v>0</x:v>
      </x:c>
      <x:c r="AP204" s="27" t="n">
        <x:f>MAX((P204-M204)/365,10/Parameters!$B$6)</x:f>
        <x:v>0.8082191780821918</x:v>
      </x:c>
      <x:c r="AQ204" s="27" t="n">
        <x:f>IF(AP204&lt;=AO204,AO204+10/Parameters!$B$6,AP204)</x:f>
        <x:v>0.8082191780821918</x:v>
      </x:c>
      <x:c r="AR204" s="41" t="n">
        <x:f>IF(OR(E204="Interest Rate",E204="Credit"),(EXP(-Parameters!$B$7*AO204)-EXP(-Parameters!$B$7*AQ204))/Parameters!$B$7,1)</x:f>
        <x:v>1</x:v>
      </x:c>
      <x:c r="AS204" s="40" t="n">
        <x:f>IF(OR(E204="Interest Rate",E204="Credit"),ABS(Q204)*AR204,IF(E204="FX",IF(Q204&gt;0,Q204,MAX(ABS(R204),ABS(S204),ABS(Q204))),ABS(Q204)))</x:f>
        <x:v>59900000</x:v>
      </x:c>
      <x:c r="AT204" s="42" t="n">
        <x:f>IF(OR(E204="Interest Rate",E204="FX"),VLOOKUP(E204,Parameters!$M$4:$N$11,2,FALSE),IF(E204="Credit",VLOOKUP(IF(LOWER(K204)="index","Credit Index","Credit Single Name"),Parameters!$M$4:$N$11,2,FALSE),IF(E204="Equity",VLOOKUP(IF(LOWER(K204)="index","Equity Index","Equity Single Name"),Parameters!$M$4:$N$11,2,FALSE),IF(E204="Commodity",VLOOKUP(IF(F204="Electricity","Commodity Electricity","Commodity Other"),Parameters!$M$4:$N$11,2,FALSE),1))))</x:f>
        <x:v>0.7</x:v>
      </x:c>
      <x:c r="AU204" s="27" t="n">
        <x:f>IF(W204="B",1,-1)</x:f>
        <x:v>1</x:v>
      </x:c>
      <x:c r="AV204" s="27" t="n">
        <x:f>IF(OR(AA204="",M204=""),MAX(AE204,1/365),MAX((AA204-M204)/365,1/365))</x:f>
        <x:v>0.8082191780821918</x:v>
      </x:c>
      <x:c r="AW204" s="41" t="str">
        <x:f>IF(OR(Z204&lt;=0,Y204&lt;=0,AT204&lt;=0,AV204&lt;=0),"",(LN(Z204/Y204)+0.5*AT204^2*AV204)/(AT204*SQRT(AV204)))</x:f>
      </x:c>
      <x:c r="AX204" s="41" t="n">
        <x:f>IF(AND(X204&lt;&gt;"C",X204&lt;&gt;"P"),AU204,IF(AW204="",AU204,IF(X204="C",AU204*0.5*(1+ERF(AW204/SQRT(2))),-AU204*0.5*(1+ERF(-AW204/SQRT(2))))))</x:f>
        <x:v>1</x:v>
      </x:c>
      <x:c r="AY204" s="41" t="n">
        <x:f>IF(AJ204="M",1.5*SQRT(MAX(IF(U204="Y",5,10),IF(V204="",10,V204))/Parameters!$B$6),SQRT(MIN(MAX(AE204,10/Parameters!$B$6),1)))</x:f>
        <x:v>0.30000000000000004</x:v>
      </x:c>
      <x:c r="AZ204" s="40" t="n">
        <x:f>AS204*AX204*AY204</x:f>
        <x:v>17970000.000000004</x:v>
      </x:c>
      <x:c r="BA204" s="40" t="n">
        <x:f>'Python_Trade_Output'!AZ204</x:f>
        <x:v>17970000.000000004</x:v>
      </x:c>
      <x:c r="BB204" s="43" t="n">
        <x:f>AZ204-BA204</x:f>
        <x:v>0</x:v>
      </x:c>
    </x:row>
    <x:row r="205">
      <x:c r="A205" s="27" t="str">
        <x:f>'Inputs_Trades'!D205</x:f>
        <x:v>IND-000202</x:v>
      </x:c>
      <x:c r="B205" s="27" t="str">
        <x:f>'Inputs_Trades'!B205</x:f>
        <x:v>IND_BANK_002</x:v>
      </x:c>
      <x:c r="C205" s="27" t="n">
        <x:f>'Inputs_Trades'!C205</x:f>
        <x:v>3259</x:v>
      </x:c>
      <x:c r="D205" s="27" t="str">
        <x:f>'Inputs_Trades'!E205</x:f>
        <x:v>Precious Metal Forward</x:v>
      </x:c>
      <x:c r="E205" s="27" t="str">
        <x:f>'Inputs_Trades'!F205</x:f>
        <x:v>Commodity</x:v>
      </x:c>
      <x:c r="F205" s="27" t="str">
        <x:f>'Inputs_Trades'!G205</x:f>
        <x:v>Gold</x:v>
      </x:c>
      <x:c r="G205" s="27" t="str">
        <x:f>'Inputs_Trades'!J205</x:f>
        <x:v>CNY</x:v>
      </x:c>
      <x:c r="H205" s="27" t="str">
        <x:f>'Inputs_Trades'!H205</x:f>
        <x:v>XAU</x:v>
      </x:c>
      <x:c r="I205" s="27" t="str">
        <x:f>'Inputs_Trades'!I205</x:f>
        <x:v>CNY</x:v>
      </x:c>
      <x:c r="J205" s="27" t="str">
        <x:f>'Inputs_Trades'!M205</x:f>
        <x:v>XAU/CNY</x:v>
      </x:c>
      <x:c r="K205" s="27" t="n">
        <x:f>'Inputs_Trades'!N205</x:f>
        <x:v>0</x:v>
      </x:c>
      <x:c r="L205" s="27" t="n">
        <x:f>'Inputs_Trades'!O205</x:f>
        <x:v>0</x:v>
      </x:c>
      <x:c r="M205" s="39" t="n">
        <x:f>'Inputs_Trades'!A205</x:f>
        <x:v>45702</x:v>
      </x:c>
      <x:c r="N205" s="39" t="n">
        <x:f>'Inputs_Trades'!P205</x:f>
        <x:v>46327</x:v>
      </x:c>
      <x:c r="O205" s="39" t="n">
        <x:f>'Inputs_Trades'!Q205</x:f>
        <x:v>45131</x:v>
      </x:c>
      <x:c r="P205" s="39" t="n">
        <x:f>'Inputs_Trades'!R205</x:f>
        <x:v>46327</x:v>
      </x:c>
      <x:c r="Q205" s="40" t="n">
        <x:f>'Inputs_Trades'!U205</x:f>
        <x:v>5100000</x:v>
      </x:c>
      <x:c r="R205" s="40" t="n">
        <x:f>'Inputs_Trades'!S205</x:f>
        <x:v>2550</x:v>
      </x:c>
      <x:c r="S205" s="40" t="n">
        <x:f>'Inputs_Trades'!T205</x:f>
        <x:v>36428571.43</x:v>
      </x:c>
      <x:c r="T205" s="27" t="str">
        <x:f>'Inputs_Trades'!V205</x:f>
        <x:v>M</x:v>
      </x:c>
      <x:c r="U205" s="27" t="str">
        <x:f>'Inputs_Trades'!W205</x:f>
        <x:v>N</x:v>
      </x:c>
      <x:c r="V205" s="27" t="n">
        <x:f>'Inputs_Trades'!X205</x:f>
        <x:v>10</x:v>
      </x:c>
      <x:c r="W205" s="27" t="str">
        <x:f>'Inputs_Trades'!Y205</x:f>
        <x:v>S</x:v>
      </x:c>
      <x:c r="X205" s="27" t="n">
        <x:f>'Inputs_Trades'!AA205</x:f>
        <x:v>0</x:v>
      </x:c>
      <x:c r="Y205" s="27" t="n">
        <x:f>'Inputs_Trades'!AB205</x:f>
        <x:v>0</x:v>
      </x:c>
      <x:c r="Z205" s="27" t="n">
        <x:f>'Inputs_Trades'!AC205</x:f>
        <x:v>0</x:v>
      </x:c>
      <x:c r="AA205" s="39" t="n">
        <x:f>'Inputs_Trades'!Z205</x:f>
        <x:v>0</x:v>
      </x:c>
      <x:c r="AB205" s="40" t="n">
        <x:f>'Inputs_Trades'!AD205</x:f>
        <x:v>-151623</x:v>
      </x:c>
      <x:c r="AC205" s="27" t="n">
        <x:f>'Inputs_Trades'!K205</x:f>
        <x:v>0</x:v>
      </x:c>
      <x:c r="AD205" s="27" t="n">
        <x:f>N205-M205</x:f>
        <x:v>625</x:v>
      </x:c>
      <x:c r="AE205" s="41" t="n">
        <x:f>AD205/365</x:f>
        <x:v>1.7123287671232876</x:v>
      </x:c>
      <x:c r="AF205" s="27" t="str">
        <x:f>IF(AE205&lt;1,"&lt;1Y",IF(AE205&lt;=5,"1Y-5Y","&gt;5Y"))</x:f>
        <x:v>1Y-5Y</x:v>
      </x:c>
      <x:c r="AG205" s="27" t="str">
        <x:f>IF(E205="Commodity",IFERROR(VLOOKUP(F205,Parameters!$P$4:$Q$12,2,FALSE),"Other"),"")</x:f>
        <x:v>Metals</x:v>
      </x:c>
      <x:c r="AH205" s="27" t="str">
        <x:f>IF(F205="","Unknown",F205)</x:f>
        <x:v>Gold</x:v>
      </x:c>
      <x:c r="AI205" s="27" t="str">
        <x:f>IF(E205="Interest Rate",G205&amp;IF(OR(LOWER(AC205)="basis",LOWER(AC205)="volatility"),"_"&amp;AC205,""),IF(E205="FX",IF(H205&lt;I205,H205&amp;"/"&amp;I205,I205&amp;"/"&amp;H205)&amp;IF(OR(LOWER(AC205)="basis",LOWER(AC205)="volatility"),"_"&amp;AC205,""),IF(OR(E205="Credit",E205="Equity"),J205&amp;IF(OR(LOWER(AC205)="basis",LOWER(AC205)="volatility"),"_"&amp;AC205,""),IF(E205="Commodity",AG205&amp;IF(OR(LOWER(AC205)="basis",LOWER(AC205)="volatility"),"_"&amp;AC205,""),"UNKNOWN"))))</x:f>
        <x:v>Metals</x:v>
      </x:c>
      <x:c r="AJ205" s="27" t="str">
        <x:f>T205</x:f>
        <x:v>M</x:v>
      </x:c>
      <x:c r="AK205" s="41" t="n">
        <x:f>IF(E205="Interest Rate",VLOOKUP("Interest Rate",Parameters!$D$4:$E$12,2,FALSE),IF(E205="FX",VLOOKUP("FX",Parameters!$D$4:$E$12,2,FALSE),IF(E205="Credit",IFERROR(VLOOKUP(L205,Parameters!$G$4:$H$12,2,FALSE),VLOOKUP("BBB",Parameters!$G$4:$H$12,2,FALSE)),IF(E205="Equity",VLOOKUP(IF(LOWER(K205)="index","Equity Index","Equity Single Name"),Parameters!$D$4:$E$12,2,FALSE),IF(E205="Commodity",VLOOKUP(IFERROR(VLOOKUP(F205,Parameters!$S$4:$T$12,2,FALSE),"Commodity Other"),Parameters!$D$4:$E$12,2,FALSE),0)))))</x:f>
        <x:v>0.18</x:v>
      </x:c>
      <x:c r="AL205" s="42" t="n">
        <x:f>IF(LOWER(AC205)="basis",Parameters!$B$8,IF(LOWER(AC205)="volatility",Parameters!$B$9,1))</x:f>
        <x:v>1</x:v>
      </x:c>
      <x:c r="AM205" s="41" t="n">
        <x:f>AK205*AL205</x:f>
        <x:v>0.18</x:v>
      </x:c>
      <x:c r="AN205" s="42" t="n">
        <x:f>IF(E205="Credit",VLOOKUP(IF(LOWER(K205)="index","Credit Index","Credit Single Name"),Parameters!$J$4:$K$8,2,FALSE),IF(E205="Equity",VLOOKUP(IF(LOWER(K205)="index","Equity Index","Equity Single Name"),Parameters!$J$4:$K$8,2,FALSE),IF(E205="Commodity",VLOOKUP("Commodity",Parameters!$J$4:$K$8,2,FALSE),"")))</x:f>
        <x:v>0.4</x:v>
      </x:c>
      <x:c r="AO205" s="27" t="n">
        <x:f>MAX((O205-M205)/365,0)</x:f>
        <x:v>0</x:v>
      </x:c>
      <x:c r="AP205" s="27" t="n">
        <x:f>MAX((P205-M205)/365,10/Parameters!$B$6)</x:f>
        <x:v>1.7123287671232876</x:v>
      </x:c>
      <x:c r="AQ205" s="27" t="n">
        <x:f>IF(AP205&lt;=AO205,AO205+10/Parameters!$B$6,AP205)</x:f>
        <x:v>1.7123287671232876</x:v>
      </x:c>
      <x:c r="AR205" s="41" t="n">
        <x:f>IF(OR(E205="Interest Rate",E205="Credit"),(EXP(-Parameters!$B$7*AO205)-EXP(-Parameters!$B$7*AQ205))/Parameters!$B$7,1)</x:f>
        <x:v>1</x:v>
      </x:c>
      <x:c r="AS205" s="40" t="n">
        <x:f>IF(OR(E205="Interest Rate",E205="Credit"),ABS(Q205)*AR205,IF(E205="FX",IF(Q205&gt;0,Q205,MAX(ABS(R205),ABS(S205),ABS(Q205))),ABS(Q205)))</x:f>
        <x:v>5100000</x:v>
      </x:c>
      <x:c r="AT205" s="42" t="n">
        <x:f>IF(OR(E205="Interest Rate",E205="FX"),VLOOKUP(E205,Parameters!$M$4:$N$11,2,FALSE),IF(E205="Credit",VLOOKUP(IF(LOWER(K205)="index","Credit Index","Credit Single Name"),Parameters!$M$4:$N$11,2,FALSE),IF(E205="Equity",VLOOKUP(IF(LOWER(K205)="index","Equity Index","Equity Single Name"),Parameters!$M$4:$N$11,2,FALSE),IF(E205="Commodity",VLOOKUP(IF(F205="Electricity","Commodity Electricity","Commodity Other"),Parameters!$M$4:$N$11,2,FALSE),1))))</x:f>
        <x:v>0.7</x:v>
      </x:c>
      <x:c r="AU205" s="27" t="n">
        <x:f>IF(W205="B",1,-1)</x:f>
        <x:v>-1</x:v>
      </x:c>
      <x:c r="AV205" s="27" t="n">
        <x:f>IF(OR(AA205="",M205=""),MAX(AE205,1/365),MAX((AA205-M205)/365,1/365))</x:f>
        <x:v>1.7123287671232876</x:v>
      </x:c>
      <x:c r="AW205" s="41" t="str">
        <x:f>IF(OR(Z205&lt;=0,Y205&lt;=0,AT205&lt;=0,AV205&lt;=0),"",(LN(Z205/Y205)+0.5*AT205^2*AV205)/(AT205*SQRT(AV205)))</x:f>
      </x:c>
      <x:c r="AX205" s="41" t="n">
        <x:f>IF(AND(X205&lt;&gt;"C",X205&lt;&gt;"P"),AU205,IF(AW205="",AU205,IF(X205="C",AU205*0.5*(1+ERF(AW205/SQRT(2))),-AU205*0.5*(1+ERF(-AW205/SQRT(2))))))</x:f>
        <x:v>-1</x:v>
      </x:c>
      <x:c r="AY205" s="41" t="n">
        <x:f>IF(AJ205="M",1.5*SQRT(MAX(IF(U205="Y",5,10),IF(V205="",10,V205))/Parameters!$B$6),SQRT(MIN(MAX(AE205,10/Parameters!$B$6),1)))</x:f>
        <x:v>0.30000000000000004</x:v>
      </x:c>
      <x:c r="AZ205" s="40" t="n">
        <x:f>AS205*AX205*AY205</x:f>
        <x:v>-1530000.0000000002</x:v>
      </x:c>
      <x:c r="BA205" s="40" t="n">
        <x:f>'Python_Trade_Output'!AZ205</x:f>
        <x:v>-1530000.0000000002</x:v>
      </x:c>
      <x:c r="BB205" s="43" t="n">
        <x:f>AZ205-BA205</x:f>
        <x:v>0</x:v>
      </x:c>
    </x:row>
    <x:row r="206">
      <x:c r="A206" s="27" t="str">
        <x:f>'Inputs_Trades'!D206</x:f>
        <x:v>IND-000203</x:v>
      </x:c>
      <x:c r="B206" s="27" t="str">
        <x:f>'Inputs_Trades'!B206</x:f>
        <x:v>IND_INSURER_001</x:v>
      </x:c>
      <x:c r="C206" s="27" t="n">
        <x:f>'Inputs_Trades'!C206</x:f>
        <x:v>3257</x:v>
      </x:c>
      <x:c r="D206" s="27" t="str">
        <x:f>'Inputs_Trades'!E206</x:f>
        <x:v>Precious Metal Swap</x:v>
      </x:c>
      <x:c r="E206" s="27" t="str">
        <x:f>'Inputs_Trades'!F206</x:f>
        <x:v>Commodity</x:v>
      </x:c>
      <x:c r="F206" s="27" t="str">
        <x:f>'Inputs_Trades'!G206</x:f>
        <x:v>Gold</x:v>
      </x:c>
      <x:c r="G206" s="27" t="str">
        <x:f>'Inputs_Trades'!J206</x:f>
        <x:v>CNY</x:v>
      </x:c>
      <x:c r="H206" s="27" t="str">
        <x:f>'Inputs_Trades'!H206</x:f>
        <x:v>XAU</x:v>
      </x:c>
      <x:c r="I206" s="27" t="str">
        <x:f>'Inputs_Trades'!I206</x:f>
        <x:v>CNY</x:v>
      </x:c>
      <x:c r="J206" s="27" t="str">
        <x:f>'Inputs_Trades'!M206</x:f>
        <x:v>XAU/CNY</x:v>
      </x:c>
      <x:c r="K206" s="27" t="n">
        <x:f>'Inputs_Trades'!N206</x:f>
        <x:v>0</x:v>
      </x:c>
      <x:c r="L206" s="27" t="n">
        <x:f>'Inputs_Trades'!O206</x:f>
        <x:v>0</x:v>
      </x:c>
      <x:c r="M206" s="39" t="n">
        <x:f>'Inputs_Trades'!A206</x:f>
        <x:v>45702</x:v>
      </x:c>
      <x:c r="N206" s="39" t="n">
        <x:f>'Inputs_Trades'!P206</x:f>
        <x:v>46035</x:v>
      </x:c>
      <x:c r="O206" s="39" t="n">
        <x:f>'Inputs_Trades'!Q206</x:f>
        <x:v>45200</x:v>
      </x:c>
      <x:c r="P206" s="39" t="n">
        <x:f>'Inputs_Trades'!R206</x:f>
        <x:v>46035</x:v>
      </x:c>
      <x:c r="Q206" s="40" t="n">
        <x:f>'Inputs_Trades'!U206</x:f>
        <x:v>70000000</x:v>
      </x:c>
      <x:c r="R206" s="40" t="n">
        <x:f>'Inputs_Trades'!S206</x:f>
        <x:v>35000</x:v>
      </x:c>
      <x:c r="S206" s="40" t="n">
        <x:f>'Inputs_Trades'!T206</x:f>
        <x:v>500000000</x:v>
      </x:c>
      <x:c r="T206" s="27" t="str">
        <x:f>'Inputs_Trades'!V206</x:f>
        <x:v>M</x:v>
      </x:c>
      <x:c r="U206" s="27" t="str">
        <x:f>'Inputs_Trades'!W206</x:f>
        <x:v>N</x:v>
      </x:c>
      <x:c r="V206" s="27" t="n">
        <x:f>'Inputs_Trades'!X206</x:f>
        <x:v>10</x:v>
      </x:c>
      <x:c r="W206" s="27" t="str">
        <x:f>'Inputs_Trades'!Y206</x:f>
        <x:v>B</x:v>
      </x:c>
      <x:c r="X206" s="27" t="n">
        <x:f>'Inputs_Trades'!AA206</x:f>
        <x:v>0</x:v>
      </x:c>
      <x:c r="Y206" s="27" t="n">
        <x:f>'Inputs_Trades'!AB206</x:f>
        <x:v>0</x:v>
      </x:c>
      <x:c r="Z206" s="27" t="n">
        <x:f>'Inputs_Trades'!AC206</x:f>
        <x:v>0</x:v>
      </x:c>
      <x:c r="AA206" s="39" t="n">
        <x:f>'Inputs_Trades'!Z206</x:f>
        <x:v>0</x:v>
      </x:c>
      <x:c r="AB206" s="40" t="n">
        <x:f>'Inputs_Trades'!AD206</x:f>
        <x:v>1497300</x:v>
      </x:c>
      <x:c r="AC206" s="27" t="n">
        <x:f>'Inputs_Trades'!K206</x:f>
        <x:v>0</x:v>
      </x:c>
      <x:c r="AD206" s="27" t="n">
        <x:f>N206-M206</x:f>
        <x:v>333</x:v>
      </x:c>
      <x:c r="AE206" s="41" t="n">
        <x:f>AD206/365</x:f>
        <x:v>0.9123287671232877</x:v>
      </x:c>
      <x:c r="AF206" s="27" t="str">
        <x:f>IF(AE206&lt;1,"&lt;1Y",IF(AE206&lt;=5,"1Y-5Y","&gt;5Y"))</x:f>
        <x:v>&lt;1Y</x:v>
      </x:c>
      <x:c r="AG206" s="27" t="str">
        <x:f>IF(E206="Commodity",IFERROR(VLOOKUP(F206,Parameters!$P$4:$Q$12,2,FALSE),"Other"),"")</x:f>
        <x:v>Metals</x:v>
      </x:c>
      <x:c r="AH206" s="27" t="str">
        <x:f>IF(F206="","Unknown",F206)</x:f>
        <x:v>Gold</x:v>
      </x:c>
      <x:c r="AI206" s="27" t="str">
        <x:f>IF(E206="Interest Rate",G206&amp;IF(OR(LOWER(AC206)="basis",LOWER(AC206)="volatility"),"_"&amp;AC206,""),IF(E206="FX",IF(H206&lt;I206,H206&amp;"/"&amp;I206,I206&amp;"/"&amp;H206)&amp;IF(OR(LOWER(AC206)="basis",LOWER(AC206)="volatility"),"_"&amp;AC206,""),IF(OR(E206="Credit",E206="Equity"),J206&amp;IF(OR(LOWER(AC206)="basis",LOWER(AC206)="volatility"),"_"&amp;AC206,""),IF(E206="Commodity",AG206&amp;IF(OR(LOWER(AC206)="basis",LOWER(AC206)="volatility"),"_"&amp;AC206,""),"UNKNOWN"))))</x:f>
        <x:v>Metals</x:v>
      </x:c>
      <x:c r="AJ206" s="27" t="str">
        <x:f>T206</x:f>
        <x:v>M</x:v>
      </x:c>
      <x:c r="AK206" s="41" t="n">
        <x:f>IF(E206="Interest Rate",VLOOKUP("Interest Rate",Parameters!$D$4:$E$12,2,FALSE),IF(E206="FX",VLOOKUP("FX",Parameters!$D$4:$E$12,2,FALSE),IF(E206="Credit",IFERROR(VLOOKUP(L206,Parameters!$G$4:$H$12,2,FALSE),VLOOKUP("BBB",Parameters!$G$4:$H$12,2,FALSE)),IF(E206="Equity",VLOOKUP(IF(LOWER(K206)="index","Equity Index","Equity Single Name"),Parameters!$D$4:$E$12,2,FALSE),IF(E206="Commodity",VLOOKUP(IFERROR(VLOOKUP(F206,Parameters!$S$4:$T$12,2,FALSE),"Commodity Other"),Parameters!$D$4:$E$12,2,FALSE),0)))))</x:f>
        <x:v>0.18</x:v>
      </x:c>
      <x:c r="AL206" s="42" t="n">
        <x:f>IF(LOWER(AC206)="basis",Parameters!$B$8,IF(LOWER(AC206)="volatility",Parameters!$B$9,1))</x:f>
        <x:v>1</x:v>
      </x:c>
      <x:c r="AM206" s="41" t="n">
        <x:f>AK206*AL206</x:f>
        <x:v>0.18</x:v>
      </x:c>
      <x:c r="AN206" s="42" t="n">
        <x:f>IF(E206="Credit",VLOOKUP(IF(LOWER(K206)="index","Credit Index","Credit Single Name"),Parameters!$J$4:$K$8,2,FALSE),IF(E206="Equity",VLOOKUP(IF(LOWER(K206)="index","Equity Index","Equity Single Name"),Parameters!$J$4:$K$8,2,FALSE),IF(E206="Commodity",VLOOKUP("Commodity",Parameters!$J$4:$K$8,2,FALSE),"")))</x:f>
        <x:v>0.4</x:v>
      </x:c>
      <x:c r="AO206" s="27" t="n">
        <x:f>MAX((O206-M206)/365,0)</x:f>
        <x:v>0</x:v>
      </x:c>
      <x:c r="AP206" s="27" t="n">
        <x:f>MAX((P206-M206)/365,10/Parameters!$B$6)</x:f>
        <x:v>0.9123287671232877</x:v>
      </x:c>
      <x:c r="AQ206" s="27" t="n">
        <x:f>IF(AP206&lt;=AO206,AO206+10/Parameters!$B$6,AP206)</x:f>
        <x:v>0.9123287671232877</x:v>
      </x:c>
      <x:c r="AR206" s="41" t="n">
        <x:f>IF(OR(E206="Interest Rate",E206="Credit"),(EXP(-Parameters!$B$7*AO206)-EXP(-Parameters!$B$7*AQ206))/Parameters!$B$7,1)</x:f>
        <x:v>1</x:v>
      </x:c>
      <x:c r="AS206" s="40" t="n">
        <x:f>IF(OR(E206="Interest Rate",E206="Credit"),ABS(Q206)*AR206,IF(E206="FX",IF(Q206&gt;0,Q206,MAX(ABS(R206),ABS(S206),ABS(Q206))),ABS(Q206)))</x:f>
        <x:v>70000000</x:v>
      </x:c>
      <x:c r="AT206" s="42" t="n">
        <x:f>IF(OR(E206="Interest Rate",E206="FX"),VLOOKUP(E206,Parameters!$M$4:$N$11,2,FALSE),IF(E206="Credit",VLOOKUP(IF(LOWER(K206)="index","Credit Index","Credit Single Name"),Parameters!$M$4:$N$11,2,FALSE),IF(E206="Equity",VLOOKUP(IF(LOWER(K206)="index","Equity Index","Equity Single Name"),Parameters!$M$4:$N$11,2,FALSE),IF(E206="Commodity",VLOOKUP(IF(F206="Electricity","Commodity Electricity","Commodity Other"),Parameters!$M$4:$N$11,2,FALSE),1))))</x:f>
        <x:v>0.7</x:v>
      </x:c>
      <x:c r="AU206" s="27" t="n">
        <x:f>IF(W206="B",1,-1)</x:f>
        <x:v>1</x:v>
      </x:c>
      <x:c r="AV206" s="27" t="n">
        <x:f>IF(OR(AA206="",M206=""),MAX(AE206,1/365),MAX((AA206-M206)/365,1/365))</x:f>
        <x:v>0.9123287671232877</x:v>
      </x:c>
      <x:c r="AW206" s="41" t="str">
        <x:f>IF(OR(Z206&lt;=0,Y206&lt;=0,AT206&lt;=0,AV206&lt;=0),"",(LN(Z206/Y206)+0.5*AT206^2*AV206)/(AT206*SQRT(AV206)))</x:f>
      </x:c>
      <x:c r="AX206" s="41" t="n">
        <x:f>IF(AND(X206&lt;&gt;"C",X206&lt;&gt;"P"),AU206,IF(AW206="",AU206,IF(X206="C",AU206*0.5*(1+ERF(AW206/SQRT(2))),-AU206*0.5*(1+ERF(-AW206/SQRT(2))))))</x:f>
        <x:v>1</x:v>
      </x:c>
      <x:c r="AY206" s="41" t="n">
        <x:f>IF(AJ206="M",1.5*SQRT(MAX(IF(U206="Y",5,10),IF(V206="",10,V206))/Parameters!$B$6),SQRT(MIN(MAX(AE206,10/Parameters!$B$6),1)))</x:f>
        <x:v>0.30000000000000004</x:v>
      </x:c>
      <x:c r="AZ206" s="40" t="n">
        <x:f>AS206*AX206*AY206</x:f>
        <x:v>21000000.000000004</x:v>
      </x:c>
      <x:c r="BA206" s="40" t="n">
        <x:f>'Python_Trade_Output'!AZ206</x:f>
        <x:v>21000000.000000004</x:v>
      </x:c>
      <x:c r="BB206" s="43" t="n">
        <x:f>AZ206-BA206</x:f>
        <x:v>0</x:v>
      </x:c>
    </x:row>
    <x:row r="207">
      <x:c r="A207" s="27" t="str">
        <x:f>'Inputs_Trades'!D207</x:f>
        <x:v>IND-000204</x:v>
      </x:c>
      <x:c r="B207" s="27" t="str">
        <x:f>'Inputs_Trades'!B207</x:f>
        <x:v>IND_BANK_001</x:v>
      </x:c>
      <x:c r="C207" s="27" t="n">
        <x:f>'Inputs_Trades'!C207</x:f>
        <x:v>3172</x:v>
      </x:c>
      <x:c r="D207" s="27" t="str">
        <x:f>'Inputs_Trades'!E207</x:f>
        <x:v>Precious Metal Swap</x:v>
      </x:c>
      <x:c r="E207" s="27" t="str">
        <x:f>'Inputs_Trades'!F207</x:f>
        <x:v>Commodity</x:v>
      </x:c>
      <x:c r="F207" s="27" t="str">
        <x:f>'Inputs_Trades'!G207</x:f>
        <x:v>Gold</x:v>
      </x:c>
      <x:c r="G207" s="27" t="str">
        <x:f>'Inputs_Trades'!J207</x:f>
        <x:v>USD</x:v>
      </x:c>
      <x:c r="H207" s="27" t="str">
        <x:f>'Inputs_Trades'!H207</x:f>
        <x:v>XAU</x:v>
      </x:c>
      <x:c r="I207" s="27" t="str">
        <x:f>'Inputs_Trades'!I207</x:f>
        <x:v>USD</x:v>
      </x:c>
      <x:c r="J207" s="27" t="str">
        <x:f>'Inputs_Trades'!M207</x:f>
        <x:v>XAU/USD</x:v>
      </x:c>
      <x:c r="K207" s="27" t="n">
        <x:f>'Inputs_Trades'!N207</x:f>
        <x:v>0</x:v>
      </x:c>
      <x:c r="L207" s="27" t="n">
        <x:f>'Inputs_Trades'!O207</x:f>
        <x:v>0</x:v>
      </x:c>
      <x:c r="M207" s="39" t="n">
        <x:f>'Inputs_Trades'!A207</x:f>
        <x:v>45702</x:v>
      </x:c>
      <x:c r="N207" s="39" t="n">
        <x:f>'Inputs_Trades'!P207</x:f>
        <x:v>45999</x:v>
      </x:c>
      <x:c r="O207" s="39" t="n">
        <x:f>'Inputs_Trades'!Q207</x:f>
        <x:v>44899</x:v>
      </x:c>
      <x:c r="P207" s="39" t="n">
        <x:f>'Inputs_Trades'!R207</x:f>
        <x:v>45999</x:v>
      </x:c>
      <x:c r="Q207" s="40" t="n">
        <x:f>'Inputs_Trades'!U207</x:f>
        <x:v>5800000</x:v>
      </x:c>
      <x:c r="R207" s="40" t="n">
        <x:f>'Inputs_Trades'!S207</x:f>
        <x:v>2900</x:v>
      </x:c>
      <x:c r="S207" s="40" t="n">
        <x:f>'Inputs_Trades'!T207</x:f>
        <x:v>5800000</x:v>
      </x:c>
      <x:c r="T207" s="27" t="str">
        <x:f>'Inputs_Trades'!V207</x:f>
        <x:v>M</x:v>
      </x:c>
      <x:c r="U207" s="27" t="str">
        <x:f>'Inputs_Trades'!W207</x:f>
        <x:v>N</x:v>
      </x:c>
      <x:c r="V207" s="27" t="n">
        <x:f>'Inputs_Trades'!X207</x:f>
        <x:v>10</x:v>
      </x:c>
      <x:c r="W207" s="27" t="str">
        <x:f>'Inputs_Trades'!Y207</x:f>
        <x:v>S</x:v>
      </x:c>
      <x:c r="X207" s="27" t="n">
        <x:f>'Inputs_Trades'!AA207</x:f>
        <x:v>0</x:v>
      </x:c>
      <x:c r="Y207" s="27" t="n">
        <x:f>'Inputs_Trades'!AB207</x:f>
        <x:v>0</x:v>
      </x:c>
      <x:c r="Z207" s="27" t="n">
        <x:f>'Inputs_Trades'!AC207</x:f>
        <x:v>0</x:v>
      </x:c>
      <x:c r="AA207" s="39" t="n">
        <x:f>'Inputs_Trades'!Z207</x:f>
        <x:v>0</x:v>
      </x:c>
      <x:c r="AB207" s="40" t="n">
        <x:f>'Inputs_Trades'!AD207</x:f>
        <x:v>-91350</x:v>
      </x:c>
      <x:c r="AC207" s="27" t="n">
        <x:f>'Inputs_Trades'!K207</x:f>
        <x:v>0</x:v>
      </x:c>
      <x:c r="AD207" s="27" t="n">
        <x:f>N207-M207</x:f>
        <x:v>297</x:v>
      </x:c>
      <x:c r="AE207" s="41" t="n">
        <x:f>AD207/365</x:f>
        <x:v>0.8136986301369863</x:v>
      </x:c>
      <x:c r="AF207" s="27" t="str">
        <x:f>IF(AE207&lt;1,"&lt;1Y",IF(AE207&lt;=5,"1Y-5Y","&gt;5Y"))</x:f>
        <x:v>&lt;1Y</x:v>
      </x:c>
      <x:c r="AG207" s="27" t="str">
        <x:f>IF(E207="Commodity",IFERROR(VLOOKUP(F207,Parameters!$P$4:$Q$12,2,FALSE),"Other"),"")</x:f>
        <x:v>Metals</x:v>
      </x:c>
      <x:c r="AH207" s="27" t="str">
        <x:f>IF(F207="","Unknown",F207)</x:f>
        <x:v>Gold</x:v>
      </x:c>
      <x:c r="AI207" s="27" t="str">
        <x:f>IF(E207="Interest Rate",G207&amp;IF(OR(LOWER(AC207)="basis",LOWER(AC207)="volatility"),"_"&amp;AC207,""),IF(E207="FX",IF(H207&lt;I207,H207&amp;"/"&amp;I207,I207&amp;"/"&amp;H207)&amp;IF(OR(LOWER(AC207)="basis",LOWER(AC207)="volatility"),"_"&amp;AC207,""),IF(OR(E207="Credit",E207="Equity"),J207&amp;IF(OR(LOWER(AC207)="basis",LOWER(AC207)="volatility"),"_"&amp;AC207,""),IF(E207="Commodity",AG207&amp;IF(OR(LOWER(AC207)="basis",LOWER(AC207)="volatility"),"_"&amp;AC207,""),"UNKNOWN"))))</x:f>
        <x:v>Metals</x:v>
      </x:c>
      <x:c r="AJ207" s="27" t="str">
        <x:f>T207</x:f>
        <x:v>M</x:v>
      </x:c>
      <x:c r="AK207" s="41" t="n">
        <x:f>IF(E207="Interest Rate",VLOOKUP("Interest Rate",Parameters!$D$4:$E$12,2,FALSE),IF(E207="FX",VLOOKUP("FX",Parameters!$D$4:$E$12,2,FALSE),IF(E207="Credit",IFERROR(VLOOKUP(L207,Parameters!$G$4:$H$12,2,FALSE),VLOOKUP("BBB",Parameters!$G$4:$H$12,2,FALSE)),IF(E207="Equity",VLOOKUP(IF(LOWER(K207)="index","Equity Index","Equity Single Name"),Parameters!$D$4:$E$12,2,FALSE),IF(E207="Commodity",VLOOKUP(IFERROR(VLOOKUP(F207,Parameters!$S$4:$T$12,2,FALSE),"Commodity Other"),Parameters!$D$4:$E$12,2,FALSE),0)))))</x:f>
        <x:v>0.18</x:v>
      </x:c>
      <x:c r="AL207" s="42" t="n">
        <x:f>IF(LOWER(AC207)="basis",Parameters!$B$8,IF(LOWER(AC207)="volatility",Parameters!$B$9,1))</x:f>
        <x:v>1</x:v>
      </x:c>
      <x:c r="AM207" s="41" t="n">
        <x:f>AK207*AL207</x:f>
        <x:v>0.18</x:v>
      </x:c>
      <x:c r="AN207" s="42" t="n">
        <x:f>IF(E207="Credit",VLOOKUP(IF(LOWER(K207)="index","Credit Index","Credit Single Name"),Parameters!$J$4:$K$8,2,FALSE),IF(E207="Equity",VLOOKUP(IF(LOWER(K207)="index","Equity Index","Equity Single Name"),Parameters!$J$4:$K$8,2,FALSE),IF(E207="Commodity",VLOOKUP("Commodity",Parameters!$J$4:$K$8,2,FALSE),"")))</x:f>
        <x:v>0.4</x:v>
      </x:c>
      <x:c r="AO207" s="27" t="n">
        <x:f>MAX((O207-M207)/365,0)</x:f>
        <x:v>0</x:v>
      </x:c>
      <x:c r="AP207" s="27" t="n">
        <x:f>MAX((P207-M207)/365,10/Parameters!$B$6)</x:f>
        <x:v>0.8136986301369863</x:v>
      </x:c>
      <x:c r="AQ207" s="27" t="n">
        <x:f>IF(AP207&lt;=AO207,AO207+10/Parameters!$B$6,AP207)</x:f>
        <x:v>0.8136986301369863</x:v>
      </x:c>
      <x:c r="AR207" s="41" t="n">
        <x:f>IF(OR(E207="Interest Rate",E207="Credit"),(EXP(-Parameters!$B$7*AO207)-EXP(-Parameters!$B$7*AQ207))/Parameters!$B$7,1)</x:f>
        <x:v>1</x:v>
      </x:c>
      <x:c r="AS207" s="40" t="n">
        <x:f>IF(OR(E207="Interest Rate",E207="Credit"),ABS(Q207)*AR207,IF(E207="FX",IF(Q207&gt;0,Q207,MAX(ABS(R207),ABS(S207),ABS(Q207))),ABS(Q207)))</x:f>
        <x:v>5800000</x:v>
      </x:c>
      <x:c r="AT207" s="42" t="n">
        <x:f>IF(OR(E207="Interest Rate",E207="FX"),VLOOKUP(E207,Parameters!$M$4:$N$11,2,FALSE),IF(E207="Credit",VLOOKUP(IF(LOWER(K207)="index","Credit Index","Credit Single Name"),Parameters!$M$4:$N$11,2,FALSE),IF(E207="Equity",VLOOKUP(IF(LOWER(K207)="index","Equity Index","Equity Single Name"),Parameters!$M$4:$N$11,2,FALSE),IF(E207="Commodity",VLOOKUP(IF(F207="Electricity","Commodity Electricity","Commodity Other"),Parameters!$M$4:$N$11,2,FALSE),1))))</x:f>
        <x:v>0.7</x:v>
      </x:c>
      <x:c r="AU207" s="27" t="n">
        <x:f>IF(W207="B",1,-1)</x:f>
        <x:v>-1</x:v>
      </x:c>
      <x:c r="AV207" s="27" t="n">
        <x:f>IF(OR(AA207="",M207=""),MAX(AE207,1/365),MAX((AA207-M207)/365,1/365))</x:f>
        <x:v>0.8136986301369863</x:v>
      </x:c>
      <x:c r="AW207" s="41" t="str">
        <x:f>IF(OR(Z207&lt;=0,Y207&lt;=0,AT207&lt;=0,AV207&lt;=0),"",(LN(Z207/Y207)+0.5*AT207^2*AV207)/(AT207*SQRT(AV207)))</x:f>
      </x:c>
      <x:c r="AX207" s="41" t="n">
        <x:f>IF(AND(X207&lt;&gt;"C",X207&lt;&gt;"P"),AU207,IF(AW207="",AU207,IF(X207="C",AU207*0.5*(1+ERF(AW207/SQRT(2))),-AU207*0.5*(1+ERF(-AW207/SQRT(2))))))</x:f>
        <x:v>-1</x:v>
      </x:c>
      <x:c r="AY207" s="41" t="n">
        <x:f>IF(AJ207="M",1.5*SQRT(MAX(IF(U207="Y",5,10),IF(V207="",10,V207))/Parameters!$B$6),SQRT(MIN(MAX(AE207,10/Parameters!$B$6),1)))</x:f>
        <x:v>0.30000000000000004</x:v>
      </x:c>
      <x:c r="AZ207" s="40" t="n">
        <x:f>AS207*AX207*AY207</x:f>
        <x:v>-1740000.0000000002</x:v>
      </x:c>
      <x:c r="BA207" s="40" t="n">
        <x:f>'Python_Trade_Output'!AZ207</x:f>
        <x:v>-1740000.0000000002</x:v>
      </x:c>
      <x:c r="BB207" s="43" t="n">
        <x:f>AZ207-BA207</x:f>
        <x:v>0</x:v>
      </x:c>
    </x:row>
    <x:row r="208">
      <x:c r="A208" s="27" t="str">
        <x:f>'Inputs_Trades'!D208</x:f>
        <x:v>IND-000205</x:v>
      </x:c>
      <x:c r="B208" s="27" t="str">
        <x:f>'Inputs_Trades'!B208</x:f>
        <x:v>IND_REGIONAL_BANK_001</x:v>
      </x:c>
      <x:c r="C208" s="27" t="n">
        <x:f>'Inputs_Trades'!C208</x:f>
        <x:v>3082</x:v>
      </x:c>
      <x:c r="D208" s="27" t="str">
        <x:f>'Inputs_Trades'!E208</x:f>
        <x:v>Precious Metal Swap</x:v>
      </x:c>
      <x:c r="E208" s="27" t="str">
        <x:f>'Inputs_Trades'!F208</x:f>
        <x:v>Commodity</x:v>
      </x:c>
      <x:c r="F208" s="27" t="str">
        <x:f>'Inputs_Trades'!G208</x:f>
        <x:v>Gold</x:v>
      </x:c>
      <x:c r="G208" s="27" t="str">
        <x:f>'Inputs_Trades'!J208</x:f>
        <x:v>CNY</x:v>
      </x:c>
      <x:c r="H208" s="27" t="str">
        <x:f>'Inputs_Trades'!H208</x:f>
        <x:v>XAU</x:v>
      </x:c>
      <x:c r="I208" s="27" t="str">
        <x:f>'Inputs_Trades'!I208</x:f>
        <x:v>CNY</x:v>
      </x:c>
      <x:c r="J208" s="27" t="str">
        <x:f>'Inputs_Trades'!M208</x:f>
        <x:v>XAU/CNY</x:v>
      </x:c>
      <x:c r="K208" s="27" t="n">
        <x:f>'Inputs_Trades'!N208</x:f>
        <x:v>0</x:v>
      </x:c>
      <x:c r="L208" s="27" t="n">
        <x:f>'Inputs_Trades'!O208</x:f>
        <x:v>0</x:v>
      </x:c>
      <x:c r="M208" s="39" t="n">
        <x:f>'Inputs_Trades'!A208</x:f>
        <x:v>45702</x:v>
      </x:c>
      <x:c r="N208" s="39" t="n">
        <x:f>'Inputs_Trades'!P208</x:f>
        <x:v>47351</x:v>
      </x:c>
      <x:c r="O208" s="39" t="n">
        <x:f>'Inputs_Trades'!Q208</x:f>
        <x:v>45650</x:v>
      </x:c>
      <x:c r="P208" s="39" t="n">
        <x:f>'Inputs_Trades'!R208</x:f>
        <x:v>47351</x:v>
      </x:c>
      <x:c r="Q208" s="40" t="n">
        <x:f>'Inputs_Trades'!U208</x:f>
        <x:v>86500000</x:v>
      </x:c>
      <x:c r="R208" s="40" t="n">
        <x:f>'Inputs_Trades'!S208</x:f>
        <x:v>43250</x:v>
      </x:c>
      <x:c r="S208" s="40" t="n">
        <x:f>'Inputs_Trades'!T208</x:f>
        <x:v>617857142.86</x:v>
      </x:c>
      <x:c r="T208" s="27" t="str">
        <x:f>'Inputs_Trades'!V208</x:f>
        <x:v>M</x:v>
      </x:c>
      <x:c r="U208" s="27" t="str">
        <x:f>'Inputs_Trades'!W208</x:f>
        <x:v>N</x:v>
      </x:c>
      <x:c r="V208" s="27" t="n">
        <x:f>'Inputs_Trades'!X208</x:f>
        <x:v>10</x:v>
      </x:c>
      <x:c r="W208" s="27" t="str">
        <x:f>'Inputs_Trades'!Y208</x:f>
        <x:v>S</x:v>
      </x:c>
      <x:c r="X208" s="27" t="n">
        <x:f>'Inputs_Trades'!AA208</x:f>
        <x:v>0</x:v>
      </x:c>
      <x:c r="Y208" s="27" t="n">
        <x:f>'Inputs_Trades'!AB208</x:f>
        <x:v>0</x:v>
      </x:c>
      <x:c r="Z208" s="27" t="n">
        <x:f>'Inputs_Trades'!AC208</x:f>
        <x:v>0</x:v>
      </x:c>
      <x:c r="AA208" s="39" t="n">
        <x:f>'Inputs_Trades'!Z208</x:f>
        <x:v>0</x:v>
      </x:c>
      <x:c r="AB208" s="40" t="n">
        <x:f>'Inputs_Trades'!AD208</x:f>
        <x:v>-1204080</x:v>
      </x:c>
      <x:c r="AC208" s="27" t="n">
        <x:f>'Inputs_Trades'!K208</x:f>
        <x:v>0</x:v>
      </x:c>
      <x:c r="AD208" s="27" t="n">
        <x:f>N208-M208</x:f>
        <x:v>1649</x:v>
      </x:c>
      <x:c r="AE208" s="41" t="n">
        <x:f>AD208/365</x:f>
        <x:v>4.517808219178082</x:v>
      </x:c>
      <x:c r="AF208" s="27" t="str">
        <x:f>IF(AE208&lt;1,"&lt;1Y",IF(AE208&lt;=5,"1Y-5Y","&gt;5Y"))</x:f>
        <x:v>1Y-5Y</x:v>
      </x:c>
      <x:c r="AG208" s="27" t="str">
        <x:f>IF(E208="Commodity",IFERROR(VLOOKUP(F208,Parameters!$P$4:$Q$12,2,FALSE),"Other"),"")</x:f>
        <x:v>Metals</x:v>
      </x:c>
      <x:c r="AH208" s="27" t="str">
        <x:f>IF(F208="","Unknown",F208)</x:f>
        <x:v>Gold</x:v>
      </x:c>
      <x:c r="AI208" s="27" t="str">
        <x:f>IF(E208="Interest Rate",G208&amp;IF(OR(LOWER(AC208)="basis",LOWER(AC208)="volatility"),"_"&amp;AC208,""),IF(E208="FX",IF(H208&lt;I208,H208&amp;"/"&amp;I208,I208&amp;"/"&amp;H208)&amp;IF(OR(LOWER(AC208)="basis",LOWER(AC208)="volatility"),"_"&amp;AC208,""),IF(OR(E208="Credit",E208="Equity"),J208&amp;IF(OR(LOWER(AC208)="basis",LOWER(AC208)="volatility"),"_"&amp;AC208,""),IF(E208="Commodity",AG208&amp;IF(OR(LOWER(AC208)="basis",LOWER(AC208)="volatility"),"_"&amp;AC208,""),"UNKNOWN"))))</x:f>
        <x:v>Metals</x:v>
      </x:c>
      <x:c r="AJ208" s="27" t="str">
        <x:f>T208</x:f>
        <x:v>M</x:v>
      </x:c>
      <x:c r="AK208" s="41" t="n">
        <x:f>IF(E208="Interest Rate",VLOOKUP("Interest Rate",Parameters!$D$4:$E$12,2,FALSE),IF(E208="FX",VLOOKUP("FX",Parameters!$D$4:$E$12,2,FALSE),IF(E208="Credit",IFERROR(VLOOKUP(L208,Parameters!$G$4:$H$12,2,FALSE),VLOOKUP("BBB",Parameters!$G$4:$H$12,2,FALSE)),IF(E208="Equity",VLOOKUP(IF(LOWER(K208)="index","Equity Index","Equity Single Name"),Parameters!$D$4:$E$12,2,FALSE),IF(E208="Commodity",VLOOKUP(IFERROR(VLOOKUP(F208,Parameters!$S$4:$T$12,2,FALSE),"Commodity Other"),Parameters!$D$4:$E$12,2,FALSE),0)))))</x:f>
        <x:v>0.18</x:v>
      </x:c>
      <x:c r="AL208" s="42" t="n">
        <x:f>IF(LOWER(AC208)="basis",Parameters!$B$8,IF(LOWER(AC208)="volatility",Parameters!$B$9,1))</x:f>
        <x:v>1</x:v>
      </x:c>
      <x:c r="AM208" s="41" t="n">
        <x:f>AK208*AL208</x:f>
        <x:v>0.18</x:v>
      </x:c>
      <x:c r="AN208" s="42" t="n">
        <x:f>IF(E208="Credit",VLOOKUP(IF(LOWER(K208)="index","Credit Index","Credit Single Name"),Parameters!$J$4:$K$8,2,FALSE),IF(E208="Equity",VLOOKUP(IF(LOWER(K208)="index","Equity Index","Equity Single Name"),Parameters!$J$4:$K$8,2,FALSE),IF(E208="Commodity",VLOOKUP("Commodity",Parameters!$J$4:$K$8,2,FALSE),"")))</x:f>
        <x:v>0.4</x:v>
      </x:c>
      <x:c r="AO208" s="27" t="n">
        <x:f>MAX((O208-M208)/365,0)</x:f>
        <x:v>0</x:v>
      </x:c>
      <x:c r="AP208" s="27" t="n">
        <x:f>MAX((P208-M208)/365,10/Parameters!$B$6)</x:f>
        <x:v>4.517808219178082</x:v>
      </x:c>
      <x:c r="AQ208" s="27" t="n">
        <x:f>IF(AP208&lt;=AO208,AO208+10/Parameters!$B$6,AP208)</x:f>
        <x:v>4.517808219178082</x:v>
      </x:c>
      <x:c r="AR208" s="41" t="n">
        <x:f>IF(OR(E208="Interest Rate",E208="Credit"),(EXP(-Parameters!$B$7*AO208)-EXP(-Parameters!$B$7*AQ208))/Parameters!$B$7,1)</x:f>
        <x:v>1</x:v>
      </x:c>
      <x:c r="AS208" s="40" t="n">
        <x:f>IF(OR(E208="Interest Rate",E208="Credit"),ABS(Q208)*AR208,IF(E208="FX",IF(Q208&gt;0,Q208,MAX(ABS(R208),ABS(S208),ABS(Q208))),ABS(Q208)))</x:f>
        <x:v>86500000</x:v>
      </x:c>
      <x:c r="AT208" s="42" t="n">
        <x:f>IF(OR(E208="Interest Rate",E208="FX"),VLOOKUP(E208,Parameters!$M$4:$N$11,2,FALSE),IF(E208="Credit",VLOOKUP(IF(LOWER(K208)="index","Credit Index","Credit Single Name"),Parameters!$M$4:$N$11,2,FALSE),IF(E208="Equity",VLOOKUP(IF(LOWER(K208)="index","Equity Index","Equity Single Name"),Parameters!$M$4:$N$11,2,FALSE),IF(E208="Commodity",VLOOKUP(IF(F208="Electricity","Commodity Electricity","Commodity Other"),Parameters!$M$4:$N$11,2,FALSE),1))))</x:f>
        <x:v>0.7</x:v>
      </x:c>
      <x:c r="AU208" s="27" t="n">
        <x:f>IF(W208="B",1,-1)</x:f>
        <x:v>-1</x:v>
      </x:c>
      <x:c r="AV208" s="27" t="n">
        <x:f>IF(OR(AA208="",M208=""),MAX(AE208,1/365),MAX((AA208-M208)/365,1/365))</x:f>
        <x:v>4.517808219178082</x:v>
      </x:c>
      <x:c r="AW208" s="41" t="str">
        <x:f>IF(OR(Z208&lt;=0,Y208&lt;=0,AT208&lt;=0,AV208&lt;=0),"",(LN(Z208/Y208)+0.5*AT208^2*AV208)/(AT208*SQRT(AV208)))</x:f>
      </x:c>
      <x:c r="AX208" s="41" t="n">
        <x:f>IF(AND(X208&lt;&gt;"C",X208&lt;&gt;"P"),AU208,IF(AW208="",AU208,IF(X208="C",AU208*0.5*(1+ERF(AW208/SQRT(2))),-AU208*0.5*(1+ERF(-AW208/SQRT(2))))))</x:f>
        <x:v>-1</x:v>
      </x:c>
      <x:c r="AY208" s="41" t="n">
        <x:f>IF(AJ208="M",1.5*SQRT(MAX(IF(U208="Y",5,10),IF(V208="",10,V208))/Parameters!$B$6),SQRT(MIN(MAX(AE208,10/Parameters!$B$6),1)))</x:f>
        <x:v>0.30000000000000004</x:v>
      </x:c>
      <x:c r="AZ208" s="40" t="n">
        <x:f>AS208*AX208*AY208</x:f>
        <x:v>-25950000.000000004</x:v>
      </x:c>
      <x:c r="BA208" s="40" t="n">
        <x:f>'Python_Trade_Output'!AZ208</x:f>
        <x:v>-25950000.000000004</x:v>
      </x:c>
      <x:c r="BB208" s="43" t="n">
        <x:f>AZ208-BA208</x:f>
        <x:v>0</x:v>
      </x:c>
    </x:row>
    <x:row r="209">
      <x:c r="A209" s="27" t="str">
        <x:f>'Inputs_Trades'!D209</x:f>
        <x:v>IND-000206</x:v>
      </x:c>
      <x:c r="B209" s="27" t="str">
        <x:f>'Inputs_Trades'!B209</x:f>
        <x:v>IND_CORPORATE_001</x:v>
      </x:c>
      <x:c r="C209" s="27" t="n">
        <x:f>'Inputs_Trades'!C209</x:f>
        <x:v>3100</x:v>
      </x:c>
      <x:c r="D209" s="27" t="str">
        <x:f>'Inputs_Trades'!E209</x:f>
        <x:v>Precious Metal Swap</x:v>
      </x:c>
      <x:c r="E209" s="27" t="str">
        <x:f>'Inputs_Trades'!F209</x:f>
        <x:v>Commodity</x:v>
      </x:c>
      <x:c r="F209" s="27" t="str">
        <x:f>'Inputs_Trades'!G209</x:f>
        <x:v>Gold</x:v>
      </x:c>
      <x:c r="G209" s="27" t="str">
        <x:f>'Inputs_Trades'!J209</x:f>
        <x:v>CNY</x:v>
      </x:c>
      <x:c r="H209" s="27" t="str">
        <x:f>'Inputs_Trades'!H209</x:f>
        <x:v>XAU</x:v>
      </x:c>
      <x:c r="I209" s="27" t="str">
        <x:f>'Inputs_Trades'!I209</x:f>
        <x:v>CNY</x:v>
      </x:c>
      <x:c r="J209" s="27" t="str">
        <x:f>'Inputs_Trades'!M209</x:f>
        <x:v>XAU/CNY</x:v>
      </x:c>
      <x:c r="K209" s="27" t="n">
        <x:f>'Inputs_Trades'!N209</x:f>
        <x:v>0</x:v>
      </x:c>
      <x:c r="L209" s="27" t="n">
        <x:f>'Inputs_Trades'!O209</x:f>
        <x:v>0</x:v>
      </x:c>
      <x:c r="M209" s="39" t="n">
        <x:f>'Inputs_Trades'!A209</x:f>
        <x:v>45702</x:v>
      </x:c>
      <x:c r="N209" s="39" t="n">
        <x:f>'Inputs_Trades'!P209</x:f>
        <x:v>47330</x:v>
      </x:c>
      <x:c r="O209" s="39" t="n">
        <x:f>'Inputs_Trades'!Q209</x:f>
        <x:v>45225</x:v>
      </x:c>
      <x:c r="P209" s="39" t="n">
        <x:f>'Inputs_Trades'!R209</x:f>
        <x:v>47330</x:v>
      </x:c>
      <x:c r="Q209" s="40" t="n">
        <x:f>'Inputs_Trades'!U209</x:f>
        <x:v>70500000</x:v>
      </x:c>
      <x:c r="R209" s="40" t="n">
        <x:f>'Inputs_Trades'!S209</x:f>
        <x:v>35250</x:v>
      </x:c>
      <x:c r="S209" s="40" t="n">
        <x:f>'Inputs_Trades'!T209</x:f>
        <x:v>503571428.57</x:v>
      </x:c>
      <x:c r="T209" s="27" t="str">
        <x:f>'Inputs_Trades'!V209</x:f>
        <x:v>M</x:v>
      </x:c>
      <x:c r="U209" s="27" t="str">
        <x:f>'Inputs_Trades'!W209</x:f>
        <x:v>N</x:v>
      </x:c>
      <x:c r="V209" s="27" t="n">
        <x:f>'Inputs_Trades'!X209</x:f>
        <x:v>10</x:v>
      </x:c>
      <x:c r="W209" s="27" t="str">
        <x:f>'Inputs_Trades'!Y209</x:f>
        <x:v>B</x:v>
      </x:c>
      <x:c r="X209" s="27" t="n">
        <x:f>'Inputs_Trades'!AA209</x:f>
        <x:v>0</x:v>
      </x:c>
      <x:c r="Y209" s="27" t="n">
        <x:f>'Inputs_Trades'!AB209</x:f>
        <x:v>0</x:v>
      </x:c>
      <x:c r="Z209" s="27" t="n">
        <x:f>'Inputs_Trades'!AC209</x:f>
        <x:v>0</x:v>
      </x:c>
      <x:c r="AA209" s="39" t="n">
        <x:f>'Inputs_Trades'!Z209</x:f>
        <x:v>0</x:v>
      </x:c>
      <x:c r="AB209" s="40" t="n">
        <x:f>'Inputs_Trades'!AD209</x:f>
        <x:v>738135</x:v>
      </x:c>
      <x:c r="AC209" s="27" t="n">
        <x:f>'Inputs_Trades'!K209</x:f>
        <x:v>0</x:v>
      </x:c>
      <x:c r="AD209" s="27" t="n">
        <x:f>N209-M209</x:f>
        <x:v>1628</x:v>
      </x:c>
      <x:c r="AE209" s="41" t="n">
        <x:f>AD209/365</x:f>
        <x:v>4.46027397260274</x:v>
      </x:c>
      <x:c r="AF209" s="27" t="str">
        <x:f>IF(AE209&lt;1,"&lt;1Y",IF(AE209&lt;=5,"1Y-5Y","&gt;5Y"))</x:f>
        <x:v>1Y-5Y</x:v>
      </x:c>
      <x:c r="AG209" s="27" t="str">
        <x:f>IF(E209="Commodity",IFERROR(VLOOKUP(F209,Parameters!$P$4:$Q$12,2,FALSE),"Other"),"")</x:f>
        <x:v>Metals</x:v>
      </x:c>
      <x:c r="AH209" s="27" t="str">
        <x:f>IF(F209="","Unknown",F209)</x:f>
        <x:v>Gold</x:v>
      </x:c>
      <x:c r="AI209" s="27" t="str">
        <x:f>IF(E209="Interest Rate",G209&amp;IF(OR(LOWER(AC209)="basis",LOWER(AC209)="volatility"),"_"&amp;AC209,""),IF(E209="FX",IF(H209&lt;I209,H209&amp;"/"&amp;I209,I209&amp;"/"&amp;H209)&amp;IF(OR(LOWER(AC209)="basis",LOWER(AC209)="volatility"),"_"&amp;AC209,""),IF(OR(E209="Credit",E209="Equity"),J209&amp;IF(OR(LOWER(AC209)="basis",LOWER(AC209)="volatility"),"_"&amp;AC209,""),IF(E209="Commodity",AG209&amp;IF(OR(LOWER(AC209)="basis",LOWER(AC209)="volatility"),"_"&amp;AC209,""),"UNKNOWN"))))</x:f>
        <x:v>Metals</x:v>
      </x:c>
      <x:c r="AJ209" s="27" t="str">
        <x:f>T209</x:f>
        <x:v>M</x:v>
      </x:c>
      <x:c r="AK209" s="41" t="n">
        <x:f>IF(E209="Interest Rate",VLOOKUP("Interest Rate",Parameters!$D$4:$E$12,2,FALSE),IF(E209="FX",VLOOKUP("FX",Parameters!$D$4:$E$12,2,FALSE),IF(E209="Credit",IFERROR(VLOOKUP(L209,Parameters!$G$4:$H$12,2,FALSE),VLOOKUP("BBB",Parameters!$G$4:$H$12,2,FALSE)),IF(E209="Equity",VLOOKUP(IF(LOWER(K209)="index","Equity Index","Equity Single Name"),Parameters!$D$4:$E$12,2,FALSE),IF(E209="Commodity",VLOOKUP(IFERROR(VLOOKUP(F209,Parameters!$S$4:$T$12,2,FALSE),"Commodity Other"),Parameters!$D$4:$E$12,2,FALSE),0)))))</x:f>
        <x:v>0.18</x:v>
      </x:c>
      <x:c r="AL209" s="42" t="n">
        <x:f>IF(LOWER(AC209)="basis",Parameters!$B$8,IF(LOWER(AC209)="volatility",Parameters!$B$9,1))</x:f>
        <x:v>1</x:v>
      </x:c>
      <x:c r="AM209" s="41" t="n">
        <x:f>AK209*AL209</x:f>
        <x:v>0.18</x:v>
      </x:c>
      <x:c r="AN209" s="42" t="n">
        <x:f>IF(E209="Credit",VLOOKUP(IF(LOWER(K209)="index","Credit Index","Credit Single Name"),Parameters!$J$4:$K$8,2,FALSE),IF(E209="Equity",VLOOKUP(IF(LOWER(K209)="index","Equity Index","Equity Single Name"),Parameters!$J$4:$K$8,2,FALSE),IF(E209="Commodity",VLOOKUP("Commodity",Parameters!$J$4:$K$8,2,FALSE),"")))</x:f>
        <x:v>0.4</x:v>
      </x:c>
      <x:c r="AO209" s="27" t="n">
        <x:f>MAX((O209-M209)/365,0)</x:f>
        <x:v>0</x:v>
      </x:c>
      <x:c r="AP209" s="27" t="n">
        <x:f>MAX((P209-M209)/365,10/Parameters!$B$6)</x:f>
        <x:v>4.46027397260274</x:v>
      </x:c>
      <x:c r="AQ209" s="27" t="n">
        <x:f>IF(AP209&lt;=AO209,AO209+10/Parameters!$B$6,AP209)</x:f>
        <x:v>4.46027397260274</x:v>
      </x:c>
      <x:c r="AR209" s="41" t="n">
        <x:f>IF(OR(E209="Interest Rate",E209="Credit"),(EXP(-Parameters!$B$7*AO209)-EXP(-Parameters!$B$7*AQ209))/Parameters!$B$7,1)</x:f>
        <x:v>1</x:v>
      </x:c>
      <x:c r="AS209" s="40" t="n">
        <x:f>IF(OR(E209="Interest Rate",E209="Credit"),ABS(Q209)*AR209,IF(E209="FX",IF(Q209&gt;0,Q209,MAX(ABS(R209),ABS(S209),ABS(Q209))),ABS(Q209)))</x:f>
        <x:v>70500000</x:v>
      </x:c>
      <x:c r="AT209" s="42" t="n">
        <x:f>IF(OR(E209="Interest Rate",E209="FX"),VLOOKUP(E209,Parameters!$M$4:$N$11,2,FALSE),IF(E209="Credit",VLOOKUP(IF(LOWER(K209)="index","Credit Index","Credit Single Name"),Parameters!$M$4:$N$11,2,FALSE),IF(E209="Equity",VLOOKUP(IF(LOWER(K209)="index","Equity Index","Equity Single Name"),Parameters!$M$4:$N$11,2,FALSE),IF(E209="Commodity",VLOOKUP(IF(F209="Electricity","Commodity Electricity","Commodity Other"),Parameters!$M$4:$N$11,2,FALSE),1))))</x:f>
        <x:v>0.7</x:v>
      </x:c>
      <x:c r="AU209" s="27" t="n">
        <x:f>IF(W209="B",1,-1)</x:f>
        <x:v>1</x:v>
      </x:c>
      <x:c r="AV209" s="27" t="n">
        <x:f>IF(OR(AA209="",M209=""),MAX(AE209,1/365),MAX((AA209-M209)/365,1/365))</x:f>
        <x:v>4.46027397260274</x:v>
      </x:c>
      <x:c r="AW209" s="41" t="str">
        <x:f>IF(OR(Z209&lt;=0,Y209&lt;=0,AT209&lt;=0,AV209&lt;=0),"",(LN(Z209/Y209)+0.5*AT209^2*AV209)/(AT209*SQRT(AV209)))</x:f>
      </x:c>
      <x:c r="AX209" s="41" t="n">
        <x:f>IF(AND(X209&lt;&gt;"C",X209&lt;&gt;"P"),AU209,IF(AW209="",AU209,IF(X209="C",AU209*0.5*(1+ERF(AW209/SQRT(2))),-AU209*0.5*(1+ERF(-AW209/SQRT(2))))))</x:f>
        <x:v>1</x:v>
      </x:c>
      <x:c r="AY209" s="41" t="n">
        <x:f>IF(AJ209="M",1.5*SQRT(MAX(IF(U209="Y",5,10),IF(V209="",10,V209))/Parameters!$B$6),SQRT(MIN(MAX(AE209,10/Parameters!$B$6),1)))</x:f>
        <x:v>0.30000000000000004</x:v>
      </x:c>
      <x:c r="AZ209" s="40" t="n">
        <x:f>AS209*AX209*AY209</x:f>
        <x:v>21150000.000000004</x:v>
      </x:c>
      <x:c r="BA209" s="40" t="n">
        <x:f>'Python_Trade_Output'!AZ209</x:f>
        <x:v>21150000.000000004</x:v>
      </x:c>
      <x:c r="BB209" s="43" t="n">
        <x:f>AZ209-BA209</x:f>
        <x:v>0</x:v>
      </x:c>
    </x:row>
    <x:row r="210">
      <x:c r="A210" s="27" t="str">
        <x:f>'Inputs_Trades'!D210</x:f>
        <x:v>IND-000207</x:v>
      </x:c>
      <x:c r="B210" s="27" t="str">
        <x:f>'Inputs_Trades'!B210</x:f>
        <x:v>IND_CORPORATE_002</x:v>
      </x:c>
      <x:c r="C210" s="27" t="n">
        <x:f>'Inputs_Trades'!C210</x:f>
        <x:v>3130</x:v>
      </x:c>
      <x:c r="D210" s="27" t="str">
        <x:f>'Inputs_Trades'!E210</x:f>
        <x:v>Precious Metal Swap</x:v>
      </x:c>
      <x:c r="E210" s="27" t="str">
        <x:f>'Inputs_Trades'!F210</x:f>
        <x:v>Commodity</x:v>
      </x:c>
      <x:c r="F210" s="27" t="str">
        <x:f>'Inputs_Trades'!G210</x:f>
        <x:v>Gold</x:v>
      </x:c>
      <x:c r="G210" s="27" t="str">
        <x:f>'Inputs_Trades'!J210</x:f>
        <x:v>USD</x:v>
      </x:c>
      <x:c r="H210" s="27" t="str">
        <x:f>'Inputs_Trades'!H210</x:f>
        <x:v>XAU</x:v>
      </x:c>
      <x:c r="I210" s="27" t="str">
        <x:f>'Inputs_Trades'!I210</x:f>
        <x:v>USD</x:v>
      </x:c>
      <x:c r="J210" s="27" t="str">
        <x:f>'Inputs_Trades'!M210</x:f>
        <x:v>XAU/USD</x:v>
      </x:c>
      <x:c r="K210" s="27" t="n">
        <x:f>'Inputs_Trades'!N210</x:f>
        <x:v>0</x:v>
      </x:c>
      <x:c r="L210" s="27" t="n">
        <x:f>'Inputs_Trades'!O210</x:f>
        <x:v>0</x:v>
      </x:c>
      <x:c r="M210" s="39" t="n">
        <x:f>'Inputs_Trades'!A210</x:f>
        <x:v>45702</x:v>
      </x:c>
      <x:c r="N210" s="39" t="n">
        <x:f>'Inputs_Trades'!P210</x:f>
        <x:v>45794</x:v>
      </x:c>
      <x:c r="O210" s="39" t="n">
        <x:f>'Inputs_Trades'!Q210</x:f>
        <x:v>45277</x:v>
      </x:c>
      <x:c r="P210" s="39" t="n">
        <x:f>'Inputs_Trades'!R210</x:f>
        <x:v>45794</x:v>
      </x:c>
      <x:c r="Q210" s="40" t="n">
        <x:f>'Inputs_Trades'!U210</x:f>
        <x:v>42100000</x:v>
      </x:c>
      <x:c r="R210" s="40" t="n">
        <x:f>'Inputs_Trades'!S210</x:f>
        <x:v>21050</x:v>
      </x:c>
      <x:c r="S210" s="40" t="n">
        <x:f>'Inputs_Trades'!T210</x:f>
        <x:v>42100000</x:v>
      </x:c>
      <x:c r="T210" s="27" t="str">
        <x:f>'Inputs_Trades'!V210</x:f>
        <x:v>U</x:v>
      </x:c>
      <x:c r="U210" s="27" t="str">
        <x:f>'Inputs_Trades'!W210</x:f>
        <x:v>N</x:v>
      </x:c>
      <x:c r="V210" s="27" t="n">
        <x:f>'Inputs_Trades'!X210</x:f>
        <x:v>0</x:v>
      </x:c>
      <x:c r="W210" s="27" t="str">
        <x:f>'Inputs_Trades'!Y210</x:f>
        <x:v>S</x:v>
      </x:c>
      <x:c r="X210" s="27" t="n">
        <x:f>'Inputs_Trades'!AA210</x:f>
        <x:v>0</x:v>
      </x:c>
      <x:c r="Y210" s="27" t="n">
        <x:f>'Inputs_Trades'!AB210</x:f>
        <x:v>0</x:v>
      </x:c>
      <x:c r="Z210" s="27" t="n">
        <x:f>'Inputs_Trades'!AC210</x:f>
        <x:v>0</x:v>
      </x:c>
      <x:c r="AA210" s="39" t="n">
        <x:f>'Inputs_Trades'!Z210</x:f>
        <x:v>0</x:v>
      </x:c>
      <x:c r="AB210" s="40" t="n">
        <x:f>'Inputs_Trades'!AD210</x:f>
        <x:v>1213743</x:v>
      </x:c>
      <x:c r="AC210" s="27" t="n">
        <x:f>'Inputs_Trades'!K210</x:f>
        <x:v>0</x:v>
      </x:c>
      <x:c r="AD210" s="27" t="n">
        <x:f>N210-M210</x:f>
        <x:v>92</x:v>
      </x:c>
      <x:c r="AE210" s="41" t="n">
        <x:f>AD210/365</x:f>
        <x:v>0.25205479452054796</x:v>
      </x:c>
      <x:c r="AF210" s="27" t="str">
        <x:f>IF(AE210&lt;1,"&lt;1Y",IF(AE210&lt;=5,"1Y-5Y","&gt;5Y"))</x:f>
        <x:v>&lt;1Y</x:v>
      </x:c>
      <x:c r="AG210" s="27" t="str">
        <x:f>IF(E210="Commodity",IFERROR(VLOOKUP(F210,Parameters!$P$4:$Q$12,2,FALSE),"Other"),"")</x:f>
        <x:v>Metals</x:v>
      </x:c>
      <x:c r="AH210" s="27" t="str">
        <x:f>IF(F210="","Unknown",F210)</x:f>
        <x:v>Gold</x:v>
      </x:c>
      <x:c r="AI210" s="27" t="str">
        <x:f>IF(E210="Interest Rate",G210&amp;IF(OR(LOWER(AC210)="basis",LOWER(AC210)="volatility"),"_"&amp;AC210,""),IF(E210="FX",IF(H210&lt;I210,H210&amp;"/"&amp;I210,I210&amp;"/"&amp;H210)&amp;IF(OR(LOWER(AC210)="basis",LOWER(AC210)="volatility"),"_"&amp;AC210,""),IF(OR(E210="Credit",E210="Equity"),J210&amp;IF(OR(LOWER(AC210)="basis",LOWER(AC210)="volatility"),"_"&amp;AC210,""),IF(E210="Commodity",AG210&amp;IF(OR(LOWER(AC210)="basis",LOWER(AC210)="volatility"),"_"&amp;AC210,""),"UNKNOWN"))))</x:f>
        <x:v>Metals</x:v>
      </x:c>
      <x:c r="AJ210" s="27" t="str">
        <x:f>T210</x:f>
        <x:v>U</x:v>
      </x:c>
      <x:c r="AK210" s="41" t="n">
        <x:f>IF(E210="Interest Rate",VLOOKUP("Interest Rate",Parameters!$D$4:$E$12,2,FALSE),IF(E210="FX",VLOOKUP("FX",Parameters!$D$4:$E$12,2,FALSE),IF(E210="Credit",IFERROR(VLOOKUP(L210,Parameters!$G$4:$H$12,2,FALSE),VLOOKUP("BBB",Parameters!$G$4:$H$12,2,FALSE)),IF(E210="Equity",VLOOKUP(IF(LOWER(K210)="index","Equity Index","Equity Single Name"),Parameters!$D$4:$E$12,2,FALSE),IF(E210="Commodity",VLOOKUP(IFERROR(VLOOKUP(F210,Parameters!$S$4:$T$12,2,FALSE),"Commodity Other"),Parameters!$D$4:$E$12,2,FALSE),0)))))</x:f>
        <x:v>0.18</x:v>
      </x:c>
      <x:c r="AL210" s="42" t="n">
        <x:f>IF(LOWER(AC210)="basis",Parameters!$B$8,IF(LOWER(AC210)="volatility",Parameters!$B$9,1))</x:f>
        <x:v>1</x:v>
      </x:c>
      <x:c r="AM210" s="41" t="n">
        <x:f>AK210*AL210</x:f>
        <x:v>0.18</x:v>
      </x:c>
      <x:c r="AN210" s="42" t="n">
        <x:f>IF(E210="Credit",VLOOKUP(IF(LOWER(K210)="index","Credit Index","Credit Single Name"),Parameters!$J$4:$K$8,2,FALSE),IF(E210="Equity",VLOOKUP(IF(LOWER(K210)="index","Equity Index","Equity Single Name"),Parameters!$J$4:$K$8,2,FALSE),IF(E210="Commodity",VLOOKUP("Commodity",Parameters!$J$4:$K$8,2,FALSE),"")))</x:f>
        <x:v>0.4</x:v>
      </x:c>
      <x:c r="AO210" s="27" t="n">
        <x:f>MAX((O210-M210)/365,0)</x:f>
        <x:v>0</x:v>
      </x:c>
      <x:c r="AP210" s="27" t="n">
        <x:f>MAX((P210-M210)/365,10/Parameters!$B$6)</x:f>
        <x:v>0.25205479452054796</x:v>
      </x:c>
      <x:c r="AQ210" s="27" t="n">
        <x:f>IF(AP210&lt;=AO210,AO210+10/Parameters!$B$6,AP210)</x:f>
        <x:v>0.25205479452054796</x:v>
      </x:c>
      <x:c r="AR210" s="41" t="n">
        <x:f>IF(OR(E210="Interest Rate",E210="Credit"),(EXP(-Parameters!$B$7*AO210)-EXP(-Parameters!$B$7*AQ210))/Parameters!$B$7,1)</x:f>
        <x:v>1</x:v>
      </x:c>
      <x:c r="AS210" s="40" t="n">
        <x:f>IF(OR(E210="Interest Rate",E210="Credit"),ABS(Q210)*AR210,IF(E210="FX",IF(Q210&gt;0,Q210,MAX(ABS(R210),ABS(S210),ABS(Q210))),ABS(Q210)))</x:f>
        <x:v>42100000</x:v>
      </x:c>
      <x:c r="AT210" s="42" t="n">
        <x:f>IF(OR(E210="Interest Rate",E210="FX"),VLOOKUP(E210,Parameters!$M$4:$N$11,2,FALSE),IF(E210="Credit",VLOOKUP(IF(LOWER(K210)="index","Credit Index","Credit Single Name"),Parameters!$M$4:$N$11,2,FALSE),IF(E210="Equity",VLOOKUP(IF(LOWER(K210)="index","Equity Index","Equity Single Name"),Parameters!$M$4:$N$11,2,FALSE),IF(E210="Commodity",VLOOKUP(IF(F210="Electricity","Commodity Electricity","Commodity Other"),Parameters!$M$4:$N$11,2,FALSE),1))))</x:f>
        <x:v>0.7</x:v>
      </x:c>
      <x:c r="AU210" s="27" t="n">
        <x:f>IF(W210="B",1,-1)</x:f>
        <x:v>-1</x:v>
      </x:c>
      <x:c r="AV210" s="27" t="n">
        <x:f>IF(OR(AA210="",M210=""),MAX(AE210,1/365),MAX((AA210-M210)/365,1/365))</x:f>
        <x:v>0.25205479452054796</x:v>
      </x:c>
      <x:c r="AW210" s="41" t="str">
        <x:f>IF(OR(Z210&lt;=0,Y210&lt;=0,AT210&lt;=0,AV210&lt;=0),"",(LN(Z210/Y210)+0.5*AT210^2*AV210)/(AT210*SQRT(AV210)))</x:f>
      </x:c>
      <x:c r="AX210" s="41" t="n">
        <x:f>IF(AND(X210&lt;&gt;"C",X210&lt;&gt;"P"),AU210,IF(AW210="",AU210,IF(X210="C",AU210*0.5*(1+ERF(AW210/SQRT(2))),-AU210*0.5*(1+ERF(-AW210/SQRT(2))))))</x:f>
        <x:v>-1</x:v>
      </x:c>
      <x:c r="AY210" s="41" t="n">
        <x:f>IF(AJ210="M",1.5*SQRT(MAX(IF(U210="Y",5,10),IF(V210="",10,V210))/Parameters!$B$6),SQRT(MIN(MAX(AE210,10/Parameters!$B$6),1)))</x:f>
        <x:v>0.5020505896028288</x:v>
      </x:c>
      <x:c r="AZ210" s="40" t="n">
        <x:f>AS210*AX210*AY210</x:f>
        <x:v>-21136329.822279092</x:v>
      </x:c>
      <x:c r="BA210" s="40" t="n">
        <x:f>'Python_Trade_Output'!AZ210</x:f>
        <x:v>-21136329.822279092</x:v>
      </x:c>
      <x:c r="BB210" s="43" t="n">
        <x:f>AZ210-BA210</x:f>
        <x:v>0</x:v>
      </x:c>
    </x:row>
    <x:row r="211">
      <x:c r="A211" s="27" t="str">
        <x:f>'Inputs_Trades'!D211</x:f>
        <x:v>IND-000208</x:v>
      </x:c>
      <x:c r="B211" s="27" t="str">
        <x:f>'Inputs_Trades'!B211</x:f>
        <x:v>IND_BANK_001</x:v>
      </x:c>
      <x:c r="C211" s="27" t="n">
        <x:f>'Inputs_Trades'!C211</x:f>
        <x:v>3348</x:v>
      </x:c>
      <x:c r="D211" s="27" t="str">
        <x:f>'Inputs_Trades'!E211</x:f>
        <x:v>Precious Metal Swap</x:v>
      </x:c>
      <x:c r="E211" s="27" t="str">
        <x:f>'Inputs_Trades'!F211</x:f>
        <x:v>Commodity</x:v>
      </x:c>
      <x:c r="F211" s="27" t="str">
        <x:f>'Inputs_Trades'!G211</x:f>
        <x:v>Gold</x:v>
      </x:c>
      <x:c r="G211" s="27" t="str">
        <x:f>'Inputs_Trades'!J211</x:f>
        <x:v>USD</x:v>
      </x:c>
      <x:c r="H211" s="27" t="str">
        <x:f>'Inputs_Trades'!H211</x:f>
        <x:v>XAU</x:v>
      </x:c>
      <x:c r="I211" s="27" t="str">
        <x:f>'Inputs_Trades'!I211</x:f>
        <x:v>USD</x:v>
      </x:c>
      <x:c r="J211" s="27" t="str">
        <x:f>'Inputs_Trades'!M211</x:f>
        <x:v>XAU/USD</x:v>
      </x:c>
      <x:c r="K211" s="27" t="n">
        <x:f>'Inputs_Trades'!N211</x:f>
        <x:v>0</x:v>
      </x:c>
      <x:c r="L211" s="27" t="n">
        <x:f>'Inputs_Trades'!O211</x:f>
        <x:v>0</x:v>
      </x:c>
      <x:c r="M211" s="39" t="n">
        <x:f>'Inputs_Trades'!A211</x:f>
        <x:v>45702</x:v>
      </x:c>
      <x:c r="N211" s="39" t="n">
        <x:f>'Inputs_Trades'!P211</x:f>
        <x:v>46418</x:v>
      </x:c>
      <x:c r="O211" s="39" t="n">
        <x:f>'Inputs_Trades'!Q211</x:f>
        <x:v>45337</x:v>
      </x:c>
      <x:c r="P211" s="39" t="n">
        <x:f>'Inputs_Trades'!R211</x:f>
        <x:v>46418</x:v>
      </x:c>
      <x:c r="Q211" s="40" t="n">
        <x:f>'Inputs_Trades'!U211</x:f>
        <x:v>51600000</x:v>
      </x:c>
      <x:c r="R211" s="40" t="n">
        <x:f>'Inputs_Trades'!S211</x:f>
        <x:v>25800</x:v>
      </x:c>
      <x:c r="S211" s="40" t="n">
        <x:f>'Inputs_Trades'!T211</x:f>
        <x:v>51600000</x:v>
      </x:c>
      <x:c r="T211" s="27" t="str">
        <x:f>'Inputs_Trades'!V211</x:f>
        <x:v>U</x:v>
      </x:c>
      <x:c r="U211" s="27" t="str">
        <x:f>'Inputs_Trades'!W211</x:f>
        <x:v>N</x:v>
      </x:c>
      <x:c r="V211" s="27" t="n">
        <x:f>'Inputs_Trades'!X211</x:f>
        <x:v>0</x:v>
      </x:c>
      <x:c r="W211" s="27" t="str">
        <x:f>'Inputs_Trades'!Y211</x:f>
        <x:v>B</x:v>
      </x:c>
      <x:c r="X211" s="27" t="n">
        <x:f>'Inputs_Trades'!AA211</x:f>
        <x:v>0</x:v>
      </x:c>
      <x:c r="Y211" s="27" t="n">
        <x:f>'Inputs_Trades'!AB211</x:f>
        <x:v>0</x:v>
      </x:c>
      <x:c r="Z211" s="27" t="n">
        <x:f>'Inputs_Trades'!AC211</x:f>
        <x:v>0</x:v>
      </x:c>
      <x:c r="AA211" s="39" t="n">
        <x:f>'Inputs_Trades'!Z211</x:f>
        <x:v>0</x:v>
      </x:c>
      <x:c r="AB211" s="40" t="n">
        <x:f>'Inputs_Trades'!AD211</x:f>
        <x:v>-958212</x:v>
      </x:c>
      <x:c r="AC211" s="27" t="n">
        <x:f>'Inputs_Trades'!K211</x:f>
        <x:v>0</x:v>
      </x:c>
      <x:c r="AD211" s="27" t="n">
        <x:f>N211-M211</x:f>
        <x:v>716</x:v>
      </x:c>
      <x:c r="AE211" s="41" t="n">
        <x:f>AD211/365</x:f>
        <x:v>1.9616438356164383</x:v>
      </x:c>
      <x:c r="AF211" s="27" t="str">
        <x:f>IF(AE211&lt;1,"&lt;1Y",IF(AE211&lt;=5,"1Y-5Y","&gt;5Y"))</x:f>
        <x:v>1Y-5Y</x:v>
      </x:c>
      <x:c r="AG211" s="27" t="str">
        <x:f>IF(E211="Commodity",IFERROR(VLOOKUP(F211,Parameters!$P$4:$Q$12,2,FALSE),"Other"),"")</x:f>
        <x:v>Metals</x:v>
      </x:c>
      <x:c r="AH211" s="27" t="str">
        <x:f>IF(F211="","Unknown",F211)</x:f>
        <x:v>Gold</x:v>
      </x:c>
      <x:c r="AI211" s="27" t="str">
        <x:f>IF(E211="Interest Rate",G211&amp;IF(OR(LOWER(AC211)="basis",LOWER(AC211)="volatility"),"_"&amp;AC211,""),IF(E211="FX",IF(H211&lt;I211,H211&amp;"/"&amp;I211,I211&amp;"/"&amp;H211)&amp;IF(OR(LOWER(AC211)="basis",LOWER(AC211)="volatility"),"_"&amp;AC211,""),IF(OR(E211="Credit",E211="Equity"),J211&amp;IF(OR(LOWER(AC211)="basis",LOWER(AC211)="volatility"),"_"&amp;AC211,""),IF(E211="Commodity",AG211&amp;IF(OR(LOWER(AC211)="basis",LOWER(AC211)="volatility"),"_"&amp;AC211,""),"UNKNOWN"))))</x:f>
        <x:v>Metals</x:v>
      </x:c>
      <x:c r="AJ211" s="27" t="str">
        <x:f>T211</x:f>
        <x:v>U</x:v>
      </x:c>
      <x:c r="AK211" s="41" t="n">
        <x:f>IF(E211="Interest Rate",VLOOKUP("Interest Rate",Parameters!$D$4:$E$12,2,FALSE),IF(E211="FX",VLOOKUP("FX",Parameters!$D$4:$E$12,2,FALSE),IF(E211="Credit",IFERROR(VLOOKUP(L211,Parameters!$G$4:$H$12,2,FALSE),VLOOKUP("BBB",Parameters!$G$4:$H$12,2,FALSE)),IF(E211="Equity",VLOOKUP(IF(LOWER(K211)="index","Equity Index","Equity Single Name"),Parameters!$D$4:$E$12,2,FALSE),IF(E211="Commodity",VLOOKUP(IFERROR(VLOOKUP(F211,Parameters!$S$4:$T$12,2,FALSE),"Commodity Other"),Parameters!$D$4:$E$12,2,FALSE),0)))))</x:f>
        <x:v>0.18</x:v>
      </x:c>
      <x:c r="AL211" s="42" t="n">
        <x:f>IF(LOWER(AC211)="basis",Parameters!$B$8,IF(LOWER(AC211)="volatility",Parameters!$B$9,1))</x:f>
        <x:v>1</x:v>
      </x:c>
      <x:c r="AM211" s="41" t="n">
        <x:f>AK211*AL211</x:f>
        <x:v>0.18</x:v>
      </x:c>
      <x:c r="AN211" s="42" t="n">
        <x:f>IF(E211="Credit",VLOOKUP(IF(LOWER(K211)="index","Credit Index","Credit Single Name"),Parameters!$J$4:$K$8,2,FALSE),IF(E211="Equity",VLOOKUP(IF(LOWER(K211)="index","Equity Index","Equity Single Name"),Parameters!$J$4:$K$8,2,FALSE),IF(E211="Commodity",VLOOKUP("Commodity",Parameters!$J$4:$K$8,2,FALSE),"")))</x:f>
        <x:v>0.4</x:v>
      </x:c>
      <x:c r="AO211" s="27" t="n">
        <x:f>MAX((O211-M211)/365,0)</x:f>
        <x:v>0</x:v>
      </x:c>
      <x:c r="AP211" s="27" t="n">
        <x:f>MAX((P211-M211)/365,10/Parameters!$B$6)</x:f>
        <x:v>1.9616438356164383</x:v>
      </x:c>
      <x:c r="AQ211" s="27" t="n">
        <x:f>IF(AP211&lt;=AO211,AO211+10/Parameters!$B$6,AP211)</x:f>
        <x:v>1.9616438356164383</x:v>
      </x:c>
      <x:c r="AR211" s="41" t="n">
        <x:f>IF(OR(E211="Interest Rate",E211="Credit"),(EXP(-Parameters!$B$7*AO211)-EXP(-Parameters!$B$7*AQ211))/Parameters!$B$7,1)</x:f>
        <x:v>1</x:v>
      </x:c>
      <x:c r="AS211" s="40" t="n">
        <x:f>IF(OR(E211="Interest Rate",E211="Credit"),ABS(Q211)*AR211,IF(E211="FX",IF(Q211&gt;0,Q211,MAX(ABS(R211),ABS(S211),ABS(Q211))),ABS(Q211)))</x:f>
        <x:v>51600000</x:v>
      </x:c>
      <x:c r="AT211" s="42" t="n">
        <x:f>IF(OR(E211="Interest Rate",E211="FX"),VLOOKUP(E211,Parameters!$M$4:$N$11,2,FALSE),IF(E211="Credit",VLOOKUP(IF(LOWER(K211)="index","Credit Index","Credit Single Name"),Parameters!$M$4:$N$11,2,FALSE),IF(E211="Equity",VLOOKUP(IF(LOWER(K211)="index","Equity Index","Equity Single Name"),Parameters!$M$4:$N$11,2,FALSE),IF(E211="Commodity",VLOOKUP(IF(F211="Electricity","Commodity Electricity","Commodity Other"),Parameters!$M$4:$N$11,2,FALSE),1))))</x:f>
        <x:v>0.7</x:v>
      </x:c>
      <x:c r="AU211" s="27" t="n">
        <x:f>IF(W211="B",1,-1)</x:f>
        <x:v>1</x:v>
      </x:c>
      <x:c r="AV211" s="27" t="n">
        <x:f>IF(OR(AA211="",M211=""),MAX(AE211,1/365),MAX((AA211-M211)/365,1/365))</x:f>
        <x:v>1.9616438356164383</x:v>
      </x:c>
      <x:c r="AW211" s="41" t="str">
        <x:f>IF(OR(Z211&lt;=0,Y211&lt;=0,AT211&lt;=0,AV211&lt;=0),"",(LN(Z211/Y211)+0.5*AT211^2*AV211)/(AT211*SQRT(AV211)))</x:f>
      </x:c>
      <x:c r="AX211" s="41" t="n">
        <x:f>IF(AND(X211&lt;&gt;"C",X211&lt;&gt;"P"),AU211,IF(AW211="",AU211,IF(X211="C",AU211*0.5*(1+ERF(AW211/SQRT(2))),-AU211*0.5*(1+ERF(-AW211/SQRT(2))))))</x:f>
        <x:v>1</x:v>
      </x:c>
      <x:c r="AY211" s="41" t="n">
        <x:f>IF(AJ211="M",1.5*SQRT(MAX(IF(U211="Y",5,10),IF(V211="",10,V211))/Parameters!$B$6),SQRT(MIN(MAX(AE211,10/Parameters!$B$6),1)))</x:f>
        <x:v>1</x:v>
      </x:c>
      <x:c r="AZ211" s="40" t="n">
        <x:f>AS211*AX211*AY211</x:f>
        <x:v>51600000</x:v>
      </x:c>
      <x:c r="BA211" s="40" t="n">
        <x:f>'Python_Trade_Output'!AZ211</x:f>
        <x:v>51600000</x:v>
      </x:c>
      <x:c r="BB211" s="43" t="n">
        <x:f>AZ211-BA211</x:f>
        <x:v>0</x:v>
      </x:c>
    </x:row>
    <x:row r="212">
      <x:c r="A212" s="27" t="str">
        <x:f>'Inputs_Trades'!D212</x:f>
        <x:v>IND-000209</x:v>
      </x:c>
      <x:c r="B212" s="27" t="str">
        <x:f>'Inputs_Trades'!B212</x:f>
        <x:v>IND_BANK_002</x:v>
      </x:c>
      <x:c r="C212" s="27" t="n">
        <x:f>'Inputs_Trades'!C212</x:f>
        <x:v>3259</x:v>
      </x:c>
      <x:c r="D212" s="27" t="str">
        <x:f>'Inputs_Trades'!E212</x:f>
        <x:v>Precious Metal Swap</x:v>
      </x:c>
      <x:c r="E212" s="27" t="str">
        <x:f>'Inputs_Trades'!F212</x:f>
        <x:v>Commodity</x:v>
      </x:c>
      <x:c r="F212" s="27" t="str">
        <x:f>'Inputs_Trades'!G212</x:f>
        <x:v>Gold</x:v>
      </x:c>
      <x:c r="G212" s="27" t="str">
        <x:f>'Inputs_Trades'!J212</x:f>
        <x:v>CNY</x:v>
      </x:c>
      <x:c r="H212" s="27" t="str">
        <x:f>'Inputs_Trades'!H212</x:f>
        <x:v>XAU</x:v>
      </x:c>
      <x:c r="I212" s="27" t="str">
        <x:f>'Inputs_Trades'!I212</x:f>
        <x:v>CNY</x:v>
      </x:c>
      <x:c r="J212" s="27" t="str">
        <x:f>'Inputs_Trades'!M212</x:f>
        <x:v>XAU/CNY</x:v>
      </x:c>
      <x:c r="K212" s="27" t="n">
        <x:f>'Inputs_Trades'!N212</x:f>
        <x:v>0</x:v>
      </x:c>
      <x:c r="L212" s="27" t="n">
        <x:f>'Inputs_Trades'!O212</x:f>
        <x:v>0</x:v>
      </x:c>
      <x:c r="M212" s="39" t="n">
        <x:f>'Inputs_Trades'!A212</x:f>
        <x:v>45702</x:v>
      </x:c>
      <x:c r="N212" s="39" t="n">
        <x:f>'Inputs_Trades'!P212</x:f>
        <x:v>47457</x:v>
      </x:c>
      <x:c r="O212" s="39" t="n">
        <x:f>'Inputs_Trades'!Q212</x:f>
        <x:v>45247</x:v>
      </x:c>
      <x:c r="P212" s="39" t="n">
        <x:f>'Inputs_Trades'!R212</x:f>
        <x:v>47457</x:v>
      </x:c>
      <x:c r="Q212" s="40" t="n">
        <x:f>'Inputs_Trades'!U212</x:f>
        <x:v>23800000</x:v>
      </x:c>
      <x:c r="R212" s="40" t="n">
        <x:f>'Inputs_Trades'!S212</x:f>
        <x:v>11900</x:v>
      </x:c>
      <x:c r="S212" s="40" t="n">
        <x:f>'Inputs_Trades'!T212</x:f>
        <x:v>170000000</x:v>
      </x:c>
      <x:c r="T212" s="27" t="str">
        <x:f>'Inputs_Trades'!V212</x:f>
        <x:v>M</x:v>
      </x:c>
      <x:c r="U212" s="27" t="str">
        <x:f>'Inputs_Trades'!W212</x:f>
        <x:v>N</x:v>
      </x:c>
      <x:c r="V212" s="27" t="n">
        <x:f>'Inputs_Trades'!X212</x:f>
        <x:v>10</x:v>
      </x:c>
      <x:c r="W212" s="27" t="str">
        <x:f>'Inputs_Trades'!Y212</x:f>
        <x:v>B</x:v>
      </x:c>
      <x:c r="X212" s="27" t="n">
        <x:f>'Inputs_Trades'!AA212</x:f>
        <x:v>0</x:v>
      </x:c>
      <x:c r="Y212" s="27" t="n">
        <x:f>'Inputs_Trades'!AB212</x:f>
        <x:v>0</x:v>
      </x:c>
      <x:c r="Z212" s="27" t="n">
        <x:f>'Inputs_Trades'!AC212</x:f>
        <x:v>0</x:v>
      </x:c>
      <x:c r="AA212" s="39" t="n">
        <x:f>'Inputs_Trades'!Z212</x:f>
        <x:v>0</x:v>
      </x:c>
      <x:c r="AB212" s="40" t="n">
        <x:f>'Inputs_Trades'!AD212</x:f>
        <x:v>127092</x:v>
      </x:c>
      <x:c r="AC212" s="27" t="n">
        <x:f>'Inputs_Trades'!K212</x:f>
        <x:v>0</x:v>
      </x:c>
      <x:c r="AD212" s="27" t="n">
        <x:f>N212-M212</x:f>
        <x:v>1755</x:v>
      </x:c>
      <x:c r="AE212" s="41" t="n">
        <x:f>AD212/365</x:f>
        <x:v>4.808219178082192</x:v>
      </x:c>
      <x:c r="AF212" s="27" t="str">
        <x:f>IF(AE212&lt;1,"&lt;1Y",IF(AE212&lt;=5,"1Y-5Y","&gt;5Y"))</x:f>
        <x:v>1Y-5Y</x:v>
      </x:c>
      <x:c r="AG212" s="27" t="str">
        <x:f>IF(E212="Commodity",IFERROR(VLOOKUP(F212,Parameters!$P$4:$Q$12,2,FALSE),"Other"),"")</x:f>
        <x:v>Metals</x:v>
      </x:c>
      <x:c r="AH212" s="27" t="str">
        <x:f>IF(F212="","Unknown",F212)</x:f>
        <x:v>Gold</x:v>
      </x:c>
      <x:c r="AI212" s="27" t="str">
        <x:f>IF(E212="Interest Rate",G212&amp;IF(OR(LOWER(AC212)="basis",LOWER(AC212)="volatility"),"_"&amp;AC212,""),IF(E212="FX",IF(H212&lt;I212,H212&amp;"/"&amp;I212,I212&amp;"/"&amp;H212)&amp;IF(OR(LOWER(AC212)="basis",LOWER(AC212)="volatility"),"_"&amp;AC212,""),IF(OR(E212="Credit",E212="Equity"),J212&amp;IF(OR(LOWER(AC212)="basis",LOWER(AC212)="volatility"),"_"&amp;AC212,""),IF(E212="Commodity",AG212&amp;IF(OR(LOWER(AC212)="basis",LOWER(AC212)="volatility"),"_"&amp;AC212,""),"UNKNOWN"))))</x:f>
        <x:v>Metals</x:v>
      </x:c>
      <x:c r="AJ212" s="27" t="str">
        <x:f>T212</x:f>
        <x:v>M</x:v>
      </x:c>
      <x:c r="AK212" s="41" t="n">
        <x:f>IF(E212="Interest Rate",VLOOKUP("Interest Rate",Parameters!$D$4:$E$12,2,FALSE),IF(E212="FX",VLOOKUP("FX",Parameters!$D$4:$E$12,2,FALSE),IF(E212="Credit",IFERROR(VLOOKUP(L212,Parameters!$G$4:$H$12,2,FALSE),VLOOKUP("BBB",Parameters!$G$4:$H$12,2,FALSE)),IF(E212="Equity",VLOOKUP(IF(LOWER(K212)="index","Equity Index","Equity Single Name"),Parameters!$D$4:$E$12,2,FALSE),IF(E212="Commodity",VLOOKUP(IFERROR(VLOOKUP(F212,Parameters!$S$4:$T$12,2,FALSE),"Commodity Other"),Parameters!$D$4:$E$12,2,FALSE),0)))))</x:f>
        <x:v>0.18</x:v>
      </x:c>
      <x:c r="AL212" s="42" t="n">
        <x:f>IF(LOWER(AC212)="basis",Parameters!$B$8,IF(LOWER(AC212)="volatility",Parameters!$B$9,1))</x:f>
        <x:v>1</x:v>
      </x:c>
      <x:c r="AM212" s="41" t="n">
        <x:f>AK212*AL212</x:f>
        <x:v>0.18</x:v>
      </x:c>
      <x:c r="AN212" s="42" t="n">
        <x:f>IF(E212="Credit",VLOOKUP(IF(LOWER(K212)="index","Credit Index","Credit Single Name"),Parameters!$J$4:$K$8,2,FALSE),IF(E212="Equity",VLOOKUP(IF(LOWER(K212)="index","Equity Index","Equity Single Name"),Parameters!$J$4:$K$8,2,FALSE),IF(E212="Commodity",VLOOKUP("Commodity",Parameters!$J$4:$K$8,2,FALSE),"")))</x:f>
        <x:v>0.4</x:v>
      </x:c>
      <x:c r="AO212" s="27" t="n">
        <x:f>MAX((O212-M212)/365,0)</x:f>
        <x:v>0</x:v>
      </x:c>
      <x:c r="AP212" s="27" t="n">
        <x:f>MAX((P212-M212)/365,10/Parameters!$B$6)</x:f>
        <x:v>4.808219178082192</x:v>
      </x:c>
      <x:c r="AQ212" s="27" t="n">
        <x:f>IF(AP212&lt;=AO212,AO212+10/Parameters!$B$6,AP212)</x:f>
        <x:v>4.808219178082192</x:v>
      </x:c>
      <x:c r="AR212" s="41" t="n">
        <x:f>IF(OR(E212="Interest Rate",E212="Credit"),(EXP(-Parameters!$B$7*AO212)-EXP(-Parameters!$B$7*AQ212))/Parameters!$B$7,1)</x:f>
        <x:v>1</x:v>
      </x:c>
      <x:c r="AS212" s="40" t="n">
        <x:f>IF(OR(E212="Interest Rate",E212="Credit"),ABS(Q212)*AR212,IF(E212="FX",IF(Q212&gt;0,Q212,MAX(ABS(R212),ABS(S212),ABS(Q212))),ABS(Q212)))</x:f>
        <x:v>23800000</x:v>
      </x:c>
      <x:c r="AT212" s="42" t="n">
        <x:f>IF(OR(E212="Interest Rate",E212="FX"),VLOOKUP(E212,Parameters!$M$4:$N$11,2,FALSE),IF(E212="Credit",VLOOKUP(IF(LOWER(K212)="index","Credit Index","Credit Single Name"),Parameters!$M$4:$N$11,2,FALSE),IF(E212="Equity",VLOOKUP(IF(LOWER(K212)="index","Equity Index","Equity Single Name"),Parameters!$M$4:$N$11,2,FALSE),IF(E212="Commodity",VLOOKUP(IF(F212="Electricity","Commodity Electricity","Commodity Other"),Parameters!$M$4:$N$11,2,FALSE),1))))</x:f>
        <x:v>0.7</x:v>
      </x:c>
      <x:c r="AU212" s="27" t="n">
        <x:f>IF(W212="B",1,-1)</x:f>
        <x:v>1</x:v>
      </x:c>
      <x:c r="AV212" s="27" t="n">
        <x:f>IF(OR(AA212="",M212=""),MAX(AE212,1/365),MAX((AA212-M212)/365,1/365))</x:f>
        <x:v>4.808219178082192</x:v>
      </x:c>
      <x:c r="AW212" s="41" t="str">
        <x:f>IF(OR(Z212&lt;=0,Y212&lt;=0,AT212&lt;=0,AV212&lt;=0),"",(LN(Z212/Y212)+0.5*AT212^2*AV212)/(AT212*SQRT(AV212)))</x:f>
      </x:c>
      <x:c r="AX212" s="41" t="n">
        <x:f>IF(AND(X212&lt;&gt;"C",X212&lt;&gt;"P"),AU212,IF(AW212="",AU212,IF(X212="C",AU212*0.5*(1+ERF(AW212/SQRT(2))),-AU212*0.5*(1+ERF(-AW212/SQRT(2))))))</x:f>
        <x:v>1</x:v>
      </x:c>
      <x:c r="AY212" s="41" t="n">
        <x:f>IF(AJ212="M",1.5*SQRT(MAX(IF(U212="Y",5,10),IF(V212="",10,V212))/Parameters!$B$6),SQRT(MIN(MAX(AE212,10/Parameters!$B$6),1)))</x:f>
        <x:v>0.30000000000000004</x:v>
      </x:c>
      <x:c r="AZ212" s="40" t="n">
        <x:f>AS212*AX212*AY212</x:f>
        <x:v>7140000.000000001</x:v>
      </x:c>
      <x:c r="BA212" s="40" t="n">
        <x:f>'Python_Trade_Output'!AZ212</x:f>
        <x:v>7140000.000000001</x:v>
      </x:c>
      <x:c r="BB212" s="43" t="n">
        <x:f>AZ212-BA212</x:f>
        <x:v>0</x:v>
      </x:c>
    </x:row>
    <x:row r="213">
      <x:c r="A213" s="27" t="str">
        <x:f>'Inputs_Trades'!D213</x:f>
        <x:v>IND-000210</x:v>
      </x:c>
      <x:c r="B213" s="27" t="str">
        <x:f>'Inputs_Trades'!B213</x:f>
        <x:v>IND_CORPORATE_002</x:v>
      </x:c>
      <x:c r="C213" s="27" t="n">
        <x:f>'Inputs_Trades'!C213</x:f>
        <x:v>3126</x:v>
      </x:c>
      <x:c r="D213" s="27" t="str">
        <x:f>'Inputs_Trades'!E213</x:f>
        <x:v>Precious Metal Swap</x:v>
      </x:c>
      <x:c r="E213" s="27" t="str">
        <x:f>'Inputs_Trades'!F213</x:f>
        <x:v>Commodity</x:v>
      </x:c>
      <x:c r="F213" s="27" t="str">
        <x:f>'Inputs_Trades'!G213</x:f>
        <x:v>Gold</x:v>
      </x:c>
      <x:c r="G213" s="27" t="str">
        <x:f>'Inputs_Trades'!J213</x:f>
        <x:v>USD</x:v>
      </x:c>
      <x:c r="H213" s="27" t="str">
        <x:f>'Inputs_Trades'!H213</x:f>
        <x:v>XAU</x:v>
      </x:c>
      <x:c r="I213" s="27" t="str">
        <x:f>'Inputs_Trades'!I213</x:f>
        <x:v>USD</x:v>
      </x:c>
      <x:c r="J213" s="27" t="str">
        <x:f>'Inputs_Trades'!M213</x:f>
        <x:v>XAU/USD</x:v>
      </x:c>
      <x:c r="K213" s="27" t="n">
        <x:f>'Inputs_Trades'!N213</x:f>
        <x:v>0</x:v>
      </x:c>
      <x:c r="L213" s="27" t="n">
        <x:f>'Inputs_Trades'!O213</x:f>
        <x:v>0</x:v>
      </x:c>
      <x:c r="M213" s="39" t="n">
        <x:f>'Inputs_Trades'!A213</x:f>
        <x:v>45702</x:v>
      </x:c>
      <x:c r="N213" s="39" t="n">
        <x:f>'Inputs_Trades'!P213</x:f>
        <x:v>47152</x:v>
      </x:c>
      <x:c r="O213" s="39" t="n">
        <x:f>'Inputs_Trades'!Q213</x:f>
        <x:v>45255</x:v>
      </x:c>
      <x:c r="P213" s="39" t="n">
        <x:f>'Inputs_Trades'!R213</x:f>
        <x:v>47152</x:v>
      </x:c>
      <x:c r="Q213" s="40" t="n">
        <x:f>'Inputs_Trades'!U213</x:f>
        <x:v>7300000</x:v>
      </x:c>
      <x:c r="R213" s="40" t="n">
        <x:f>'Inputs_Trades'!S213</x:f>
        <x:v>3650</x:v>
      </x:c>
      <x:c r="S213" s="40" t="n">
        <x:f>'Inputs_Trades'!T213</x:f>
        <x:v>7300000</x:v>
      </x:c>
      <x:c r="T213" s="27" t="str">
        <x:f>'Inputs_Trades'!V213</x:f>
        <x:v>M</x:v>
      </x:c>
      <x:c r="U213" s="27" t="str">
        <x:f>'Inputs_Trades'!W213</x:f>
        <x:v>N</x:v>
      </x:c>
      <x:c r="V213" s="27" t="n">
        <x:f>'Inputs_Trades'!X213</x:f>
        <x:v>10</x:v>
      </x:c>
      <x:c r="W213" s="27" t="str">
        <x:f>'Inputs_Trades'!Y213</x:f>
        <x:v>B</x:v>
      </x:c>
      <x:c r="X213" s="27" t="n">
        <x:f>'Inputs_Trades'!AA213</x:f>
        <x:v>0</x:v>
      </x:c>
      <x:c r="Y213" s="27" t="n">
        <x:f>'Inputs_Trades'!AB213</x:f>
        <x:v>0</x:v>
      </x:c>
      <x:c r="Z213" s="27" t="n">
        <x:f>'Inputs_Trades'!AC213</x:f>
        <x:v>0</x:v>
      </x:c>
      <x:c r="AA213" s="39" t="n">
        <x:f>'Inputs_Trades'!Z213</x:f>
        <x:v>0</x:v>
      </x:c>
      <x:c r="AB213" s="40" t="n">
        <x:f>'Inputs_Trades'!AD213</x:f>
        <x:v>-55626</x:v>
      </x:c>
      <x:c r="AC213" s="27" t="n">
        <x:f>'Inputs_Trades'!K213</x:f>
        <x:v>0</x:v>
      </x:c>
      <x:c r="AD213" s="27" t="n">
        <x:f>N213-M213</x:f>
        <x:v>1450</x:v>
      </x:c>
      <x:c r="AE213" s="41" t="n">
        <x:f>AD213/365</x:f>
        <x:v>3.9726027397260273</x:v>
      </x:c>
      <x:c r="AF213" s="27" t="str">
        <x:f>IF(AE213&lt;1,"&lt;1Y",IF(AE213&lt;=5,"1Y-5Y","&gt;5Y"))</x:f>
        <x:v>1Y-5Y</x:v>
      </x:c>
      <x:c r="AG213" s="27" t="str">
        <x:f>IF(E213="Commodity",IFERROR(VLOOKUP(F213,Parameters!$P$4:$Q$12,2,FALSE),"Other"),"")</x:f>
        <x:v>Metals</x:v>
      </x:c>
      <x:c r="AH213" s="27" t="str">
        <x:f>IF(F213="","Unknown",F213)</x:f>
        <x:v>Gold</x:v>
      </x:c>
      <x:c r="AI213" s="27" t="str">
        <x:f>IF(E213="Interest Rate",G213&amp;IF(OR(LOWER(AC213)="basis",LOWER(AC213)="volatility"),"_"&amp;AC213,""),IF(E213="FX",IF(H213&lt;I213,H213&amp;"/"&amp;I213,I213&amp;"/"&amp;H213)&amp;IF(OR(LOWER(AC213)="basis",LOWER(AC213)="volatility"),"_"&amp;AC213,""),IF(OR(E213="Credit",E213="Equity"),J213&amp;IF(OR(LOWER(AC213)="basis",LOWER(AC213)="volatility"),"_"&amp;AC213,""),IF(E213="Commodity",AG213&amp;IF(OR(LOWER(AC213)="basis",LOWER(AC213)="volatility"),"_"&amp;AC213,""),"UNKNOWN"))))</x:f>
        <x:v>Metals</x:v>
      </x:c>
      <x:c r="AJ213" s="27" t="str">
        <x:f>T213</x:f>
        <x:v>M</x:v>
      </x:c>
      <x:c r="AK213" s="41" t="n">
        <x:f>IF(E213="Interest Rate",VLOOKUP("Interest Rate",Parameters!$D$4:$E$12,2,FALSE),IF(E213="FX",VLOOKUP("FX",Parameters!$D$4:$E$12,2,FALSE),IF(E213="Credit",IFERROR(VLOOKUP(L213,Parameters!$G$4:$H$12,2,FALSE),VLOOKUP("BBB",Parameters!$G$4:$H$12,2,FALSE)),IF(E213="Equity",VLOOKUP(IF(LOWER(K213)="index","Equity Index","Equity Single Name"),Parameters!$D$4:$E$12,2,FALSE),IF(E213="Commodity",VLOOKUP(IFERROR(VLOOKUP(F213,Parameters!$S$4:$T$12,2,FALSE),"Commodity Other"),Parameters!$D$4:$E$12,2,FALSE),0)))))</x:f>
        <x:v>0.18</x:v>
      </x:c>
      <x:c r="AL213" s="42" t="n">
        <x:f>IF(LOWER(AC213)="basis",Parameters!$B$8,IF(LOWER(AC213)="volatility",Parameters!$B$9,1))</x:f>
        <x:v>1</x:v>
      </x:c>
      <x:c r="AM213" s="41" t="n">
        <x:f>AK213*AL213</x:f>
        <x:v>0.18</x:v>
      </x:c>
      <x:c r="AN213" s="42" t="n">
        <x:f>IF(E213="Credit",VLOOKUP(IF(LOWER(K213)="index","Credit Index","Credit Single Name"),Parameters!$J$4:$K$8,2,FALSE),IF(E213="Equity",VLOOKUP(IF(LOWER(K213)="index","Equity Index","Equity Single Name"),Parameters!$J$4:$K$8,2,FALSE),IF(E213="Commodity",VLOOKUP("Commodity",Parameters!$J$4:$K$8,2,FALSE),"")))</x:f>
        <x:v>0.4</x:v>
      </x:c>
      <x:c r="AO213" s="27" t="n">
        <x:f>MAX((O213-M213)/365,0)</x:f>
        <x:v>0</x:v>
      </x:c>
      <x:c r="AP213" s="27" t="n">
        <x:f>MAX((P213-M213)/365,10/Parameters!$B$6)</x:f>
        <x:v>3.9726027397260273</x:v>
      </x:c>
      <x:c r="AQ213" s="27" t="n">
        <x:f>IF(AP213&lt;=AO213,AO213+10/Parameters!$B$6,AP213)</x:f>
        <x:v>3.9726027397260273</x:v>
      </x:c>
      <x:c r="AR213" s="41" t="n">
        <x:f>IF(OR(E213="Interest Rate",E213="Credit"),(EXP(-Parameters!$B$7*AO213)-EXP(-Parameters!$B$7*AQ213))/Parameters!$B$7,1)</x:f>
        <x:v>1</x:v>
      </x:c>
      <x:c r="AS213" s="40" t="n">
        <x:f>IF(OR(E213="Interest Rate",E213="Credit"),ABS(Q213)*AR213,IF(E213="FX",IF(Q213&gt;0,Q213,MAX(ABS(R213),ABS(S213),ABS(Q213))),ABS(Q213)))</x:f>
        <x:v>7300000</x:v>
      </x:c>
      <x:c r="AT213" s="42" t="n">
        <x:f>IF(OR(E213="Interest Rate",E213="FX"),VLOOKUP(E213,Parameters!$M$4:$N$11,2,FALSE),IF(E213="Credit",VLOOKUP(IF(LOWER(K213)="index","Credit Index","Credit Single Name"),Parameters!$M$4:$N$11,2,FALSE),IF(E213="Equity",VLOOKUP(IF(LOWER(K213)="index","Equity Index","Equity Single Name"),Parameters!$M$4:$N$11,2,FALSE),IF(E213="Commodity",VLOOKUP(IF(F213="Electricity","Commodity Electricity","Commodity Other"),Parameters!$M$4:$N$11,2,FALSE),1))))</x:f>
        <x:v>0.7</x:v>
      </x:c>
      <x:c r="AU213" s="27" t="n">
        <x:f>IF(W213="B",1,-1)</x:f>
        <x:v>1</x:v>
      </x:c>
      <x:c r="AV213" s="27" t="n">
        <x:f>IF(OR(AA213="",M213=""),MAX(AE213,1/365),MAX((AA213-M213)/365,1/365))</x:f>
        <x:v>3.9726027397260273</x:v>
      </x:c>
      <x:c r="AW213" s="41" t="str">
        <x:f>IF(OR(Z213&lt;=0,Y213&lt;=0,AT213&lt;=0,AV213&lt;=0),"",(LN(Z213/Y213)+0.5*AT213^2*AV213)/(AT213*SQRT(AV213)))</x:f>
      </x:c>
      <x:c r="AX213" s="41" t="n">
        <x:f>IF(AND(X213&lt;&gt;"C",X213&lt;&gt;"P"),AU213,IF(AW213="",AU213,IF(X213="C",AU213*0.5*(1+ERF(AW213/SQRT(2))),-AU213*0.5*(1+ERF(-AW213/SQRT(2))))))</x:f>
        <x:v>1</x:v>
      </x:c>
      <x:c r="AY213" s="41" t="n">
        <x:f>IF(AJ213="M",1.5*SQRT(MAX(IF(U213="Y",5,10),IF(V213="",10,V213))/Parameters!$B$6),SQRT(MIN(MAX(AE213,10/Parameters!$B$6),1)))</x:f>
        <x:v>0.30000000000000004</x:v>
      </x:c>
      <x:c r="AZ213" s="40" t="n">
        <x:f>AS213*AX213*AY213</x:f>
        <x:v>2190000.0000000005</x:v>
      </x:c>
      <x:c r="BA213" s="40" t="n">
        <x:f>'Python_Trade_Output'!AZ213</x:f>
        <x:v>2190000.0000000005</x:v>
      </x:c>
      <x:c r="BB213" s="43" t="n">
        <x:f>AZ213-BA213</x:f>
        <x:v>0</x:v>
      </x:c>
    </x:row>
    <x:row r="214">
      <x:c r="A214" s="27" t="str">
        <x:f>'Inputs_Trades'!D214</x:f>
        <x:v>IND-000211</x:v>
      </x:c>
      <x:c r="B214" s="27" t="str">
        <x:f>'Inputs_Trades'!B214</x:f>
        <x:v>IND_CORPORATE_002</x:v>
      </x:c>
      <x:c r="C214" s="27" t="n">
        <x:f>'Inputs_Trades'!C214</x:f>
        <x:v>3130</x:v>
      </x:c>
      <x:c r="D214" s="27" t="str">
        <x:f>'Inputs_Trades'!E214</x:f>
        <x:v>Precious Metal Swap</x:v>
      </x:c>
      <x:c r="E214" s="27" t="str">
        <x:f>'Inputs_Trades'!F214</x:f>
        <x:v>Commodity</x:v>
      </x:c>
      <x:c r="F214" s="27" t="str">
        <x:f>'Inputs_Trades'!G214</x:f>
        <x:v>Gold</x:v>
      </x:c>
      <x:c r="G214" s="27" t="str">
        <x:f>'Inputs_Trades'!J214</x:f>
        <x:v>USD</x:v>
      </x:c>
      <x:c r="H214" s="27" t="str">
        <x:f>'Inputs_Trades'!H214</x:f>
        <x:v>XAU</x:v>
      </x:c>
      <x:c r="I214" s="27" t="str">
        <x:f>'Inputs_Trades'!I214</x:f>
        <x:v>USD</x:v>
      </x:c>
      <x:c r="J214" s="27" t="str">
        <x:f>'Inputs_Trades'!M214</x:f>
        <x:v>XAU/USD</x:v>
      </x:c>
      <x:c r="K214" s="27" t="n">
        <x:f>'Inputs_Trades'!N214</x:f>
        <x:v>0</x:v>
      </x:c>
      <x:c r="L214" s="27" t="n">
        <x:f>'Inputs_Trades'!O214</x:f>
        <x:v>0</x:v>
      </x:c>
      <x:c r="M214" s="39" t="n">
        <x:f>'Inputs_Trades'!A214</x:f>
        <x:v>45702</x:v>
      </x:c>
      <x:c r="N214" s="39" t="n">
        <x:f>'Inputs_Trades'!P214</x:f>
        <x:v>46591</x:v>
      </x:c>
      <x:c r="O214" s="39" t="n">
        <x:f>'Inputs_Trades'!Q214</x:f>
        <x:v>45165</x:v>
      </x:c>
      <x:c r="P214" s="39" t="n">
        <x:f>'Inputs_Trades'!R214</x:f>
        <x:v>46591</x:v>
      </x:c>
      <x:c r="Q214" s="40" t="n">
        <x:f>'Inputs_Trades'!U214</x:f>
        <x:v>9000000</x:v>
      </x:c>
      <x:c r="R214" s="40" t="n">
        <x:f>'Inputs_Trades'!S214</x:f>
        <x:v>4500</x:v>
      </x:c>
      <x:c r="S214" s="40" t="n">
        <x:f>'Inputs_Trades'!T214</x:f>
        <x:v>9000000</x:v>
      </x:c>
      <x:c r="T214" s="27" t="str">
        <x:f>'Inputs_Trades'!V214</x:f>
        <x:v>U</x:v>
      </x:c>
      <x:c r="U214" s="27" t="str">
        <x:f>'Inputs_Trades'!W214</x:f>
        <x:v>N</x:v>
      </x:c>
      <x:c r="V214" s="27" t="n">
        <x:f>'Inputs_Trades'!X214</x:f>
        <x:v>0</x:v>
      </x:c>
      <x:c r="W214" s="27" t="str">
        <x:f>'Inputs_Trades'!Y214</x:f>
        <x:v>B</x:v>
      </x:c>
      <x:c r="X214" s="27" t="n">
        <x:f>'Inputs_Trades'!AA214</x:f>
        <x:v>0</x:v>
      </x:c>
      <x:c r="Y214" s="27" t="n">
        <x:f>'Inputs_Trades'!AB214</x:f>
        <x:v>0</x:v>
      </x:c>
      <x:c r="Z214" s="27" t="n">
        <x:f>'Inputs_Trades'!AC214</x:f>
        <x:v>0</x:v>
      </x:c>
      <x:c r="AA214" s="39" t="n">
        <x:f>'Inputs_Trades'!Z214</x:f>
        <x:v>0</x:v>
      </x:c>
      <x:c r="AB214" s="40" t="n">
        <x:f>'Inputs_Trades'!AD214</x:f>
        <x:v>140400</x:v>
      </x:c>
      <x:c r="AC214" s="27" t="n">
        <x:f>'Inputs_Trades'!K214</x:f>
        <x:v>0</x:v>
      </x:c>
      <x:c r="AD214" s="27" t="n">
        <x:f>N214-M214</x:f>
        <x:v>889</x:v>
      </x:c>
      <x:c r="AE214" s="41" t="n">
        <x:f>AD214/365</x:f>
        <x:v>2.4356164383561643</x:v>
      </x:c>
      <x:c r="AF214" s="27" t="str">
        <x:f>IF(AE214&lt;1,"&lt;1Y",IF(AE214&lt;=5,"1Y-5Y","&gt;5Y"))</x:f>
        <x:v>1Y-5Y</x:v>
      </x:c>
      <x:c r="AG214" s="27" t="str">
        <x:f>IF(E214="Commodity",IFERROR(VLOOKUP(F214,Parameters!$P$4:$Q$12,2,FALSE),"Other"),"")</x:f>
        <x:v>Metals</x:v>
      </x:c>
      <x:c r="AH214" s="27" t="str">
        <x:f>IF(F214="","Unknown",F214)</x:f>
        <x:v>Gold</x:v>
      </x:c>
      <x:c r="AI214" s="27" t="str">
        <x:f>IF(E214="Interest Rate",G214&amp;IF(OR(LOWER(AC214)="basis",LOWER(AC214)="volatility"),"_"&amp;AC214,""),IF(E214="FX",IF(H214&lt;I214,H214&amp;"/"&amp;I214,I214&amp;"/"&amp;H214)&amp;IF(OR(LOWER(AC214)="basis",LOWER(AC214)="volatility"),"_"&amp;AC214,""),IF(OR(E214="Credit",E214="Equity"),J214&amp;IF(OR(LOWER(AC214)="basis",LOWER(AC214)="volatility"),"_"&amp;AC214,""),IF(E214="Commodity",AG214&amp;IF(OR(LOWER(AC214)="basis",LOWER(AC214)="volatility"),"_"&amp;AC214,""),"UNKNOWN"))))</x:f>
        <x:v>Metals</x:v>
      </x:c>
      <x:c r="AJ214" s="27" t="str">
        <x:f>T214</x:f>
        <x:v>U</x:v>
      </x:c>
      <x:c r="AK214" s="41" t="n">
        <x:f>IF(E214="Interest Rate",VLOOKUP("Interest Rate",Parameters!$D$4:$E$12,2,FALSE),IF(E214="FX",VLOOKUP("FX",Parameters!$D$4:$E$12,2,FALSE),IF(E214="Credit",IFERROR(VLOOKUP(L214,Parameters!$G$4:$H$12,2,FALSE),VLOOKUP("BBB",Parameters!$G$4:$H$12,2,FALSE)),IF(E214="Equity",VLOOKUP(IF(LOWER(K214)="index","Equity Index","Equity Single Name"),Parameters!$D$4:$E$12,2,FALSE),IF(E214="Commodity",VLOOKUP(IFERROR(VLOOKUP(F214,Parameters!$S$4:$T$12,2,FALSE),"Commodity Other"),Parameters!$D$4:$E$12,2,FALSE),0)))))</x:f>
        <x:v>0.18</x:v>
      </x:c>
      <x:c r="AL214" s="42" t="n">
        <x:f>IF(LOWER(AC214)="basis",Parameters!$B$8,IF(LOWER(AC214)="volatility",Parameters!$B$9,1))</x:f>
        <x:v>1</x:v>
      </x:c>
      <x:c r="AM214" s="41" t="n">
        <x:f>AK214*AL214</x:f>
        <x:v>0.18</x:v>
      </x:c>
      <x:c r="AN214" s="42" t="n">
        <x:f>IF(E214="Credit",VLOOKUP(IF(LOWER(K214)="index","Credit Index","Credit Single Name"),Parameters!$J$4:$K$8,2,FALSE),IF(E214="Equity",VLOOKUP(IF(LOWER(K214)="index","Equity Index","Equity Single Name"),Parameters!$J$4:$K$8,2,FALSE),IF(E214="Commodity",VLOOKUP("Commodity",Parameters!$J$4:$K$8,2,FALSE),"")))</x:f>
        <x:v>0.4</x:v>
      </x:c>
      <x:c r="AO214" s="27" t="n">
        <x:f>MAX((O214-M214)/365,0)</x:f>
        <x:v>0</x:v>
      </x:c>
      <x:c r="AP214" s="27" t="n">
        <x:f>MAX((P214-M214)/365,10/Parameters!$B$6)</x:f>
        <x:v>2.4356164383561643</x:v>
      </x:c>
      <x:c r="AQ214" s="27" t="n">
        <x:f>IF(AP214&lt;=AO214,AO214+10/Parameters!$B$6,AP214)</x:f>
        <x:v>2.4356164383561643</x:v>
      </x:c>
      <x:c r="AR214" s="41" t="n">
        <x:f>IF(OR(E214="Interest Rate",E214="Credit"),(EXP(-Parameters!$B$7*AO214)-EXP(-Parameters!$B$7*AQ214))/Parameters!$B$7,1)</x:f>
        <x:v>1</x:v>
      </x:c>
      <x:c r="AS214" s="40" t="n">
        <x:f>IF(OR(E214="Interest Rate",E214="Credit"),ABS(Q214)*AR214,IF(E214="FX",IF(Q214&gt;0,Q214,MAX(ABS(R214),ABS(S214),ABS(Q214))),ABS(Q214)))</x:f>
        <x:v>9000000</x:v>
      </x:c>
      <x:c r="AT214" s="42" t="n">
        <x:f>IF(OR(E214="Interest Rate",E214="FX"),VLOOKUP(E214,Parameters!$M$4:$N$11,2,FALSE),IF(E214="Credit",VLOOKUP(IF(LOWER(K214)="index","Credit Index","Credit Single Name"),Parameters!$M$4:$N$11,2,FALSE),IF(E214="Equity",VLOOKUP(IF(LOWER(K214)="index","Equity Index","Equity Single Name"),Parameters!$M$4:$N$11,2,FALSE),IF(E214="Commodity",VLOOKUP(IF(F214="Electricity","Commodity Electricity","Commodity Other"),Parameters!$M$4:$N$11,2,FALSE),1))))</x:f>
        <x:v>0.7</x:v>
      </x:c>
      <x:c r="AU214" s="27" t="n">
        <x:f>IF(W214="B",1,-1)</x:f>
        <x:v>1</x:v>
      </x:c>
      <x:c r="AV214" s="27" t="n">
        <x:f>IF(OR(AA214="",M214=""),MAX(AE214,1/365),MAX((AA214-M214)/365,1/365))</x:f>
        <x:v>2.4356164383561643</x:v>
      </x:c>
      <x:c r="AW214" s="41" t="str">
        <x:f>IF(OR(Z214&lt;=0,Y214&lt;=0,AT214&lt;=0,AV214&lt;=0),"",(LN(Z214/Y214)+0.5*AT214^2*AV214)/(AT214*SQRT(AV214)))</x:f>
      </x:c>
      <x:c r="AX214" s="41" t="n">
        <x:f>IF(AND(X214&lt;&gt;"C",X214&lt;&gt;"P"),AU214,IF(AW214="",AU214,IF(X214="C",AU214*0.5*(1+ERF(AW214/SQRT(2))),-AU214*0.5*(1+ERF(-AW214/SQRT(2))))))</x:f>
        <x:v>1</x:v>
      </x:c>
      <x:c r="AY214" s="41" t="n">
        <x:f>IF(AJ214="M",1.5*SQRT(MAX(IF(U214="Y",5,10),IF(V214="",10,V214))/Parameters!$B$6),SQRT(MIN(MAX(AE214,10/Parameters!$B$6),1)))</x:f>
        <x:v>1</x:v>
      </x:c>
      <x:c r="AZ214" s="40" t="n">
        <x:f>AS214*AX214*AY214</x:f>
        <x:v>9000000</x:v>
      </x:c>
      <x:c r="BA214" s="40" t="n">
        <x:f>'Python_Trade_Output'!AZ214</x:f>
        <x:v>9000000</x:v>
      </x:c>
      <x:c r="BB214" s="43" t="n">
        <x:f>AZ214-BA214</x:f>
        <x:v>0</x:v>
      </x:c>
    </x:row>
    <x:row r="215">
      <x:c r="A215" s="27" t="str">
        <x:f>'Inputs_Trades'!D215</x:f>
        <x:v>IND-000212</x:v>
      </x:c>
      <x:c r="B215" s="27" t="str">
        <x:f>'Inputs_Trades'!B215</x:f>
        <x:v>IND_CLEARING_MEMBER_001</x:v>
      </x:c>
      <x:c r="C215" s="27" t="n">
        <x:f>'Inputs_Trades'!C215</x:f>
        <x:v>3340</x:v>
      </x:c>
      <x:c r="D215" s="27" t="str">
        <x:f>'Inputs_Trades'!E215</x:f>
        <x:v>Precious Metal Swap</x:v>
      </x:c>
      <x:c r="E215" s="27" t="str">
        <x:f>'Inputs_Trades'!F215</x:f>
        <x:v>Commodity</x:v>
      </x:c>
      <x:c r="F215" s="27" t="str">
        <x:f>'Inputs_Trades'!G215</x:f>
        <x:v>Gold</x:v>
      </x:c>
      <x:c r="G215" s="27" t="str">
        <x:f>'Inputs_Trades'!J215</x:f>
        <x:v>USD</x:v>
      </x:c>
      <x:c r="H215" s="27" t="str">
        <x:f>'Inputs_Trades'!H215</x:f>
        <x:v>XAU</x:v>
      </x:c>
      <x:c r="I215" s="27" t="str">
        <x:f>'Inputs_Trades'!I215</x:f>
        <x:v>USD</x:v>
      </x:c>
      <x:c r="J215" s="27" t="str">
        <x:f>'Inputs_Trades'!M215</x:f>
        <x:v>XAU/USD</x:v>
      </x:c>
      <x:c r="K215" s="27" t="n">
        <x:f>'Inputs_Trades'!N215</x:f>
        <x:v>0</x:v>
      </x:c>
      <x:c r="L215" s="27" t="n">
        <x:f>'Inputs_Trades'!O215</x:f>
        <x:v>0</x:v>
      </x:c>
      <x:c r="M215" s="39" t="n">
        <x:f>'Inputs_Trades'!A215</x:f>
        <x:v>45702</x:v>
      </x:c>
      <x:c r="N215" s="39" t="n">
        <x:f>'Inputs_Trades'!P215</x:f>
        <x:v>46779</x:v>
      </x:c>
      <x:c r="O215" s="39" t="n">
        <x:f>'Inputs_Trades'!Q215</x:f>
        <x:v>45479</x:v>
      </x:c>
      <x:c r="P215" s="39" t="n">
        <x:f>'Inputs_Trades'!R215</x:f>
        <x:v>46779</x:v>
      </x:c>
      <x:c r="Q215" s="40" t="n">
        <x:f>'Inputs_Trades'!U215</x:f>
        <x:v>3000000</x:v>
      </x:c>
      <x:c r="R215" s="40" t="n">
        <x:f>'Inputs_Trades'!S215</x:f>
        <x:v>1500</x:v>
      </x:c>
      <x:c r="S215" s="40" t="n">
        <x:f>'Inputs_Trades'!T215</x:f>
        <x:v>3000000</x:v>
      </x:c>
      <x:c r="T215" s="27" t="str">
        <x:f>'Inputs_Trades'!V215</x:f>
        <x:v>M</x:v>
      </x:c>
      <x:c r="U215" s="27" t="str">
        <x:f>'Inputs_Trades'!W215</x:f>
        <x:v>N</x:v>
      </x:c>
      <x:c r="V215" s="27" t="n">
        <x:f>'Inputs_Trades'!X215</x:f>
        <x:v>10</x:v>
      </x:c>
      <x:c r="W215" s="27" t="str">
        <x:f>'Inputs_Trades'!Y215</x:f>
        <x:v>S</x:v>
      </x:c>
      <x:c r="X215" s="27" t="n">
        <x:f>'Inputs_Trades'!AA215</x:f>
        <x:v>0</x:v>
      </x:c>
      <x:c r="Y215" s="27" t="n">
        <x:f>'Inputs_Trades'!AB215</x:f>
        <x:v>0</x:v>
      </x:c>
      <x:c r="Z215" s="27" t="n">
        <x:f>'Inputs_Trades'!AC215</x:f>
        <x:v>0</x:v>
      </x:c>
      <x:c r="AA215" s="39" t="n">
        <x:f>'Inputs_Trades'!Z215</x:f>
        <x:v>0</x:v>
      </x:c>
      <x:c r="AB215" s="40" t="n">
        <x:f>'Inputs_Trades'!AD215</x:f>
        <x:v>44190</x:v>
      </x:c>
      <x:c r="AC215" s="27" t="n">
        <x:f>'Inputs_Trades'!K215</x:f>
        <x:v>0</x:v>
      </x:c>
      <x:c r="AD215" s="27" t="n">
        <x:f>N215-M215</x:f>
        <x:v>1077</x:v>
      </x:c>
      <x:c r="AE215" s="41" t="n">
        <x:f>AD215/365</x:f>
        <x:v>2.9506849315068493</x:v>
      </x:c>
      <x:c r="AF215" s="27" t="str">
        <x:f>IF(AE215&lt;1,"&lt;1Y",IF(AE215&lt;=5,"1Y-5Y","&gt;5Y"))</x:f>
        <x:v>1Y-5Y</x:v>
      </x:c>
      <x:c r="AG215" s="27" t="str">
        <x:f>IF(E215="Commodity",IFERROR(VLOOKUP(F215,Parameters!$P$4:$Q$12,2,FALSE),"Other"),"")</x:f>
        <x:v>Metals</x:v>
      </x:c>
      <x:c r="AH215" s="27" t="str">
        <x:f>IF(F215="","Unknown",F215)</x:f>
        <x:v>Gold</x:v>
      </x:c>
      <x:c r="AI215" s="27" t="str">
        <x:f>IF(E215="Interest Rate",G215&amp;IF(OR(LOWER(AC215)="basis",LOWER(AC215)="volatility"),"_"&amp;AC215,""),IF(E215="FX",IF(H215&lt;I215,H215&amp;"/"&amp;I215,I215&amp;"/"&amp;H215)&amp;IF(OR(LOWER(AC215)="basis",LOWER(AC215)="volatility"),"_"&amp;AC215,""),IF(OR(E215="Credit",E215="Equity"),J215&amp;IF(OR(LOWER(AC215)="basis",LOWER(AC215)="volatility"),"_"&amp;AC215,""),IF(E215="Commodity",AG215&amp;IF(OR(LOWER(AC215)="basis",LOWER(AC215)="volatility"),"_"&amp;AC215,""),"UNKNOWN"))))</x:f>
        <x:v>Metals</x:v>
      </x:c>
      <x:c r="AJ215" s="27" t="str">
        <x:f>T215</x:f>
        <x:v>M</x:v>
      </x:c>
      <x:c r="AK215" s="41" t="n">
        <x:f>IF(E215="Interest Rate",VLOOKUP("Interest Rate",Parameters!$D$4:$E$12,2,FALSE),IF(E215="FX",VLOOKUP("FX",Parameters!$D$4:$E$12,2,FALSE),IF(E215="Credit",IFERROR(VLOOKUP(L215,Parameters!$G$4:$H$12,2,FALSE),VLOOKUP("BBB",Parameters!$G$4:$H$12,2,FALSE)),IF(E215="Equity",VLOOKUP(IF(LOWER(K215)="index","Equity Index","Equity Single Name"),Parameters!$D$4:$E$12,2,FALSE),IF(E215="Commodity",VLOOKUP(IFERROR(VLOOKUP(F215,Parameters!$S$4:$T$12,2,FALSE),"Commodity Other"),Parameters!$D$4:$E$12,2,FALSE),0)))))</x:f>
        <x:v>0.18</x:v>
      </x:c>
      <x:c r="AL215" s="42" t="n">
        <x:f>IF(LOWER(AC215)="basis",Parameters!$B$8,IF(LOWER(AC215)="volatility",Parameters!$B$9,1))</x:f>
        <x:v>1</x:v>
      </x:c>
      <x:c r="AM215" s="41" t="n">
        <x:f>AK215*AL215</x:f>
        <x:v>0.18</x:v>
      </x:c>
      <x:c r="AN215" s="42" t="n">
        <x:f>IF(E215="Credit",VLOOKUP(IF(LOWER(K215)="index","Credit Index","Credit Single Name"),Parameters!$J$4:$K$8,2,FALSE),IF(E215="Equity",VLOOKUP(IF(LOWER(K215)="index","Equity Index","Equity Single Name"),Parameters!$J$4:$K$8,2,FALSE),IF(E215="Commodity",VLOOKUP("Commodity",Parameters!$J$4:$K$8,2,FALSE),"")))</x:f>
        <x:v>0.4</x:v>
      </x:c>
      <x:c r="AO215" s="27" t="n">
        <x:f>MAX((O215-M215)/365,0)</x:f>
        <x:v>0</x:v>
      </x:c>
      <x:c r="AP215" s="27" t="n">
        <x:f>MAX((P215-M215)/365,10/Parameters!$B$6)</x:f>
        <x:v>2.9506849315068493</x:v>
      </x:c>
      <x:c r="AQ215" s="27" t="n">
        <x:f>IF(AP215&lt;=AO215,AO215+10/Parameters!$B$6,AP215)</x:f>
        <x:v>2.9506849315068493</x:v>
      </x:c>
      <x:c r="AR215" s="41" t="n">
        <x:f>IF(OR(E215="Interest Rate",E215="Credit"),(EXP(-Parameters!$B$7*AO215)-EXP(-Parameters!$B$7*AQ215))/Parameters!$B$7,1)</x:f>
        <x:v>1</x:v>
      </x:c>
      <x:c r="AS215" s="40" t="n">
        <x:f>IF(OR(E215="Interest Rate",E215="Credit"),ABS(Q215)*AR215,IF(E215="FX",IF(Q215&gt;0,Q215,MAX(ABS(R215),ABS(S215),ABS(Q215))),ABS(Q215)))</x:f>
        <x:v>3000000</x:v>
      </x:c>
      <x:c r="AT215" s="42" t="n">
        <x:f>IF(OR(E215="Interest Rate",E215="FX"),VLOOKUP(E215,Parameters!$M$4:$N$11,2,FALSE),IF(E215="Credit",VLOOKUP(IF(LOWER(K215)="index","Credit Index","Credit Single Name"),Parameters!$M$4:$N$11,2,FALSE),IF(E215="Equity",VLOOKUP(IF(LOWER(K215)="index","Equity Index","Equity Single Name"),Parameters!$M$4:$N$11,2,FALSE),IF(E215="Commodity",VLOOKUP(IF(F215="Electricity","Commodity Electricity","Commodity Other"),Parameters!$M$4:$N$11,2,FALSE),1))))</x:f>
        <x:v>0.7</x:v>
      </x:c>
      <x:c r="AU215" s="27" t="n">
        <x:f>IF(W215="B",1,-1)</x:f>
        <x:v>-1</x:v>
      </x:c>
      <x:c r="AV215" s="27" t="n">
        <x:f>IF(OR(AA215="",M215=""),MAX(AE215,1/365),MAX((AA215-M215)/365,1/365))</x:f>
        <x:v>2.9506849315068493</x:v>
      </x:c>
      <x:c r="AW215" s="41" t="str">
        <x:f>IF(OR(Z215&lt;=0,Y215&lt;=0,AT215&lt;=0,AV215&lt;=0),"",(LN(Z215/Y215)+0.5*AT215^2*AV215)/(AT215*SQRT(AV215)))</x:f>
      </x:c>
      <x:c r="AX215" s="41" t="n">
        <x:f>IF(AND(X215&lt;&gt;"C",X215&lt;&gt;"P"),AU215,IF(AW215="",AU215,IF(X215="C",AU215*0.5*(1+ERF(AW215/SQRT(2))),-AU215*0.5*(1+ERF(-AW215/SQRT(2))))))</x:f>
        <x:v>-1</x:v>
      </x:c>
      <x:c r="AY215" s="41" t="n">
        <x:f>IF(AJ215="M",1.5*SQRT(MAX(IF(U215="Y",5,10),IF(V215="",10,V215))/Parameters!$B$6),SQRT(MIN(MAX(AE215,10/Parameters!$B$6),1)))</x:f>
        <x:v>0.30000000000000004</x:v>
      </x:c>
      <x:c r="AZ215" s="40" t="n">
        <x:f>AS215*AX215*AY215</x:f>
        <x:v>-900000.0000000001</x:v>
      </x:c>
      <x:c r="BA215" s="40" t="n">
        <x:f>'Python_Trade_Output'!AZ215</x:f>
        <x:v>-900000.0000000001</x:v>
      </x:c>
      <x:c r="BB215" s="43" t="n">
        <x:f>AZ215-BA215</x:f>
        <x:v>0</x:v>
      </x:c>
    </x:row>
    <x:row r="216">
      <x:c r="A216" s="27" t="str">
        <x:f>'Inputs_Trades'!D216</x:f>
        <x:v>IND-000213</x:v>
      </x:c>
      <x:c r="B216" s="27" t="str">
        <x:f>'Inputs_Trades'!B216</x:f>
        <x:v>IND_HEDGE_FUND_001</x:v>
      </x:c>
      <x:c r="C216" s="27" t="n">
        <x:f>'Inputs_Trades'!C216</x:f>
        <x:v>3109</x:v>
      </x:c>
      <x:c r="D216" s="27" t="str">
        <x:f>'Inputs_Trades'!E216</x:f>
        <x:v>Commodity Option</x:v>
      </x:c>
      <x:c r="E216" s="27" t="str">
        <x:f>'Inputs_Trades'!F216</x:f>
        <x:v>Commodity</x:v>
      </x:c>
      <x:c r="F216" s="27" t="str">
        <x:f>'Inputs_Trades'!G216</x:f>
        <x:v>Gold</x:v>
      </x:c>
      <x:c r="G216" s="27" t="str">
        <x:f>'Inputs_Trades'!J216</x:f>
        <x:v>CNY</x:v>
      </x:c>
      <x:c r="H216" s="27" t="str">
        <x:f>'Inputs_Trades'!H216</x:f>
        <x:v>XAU</x:v>
      </x:c>
      <x:c r="I216" s="27" t="str">
        <x:f>'Inputs_Trades'!I216</x:f>
        <x:v>CNY</x:v>
      </x:c>
      <x:c r="J216" s="27" t="str">
        <x:f>'Inputs_Trades'!M216</x:f>
        <x:v>XAU/CNY</x:v>
      </x:c>
      <x:c r="K216" s="27" t="n">
        <x:f>'Inputs_Trades'!N216</x:f>
        <x:v>0</x:v>
      </x:c>
      <x:c r="L216" s="27" t="n">
        <x:f>'Inputs_Trades'!O216</x:f>
        <x:v>0</x:v>
      </x:c>
      <x:c r="M216" s="39" t="n">
        <x:f>'Inputs_Trades'!A216</x:f>
        <x:v>45702</x:v>
      </x:c>
      <x:c r="N216" s="39" t="n">
        <x:f>'Inputs_Trades'!P216</x:f>
        <x:v>47401</x:v>
      </x:c>
      <x:c r="O216" s="39" t="n">
        <x:f>'Inputs_Trades'!Q216</x:f>
        <x:v>44986</x:v>
      </x:c>
      <x:c r="P216" s="39" t="n">
        <x:f>'Inputs_Trades'!R216</x:f>
        <x:v>47401</x:v>
      </x:c>
      <x:c r="Q216" s="40" t="n">
        <x:f>'Inputs_Trades'!U216</x:f>
        <x:v>51000000</x:v>
      </x:c>
      <x:c r="R216" s="40" t="n">
        <x:f>'Inputs_Trades'!S216</x:f>
        <x:v>25500</x:v>
      </x:c>
      <x:c r="S216" s="40" t="n">
        <x:f>'Inputs_Trades'!T216</x:f>
        <x:v>364285714.29</x:v>
      </x:c>
      <x:c r="T216" s="27" t="str">
        <x:f>'Inputs_Trades'!V216</x:f>
        <x:v>M</x:v>
      </x:c>
      <x:c r="U216" s="27" t="str">
        <x:f>'Inputs_Trades'!W216</x:f>
        <x:v>N</x:v>
      </x:c>
      <x:c r="V216" s="27" t="n">
        <x:f>'Inputs_Trades'!X216</x:f>
        <x:v>10</x:v>
      </x:c>
      <x:c r="W216" s="27" t="str">
        <x:f>'Inputs_Trades'!Y216</x:f>
        <x:v>B</x:v>
      </x:c>
      <x:c r="X216" s="27" t="str">
        <x:f>'Inputs_Trades'!AA216</x:f>
        <x:v>P</x:v>
      </x:c>
      <x:c r="Y216" s="27" t="n">
        <x:f>'Inputs_Trades'!AB216</x:f>
        <x:v>2041.8</x:v>
      </x:c>
      <x:c r="Z216" s="27" t="n">
        <x:f>'Inputs_Trades'!AC216</x:f>
        <x:v>2050</x:v>
      </x:c>
      <x:c r="AA216" s="39" t="n">
        <x:f>'Inputs_Trades'!Z216</x:f>
        <x:v>46976</x:v>
      </x:c>
      <x:c r="AB216" s="40" t="n">
        <x:f>'Inputs_Trades'!AD216</x:f>
        <x:v>2047140</x:v>
      </x:c>
      <x:c r="AC216" s="27" t="n">
        <x:f>'Inputs_Trades'!K216</x:f>
        <x:v>0</x:v>
      </x:c>
      <x:c r="AD216" s="27" t="n">
        <x:f>N216-M216</x:f>
        <x:v>1699</x:v>
      </x:c>
      <x:c r="AE216" s="41" t="n">
        <x:f>AD216/365</x:f>
        <x:v>4.654794520547945</x:v>
      </x:c>
      <x:c r="AF216" s="27" t="str">
        <x:f>IF(AE216&lt;1,"&lt;1Y",IF(AE216&lt;=5,"1Y-5Y","&gt;5Y"))</x:f>
        <x:v>1Y-5Y</x:v>
      </x:c>
      <x:c r="AG216" s="27" t="str">
        <x:f>IF(E216="Commodity",IFERROR(VLOOKUP(F216,Parameters!$P$4:$Q$12,2,FALSE),"Other"),"")</x:f>
        <x:v>Metals</x:v>
      </x:c>
      <x:c r="AH216" s="27" t="str">
        <x:f>IF(F216="","Unknown",F216)</x:f>
        <x:v>Gold</x:v>
      </x:c>
      <x:c r="AI216" s="27" t="str">
        <x:f>IF(E216="Interest Rate",G216&amp;IF(OR(LOWER(AC216)="basis",LOWER(AC216)="volatility"),"_"&amp;AC216,""),IF(E216="FX",IF(H216&lt;I216,H216&amp;"/"&amp;I216,I216&amp;"/"&amp;H216)&amp;IF(OR(LOWER(AC216)="basis",LOWER(AC216)="volatility"),"_"&amp;AC216,""),IF(OR(E216="Credit",E216="Equity"),J216&amp;IF(OR(LOWER(AC216)="basis",LOWER(AC216)="volatility"),"_"&amp;AC216,""),IF(E216="Commodity",AG216&amp;IF(OR(LOWER(AC216)="basis",LOWER(AC216)="volatility"),"_"&amp;AC216,""),"UNKNOWN"))))</x:f>
        <x:v>Metals</x:v>
      </x:c>
      <x:c r="AJ216" s="27" t="str">
        <x:f>T216</x:f>
        <x:v>M</x:v>
      </x:c>
      <x:c r="AK216" s="41" t="n">
        <x:f>IF(E216="Interest Rate",VLOOKUP("Interest Rate",Parameters!$D$4:$E$12,2,FALSE),IF(E216="FX",VLOOKUP("FX",Parameters!$D$4:$E$12,2,FALSE),IF(E216="Credit",IFERROR(VLOOKUP(L216,Parameters!$G$4:$H$12,2,FALSE),VLOOKUP("BBB",Parameters!$G$4:$H$12,2,FALSE)),IF(E216="Equity",VLOOKUP(IF(LOWER(K216)="index","Equity Index","Equity Single Name"),Parameters!$D$4:$E$12,2,FALSE),IF(E216="Commodity",VLOOKUP(IFERROR(VLOOKUP(F216,Parameters!$S$4:$T$12,2,FALSE),"Commodity Other"),Parameters!$D$4:$E$12,2,FALSE),0)))))</x:f>
        <x:v>0.18</x:v>
      </x:c>
      <x:c r="AL216" s="42" t="n">
        <x:f>IF(LOWER(AC216)="basis",Parameters!$B$8,IF(LOWER(AC216)="volatility",Parameters!$B$9,1))</x:f>
        <x:v>1</x:v>
      </x:c>
      <x:c r="AM216" s="41" t="n">
        <x:f>AK216*AL216</x:f>
        <x:v>0.18</x:v>
      </x:c>
      <x:c r="AN216" s="42" t="n">
        <x:f>IF(E216="Credit",VLOOKUP(IF(LOWER(K216)="index","Credit Index","Credit Single Name"),Parameters!$J$4:$K$8,2,FALSE),IF(E216="Equity",VLOOKUP(IF(LOWER(K216)="index","Equity Index","Equity Single Name"),Parameters!$J$4:$K$8,2,FALSE),IF(E216="Commodity",VLOOKUP("Commodity",Parameters!$J$4:$K$8,2,FALSE),"")))</x:f>
        <x:v>0.4</x:v>
      </x:c>
      <x:c r="AO216" s="27" t="n">
        <x:f>MAX((O216-M216)/365,0)</x:f>
        <x:v>0</x:v>
      </x:c>
      <x:c r="AP216" s="27" t="n">
        <x:f>MAX((P216-M216)/365,10/Parameters!$B$6)</x:f>
        <x:v>4.654794520547945</x:v>
      </x:c>
      <x:c r="AQ216" s="27" t="n">
        <x:f>IF(AP216&lt;=AO216,AO216+10/Parameters!$B$6,AP216)</x:f>
        <x:v>4.654794520547945</x:v>
      </x:c>
      <x:c r="AR216" s="41" t="n">
        <x:f>IF(OR(E216="Interest Rate",E216="Credit"),(EXP(-Parameters!$B$7*AO216)-EXP(-Parameters!$B$7*AQ216))/Parameters!$B$7,1)</x:f>
        <x:v>1</x:v>
      </x:c>
      <x:c r="AS216" s="40" t="n">
        <x:f>IF(OR(E216="Interest Rate",E216="Credit"),ABS(Q216)*AR216,IF(E216="FX",IF(Q216&gt;0,Q216,MAX(ABS(R216),ABS(S216),ABS(Q216))),ABS(Q216)))</x:f>
        <x:v>51000000</x:v>
      </x:c>
      <x:c r="AT216" s="42" t="n">
        <x:f>IF(OR(E216="Interest Rate",E216="FX"),VLOOKUP(E216,Parameters!$M$4:$N$11,2,FALSE),IF(E216="Credit",VLOOKUP(IF(LOWER(K216)="index","Credit Index","Credit Single Name"),Parameters!$M$4:$N$11,2,FALSE),IF(E216="Equity",VLOOKUP(IF(LOWER(K216)="index","Equity Index","Equity Single Name"),Parameters!$M$4:$N$11,2,FALSE),IF(E216="Commodity",VLOOKUP(IF(F216="Electricity","Commodity Electricity","Commodity Other"),Parameters!$M$4:$N$11,2,FALSE),1))))</x:f>
        <x:v>0.7</x:v>
      </x:c>
      <x:c r="AU216" s="27" t="n">
        <x:f>IF(W216="B",1,-1)</x:f>
        <x:v>1</x:v>
      </x:c>
      <x:c r="AV216" s="27" t="n">
        <x:f>IF(OR(AA216="",M216=""),MAX(AE216,1/365),MAX((AA216-M216)/365,1/365))</x:f>
        <x:v>3.4904109589041097</x:v>
      </x:c>
      <x:c r="AW216" s="41" t="n">
        <x:f>IF(OR(Z216&lt;=0,Y216&lt;=0,AT216&lt;=0,AV216&lt;=0),"",(LN(Z216/Y216)+0.5*AT216^2*AV216)/(AT216*SQRT(AV216)))</x:f>
        <x:v>0.6569571953314135</x:v>
      </x:c>
      <x:c r="AX216" s="41" t="n">
        <x:f>IF(AND(X216&lt;&gt;"C",X216&lt;&gt;"P"),AU216,IF(AW216="",AU216,IF(X216="C",AU216*0.5*(1+ERF(AW216/SQRT(2))),-AU216*0.5*(1+ERF(-AW216/SQRT(2))))))</x:f>
        <x:v>-0.2556042200529316</x:v>
      </x:c>
      <x:c r="AY216" s="41" t="n">
        <x:f>IF(AJ216="M",1.5*SQRT(MAX(IF(U216="Y",5,10),IF(V216="",10,V216))/Parameters!$B$6),SQRT(MIN(MAX(AE216,10/Parameters!$B$6),1)))</x:f>
        <x:v>0.30000000000000004</x:v>
      </x:c>
      <x:c r="AZ216" s="40" t="n">
        <x:f>AS216*AX216*AY216</x:f>
        <x:v>-3910744.566809854</x:v>
      </x:c>
      <x:c r="BA216" s="40" t="n">
        <x:f>'Python_Trade_Output'!AZ216</x:f>
        <x:v>-3910744.566809854</x:v>
      </x:c>
      <x:c r="BB216" s="43" t="n">
        <x:f>AZ216-BA216</x:f>
        <x:v>0</x:v>
      </x:c>
    </x:row>
    <x:row r="217">
      <x:c r="A217" s="27" t="str">
        <x:f>'Inputs_Trades'!D217</x:f>
        <x:v>IND-000214</x:v>
      </x:c>
      <x:c r="B217" s="27" t="str">
        <x:f>'Inputs_Trades'!B217</x:f>
        <x:v>IND_ASSET_MANAGER_001</x:v>
      </x:c>
      <x:c r="C217" s="27" t="n">
        <x:f>'Inputs_Trades'!C217</x:f>
        <x:v>3331</x:v>
      </x:c>
      <x:c r="D217" s="27" t="str">
        <x:f>'Inputs_Trades'!E217</x:f>
        <x:v>Commodity Option</x:v>
      </x:c>
      <x:c r="E217" s="27" t="str">
        <x:f>'Inputs_Trades'!F217</x:f>
        <x:v>Commodity</x:v>
      </x:c>
      <x:c r="F217" s="27" t="str">
        <x:f>'Inputs_Trades'!G217</x:f>
        <x:v>Gold</x:v>
      </x:c>
      <x:c r="G217" s="27" t="str">
        <x:f>'Inputs_Trades'!J217</x:f>
        <x:v>USD</x:v>
      </x:c>
      <x:c r="H217" s="27" t="str">
        <x:f>'Inputs_Trades'!H217</x:f>
        <x:v>XAU</x:v>
      </x:c>
      <x:c r="I217" s="27" t="str">
        <x:f>'Inputs_Trades'!I217</x:f>
        <x:v>USD</x:v>
      </x:c>
      <x:c r="J217" s="27" t="str">
        <x:f>'Inputs_Trades'!M217</x:f>
        <x:v>XAU/USD</x:v>
      </x:c>
      <x:c r="K217" s="27" t="n">
        <x:f>'Inputs_Trades'!N217</x:f>
        <x:v>0</x:v>
      </x:c>
      <x:c r="L217" s="27" t="n">
        <x:f>'Inputs_Trades'!O217</x:f>
        <x:v>0</x:v>
      </x:c>
      <x:c r="M217" s="39" t="n">
        <x:f>'Inputs_Trades'!A217</x:f>
        <x:v>45702</x:v>
      </x:c>
      <x:c r="N217" s="39" t="n">
        <x:f>'Inputs_Trades'!P217</x:f>
        <x:v>47446</x:v>
      </x:c>
      <x:c r="O217" s="39" t="n">
        <x:f>'Inputs_Trades'!Q217</x:f>
        <x:v>45565</x:v>
      </x:c>
      <x:c r="P217" s="39" t="n">
        <x:f>'Inputs_Trades'!R217</x:f>
        <x:v>47446</x:v>
      </x:c>
      <x:c r="Q217" s="40" t="n">
        <x:f>'Inputs_Trades'!U217</x:f>
        <x:v>10500000</x:v>
      </x:c>
      <x:c r="R217" s="40" t="n">
        <x:f>'Inputs_Trades'!S217</x:f>
        <x:v>5250</x:v>
      </x:c>
      <x:c r="S217" s="40" t="n">
        <x:f>'Inputs_Trades'!T217</x:f>
        <x:v>10500000</x:v>
      </x:c>
      <x:c r="T217" s="27" t="str">
        <x:f>'Inputs_Trades'!V217</x:f>
        <x:v>M</x:v>
      </x:c>
      <x:c r="U217" s="27" t="str">
        <x:f>'Inputs_Trades'!W217</x:f>
        <x:v>N</x:v>
      </x:c>
      <x:c r="V217" s="27" t="n">
        <x:f>'Inputs_Trades'!X217</x:f>
        <x:v>10</x:v>
      </x:c>
      <x:c r="W217" s="27" t="str">
        <x:f>'Inputs_Trades'!Y217</x:f>
        <x:v>B</x:v>
      </x:c>
      <x:c r="X217" s="27" t="str">
        <x:f>'Inputs_Trades'!AA217</x:f>
        <x:v>P</x:v>
      </x:c>
      <x:c r="Y217" s="27" t="n">
        <x:f>'Inputs_Trades'!AB217</x:f>
        <x:v>1777.35</x:v>
      </x:c>
      <x:c r="Z217" s="27" t="n">
        <x:f>'Inputs_Trades'!AC217</x:f>
        <x:v>2050</x:v>
      </x:c>
      <x:c r="AA217" s="39" t="n">
        <x:f>'Inputs_Trades'!Z217</x:f>
        <x:v>47010</x:v>
      </x:c>
      <x:c r="AB217" s="40" t="n">
        <x:f>'Inputs_Trades'!AD217</x:f>
        <x:v>432810</x:v>
      </x:c>
      <x:c r="AC217" s="27" t="n">
        <x:f>'Inputs_Trades'!K217</x:f>
        <x:v>0</x:v>
      </x:c>
      <x:c r="AD217" s="27" t="n">
        <x:f>N217-M217</x:f>
        <x:v>1744</x:v>
      </x:c>
      <x:c r="AE217" s="41" t="n">
        <x:f>AD217/365</x:f>
        <x:v>4.778082191780822</x:v>
      </x:c>
      <x:c r="AF217" s="27" t="str">
        <x:f>IF(AE217&lt;1,"&lt;1Y",IF(AE217&lt;=5,"1Y-5Y","&gt;5Y"))</x:f>
        <x:v>1Y-5Y</x:v>
      </x:c>
      <x:c r="AG217" s="27" t="str">
        <x:f>IF(E217="Commodity",IFERROR(VLOOKUP(F217,Parameters!$P$4:$Q$12,2,FALSE),"Other"),"")</x:f>
        <x:v>Metals</x:v>
      </x:c>
      <x:c r="AH217" s="27" t="str">
        <x:f>IF(F217="","Unknown",F217)</x:f>
        <x:v>Gold</x:v>
      </x:c>
      <x:c r="AI217" s="27" t="str">
        <x:f>IF(E217="Interest Rate",G217&amp;IF(OR(LOWER(AC217)="basis",LOWER(AC217)="volatility"),"_"&amp;AC217,""),IF(E217="FX",IF(H217&lt;I217,H217&amp;"/"&amp;I217,I217&amp;"/"&amp;H217)&amp;IF(OR(LOWER(AC217)="basis",LOWER(AC217)="volatility"),"_"&amp;AC217,""),IF(OR(E217="Credit",E217="Equity"),J217&amp;IF(OR(LOWER(AC217)="basis",LOWER(AC217)="volatility"),"_"&amp;AC217,""),IF(E217="Commodity",AG217&amp;IF(OR(LOWER(AC217)="basis",LOWER(AC217)="volatility"),"_"&amp;AC217,""),"UNKNOWN"))))</x:f>
        <x:v>Metals</x:v>
      </x:c>
      <x:c r="AJ217" s="27" t="str">
        <x:f>T217</x:f>
        <x:v>M</x:v>
      </x:c>
      <x:c r="AK217" s="41" t="n">
        <x:f>IF(E217="Interest Rate",VLOOKUP("Interest Rate",Parameters!$D$4:$E$12,2,FALSE),IF(E217="FX",VLOOKUP("FX",Parameters!$D$4:$E$12,2,FALSE),IF(E217="Credit",IFERROR(VLOOKUP(L217,Parameters!$G$4:$H$12,2,FALSE),VLOOKUP("BBB",Parameters!$G$4:$H$12,2,FALSE)),IF(E217="Equity",VLOOKUP(IF(LOWER(K217)="index","Equity Index","Equity Single Name"),Parameters!$D$4:$E$12,2,FALSE),IF(E217="Commodity",VLOOKUP(IFERROR(VLOOKUP(F217,Parameters!$S$4:$T$12,2,FALSE),"Commodity Other"),Parameters!$D$4:$E$12,2,FALSE),0)))))</x:f>
        <x:v>0.18</x:v>
      </x:c>
      <x:c r="AL217" s="42" t="n">
        <x:f>IF(LOWER(AC217)="basis",Parameters!$B$8,IF(LOWER(AC217)="volatility",Parameters!$B$9,1))</x:f>
        <x:v>1</x:v>
      </x:c>
      <x:c r="AM217" s="41" t="n">
        <x:f>AK217*AL217</x:f>
        <x:v>0.18</x:v>
      </x:c>
      <x:c r="AN217" s="42" t="n">
        <x:f>IF(E217="Credit",VLOOKUP(IF(LOWER(K217)="index","Credit Index","Credit Single Name"),Parameters!$J$4:$K$8,2,FALSE),IF(E217="Equity",VLOOKUP(IF(LOWER(K217)="index","Equity Index","Equity Single Name"),Parameters!$J$4:$K$8,2,FALSE),IF(E217="Commodity",VLOOKUP("Commodity",Parameters!$J$4:$K$8,2,FALSE),"")))</x:f>
        <x:v>0.4</x:v>
      </x:c>
      <x:c r="AO217" s="27" t="n">
        <x:f>MAX((O217-M217)/365,0)</x:f>
        <x:v>0</x:v>
      </x:c>
      <x:c r="AP217" s="27" t="n">
        <x:f>MAX((P217-M217)/365,10/Parameters!$B$6)</x:f>
        <x:v>4.778082191780822</x:v>
      </x:c>
      <x:c r="AQ217" s="27" t="n">
        <x:f>IF(AP217&lt;=AO217,AO217+10/Parameters!$B$6,AP217)</x:f>
        <x:v>4.778082191780822</x:v>
      </x:c>
      <x:c r="AR217" s="41" t="n">
        <x:f>IF(OR(E217="Interest Rate",E217="Credit"),(EXP(-Parameters!$B$7*AO217)-EXP(-Parameters!$B$7*AQ217))/Parameters!$B$7,1)</x:f>
        <x:v>1</x:v>
      </x:c>
      <x:c r="AS217" s="40" t="n">
        <x:f>IF(OR(E217="Interest Rate",E217="Credit"),ABS(Q217)*AR217,IF(E217="FX",IF(Q217&gt;0,Q217,MAX(ABS(R217),ABS(S217),ABS(Q217))),ABS(Q217)))</x:f>
        <x:v>10500000</x:v>
      </x:c>
      <x:c r="AT217" s="42" t="n">
        <x:f>IF(OR(E217="Interest Rate",E217="FX"),VLOOKUP(E217,Parameters!$M$4:$N$11,2,FALSE),IF(E217="Credit",VLOOKUP(IF(LOWER(K217)="index","Credit Index","Credit Single Name"),Parameters!$M$4:$N$11,2,FALSE),IF(E217="Equity",VLOOKUP(IF(LOWER(K217)="index","Equity Index","Equity Single Name"),Parameters!$M$4:$N$11,2,FALSE),IF(E217="Commodity",VLOOKUP(IF(F217="Electricity","Commodity Electricity","Commodity Other"),Parameters!$M$4:$N$11,2,FALSE),1))))</x:f>
        <x:v>0.7</x:v>
      </x:c>
      <x:c r="AU217" s="27" t="n">
        <x:f>IF(W217="B",1,-1)</x:f>
        <x:v>1</x:v>
      </x:c>
      <x:c r="AV217" s="27" t="n">
        <x:f>IF(OR(AA217="",M217=""),MAX(AE217,1/365),MAX((AA217-M217)/365,1/365))</x:f>
        <x:v>3.5835616438356164</x:v>
      </x:c>
      <x:c r="AW217" s="41" t="n">
        <x:f>IF(OR(Z217&lt;=0,Y217&lt;=0,AT217&lt;=0,AV217&lt;=0),"",(LN(Z217/Y217)+0.5*AT217^2*AV217)/(AT217*SQRT(AV217)))</x:f>
        <x:v>0.770261008912484</x:v>
      </x:c>
      <x:c r="AX217" s="41" t="n">
        <x:f>IF(AND(X217&lt;&gt;"C",X217&lt;&gt;"P"),AU217,IF(AW217="",AU217,IF(X217="C",AU217*0.5*(1+ERF(AW217/SQRT(2))),-AU217*0.5*(1+ERF(-AW217/SQRT(2))))))</x:f>
        <x:v>-0.22057254024775674</x:v>
      </x:c>
      <x:c r="AY217" s="41" t="n">
        <x:f>IF(AJ217="M",1.5*SQRT(MAX(IF(U217="Y",5,10),IF(V217="",10,V217))/Parameters!$B$6),SQRT(MIN(MAX(AE217,10/Parameters!$B$6),1)))</x:f>
        <x:v>0.30000000000000004</x:v>
      </x:c>
      <x:c r="AZ217" s="40" t="n">
        <x:f>AS217*AX217*AY217</x:f>
        <x:v>-694803.5017804338</x:v>
      </x:c>
      <x:c r="BA217" s="40" t="n">
        <x:f>'Python_Trade_Output'!AZ217</x:f>
        <x:v>-694803.5017804338</x:v>
      </x:c>
      <x:c r="BB217" s="43" t="n">
        <x:f>AZ217-BA217</x:f>
        <x:v>0</x:v>
      </x:c>
    </x:row>
    <x:row r="218">
      <x:c r="A218" s="27" t="str">
        <x:f>'Inputs_Trades'!D218</x:f>
        <x:v>IND-000215</x:v>
      </x:c>
      <x:c r="B218" s="27" t="str">
        <x:f>'Inputs_Trades'!B218</x:f>
        <x:v>IND_SOVEREIGN_001</x:v>
      </x:c>
      <x:c r="C218" s="27" t="n">
        <x:f>'Inputs_Trades'!C218</x:f>
        <x:v>3357</x:v>
      </x:c>
      <x:c r="D218" s="27" t="str">
        <x:f>'Inputs_Trades'!E218</x:f>
        <x:v>Commodity Option</x:v>
      </x:c>
      <x:c r="E218" s="27" t="str">
        <x:f>'Inputs_Trades'!F218</x:f>
        <x:v>Commodity</x:v>
      </x:c>
      <x:c r="F218" s="27" t="str">
        <x:f>'Inputs_Trades'!G218</x:f>
        <x:v>Gold</x:v>
      </x:c>
      <x:c r="G218" s="27" t="str">
        <x:f>'Inputs_Trades'!J218</x:f>
        <x:v>USD</x:v>
      </x:c>
      <x:c r="H218" s="27" t="str">
        <x:f>'Inputs_Trades'!H218</x:f>
        <x:v>Oil</x:v>
      </x:c>
      <x:c r="I218" s="27" t="str">
        <x:f>'Inputs_Trades'!I218</x:f>
        <x:v>USD</x:v>
      </x:c>
      <x:c r="J218" s="27" t="str">
        <x:f>'Inputs_Trades'!M218</x:f>
        <x:v>Oil/USD</x:v>
      </x:c>
      <x:c r="K218" s="27" t="n">
        <x:f>'Inputs_Trades'!N218</x:f>
        <x:v>0</x:v>
      </x:c>
      <x:c r="L218" s="27" t="n">
        <x:f>'Inputs_Trades'!O218</x:f>
        <x:v>0</x:v>
      </x:c>
      <x:c r="M218" s="39" t="n">
        <x:f>'Inputs_Trades'!A218</x:f>
        <x:v>45702</x:v>
      </x:c>
      <x:c r="N218" s="39" t="n">
        <x:f>'Inputs_Trades'!P218</x:f>
        <x:v>46530</x:v>
      </x:c>
      <x:c r="O218" s="39" t="n">
        <x:f>'Inputs_Trades'!Q218</x:f>
        <x:v>45178</x:v>
      </x:c>
      <x:c r="P218" s="39" t="n">
        <x:f>'Inputs_Trades'!R218</x:f>
        <x:v>46530</x:v>
      </x:c>
      <x:c r="Q218" s="40" t="n">
        <x:f>'Inputs_Trades'!U218</x:f>
        <x:v>7300000</x:v>
      </x:c>
      <x:c r="R218" s="40" t="n">
        <x:f>'Inputs_Trades'!S218</x:f>
        <x:v>7300000</x:v>
      </x:c>
      <x:c r="S218" s="40" t="n">
        <x:f>'Inputs_Trades'!T218</x:f>
        <x:v>7300000</x:v>
      </x:c>
      <x:c r="T218" s="27" t="str">
        <x:f>'Inputs_Trades'!V218</x:f>
        <x:v>M</x:v>
      </x:c>
      <x:c r="U218" s="27" t="str">
        <x:f>'Inputs_Trades'!W218</x:f>
        <x:v>N</x:v>
      </x:c>
      <x:c r="V218" s="27" t="n">
        <x:f>'Inputs_Trades'!X218</x:f>
        <x:v>10</x:v>
      </x:c>
      <x:c r="W218" s="27" t="str">
        <x:f>'Inputs_Trades'!Y218</x:f>
        <x:v>S</x:v>
      </x:c>
      <x:c r="X218" s="27" t="str">
        <x:f>'Inputs_Trades'!AA218</x:f>
        <x:v>C</x:v>
      </x:c>
      <x:c r="Y218" s="27" t="n">
        <x:f>'Inputs_Trades'!AB218</x:f>
        <x:v>69.186</x:v>
      </x:c>
      <x:c r="Z218" s="27" t="n">
        <x:f>'Inputs_Trades'!AC218</x:f>
        <x:v>78</x:v>
      </x:c>
      <x:c r="AA218" s="39" t="n">
        <x:f>'Inputs_Trades'!Z218</x:f>
        <x:v>46323</x:v>
      </x:c>
      <x:c r="AB218" s="40" t="n">
        <x:f>'Inputs_Trades'!AD218</x:f>
        <x:v>139612.5</x:v>
      </x:c>
      <x:c r="AC218" s="27" t="n">
        <x:f>'Inputs_Trades'!K218</x:f>
        <x:v>0</x:v>
      </x:c>
      <x:c r="AD218" s="27" t="n">
        <x:f>N218-M218</x:f>
        <x:v>828</x:v>
      </x:c>
      <x:c r="AE218" s="41" t="n">
        <x:f>AD218/365</x:f>
        <x:v>2.2684931506849315</x:v>
      </x:c>
      <x:c r="AF218" s="27" t="str">
        <x:f>IF(AE218&lt;1,"&lt;1Y",IF(AE218&lt;=5,"1Y-5Y","&gt;5Y"))</x:f>
        <x:v>1Y-5Y</x:v>
      </x:c>
      <x:c r="AG218" s="27" t="str">
        <x:f>IF(E218="Commodity",IFERROR(VLOOKUP(F218,Parameters!$P$4:$Q$12,2,FALSE),"Other"),"")</x:f>
        <x:v>Metals</x:v>
      </x:c>
      <x:c r="AH218" s="27" t="str">
        <x:f>IF(F218="","Unknown",F218)</x:f>
        <x:v>Gold</x:v>
      </x:c>
      <x:c r="AI218" s="27" t="str">
        <x:f>IF(E218="Interest Rate",G218&amp;IF(OR(LOWER(AC218)="basis",LOWER(AC218)="volatility"),"_"&amp;AC218,""),IF(E218="FX",IF(H218&lt;I218,H218&amp;"/"&amp;I218,I218&amp;"/"&amp;H218)&amp;IF(OR(LOWER(AC218)="basis",LOWER(AC218)="volatility"),"_"&amp;AC218,""),IF(OR(E218="Credit",E218="Equity"),J218&amp;IF(OR(LOWER(AC218)="basis",LOWER(AC218)="volatility"),"_"&amp;AC218,""),IF(E218="Commodity",AG218&amp;IF(OR(LOWER(AC218)="basis",LOWER(AC218)="volatility"),"_"&amp;AC218,""),"UNKNOWN"))))</x:f>
        <x:v>Metals</x:v>
      </x:c>
      <x:c r="AJ218" s="27" t="str">
        <x:f>T218</x:f>
        <x:v>M</x:v>
      </x:c>
      <x:c r="AK218" s="41" t="n">
        <x:f>IF(E218="Interest Rate",VLOOKUP("Interest Rate",Parameters!$D$4:$E$12,2,FALSE),IF(E218="FX",VLOOKUP("FX",Parameters!$D$4:$E$12,2,FALSE),IF(E218="Credit",IFERROR(VLOOKUP(L218,Parameters!$G$4:$H$12,2,FALSE),VLOOKUP("BBB",Parameters!$G$4:$H$12,2,FALSE)),IF(E218="Equity",VLOOKUP(IF(LOWER(K218)="index","Equity Index","Equity Single Name"),Parameters!$D$4:$E$12,2,FALSE),IF(E218="Commodity",VLOOKUP(IFERROR(VLOOKUP(F218,Parameters!$S$4:$T$12,2,FALSE),"Commodity Other"),Parameters!$D$4:$E$12,2,FALSE),0)))))</x:f>
        <x:v>0.18</x:v>
      </x:c>
      <x:c r="AL218" s="42" t="n">
        <x:f>IF(LOWER(AC218)="basis",Parameters!$B$8,IF(LOWER(AC218)="volatility",Parameters!$B$9,1))</x:f>
        <x:v>1</x:v>
      </x:c>
      <x:c r="AM218" s="41" t="n">
        <x:f>AK218*AL218</x:f>
        <x:v>0.18</x:v>
      </x:c>
      <x:c r="AN218" s="42" t="n">
        <x:f>IF(E218="Credit",VLOOKUP(IF(LOWER(K218)="index","Credit Index","Credit Single Name"),Parameters!$J$4:$K$8,2,FALSE),IF(E218="Equity",VLOOKUP(IF(LOWER(K218)="index","Equity Index","Equity Single Name"),Parameters!$J$4:$K$8,2,FALSE),IF(E218="Commodity",VLOOKUP("Commodity",Parameters!$J$4:$K$8,2,FALSE),"")))</x:f>
        <x:v>0.4</x:v>
      </x:c>
      <x:c r="AO218" s="27" t="n">
        <x:f>MAX((O218-M218)/365,0)</x:f>
        <x:v>0</x:v>
      </x:c>
      <x:c r="AP218" s="27" t="n">
        <x:f>MAX((P218-M218)/365,10/Parameters!$B$6)</x:f>
        <x:v>2.2684931506849315</x:v>
      </x:c>
      <x:c r="AQ218" s="27" t="n">
        <x:f>IF(AP218&lt;=AO218,AO218+10/Parameters!$B$6,AP218)</x:f>
        <x:v>2.2684931506849315</x:v>
      </x:c>
      <x:c r="AR218" s="41" t="n">
        <x:f>IF(OR(E218="Interest Rate",E218="Credit"),(EXP(-Parameters!$B$7*AO218)-EXP(-Parameters!$B$7*AQ218))/Parameters!$B$7,1)</x:f>
        <x:v>1</x:v>
      </x:c>
      <x:c r="AS218" s="40" t="n">
        <x:f>IF(OR(E218="Interest Rate",E218="Credit"),ABS(Q218)*AR218,IF(E218="FX",IF(Q218&gt;0,Q218,MAX(ABS(R218),ABS(S218),ABS(Q218))),ABS(Q218)))</x:f>
        <x:v>7300000</x:v>
      </x:c>
      <x:c r="AT218" s="42" t="n">
        <x:f>IF(OR(E218="Interest Rate",E218="FX"),VLOOKUP(E218,Parameters!$M$4:$N$11,2,FALSE),IF(E218="Credit",VLOOKUP(IF(LOWER(K218)="index","Credit Index","Credit Single Name"),Parameters!$M$4:$N$11,2,FALSE),IF(E218="Equity",VLOOKUP(IF(LOWER(K218)="index","Equity Index","Equity Single Name"),Parameters!$M$4:$N$11,2,FALSE),IF(E218="Commodity",VLOOKUP(IF(F218="Electricity","Commodity Electricity","Commodity Other"),Parameters!$M$4:$N$11,2,FALSE),1))))</x:f>
        <x:v>0.7</x:v>
      </x:c>
      <x:c r="AU218" s="27" t="n">
        <x:f>IF(W218="B",1,-1)</x:f>
        <x:v>-1</x:v>
      </x:c>
      <x:c r="AV218" s="27" t="n">
        <x:f>IF(OR(AA218="",M218=""),MAX(AE218,1/365),MAX((AA218-M218)/365,1/365))</x:f>
        <x:v>1.7013698630136986</x:v>
      </x:c>
      <x:c r="AW218" s="41" t="n">
        <x:f>IF(OR(Z218&lt;=0,Y218&lt;=0,AT218&lt;=0,AV218&lt;=0),"",(LN(Z218/Y218)+0.5*AT218^2*AV218)/(AT218*SQRT(AV218)))</x:f>
        <x:v>0.5878565187285612</x:v>
      </x:c>
      <x:c r="AX218" s="41" t="n">
        <x:f>IF(AND(X218&lt;&gt;"C",X218&lt;&gt;"P"),AU218,IF(AW218="",AU218,IF(X218="C",AU218*0.5*(1+ERF(AW218/SQRT(2))),-AU218*0.5*(1+ERF(-AW218/SQRT(2))))))</x:f>
        <x:v>-0.7216856980490277</x:v>
      </x:c>
      <x:c r="AY218" s="41" t="n">
        <x:f>IF(AJ218="M",1.5*SQRT(MAX(IF(U218="Y",5,10),IF(V218="",10,V218))/Parameters!$B$6),SQRT(MIN(MAX(AE218,10/Parameters!$B$6),1)))</x:f>
        <x:v>0.30000000000000004</x:v>
      </x:c>
      <x:c r="AZ218" s="40" t="n">
        <x:f>AS218*AX218*AY218</x:f>
        <x:v>-1580491.678727371</x:v>
      </x:c>
      <x:c r="BA218" s="40" t="n">
        <x:f>'Python_Trade_Output'!AZ218</x:f>
        <x:v>-1580491.6787273714</x:v>
      </x:c>
      <x:c r="BB218" s="43" t="n">
        <x:f>AZ218-BA218</x:f>
        <x:v>4.656612873077393e-10</x:v>
      </x:c>
    </x:row>
    <x:row r="219">
      <x:c r="A219" s="27" t="str">
        <x:f>'Inputs_Trades'!D219</x:f>
        <x:v>IND-000216</x:v>
      </x:c>
      <x:c r="B219" s="27" t="str">
        <x:f>'Inputs_Trades'!B219</x:f>
        <x:v>IND_CLEARING_MEMBER_001</x:v>
      </x:c>
      <x:c r="C219" s="27" t="n">
        <x:f>'Inputs_Trades'!C219</x:f>
        <x:v>3186</x:v>
      </x:c>
      <x:c r="D219" s="27" t="str">
        <x:f>'Inputs_Trades'!E219</x:f>
        <x:v>Commodity Option</x:v>
      </x:c>
      <x:c r="E219" s="27" t="str">
        <x:f>'Inputs_Trades'!F219</x:f>
        <x:v>Commodity</x:v>
      </x:c>
      <x:c r="F219" s="27" t="str">
        <x:f>'Inputs_Trades'!G219</x:f>
        <x:v>Gold</x:v>
      </x:c>
      <x:c r="G219" s="27" t="str">
        <x:f>'Inputs_Trades'!J219</x:f>
        <x:v>CNY</x:v>
      </x:c>
      <x:c r="H219" s="27" t="str">
        <x:f>'Inputs_Trades'!H219</x:f>
        <x:v>XAU</x:v>
      </x:c>
      <x:c r="I219" s="27" t="str">
        <x:f>'Inputs_Trades'!I219</x:f>
        <x:v>CNY</x:v>
      </x:c>
      <x:c r="J219" s="27" t="str">
        <x:f>'Inputs_Trades'!M219</x:f>
        <x:v>XAU/CNY</x:v>
      </x:c>
      <x:c r="K219" s="27" t="n">
        <x:f>'Inputs_Trades'!N219</x:f>
        <x:v>0</x:v>
      </x:c>
      <x:c r="L219" s="27" t="n">
        <x:f>'Inputs_Trades'!O219</x:f>
        <x:v>0</x:v>
      </x:c>
      <x:c r="M219" s="39" t="n">
        <x:f>'Inputs_Trades'!A219</x:f>
        <x:v>45702</x:v>
      </x:c>
      <x:c r="N219" s="39" t="n">
        <x:f>'Inputs_Trades'!P219</x:f>
        <x:v>46511</x:v>
      </x:c>
      <x:c r="O219" s="39" t="n">
        <x:f>'Inputs_Trades'!Q219</x:f>
        <x:v>45653</x:v>
      </x:c>
      <x:c r="P219" s="39" t="n">
        <x:f>'Inputs_Trades'!R219</x:f>
        <x:v>46511</x:v>
      </x:c>
      <x:c r="Q219" s="40" t="n">
        <x:f>'Inputs_Trades'!U219</x:f>
        <x:v>21500000</x:v>
      </x:c>
      <x:c r="R219" s="40" t="n">
        <x:f>'Inputs_Trades'!S219</x:f>
        <x:v>10750</x:v>
      </x:c>
      <x:c r="S219" s="40" t="n">
        <x:f>'Inputs_Trades'!T219</x:f>
        <x:v>153571428.57</x:v>
      </x:c>
      <x:c r="T219" s="27" t="str">
        <x:f>'Inputs_Trades'!V219</x:f>
        <x:v>U</x:v>
      </x:c>
      <x:c r="U219" s="27" t="str">
        <x:f>'Inputs_Trades'!W219</x:f>
        <x:v>N</x:v>
      </x:c>
      <x:c r="V219" s="27" t="n">
        <x:f>'Inputs_Trades'!X219</x:f>
        <x:v>0</x:v>
      </x:c>
      <x:c r="W219" s="27" t="str">
        <x:f>'Inputs_Trades'!Y219</x:f>
        <x:v>B</x:v>
      </x:c>
      <x:c r="X219" s="27" t="str">
        <x:f>'Inputs_Trades'!AA219</x:f>
        <x:v>C</x:v>
      </x:c>
      <x:c r="Y219" s="27" t="n">
        <x:f>'Inputs_Trades'!AB219</x:f>
        <x:v>2380.05</x:v>
      </x:c>
      <x:c r="Z219" s="27" t="n">
        <x:f>'Inputs_Trades'!AC219</x:f>
        <x:v>2050</x:v>
      </x:c>
      <x:c r="AA219" s="39" t="n">
        <x:f>'Inputs_Trades'!Z219</x:f>
        <x:v>46308</x:v>
      </x:c>
      <x:c r="AB219" s="40" t="n">
        <x:f>'Inputs_Trades'!AD219</x:f>
        <x:v>78367.5</x:v>
      </x:c>
      <x:c r="AC219" s="27" t="n">
        <x:f>'Inputs_Trades'!K219</x:f>
        <x:v>0</x:v>
      </x:c>
      <x:c r="AD219" s="27" t="n">
        <x:f>N219-M219</x:f>
        <x:v>809</x:v>
      </x:c>
      <x:c r="AE219" s="41" t="n">
        <x:f>AD219/365</x:f>
        <x:v>2.2164383561643834</x:v>
      </x:c>
      <x:c r="AF219" s="27" t="str">
        <x:f>IF(AE219&lt;1,"&lt;1Y",IF(AE219&lt;=5,"1Y-5Y","&gt;5Y"))</x:f>
        <x:v>1Y-5Y</x:v>
      </x:c>
      <x:c r="AG219" s="27" t="str">
        <x:f>IF(E219="Commodity",IFERROR(VLOOKUP(F219,Parameters!$P$4:$Q$12,2,FALSE),"Other"),"")</x:f>
        <x:v>Metals</x:v>
      </x:c>
      <x:c r="AH219" s="27" t="str">
        <x:f>IF(F219="","Unknown",F219)</x:f>
        <x:v>Gold</x:v>
      </x:c>
      <x:c r="AI219" s="27" t="str">
        <x:f>IF(E219="Interest Rate",G219&amp;IF(OR(LOWER(AC219)="basis",LOWER(AC219)="volatility"),"_"&amp;AC219,""),IF(E219="FX",IF(H219&lt;I219,H219&amp;"/"&amp;I219,I219&amp;"/"&amp;H219)&amp;IF(OR(LOWER(AC219)="basis",LOWER(AC219)="volatility"),"_"&amp;AC219,""),IF(OR(E219="Credit",E219="Equity"),J219&amp;IF(OR(LOWER(AC219)="basis",LOWER(AC219)="volatility"),"_"&amp;AC219,""),IF(E219="Commodity",AG219&amp;IF(OR(LOWER(AC219)="basis",LOWER(AC219)="volatility"),"_"&amp;AC219,""),"UNKNOWN"))))</x:f>
        <x:v>Metals</x:v>
      </x:c>
      <x:c r="AJ219" s="27" t="str">
        <x:f>T219</x:f>
        <x:v>U</x:v>
      </x:c>
      <x:c r="AK219" s="41" t="n">
        <x:f>IF(E219="Interest Rate",VLOOKUP("Interest Rate",Parameters!$D$4:$E$12,2,FALSE),IF(E219="FX",VLOOKUP("FX",Parameters!$D$4:$E$12,2,FALSE),IF(E219="Credit",IFERROR(VLOOKUP(L219,Parameters!$G$4:$H$12,2,FALSE),VLOOKUP("BBB",Parameters!$G$4:$H$12,2,FALSE)),IF(E219="Equity",VLOOKUP(IF(LOWER(K219)="index","Equity Index","Equity Single Name"),Parameters!$D$4:$E$12,2,FALSE),IF(E219="Commodity",VLOOKUP(IFERROR(VLOOKUP(F219,Parameters!$S$4:$T$12,2,FALSE),"Commodity Other"),Parameters!$D$4:$E$12,2,FALSE),0)))))</x:f>
        <x:v>0.18</x:v>
      </x:c>
      <x:c r="AL219" s="42" t="n">
        <x:f>IF(LOWER(AC219)="basis",Parameters!$B$8,IF(LOWER(AC219)="volatility",Parameters!$B$9,1))</x:f>
        <x:v>1</x:v>
      </x:c>
      <x:c r="AM219" s="41" t="n">
        <x:f>AK219*AL219</x:f>
        <x:v>0.18</x:v>
      </x:c>
      <x:c r="AN219" s="42" t="n">
        <x:f>IF(E219="Credit",VLOOKUP(IF(LOWER(K219)="index","Credit Index","Credit Single Name"),Parameters!$J$4:$K$8,2,FALSE),IF(E219="Equity",VLOOKUP(IF(LOWER(K219)="index","Equity Index","Equity Single Name"),Parameters!$J$4:$K$8,2,FALSE),IF(E219="Commodity",VLOOKUP("Commodity",Parameters!$J$4:$K$8,2,FALSE),"")))</x:f>
        <x:v>0.4</x:v>
      </x:c>
      <x:c r="AO219" s="27" t="n">
        <x:f>MAX((O219-M219)/365,0)</x:f>
        <x:v>0</x:v>
      </x:c>
      <x:c r="AP219" s="27" t="n">
        <x:f>MAX((P219-M219)/365,10/Parameters!$B$6)</x:f>
        <x:v>2.2164383561643834</x:v>
      </x:c>
      <x:c r="AQ219" s="27" t="n">
        <x:f>IF(AP219&lt;=AO219,AO219+10/Parameters!$B$6,AP219)</x:f>
        <x:v>2.2164383561643834</x:v>
      </x:c>
      <x:c r="AR219" s="41" t="n">
        <x:f>IF(OR(E219="Interest Rate",E219="Credit"),(EXP(-Parameters!$B$7*AO219)-EXP(-Parameters!$B$7*AQ219))/Parameters!$B$7,1)</x:f>
        <x:v>1</x:v>
      </x:c>
      <x:c r="AS219" s="40" t="n">
        <x:f>IF(OR(E219="Interest Rate",E219="Credit"),ABS(Q219)*AR219,IF(E219="FX",IF(Q219&gt;0,Q219,MAX(ABS(R219),ABS(S219),ABS(Q219))),ABS(Q219)))</x:f>
        <x:v>21500000</x:v>
      </x:c>
      <x:c r="AT219" s="42" t="n">
        <x:f>IF(OR(E219="Interest Rate",E219="FX"),VLOOKUP(E219,Parameters!$M$4:$N$11,2,FALSE),IF(E219="Credit",VLOOKUP(IF(LOWER(K219)="index","Credit Index","Credit Single Name"),Parameters!$M$4:$N$11,2,FALSE),IF(E219="Equity",VLOOKUP(IF(LOWER(K219)="index","Equity Index","Equity Single Name"),Parameters!$M$4:$N$11,2,FALSE),IF(E219="Commodity",VLOOKUP(IF(F219="Electricity","Commodity Electricity","Commodity Other"),Parameters!$M$4:$N$11,2,FALSE),1))))</x:f>
        <x:v>0.7</x:v>
      </x:c>
      <x:c r="AU219" s="27" t="n">
        <x:f>IF(W219="B",1,-1)</x:f>
        <x:v>1</x:v>
      </x:c>
      <x:c r="AV219" s="27" t="n">
        <x:f>IF(OR(AA219="",M219=""),MAX(AE219,1/365),MAX((AA219-M219)/365,1/365))</x:f>
        <x:v>1.6602739726027398</x:v>
      </x:c>
      <x:c r="AW219" s="41" t="n">
        <x:f>IF(OR(Z219&lt;=0,Y219&lt;=0,AT219&lt;=0,AV219&lt;=0),"",(LN(Z219/Y219)+0.5*AT219^2*AV219)/(AT219*SQRT(AV219)))</x:f>
        <x:v>0.2854727925646151</x:v>
      </x:c>
      <x:c r="AX219" s="41" t="n">
        <x:f>IF(AND(X219&lt;&gt;"C",X219&lt;&gt;"P"),AU219,IF(AW219="",AU219,IF(X219="C",AU219*0.5*(1+ERF(AW219/SQRT(2))),-AU219*0.5*(1+ERF(-AW219/SQRT(2))))))</x:f>
        <x:v>0.6123590270331234</x:v>
      </x:c>
      <x:c r="AY219" s="41" t="n">
        <x:f>IF(AJ219="M",1.5*SQRT(MAX(IF(U219="Y",5,10),IF(V219="",10,V219))/Parameters!$B$6),SQRT(MIN(MAX(AE219,10/Parameters!$B$6),1)))</x:f>
        <x:v>1</x:v>
      </x:c>
      <x:c r="AZ219" s="40" t="n">
        <x:f>AS219*AX219*AY219</x:f>
        <x:v>13165719.081212154</x:v>
      </x:c>
      <x:c r="BA219" s="40" t="n">
        <x:f>'Python_Trade_Output'!AZ219</x:f>
        <x:v>13165719.08121215</x:v>
      </x:c>
      <x:c r="BB219" s="43" t="n">
        <x:f>AZ219-BA219</x:f>
        <x:v>3.725290298461914e-9</x:v>
      </x:c>
    </x:row>
    <x:row r="220">
      <x:c r="A220" s="27" t="str">
        <x:f>'Inputs_Trades'!D220</x:f>
        <x:v>IND-000217</x:v>
      </x:c>
      <x:c r="B220" s="27" t="str">
        <x:f>'Inputs_Trades'!B220</x:f>
        <x:v>IND_PENSION_001</x:v>
      </x:c>
      <x:c r="C220" s="27" t="n">
        <x:f>'Inputs_Trades'!C220</x:f>
        <x:v>3060</x:v>
      </x:c>
      <x:c r="D220" s="27" t="str">
        <x:f>'Inputs_Trades'!E220</x:f>
        <x:v>Commodity Option</x:v>
      </x:c>
      <x:c r="E220" s="27" t="str">
        <x:f>'Inputs_Trades'!F220</x:f>
        <x:v>Commodity</x:v>
      </x:c>
      <x:c r="F220" s="27" t="str">
        <x:f>'Inputs_Trades'!G220</x:f>
        <x:v>Gold</x:v>
      </x:c>
      <x:c r="G220" s="27" t="str">
        <x:f>'Inputs_Trades'!J220</x:f>
        <x:v>USD</x:v>
      </x:c>
      <x:c r="H220" s="27" t="str">
        <x:f>'Inputs_Trades'!H220</x:f>
        <x:v>XAU</x:v>
      </x:c>
      <x:c r="I220" s="27" t="str">
        <x:f>'Inputs_Trades'!I220</x:f>
        <x:v>USD</x:v>
      </x:c>
      <x:c r="J220" s="27" t="str">
        <x:f>'Inputs_Trades'!M220</x:f>
        <x:v>XAU/USD</x:v>
      </x:c>
      <x:c r="K220" s="27" t="n">
        <x:f>'Inputs_Trades'!N220</x:f>
        <x:v>0</x:v>
      </x:c>
      <x:c r="L220" s="27" t="n">
        <x:f>'Inputs_Trades'!O220</x:f>
        <x:v>0</x:v>
      </x:c>
      <x:c r="M220" s="39" t="n">
        <x:f>'Inputs_Trades'!A220</x:f>
        <x:v>45702</x:v>
      </x:c>
      <x:c r="N220" s="39" t="n">
        <x:f>'Inputs_Trades'!P220</x:f>
        <x:v>46035</x:v>
      </x:c>
      <x:c r="O220" s="39" t="n">
        <x:f>'Inputs_Trades'!Q220</x:f>
        <x:v>45329</x:v>
      </x:c>
      <x:c r="P220" s="39" t="n">
        <x:f>'Inputs_Trades'!R220</x:f>
        <x:v>46035</x:v>
      </x:c>
      <x:c r="Q220" s="40" t="n">
        <x:f>'Inputs_Trades'!U220</x:f>
        <x:v>5700000</x:v>
      </x:c>
      <x:c r="R220" s="40" t="n">
        <x:f>'Inputs_Trades'!S220</x:f>
        <x:v>2850</x:v>
      </x:c>
      <x:c r="S220" s="40" t="n">
        <x:f>'Inputs_Trades'!T220</x:f>
        <x:v>5700000</x:v>
      </x:c>
      <x:c r="T220" s="27" t="str">
        <x:f>'Inputs_Trades'!V220</x:f>
        <x:v>U</x:v>
      </x:c>
      <x:c r="U220" s="27" t="str">
        <x:f>'Inputs_Trades'!W220</x:f>
        <x:v>N</x:v>
      </x:c>
      <x:c r="V220" s="27" t="n">
        <x:f>'Inputs_Trades'!X220</x:f>
        <x:v>0</x:v>
      </x:c>
      <x:c r="W220" s="27" t="str">
        <x:f>'Inputs_Trades'!Y220</x:f>
        <x:v>B</x:v>
      </x:c>
      <x:c r="X220" s="27" t="str">
        <x:f>'Inputs_Trades'!AA220</x:f>
        <x:v>P</x:v>
      </x:c>
      <x:c r="Y220" s="27" t="n">
        <x:f>'Inputs_Trades'!AB220</x:f>
        <x:v>1890.1</x:v>
      </x:c>
      <x:c r="Z220" s="27" t="n">
        <x:f>'Inputs_Trades'!AC220</x:f>
        <x:v>2050</x:v>
      </x:c>
      <x:c r="AA220" s="39" t="n">
        <x:f>'Inputs_Trades'!Z220</x:f>
        <x:v>45951</x:v>
      </x:c>
      <x:c r="AB220" s="40" t="n">
        <x:f>'Inputs_Trades'!AD220</x:f>
        <x:v>-150565.5</x:v>
      </x:c>
      <x:c r="AC220" s="27" t="n">
        <x:f>'Inputs_Trades'!K220</x:f>
        <x:v>0</x:v>
      </x:c>
      <x:c r="AD220" s="27" t="n">
        <x:f>N220-M220</x:f>
        <x:v>333</x:v>
      </x:c>
      <x:c r="AE220" s="41" t="n">
        <x:f>AD220/365</x:f>
        <x:v>0.9123287671232877</x:v>
      </x:c>
      <x:c r="AF220" s="27" t="str">
        <x:f>IF(AE220&lt;1,"&lt;1Y",IF(AE220&lt;=5,"1Y-5Y","&gt;5Y"))</x:f>
        <x:v>&lt;1Y</x:v>
      </x:c>
      <x:c r="AG220" s="27" t="str">
        <x:f>IF(E220="Commodity",IFERROR(VLOOKUP(F220,Parameters!$P$4:$Q$12,2,FALSE),"Other"),"")</x:f>
        <x:v>Metals</x:v>
      </x:c>
      <x:c r="AH220" s="27" t="str">
        <x:f>IF(F220="","Unknown",F220)</x:f>
        <x:v>Gold</x:v>
      </x:c>
      <x:c r="AI220" s="27" t="str">
        <x:f>IF(E220="Interest Rate",G220&amp;IF(OR(LOWER(AC220)="basis",LOWER(AC220)="volatility"),"_"&amp;AC220,""),IF(E220="FX",IF(H220&lt;I220,H220&amp;"/"&amp;I220,I220&amp;"/"&amp;H220)&amp;IF(OR(LOWER(AC220)="basis",LOWER(AC220)="volatility"),"_"&amp;AC220,""),IF(OR(E220="Credit",E220="Equity"),J220&amp;IF(OR(LOWER(AC220)="basis",LOWER(AC220)="volatility"),"_"&amp;AC220,""),IF(E220="Commodity",AG220&amp;IF(OR(LOWER(AC220)="basis",LOWER(AC220)="volatility"),"_"&amp;AC220,""),"UNKNOWN"))))</x:f>
        <x:v>Metals</x:v>
      </x:c>
      <x:c r="AJ220" s="27" t="str">
        <x:f>T220</x:f>
        <x:v>U</x:v>
      </x:c>
      <x:c r="AK220" s="41" t="n">
        <x:f>IF(E220="Interest Rate",VLOOKUP("Interest Rate",Parameters!$D$4:$E$12,2,FALSE),IF(E220="FX",VLOOKUP("FX",Parameters!$D$4:$E$12,2,FALSE),IF(E220="Credit",IFERROR(VLOOKUP(L220,Parameters!$G$4:$H$12,2,FALSE),VLOOKUP("BBB",Parameters!$G$4:$H$12,2,FALSE)),IF(E220="Equity",VLOOKUP(IF(LOWER(K220)="index","Equity Index","Equity Single Name"),Parameters!$D$4:$E$12,2,FALSE),IF(E220="Commodity",VLOOKUP(IFERROR(VLOOKUP(F220,Parameters!$S$4:$T$12,2,FALSE),"Commodity Other"),Parameters!$D$4:$E$12,2,FALSE),0)))))</x:f>
        <x:v>0.18</x:v>
      </x:c>
      <x:c r="AL220" s="42" t="n">
        <x:f>IF(LOWER(AC220)="basis",Parameters!$B$8,IF(LOWER(AC220)="volatility",Parameters!$B$9,1))</x:f>
        <x:v>1</x:v>
      </x:c>
      <x:c r="AM220" s="41" t="n">
        <x:f>AK220*AL220</x:f>
        <x:v>0.18</x:v>
      </x:c>
      <x:c r="AN220" s="42" t="n">
        <x:f>IF(E220="Credit",VLOOKUP(IF(LOWER(K220)="index","Credit Index","Credit Single Name"),Parameters!$J$4:$K$8,2,FALSE),IF(E220="Equity",VLOOKUP(IF(LOWER(K220)="index","Equity Index","Equity Single Name"),Parameters!$J$4:$K$8,2,FALSE),IF(E220="Commodity",VLOOKUP("Commodity",Parameters!$J$4:$K$8,2,FALSE),"")))</x:f>
        <x:v>0.4</x:v>
      </x:c>
      <x:c r="AO220" s="27" t="n">
        <x:f>MAX((O220-M220)/365,0)</x:f>
        <x:v>0</x:v>
      </x:c>
      <x:c r="AP220" s="27" t="n">
        <x:f>MAX((P220-M220)/365,10/Parameters!$B$6)</x:f>
        <x:v>0.9123287671232877</x:v>
      </x:c>
      <x:c r="AQ220" s="27" t="n">
        <x:f>IF(AP220&lt;=AO220,AO220+10/Parameters!$B$6,AP220)</x:f>
        <x:v>0.9123287671232877</x:v>
      </x:c>
      <x:c r="AR220" s="41" t="n">
        <x:f>IF(OR(E220="Interest Rate",E220="Credit"),(EXP(-Parameters!$B$7*AO220)-EXP(-Parameters!$B$7*AQ220))/Parameters!$B$7,1)</x:f>
        <x:v>1</x:v>
      </x:c>
      <x:c r="AS220" s="40" t="n">
        <x:f>IF(OR(E220="Interest Rate",E220="Credit"),ABS(Q220)*AR220,IF(E220="FX",IF(Q220&gt;0,Q220,MAX(ABS(R220),ABS(S220),ABS(Q220))),ABS(Q220)))</x:f>
        <x:v>5700000</x:v>
      </x:c>
      <x:c r="AT220" s="42" t="n">
        <x:f>IF(OR(E220="Interest Rate",E220="FX"),VLOOKUP(E220,Parameters!$M$4:$N$11,2,FALSE),IF(E220="Credit",VLOOKUP(IF(LOWER(K220)="index","Credit Index","Credit Single Name"),Parameters!$M$4:$N$11,2,FALSE),IF(E220="Equity",VLOOKUP(IF(LOWER(K220)="index","Equity Index","Equity Single Name"),Parameters!$M$4:$N$11,2,FALSE),IF(E220="Commodity",VLOOKUP(IF(F220="Electricity","Commodity Electricity","Commodity Other"),Parameters!$M$4:$N$11,2,FALSE),1))))</x:f>
        <x:v>0.7</x:v>
      </x:c>
      <x:c r="AU220" s="27" t="n">
        <x:f>IF(W220="B",1,-1)</x:f>
        <x:v>1</x:v>
      </x:c>
      <x:c r="AV220" s="27" t="n">
        <x:f>IF(OR(AA220="",M220=""),MAX(AE220,1/365),MAX((AA220-M220)/365,1/365))</x:f>
        <x:v>0.6821917808219178</x:v>
      </x:c>
      <x:c r="AW220" s="41" t="n">
        <x:f>IF(OR(Z220&lt;=0,Y220&lt;=0,AT220&lt;=0,AV220&lt;=0),"",(LN(Z220/Y220)+0.5*AT220^2*AV220)/(AT220*SQRT(AV220)))</x:f>
        <x:v>0.4295440521423729</x:v>
      </x:c>
      <x:c r="AX220" s="41" t="n">
        <x:f>IF(AND(X220&lt;&gt;"C",X220&lt;&gt;"P"),AU220,IF(AW220="",AU220,IF(X220="C",AU220*0.5*(1+ERF(AW220/SQRT(2))),-AU220*0.5*(1+ERF(-AW220/SQRT(2))))))</x:f>
        <x:v>-0.33376367128420287</x:v>
      </x:c>
      <x:c r="AY220" s="41" t="n">
        <x:f>IF(AJ220="M",1.5*SQRT(MAX(IF(U220="Y",5,10),IF(V220="",10,V220))/Parameters!$B$6),SQRT(MIN(MAX(AE220,10/Parameters!$B$6),1)))</x:f>
        <x:v>0.9551590271380404</x:v>
      </x:c>
      <x:c r="AZ220" s="40" t="n">
        <x:f>AS220*AX220*AY220</x:f>
        <x:v>-1817145.0862796875</x:v>
      </x:c>
      <x:c r="BA220" s="40" t="n">
        <x:f>'Python_Trade_Output'!AZ220</x:f>
        <x:v>-1817145.0862796872</x:v>
      </x:c>
      <x:c r="BB220" s="43" t="n">
        <x:f>AZ220-BA220</x:f>
        <x:v>-2.3283064365386963e-10</x:v>
      </x:c>
    </x:row>
    <x:row r="221">
      <x:c r="A221" s="27" t="str">
        <x:f>'Inputs_Trades'!D221</x:f>
        <x:v>IND-000218</x:v>
      </x:c>
      <x:c r="B221" s="27" t="str">
        <x:f>'Inputs_Trades'!B221</x:f>
        <x:v>IND_PENSION_001</x:v>
      </x:c>
      <x:c r="C221" s="27" t="n">
        <x:f>'Inputs_Trades'!C221</x:f>
        <x:v>3060</x:v>
      </x:c>
      <x:c r="D221" s="27" t="str">
        <x:f>'Inputs_Trades'!E221</x:f>
        <x:v>Commodity Option</x:v>
      </x:c>
      <x:c r="E221" s="27" t="str">
        <x:f>'Inputs_Trades'!F221</x:f>
        <x:v>Commodity</x:v>
      </x:c>
      <x:c r="F221" s="27" t="str">
        <x:f>'Inputs_Trades'!G221</x:f>
        <x:v>Gold</x:v>
      </x:c>
      <x:c r="G221" s="27" t="str">
        <x:f>'Inputs_Trades'!J221</x:f>
        <x:v>USD</x:v>
      </x:c>
      <x:c r="H221" s="27" t="str">
        <x:f>'Inputs_Trades'!H221</x:f>
        <x:v>XAU</x:v>
      </x:c>
      <x:c r="I221" s="27" t="str">
        <x:f>'Inputs_Trades'!I221</x:f>
        <x:v>USD</x:v>
      </x:c>
      <x:c r="J221" s="27" t="str">
        <x:f>'Inputs_Trades'!M221</x:f>
        <x:v>XAU/USD</x:v>
      </x:c>
      <x:c r="K221" s="27" t="n">
        <x:f>'Inputs_Trades'!N221</x:f>
        <x:v>0</x:v>
      </x:c>
      <x:c r="L221" s="27" t="n">
        <x:f>'Inputs_Trades'!O221</x:f>
        <x:v>0</x:v>
      </x:c>
      <x:c r="M221" s="39" t="n">
        <x:f>'Inputs_Trades'!A221</x:f>
        <x:v>45702</x:v>
      </x:c>
      <x:c r="N221" s="39" t="n">
        <x:f>'Inputs_Trades'!P221</x:f>
        <x:v>47056</x:v>
      </x:c>
      <x:c r="O221" s="39" t="n">
        <x:f>'Inputs_Trades'!Q221</x:f>
        <x:v>45610</x:v>
      </x:c>
      <x:c r="P221" s="39" t="n">
        <x:f>'Inputs_Trades'!R221</x:f>
        <x:v>47056</x:v>
      </x:c>
      <x:c r="Q221" s="40" t="n">
        <x:f>'Inputs_Trades'!U221</x:f>
        <x:v>50300000</x:v>
      </x:c>
      <x:c r="R221" s="40" t="n">
        <x:f>'Inputs_Trades'!S221</x:f>
        <x:v>25150</x:v>
      </x:c>
      <x:c r="S221" s="40" t="n">
        <x:f>'Inputs_Trades'!T221</x:f>
        <x:v>50300000</x:v>
      </x:c>
      <x:c r="T221" s="27" t="str">
        <x:f>'Inputs_Trades'!V221</x:f>
        <x:v>U</x:v>
      </x:c>
      <x:c r="U221" s="27" t="str">
        <x:f>'Inputs_Trades'!W221</x:f>
        <x:v>N</x:v>
      </x:c>
      <x:c r="V221" s="27" t="n">
        <x:f>'Inputs_Trades'!X221</x:f>
        <x:v>0</x:v>
      </x:c>
      <x:c r="W221" s="27" t="str">
        <x:f>'Inputs_Trades'!Y221</x:f>
        <x:v>S</x:v>
      </x:c>
      <x:c r="X221" s="27" t="str">
        <x:f>'Inputs_Trades'!AA221</x:f>
        <x:v>C</x:v>
      </x:c>
      <x:c r="Y221" s="27" t="n">
        <x:f>'Inputs_Trades'!AB221</x:f>
        <x:v>1812.2</x:v>
      </x:c>
      <x:c r="Z221" s="27" t="n">
        <x:f>'Inputs_Trades'!AC221</x:f>
        <x:v>2050</x:v>
      </x:c>
      <x:c r="AA221" s="39" t="n">
        <x:f>'Inputs_Trades'!Z221</x:f>
        <x:v>46717</x:v>
      </x:c>
      <x:c r="AB221" s="40" t="n">
        <x:f>'Inputs_Trades'!AD221</x:f>
        <x:v>-1170229.5</x:v>
      </x:c>
      <x:c r="AC221" s="27" t="n">
        <x:f>'Inputs_Trades'!K221</x:f>
        <x:v>0</x:v>
      </x:c>
      <x:c r="AD221" s="27" t="n">
        <x:f>N221-M221</x:f>
        <x:v>1354</x:v>
      </x:c>
      <x:c r="AE221" s="41" t="n">
        <x:f>AD221/365</x:f>
        <x:v>3.7095890410958905</x:v>
      </x:c>
      <x:c r="AF221" s="27" t="str">
        <x:f>IF(AE221&lt;1,"&lt;1Y",IF(AE221&lt;=5,"1Y-5Y","&gt;5Y"))</x:f>
        <x:v>1Y-5Y</x:v>
      </x:c>
      <x:c r="AG221" s="27" t="str">
        <x:f>IF(E221="Commodity",IFERROR(VLOOKUP(F221,Parameters!$P$4:$Q$12,2,FALSE),"Other"),"")</x:f>
        <x:v>Metals</x:v>
      </x:c>
      <x:c r="AH221" s="27" t="str">
        <x:f>IF(F221="","Unknown",F221)</x:f>
        <x:v>Gold</x:v>
      </x:c>
      <x:c r="AI221" s="27" t="str">
        <x:f>IF(E221="Interest Rate",G221&amp;IF(OR(LOWER(AC221)="basis",LOWER(AC221)="volatility"),"_"&amp;AC221,""),IF(E221="FX",IF(H221&lt;I221,H221&amp;"/"&amp;I221,I221&amp;"/"&amp;H221)&amp;IF(OR(LOWER(AC221)="basis",LOWER(AC221)="volatility"),"_"&amp;AC221,""),IF(OR(E221="Credit",E221="Equity"),J221&amp;IF(OR(LOWER(AC221)="basis",LOWER(AC221)="volatility"),"_"&amp;AC221,""),IF(E221="Commodity",AG221&amp;IF(OR(LOWER(AC221)="basis",LOWER(AC221)="volatility"),"_"&amp;AC221,""),"UNKNOWN"))))</x:f>
        <x:v>Metals</x:v>
      </x:c>
      <x:c r="AJ221" s="27" t="str">
        <x:f>T221</x:f>
        <x:v>U</x:v>
      </x:c>
      <x:c r="AK221" s="41" t="n">
        <x:f>IF(E221="Interest Rate",VLOOKUP("Interest Rate",Parameters!$D$4:$E$12,2,FALSE),IF(E221="FX",VLOOKUP("FX",Parameters!$D$4:$E$12,2,FALSE),IF(E221="Credit",IFERROR(VLOOKUP(L221,Parameters!$G$4:$H$12,2,FALSE),VLOOKUP("BBB",Parameters!$G$4:$H$12,2,FALSE)),IF(E221="Equity",VLOOKUP(IF(LOWER(K221)="index","Equity Index","Equity Single Name"),Parameters!$D$4:$E$12,2,FALSE),IF(E221="Commodity",VLOOKUP(IFERROR(VLOOKUP(F221,Parameters!$S$4:$T$12,2,FALSE),"Commodity Other"),Parameters!$D$4:$E$12,2,FALSE),0)))))</x:f>
        <x:v>0.18</x:v>
      </x:c>
      <x:c r="AL221" s="42" t="n">
        <x:f>IF(LOWER(AC221)="basis",Parameters!$B$8,IF(LOWER(AC221)="volatility",Parameters!$B$9,1))</x:f>
        <x:v>1</x:v>
      </x:c>
      <x:c r="AM221" s="41" t="n">
        <x:f>AK221*AL221</x:f>
        <x:v>0.18</x:v>
      </x:c>
      <x:c r="AN221" s="42" t="n">
        <x:f>IF(E221="Credit",VLOOKUP(IF(LOWER(K221)="index","Credit Index","Credit Single Name"),Parameters!$J$4:$K$8,2,FALSE),IF(E221="Equity",VLOOKUP(IF(LOWER(K221)="index","Equity Index","Equity Single Name"),Parameters!$J$4:$K$8,2,FALSE),IF(E221="Commodity",VLOOKUP("Commodity",Parameters!$J$4:$K$8,2,FALSE),"")))</x:f>
        <x:v>0.4</x:v>
      </x:c>
      <x:c r="AO221" s="27" t="n">
        <x:f>MAX((O221-M221)/365,0)</x:f>
        <x:v>0</x:v>
      </x:c>
      <x:c r="AP221" s="27" t="n">
        <x:f>MAX((P221-M221)/365,10/Parameters!$B$6)</x:f>
        <x:v>3.7095890410958905</x:v>
      </x:c>
      <x:c r="AQ221" s="27" t="n">
        <x:f>IF(AP221&lt;=AO221,AO221+10/Parameters!$B$6,AP221)</x:f>
        <x:v>3.7095890410958905</x:v>
      </x:c>
      <x:c r="AR221" s="41" t="n">
        <x:f>IF(OR(E221="Interest Rate",E221="Credit"),(EXP(-Parameters!$B$7*AO221)-EXP(-Parameters!$B$7*AQ221))/Parameters!$B$7,1)</x:f>
        <x:v>1</x:v>
      </x:c>
      <x:c r="AS221" s="40" t="n">
        <x:f>IF(OR(E221="Interest Rate",E221="Credit"),ABS(Q221)*AR221,IF(E221="FX",IF(Q221&gt;0,Q221,MAX(ABS(R221),ABS(S221),ABS(Q221))),ABS(Q221)))</x:f>
        <x:v>50300000</x:v>
      </x:c>
      <x:c r="AT221" s="42" t="n">
        <x:f>IF(OR(E221="Interest Rate",E221="FX"),VLOOKUP(E221,Parameters!$M$4:$N$11,2,FALSE),IF(E221="Credit",VLOOKUP(IF(LOWER(K221)="index","Credit Index","Credit Single Name"),Parameters!$M$4:$N$11,2,FALSE),IF(E221="Equity",VLOOKUP(IF(LOWER(K221)="index","Equity Index","Equity Single Name"),Parameters!$M$4:$N$11,2,FALSE),IF(E221="Commodity",VLOOKUP(IF(F221="Electricity","Commodity Electricity","Commodity Other"),Parameters!$M$4:$N$11,2,FALSE),1))))</x:f>
        <x:v>0.7</x:v>
      </x:c>
      <x:c r="AU221" s="27" t="n">
        <x:f>IF(W221="B",1,-1)</x:f>
        <x:v>-1</x:v>
      </x:c>
      <x:c r="AV221" s="27" t="n">
        <x:f>IF(OR(AA221="",M221=""),MAX(AE221,1/365),MAX((AA221-M221)/365,1/365))</x:f>
        <x:v>2.780821917808219</x:v>
      </x:c>
      <x:c r="AW221" s="41" t="n">
        <x:f>IF(OR(Z221&lt;=0,Y221&lt;=0,AT221&lt;=0,AV221&lt;=0),"",(LN(Z221/Y221)+0.5*AT221^2*AV221)/(AT221*SQRT(AV221)))</x:f>
        <x:v>0.689279204361891</x:v>
      </x:c>
      <x:c r="AX221" s="41" t="n">
        <x:f>IF(AND(X221&lt;&gt;"C",X221&lt;&gt;"P"),AU221,IF(AW221="",AU221,IF(X221="C",AU221*0.5*(1+ERF(AW221/SQRT(2))),-AU221*0.5*(1+ERF(-AW221/SQRT(2))))))</x:f>
        <x:v>-0.7546762090092815</x:v>
      </x:c>
      <x:c r="AY221" s="41" t="n">
        <x:f>IF(AJ221="M",1.5*SQRT(MAX(IF(U221="Y",5,10),IF(V221="",10,V221))/Parameters!$B$6),SQRT(MIN(MAX(AE221,10/Parameters!$B$6),1)))</x:f>
        <x:v>1</x:v>
      </x:c>
      <x:c r="AZ221" s="40" t="n">
        <x:f>AS221*AX221*AY221</x:f>
        <x:v>-37960213.31316686</x:v>
      </x:c>
      <x:c r="BA221" s="40" t="n">
        <x:f>'Python_Trade_Output'!AZ221</x:f>
        <x:v>-37960213.31316685</x:v>
      </x:c>
      <x:c r="BB221" s="43" t="n">
        <x:f>AZ221-BA221</x:f>
        <x:v>-7.450580596923828e-9</x:v>
      </x:c>
    </x:row>
    <x:row r="222">
      <x:c r="A222" s="27" t="str">
        <x:f>'Inputs_Trades'!D222</x:f>
        <x:v>IND-000219</x:v>
      </x:c>
      <x:c r="B222" s="27" t="str">
        <x:f>'Inputs_Trades'!B222</x:f>
        <x:v>IND_ASSET_MANAGER_001</x:v>
      </x:c>
      <x:c r="C222" s="27" t="n">
        <x:f>'Inputs_Trades'!C222</x:f>
        <x:v>3331</x:v>
      </x:c>
      <x:c r="D222" s="27" t="str">
        <x:f>'Inputs_Trades'!E222</x:f>
        <x:v>Commodity Option</x:v>
      </x:c>
      <x:c r="E222" s="27" t="str">
        <x:f>'Inputs_Trades'!F222</x:f>
        <x:v>Commodity</x:v>
      </x:c>
      <x:c r="F222" s="27" t="str">
        <x:f>'Inputs_Trades'!G222</x:f>
        <x:v>Gold</x:v>
      </x:c>
      <x:c r="G222" s="27" t="str">
        <x:f>'Inputs_Trades'!J222</x:f>
        <x:v>USD</x:v>
      </x:c>
      <x:c r="H222" s="27" t="str">
        <x:f>'Inputs_Trades'!H222</x:f>
        <x:v>XAU</x:v>
      </x:c>
      <x:c r="I222" s="27" t="str">
        <x:f>'Inputs_Trades'!I222</x:f>
        <x:v>USD</x:v>
      </x:c>
      <x:c r="J222" s="27" t="str">
        <x:f>'Inputs_Trades'!M222</x:f>
        <x:v>XAU/USD</x:v>
      </x:c>
      <x:c r="K222" s="27" t="n">
        <x:f>'Inputs_Trades'!N222</x:f>
        <x:v>0</x:v>
      </x:c>
      <x:c r="L222" s="27" t="n">
        <x:f>'Inputs_Trades'!O222</x:f>
        <x:v>0</x:v>
      </x:c>
      <x:c r="M222" s="39" t="n">
        <x:f>'Inputs_Trades'!A222</x:f>
        <x:v>45702</x:v>
      </x:c>
      <x:c r="N222" s="39" t="n">
        <x:f>'Inputs_Trades'!P222</x:f>
        <x:v>47268</x:v>
      </x:c>
      <x:c r="O222" s="39" t="n">
        <x:f>'Inputs_Trades'!Q222</x:f>
        <x:v>45546</x:v>
      </x:c>
      <x:c r="P222" s="39" t="n">
        <x:f>'Inputs_Trades'!R222</x:f>
        <x:v>47268</x:v>
      </x:c>
      <x:c r="Q222" s="40" t="n">
        <x:f>'Inputs_Trades'!U222</x:f>
        <x:v>61900000</x:v>
      </x:c>
      <x:c r="R222" s="40" t="n">
        <x:f>'Inputs_Trades'!S222</x:f>
        <x:v>30950</x:v>
      </x:c>
      <x:c r="S222" s="40" t="n">
        <x:f>'Inputs_Trades'!T222</x:f>
        <x:v>61900000</x:v>
      </x:c>
      <x:c r="T222" s="27" t="str">
        <x:f>'Inputs_Trades'!V222</x:f>
        <x:v>M</x:v>
      </x:c>
      <x:c r="U222" s="27" t="str">
        <x:f>'Inputs_Trades'!W222</x:f>
        <x:v>N</x:v>
      </x:c>
      <x:c r="V222" s="27" t="n">
        <x:f>'Inputs_Trades'!X222</x:f>
        <x:v>10</x:v>
      </x:c>
      <x:c r="W222" s="27" t="str">
        <x:f>'Inputs_Trades'!Y222</x:f>
        <x:v>B</x:v>
      </x:c>
      <x:c r="X222" s="27" t="str">
        <x:f>'Inputs_Trades'!AA222</x:f>
        <x:v>P</x:v>
      </x:c>
      <x:c r="Y222" s="27" t="n">
        <x:f>'Inputs_Trades'!AB222</x:f>
        <x:v>2004.9</x:v>
      </x:c>
      <x:c r="Z222" s="27" t="n">
        <x:f>'Inputs_Trades'!AC222</x:f>
        <x:v>2050</x:v>
      </x:c>
      <x:c r="AA222" s="39" t="n">
        <x:f>'Inputs_Trades'!Z222</x:f>
        <x:v>46876</x:v>
      </x:c>
      <x:c r="AB222" s="40" t="n">
        <x:f>'Inputs_Trades'!AD222</x:f>
        <x:v>-1339825.5</x:v>
      </x:c>
      <x:c r="AC222" s="27" t="n">
        <x:f>'Inputs_Trades'!K222</x:f>
        <x:v>0</x:v>
      </x:c>
      <x:c r="AD222" s="27" t="n">
        <x:f>N222-M222</x:f>
        <x:v>1566</x:v>
      </x:c>
      <x:c r="AE222" s="41" t="n">
        <x:f>AD222/365</x:f>
        <x:v>4.2904109589041095</x:v>
      </x:c>
      <x:c r="AF222" s="27" t="str">
        <x:f>IF(AE222&lt;1,"&lt;1Y",IF(AE222&lt;=5,"1Y-5Y","&gt;5Y"))</x:f>
        <x:v>1Y-5Y</x:v>
      </x:c>
      <x:c r="AG222" s="27" t="str">
        <x:f>IF(E222="Commodity",IFERROR(VLOOKUP(F222,Parameters!$P$4:$Q$12,2,FALSE),"Other"),"")</x:f>
        <x:v>Metals</x:v>
      </x:c>
      <x:c r="AH222" s="27" t="str">
        <x:f>IF(F222="","Unknown",F222)</x:f>
        <x:v>Gold</x:v>
      </x:c>
      <x:c r="AI222" s="27" t="str">
        <x:f>IF(E222="Interest Rate",G222&amp;IF(OR(LOWER(AC222)="basis",LOWER(AC222)="volatility"),"_"&amp;AC222,""),IF(E222="FX",IF(H222&lt;I222,H222&amp;"/"&amp;I222,I222&amp;"/"&amp;H222)&amp;IF(OR(LOWER(AC222)="basis",LOWER(AC222)="volatility"),"_"&amp;AC222,""),IF(OR(E222="Credit",E222="Equity"),J222&amp;IF(OR(LOWER(AC222)="basis",LOWER(AC222)="volatility"),"_"&amp;AC222,""),IF(E222="Commodity",AG222&amp;IF(OR(LOWER(AC222)="basis",LOWER(AC222)="volatility"),"_"&amp;AC222,""),"UNKNOWN"))))</x:f>
        <x:v>Metals</x:v>
      </x:c>
      <x:c r="AJ222" s="27" t="str">
        <x:f>T222</x:f>
        <x:v>M</x:v>
      </x:c>
      <x:c r="AK222" s="41" t="n">
        <x:f>IF(E222="Interest Rate",VLOOKUP("Interest Rate",Parameters!$D$4:$E$12,2,FALSE),IF(E222="FX",VLOOKUP("FX",Parameters!$D$4:$E$12,2,FALSE),IF(E222="Credit",IFERROR(VLOOKUP(L222,Parameters!$G$4:$H$12,2,FALSE),VLOOKUP("BBB",Parameters!$G$4:$H$12,2,FALSE)),IF(E222="Equity",VLOOKUP(IF(LOWER(K222)="index","Equity Index","Equity Single Name"),Parameters!$D$4:$E$12,2,FALSE),IF(E222="Commodity",VLOOKUP(IFERROR(VLOOKUP(F222,Parameters!$S$4:$T$12,2,FALSE),"Commodity Other"),Parameters!$D$4:$E$12,2,FALSE),0)))))</x:f>
        <x:v>0.18</x:v>
      </x:c>
      <x:c r="AL222" s="42" t="n">
        <x:f>IF(LOWER(AC222)="basis",Parameters!$B$8,IF(LOWER(AC222)="volatility",Parameters!$B$9,1))</x:f>
        <x:v>1</x:v>
      </x:c>
      <x:c r="AM222" s="41" t="n">
        <x:f>AK222*AL222</x:f>
        <x:v>0.18</x:v>
      </x:c>
      <x:c r="AN222" s="42" t="n">
        <x:f>IF(E222="Credit",VLOOKUP(IF(LOWER(K222)="index","Credit Index","Credit Single Name"),Parameters!$J$4:$K$8,2,FALSE),IF(E222="Equity",VLOOKUP(IF(LOWER(K222)="index","Equity Index","Equity Single Name"),Parameters!$J$4:$K$8,2,FALSE),IF(E222="Commodity",VLOOKUP("Commodity",Parameters!$J$4:$K$8,2,FALSE),"")))</x:f>
        <x:v>0.4</x:v>
      </x:c>
      <x:c r="AO222" s="27" t="n">
        <x:f>MAX((O222-M222)/365,0)</x:f>
        <x:v>0</x:v>
      </x:c>
      <x:c r="AP222" s="27" t="n">
        <x:f>MAX((P222-M222)/365,10/Parameters!$B$6)</x:f>
        <x:v>4.2904109589041095</x:v>
      </x:c>
      <x:c r="AQ222" s="27" t="n">
        <x:f>IF(AP222&lt;=AO222,AO222+10/Parameters!$B$6,AP222)</x:f>
        <x:v>4.2904109589041095</x:v>
      </x:c>
      <x:c r="AR222" s="41" t="n">
        <x:f>IF(OR(E222="Interest Rate",E222="Credit"),(EXP(-Parameters!$B$7*AO222)-EXP(-Parameters!$B$7*AQ222))/Parameters!$B$7,1)</x:f>
        <x:v>1</x:v>
      </x:c>
      <x:c r="AS222" s="40" t="n">
        <x:f>IF(OR(E222="Interest Rate",E222="Credit"),ABS(Q222)*AR222,IF(E222="FX",IF(Q222&gt;0,Q222,MAX(ABS(R222),ABS(S222),ABS(Q222))),ABS(Q222)))</x:f>
        <x:v>61900000</x:v>
      </x:c>
      <x:c r="AT222" s="42" t="n">
        <x:f>IF(OR(E222="Interest Rate",E222="FX"),VLOOKUP(E222,Parameters!$M$4:$N$11,2,FALSE),IF(E222="Credit",VLOOKUP(IF(LOWER(K222)="index","Credit Index","Credit Single Name"),Parameters!$M$4:$N$11,2,FALSE),IF(E222="Equity",VLOOKUP(IF(LOWER(K222)="index","Equity Index","Equity Single Name"),Parameters!$M$4:$N$11,2,FALSE),IF(E222="Commodity",VLOOKUP(IF(F222="Electricity","Commodity Electricity","Commodity Other"),Parameters!$M$4:$N$11,2,FALSE),1))))</x:f>
        <x:v>0.7</x:v>
      </x:c>
      <x:c r="AU222" s="27" t="n">
        <x:f>IF(W222="B",1,-1)</x:f>
        <x:v>1</x:v>
      </x:c>
      <x:c r="AV222" s="27" t="n">
        <x:f>IF(OR(AA222="",M222=""),MAX(AE222,1/365),MAX((AA222-M222)/365,1/365))</x:f>
        <x:v>3.2164383561643834</x:v>
      </x:c>
      <x:c r="AW222" s="41" t="n">
        <x:f>IF(OR(Z222&lt;=0,Y222&lt;=0,AT222&lt;=0,AV222&lt;=0),"",(LN(Z222/Y222)+0.5*AT222^2*AV222)/(AT222*SQRT(AV222)))</x:f>
        <x:v>0.6454248977523677</x:v>
      </x:c>
      <x:c r="AX222" s="41" t="n">
        <x:f>IF(AND(X222&lt;&gt;"C",X222&lt;&gt;"P"),AU222,IF(AW222="",AU222,IF(X222="C",AU222*0.5*(1+ERF(AW222/SQRT(2))),-AU222*0.5*(1+ERF(-AW222/SQRT(2))))))</x:f>
        <x:v>-0.2593259364902419</x:v>
      </x:c>
      <x:c r="AY222" s="41" t="n">
        <x:f>IF(AJ222="M",1.5*SQRT(MAX(IF(U222="Y",5,10),IF(V222="",10,V222))/Parameters!$B$6),SQRT(MIN(MAX(AE222,10/Parameters!$B$6),1)))</x:f>
        <x:v>0.30000000000000004</x:v>
      </x:c>
      <x:c r="AZ222" s="40" t="n">
        <x:f>AS222*AX222*AY222</x:f>
        <x:v>-4815682.640623793</x:v>
      </x:c>
      <x:c r="BA222" s="40" t="n">
        <x:f>'Python_Trade_Output'!AZ222</x:f>
        <x:v>-4815682.640623794</x:v>
      </x:c>
      <x:c r="BB222" s="43" t="n">
        <x:f>AZ222-BA222</x:f>
        <x:v>9.313225746154785e-10</x:v>
      </x:c>
    </x:row>
    <x:row r="223">
      <x:c r="A223" s="27" t="str">
        <x:f>'Inputs_Trades'!D223</x:f>
        <x:v>IND-000220</x:v>
      </x:c>
      <x:c r="B223" s="27" t="str">
        <x:f>'Inputs_Trades'!B223</x:f>
        <x:v>IND_ASSET_MANAGER_001</x:v>
      </x:c>
      <x:c r="C223" s="27" t="n">
        <x:f>'Inputs_Trades'!C223</x:f>
        <x:v>3331</x:v>
      </x:c>
      <x:c r="D223" s="27" t="str">
        <x:f>'Inputs_Trades'!E223</x:f>
        <x:v>Commodity Option</x:v>
      </x:c>
      <x:c r="E223" s="27" t="str">
        <x:f>'Inputs_Trades'!F223</x:f>
        <x:v>Commodity</x:v>
      </x:c>
      <x:c r="F223" s="27" t="str">
        <x:f>'Inputs_Trades'!G223</x:f>
        <x:v>Gold</x:v>
      </x:c>
      <x:c r="G223" s="27" t="str">
        <x:f>'Inputs_Trades'!J223</x:f>
        <x:v>USD</x:v>
      </x:c>
      <x:c r="H223" s="27" t="str">
        <x:f>'Inputs_Trades'!H223</x:f>
        <x:v>XAU</x:v>
      </x:c>
      <x:c r="I223" s="27" t="str">
        <x:f>'Inputs_Trades'!I223</x:f>
        <x:v>USD</x:v>
      </x:c>
      <x:c r="J223" s="27" t="str">
        <x:f>'Inputs_Trades'!M223</x:f>
        <x:v>XAU/USD</x:v>
      </x:c>
      <x:c r="K223" s="27" t="n">
        <x:f>'Inputs_Trades'!N223</x:f>
        <x:v>0</x:v>
      </x:c>
      <x:c r="L223" s="27" t="n">
        <x:f>'Inputs_Trades'!O223</x:f>
        <x:v>0</x:v>
      </x:c>
      <x:c r="M223" s="39" t="n">
        <x:f>'Inputs_Trades'!A223</x:f>
        <x:v>45702</x:v>
      </x:c>
      <x:c r="N223" s="39" t="n">
        <x:f>'Inputs_Trades'!P223</x:f>
        <x:v>47561</x:v>
      </x:c>
      <x:c r="O223" s="39" t="n">
        <x:f>'Inputs_Trades'!Q223</x:f>
        <x:v>45343</x:v>
      </x:c>
      <x:c r="P223" s="39" t="n">
        <x:f>'Inputs_Trades'!R223</x:f>
        <x:v>47561</x:v>
      </x:c>
      <x:c r="Q223" s="40" t="n">
        <x:f>'Inputs_Trades'!U223</x:f>
        <x:v>19600000</x:v>
      </x:c>
      <x:c r="R223" s="40" t="n">
        <x:f>'Inputs_Trades'!S223</x:f>
        <x:v>9800</x:v>
      </x:c>
      <x:c r="S223" s="40" t="n">
        <x:f>'Inputs_Trades'!T223</x:f>
        <x:v>19600000</x:v>
      </x:c>
      <x:c r="T223" s="27" t="str">
        <x:f>'Inputs_Trades'!V223</x:f>
        <x:v>M</x:v>
      </x:c>
      <x:c r="U223" s="27" t="str">
        <x:f>'Inputs_Trades'!W223</x:f>
        <x:v>N</x:v>
      </x:c>
      <x:c r="V223" s="27" t="n">
        <x:f>'Inputs_Trades'!X223</x:f>
        <x:v>10</x:v>
      </x:c>
      <x:c r="W223" s="27" t="str">
        <x:f>'Inputs_Trades'!Y223</x:f>
        <x:v>S</x:v>
      </x:c>
      <x:c r="X223" s="27" t="str">
        <x:f>'Inputs_Trades'!AA223</x:f>
        <x:v>C</x:v>
      </x:c>
      <x:c r="Y223" s="27" t="n">
        <x:f>'Inputs_Trades'!AB223</x:f>
        <x:v>2240.65</x:v>
      </x:c>
      <x:c r="Z223" s="27" t="n">
        <x:f>'Inputs_Trades'!AC223</x:f>
        <x:v>2050</x:v>
      </x:c>
      <x:c r="AA223" s="39" t="n">
        <x:f>'Inputs_Trades'!Z223</x:f>
        <x:v>47096</x:v>
      </x:c>
      <x:c r="AB223" s="40" t="n">
        <x:f>'Inputs_Trades'!AD223</x:f>
        <x:v>150822</x:v>
      </x:c>
      <x:c r="AC223" s="27" t="n">
        <x:f>'Inputs_Trades'!K223</x:f>
        <x:v>0</x:v>
      </x:c>
      <x:c r="AD223" s="27" t="n">
        <x:f>N223-M223</x:f>
        <x:v>1859</x:v>
      </x:c>
      <x:c r="AE223" s="41" t="n">
        <x:f>AD223/365</x:f>
        <x:v>5.093150684931507</x:v>
      </x:c>
      <x:c r="AF223" s="27" t="str">
        <x:f>IF(AE223&lt;1,"&lt;1Y",IF(AE223&lt;=5,"1Y-5Y","&gt;5Y"))</x:f>
        <x:v>&gt;5Y</x:v>
      </x:c>
      <x:c r="AG223" s="27" t="str">
        <x:f>IF(E223="Commodity",IFERROR(VLOOKUP(F223,Parameters!$P$4:$Q$12,2,FALSE),"Other"),"")</x:f>
        <x:v>Metals</x:v>
      </x:c>
      <x:c r="AH223" s="27" t="str">
        <x:f>IF(F223="","Unknown",F223)</x:f>
        <x:v>Gold</x:v>
      </x:c>
      <x:c r="AI223" s="27" t="str">
        <x:f>IF(E223="Interest Rate",G223&amp;IF(OR(LOWER(AC223)="basis",LOWER(AC223)="volatility"),"_"&amp;AC223,""),IF(E223="FX",IF(H223&lt;I223,H223&amp;"/"&amp;I223,I223&amp;"/"&amp;H223)&amp;IF(OR(LOWER(AC223)="basis",LOWER(AC223)="volatility"),"_"&amp;AC223,""),IF(OR(E223="Credit",E223="Equity"),J223&amp;IF(OR(LOWER(AC223)="basis",LOWER(AC223)="volatility"),"_"&amp;AC223,""),IF(E223="Commodity",AG223&amp;IF(OR(LOWER(AC223)="basis",LOWER(AC223)="volatility"),"_"&amp;AC223,""),"UNKNOWN"))))</x:f>
        <x:v>Metals</x:v>
      </x:c>
      <x:c r="AJ223" s="27" t="str">
        <x:f>T223</x:f>
        <x:v>M</x:v>
      </x:c>
      <x:c r="AK223" s="41" t="n">
        <x:f>IF(E223="Interest Rate",VLOOKUP("Interest Rate",Parameters!$D$4:$E$12,2,FALSE),IF(E223="FX",VLOOKUP("FX",Parameters!$D$4:$E$12,2,FALSE),IF(E223="Credit",IFERROR(VLOOKUP(L223,Parameters!$G$4:$H$12,2,FALSE),VLOOKUP("BBB",Parameters!$G$4:$H$12,2,FALSE)),IF(E223="Equity",VLOOKUP(IF(LOWER(K223)="index","Equity Index","Equity Single Name"),Parameters!$D$4:$E$12,2,FALSE),IF(E223="Commodity",VLOOKUP(IFERROR(VLOOKUP(F223,Parameters!$S$4:$T$12,2,FALSE),"Commodity Other"),Parameters!$D$4:$E$12,2,FALSE),0)))))</x:f>
        <x:v>0.18</x:v>
      </x:c>
      <x:c r="AL223" s="42" t="n">
        <x:f>IF(LOWER(AC223)="basis",Parameters!$B$8,IF(LOWER(AC223)="volatility",Parameters!$B$9,1))</x:f>
        <x:v>1</x:v>
      </x:c>
      <x:c r="AM223" s="41" t="n">
        <x:f>AK223*AL223</x:f>
        <x:v>0.18</x:v>
      </x:c>
      <x:c r="AN223" s="42" t="n">
        <x:f>IF(E223="Credit",VLOOKUP(IF(LOWER(K223)="index","Credit Index","Credit Single Name"),Parameters!$J$4:$K$8,2,FALSE),IF(E223="Equity",VLOOKUP(IF(LOWER(K223)="index","Equity Index","Equity Single Name"),Parameters!$J$4:$K$8,2,FALSE),IF(E223="Commodity",VLOOKUP("Commodity",Parameters!$J$4:$K$8,2,FALSE),"")))</x:f>
        <x:v>0.4</x:v>
      </x:c>
      <x:c r="AO223" s="27" t="n">
        <x:f>MAX((O223-M223)/365,0)</x:f>
        <x:v>0</x:v>
      </x:c>
      <x:c r="AP223" s="27" t="n">
        <x:f>MAX((P223-M223)/365,10/Parameters!$B$6)</x:f>
        <x:v>5.093150684931507</x:v>
      </x:c>
      <x:c r="AQ223" s="27" t="n">
        <x:f>IF(AP223&lt;=AO223,AO223+10/Parameters!$B$6,AP223)</x:f>
        <x:v>5.093150684931507</x:v>
      </x:c>
      <x:c r="AR223" s="41" t="n">
        <x:f>IF(OR(E223="Interest Rate",E223="Credit"),(EXP(-Parameters!$B$7*AO223)-EXP(-Parameters!$B$7*AQ223))/Parameters!$B$7,1)</x:f>
        <x:v>1</x:v>
      </x:c>
      <x:c r="AS223" s="40" t="n">
        <x:f>IF(OR(E223="Interest Rate",E223="Credit"),ABS(Q223)*AR223,IF(E223="FX",IF(Q223&gt;0,Q223,MAX(ABS(R223),ABS(S223),ABS(Q223))),ABS(Q223)))</x:f>
        <x:v>19600000</x:v>
      </x:c>
      <x:c r="AT223" s="42" t="n">
        <x:f>IF(OR(E223="Interest Rate",E223="FX"),VLOOKUP(E223,Parameters!$M$4:$N$11,2,FALSE),IF(E223="Credit",VLOOKUP(IF(LOWER(K223)="index","Credit Index","Credit Single Name"),Parameters!$M$4:$N$11,2,FALSE),IF(E223="Equity",VLOOKUP(IF(LOWER(K223)="index","Equity Index","Equity Single Name"),Parameters!$M$4:$N$11,2,FALSE),IF(E223="Commodity",VLOOKUP(IF(F223="Electricity","Commodity Electricity","Commodity Other"),Parameters!$M$4:$N$11,2,FALSE),1))))</x:f>
        <x:v>0.7</x:v>
      </x:c>
      <x:c r="AU223" s="27" t="n">
        <x:f>IF(W223="B",1,-1)</x:f>
        <x:v>-1</x:v>
      </x:c>
      <x:c r="AV223" s="27" t="n">
        <x:f>IF(OR(AA223="",M223=""),MAX(AE223,1/365),MAX((AA223-M223)/365,1/365))</x:f>
        <x:v>3.819178082191781</x:v>
      </x:c>
      <x:c r="AW223" s="41" t="n">
        <x:f>IF(OR(Z223&lt;=0,Y223&lt;=0,AT223&lt;=0,AV223&lt;=0),"",(LN(Z223/Y223)+0.5*AT223^2*AV223)/(AT223*SQRT(AV223)))</x:f>
        <x:v>0.6189901100402667</x:v>
      </x:c>
      <x:c r="AX223" s="41" t="n">
        <x:f>IF(AND(X223&lt;&gt;"C",X223&lt;&gt;"P"),AU223,IF(AW223="",AU223,IF(X223="C",AU223*0.5*(1+ERF(AW223/SQRT(2))),-AU223*0.5*(1+ERF(-AW223/SQRT(2))))))</x:f>
        <x:v>-0.7320385629134476</x:v>
      </x:c>
      <x:c r="AY223" s="41" t="n">
        <x:f>IF(AJ223="M",1.5*SQRT(MAX(IF(U223="Y",5,10),IF(V223="",10,V223))/Parameters!$B$6),SQRT(MIN(MAX(AE223,10/Parameters!$B$6),1)))</x:f>
        <x:v>0.30000000000000004</x:v>
      </x:c>
      <x:c r="AZ223" s="40" t="n">
        <x:f>AS223*AX223*AY223</x:f>
        <x:v>-4304386.749931073</x:v>
      </x:c>
      <x:c r="BA223" s="40" t="n">
        <x:f>'Python_Trade_Output'!AZ223</x:f>
        <x:v>-4304386.749931073</x:v>
      </x:c>
      <x:c r="BB223" s="43" t="n">
        <x:f>AZ223-BA223</x:f>
        <x:v>0</x:v>
      </x:c>
    </x:row>
    <x:row r="224">
      <x:c r="A224" s="27" t="str">
        <x:f>'Inputs_Trades'!D224</x:f>
        <x:v>IND-000221</x:v>
      </x:c>
      <x:c r="B224" s="27" t="str">
        <x:f>'Inputs_Trades'!B224</x:f>
        <x:v>IND_HEDGE_FUND_001</x:v>
      </x:c>
      <x:c r="C224" s="27" t="n">
        <x:f>'Inputs_Trades'!C224</x:f>
        <x:v>3109</x:v>
      </x:c>
      <x:c r="D224" s="27" t="str">
        <x:f>'Inputs_Trades'!E224</x:f>
        <x:v>Commodity Option</x:v>
      </x:c>
      <x:c r="E224" s="27" t="str">
        <x:f>'Inputs_Trades'!F224</x:f>
        <x:v>Commodity</x:v>
      </x:c>
      <x:c r="F224" s="27" t="str">
        <x:f>'Inputs_Trades'!G224</x:f>
        <x:v>Gold</x:v>
      </x:c>
      <x:c r="G224" s="27" t="str">
        <x:f>'Inputs_Trades'!J224</x:f>
        <x:v>CNY</x:v>
      </x:c>
      <x:c r="H224" s="27" t="str">
        <x:f>'Inputs_Trades'!H224</x:f>
        <x:v>XAU</x:v>
      </x:c>
      <x:c r="I224" s="27" t="str">
        <x:f>'Inputs_Trades'!I224</x:f>
        <x:v>CNY</x:v>
      </x:c>
      <x:c r="J224" s="27" t="str">
        <x:f>'Inputs_Trades'!M224</x:f>
        <x:v>XAU/CNY</x:v>
      </x:c>
      <x:c r="K224" s="27" t="n">
        <x:f>'Inputs_Trades'!N224</x:f>
        <x:v>0</x:v>
      </x:c>
      <x:c r="L224" s="27" t="n">
        <x:f>'Inputs_Trades'!O224</x:f>
        <x:v>0</x:v>
      </x:c>
      <x:c r="M224" s="39" t="n">
        <x:f>'Inputs_Trades'!A224</x:f>
        <x:v>45702</x:v>
      </x:c>
      <x:c r="N224" s="39" t="n">
        <x:f>'Inputs_Trades'!P224</x:f>
        <x:v>46351</x:v>
      </x:c>
      <x:c r="O224" s="39" t="n">
        <x:f>'Inputs_Trades'!Q224</x:f>
        <x:v>45538</x:v>
      </x:c>
      <x:c r="P224" s="39" t="n">
        <x:f>'Inputs_Trades'!R224</x:f>
        <x:v>46351</x:v>
      </x:c>
      <x:c r="Q224" s="40" t="n">
        <x:f>'Inputs_Trades'!U224</x:f>
        <x:v>58100000</x:v>
      </x:c>
      <x:c r="R224" s="40" t="n">
        <x:f>'Inputs_Trades'!S224</x:f>
        <x:v>29050</x:v>
      </x:c>
      <x:c r="S224" s="40" t="n">
        <x:f>'Inputs_Trades'!T224</x:f>
        <x:v>415000000</x:v>
      </x:c>
      <x:c r="T224" s="27" t="str">
        <x:f>'Inputs_Trades'!V224</x:f>
        <x:v>M</x:v>
      </x:c>
      <x:c r="U224" s="27" t="str">
        <x:f>'Inputs_Trades'!W224</x:f>
        <x:v>N</x:v>
      </x:c>
      <x:c r="V224" s="27" t="n">
        <x:f>'Inputs_Trades'!X224</x:f>
        <x:v>10</x:v>
      </x:c>
      <x:c r="W224" s="27" t="str">
        <x:f>'Inputs_Trades'!Y224</x:f>
        <x:v>B</x:v>
      </x:c>
      <x:c r="X224" s="27" t="str">
        <x:f>'Inputs_Trades'!AA224</x:f>
        <x:v>C</x:v>
      </x:c>
      <x:c r="Y224" s="27" t="n">
        <x:f>'Inputs_Trades'!AB224</x:f>
        <x:v>1822.45</x:v>
      </x:c>
      <x:c r="Z224" s="27" t="n">
        <x:f>'Inputs_Trades'!AC224</x:f>
        <x:v>2050</x:v>
      </x:c>
      <x:c r="AA224" s="39" t="n">
        <x:f>'Inputs_Trades'!Z224</x:f>
        <x:v>46188</x:v>
      </x:c>
      <x:c r="AB224" s="40" t="n">
        <x:f>'Inputs_Trades'!AD224</x:f>
        <x:v>2567439</x:v>
      </x:c>
      <x:c r="AC224" s="27" t="n">
        <x:f>'Inputs_Trades'!K224</x:f>
        <x:v>0</x:v>
      </x:c>
      <x:c r="AD224" s="27" t="n">
        <x:f>N224-M224</x:f>
        <x:v>649</x:v>
      </x:c>
      <x:c r="AE224" s="41" t="n">
        <x:f>AD224/365</x:f>
        <x:v>1.7780821917808218</x:v>
      </x:c>
      <x:c r="AF224" s="27" t="str">
        <x:f>IF(AE224&lt;1,"&lt;1Y",IF(AE224&lt;=5,"1Y-5Y","&gt;5Y"))</x:f>
        <x:v>1Y-5Y</x:v>
      </x:c>
      <x:c r="AG224" s="27" t="str">
        <x:f>IF(E224="Commodity",IFERROR(VLOOKUP(F224,Parameters!$P$4:$Q$12,2,FALSE),"Other"),"")</x:f>
        <x:v>Metals</x:v>
      </x:c>
      <x:c r="AH224" s="27" t="str">
        <x:f>IF(F224="","Unknown",F224)</x:f>
        <x:v>Gold</x:v>
      </x:c>
      <x:c r="AI224" s="27" t="str">
        <x:f>IF(E224="Interest Rate",G224&amp;IF(OR(LOWER(AC224)="basis",LOWER(AC224)="volatility"),"_"&amp;AC224,""),IF(E224="FX",IF(H224&lt;I224,H224&amp;"/"&amp;I224,I224&amp;"/"&amp;H224)&amp;IF(OR(LOWER(AC224)="basis",LOWER(AC224)="volatility"),"_"&amp;AC224,""),IF(OR(E224="Credit",E224="Equity"),J224&amp;IF(OR(LOWER(AC224)="basis",LOWER(AC224)="volatility"),"_"&amp;AC224,""),IF(E224="Commodity",AG224&amp;IF(OR(LOWER(AC224)="basis",LOWER(AC224)="volatility"),"_"&amp;AC224,""),"UNKNOWN"))))</x:f>
        <x:v>Metals</x:v>
      </x:c>
      <x:c r="AJ224" s="27" t="str">
        <x:f>T224</x:f>
        <x:v>M</x:v>
      </x:c>
      <x:c r="AK224" s="41" t="n">
        <x:f>IF(E224="Interest Rate",VLOOKUP("Interest Rate",Parameters!$D$4:$E$12,2,FALSE),IF(E224="FX",VLOOKUP("FX",Parameters!$D$4:$E$12,2,FALSE),IF(E224="Credit",IFERROR(VLOOKUP(L224,Parameters!$G$4:$H$12,2,FALSE),VLOOKUP("BBB",Parameters!$G$4:$H$12,2,FALSE)),IF(E224="Equity",VLOOKUP(IF(LOWER(K224)="index","Equity Index","Equity Single Name"),Parameters!$D$4:$E$12,2,FALSE),IF(E224="Commodity",VLOOKUP(IFERROR(VLOOKUP(F224,Parameters!$S$4:$T$12,2,FALSE),"Commodity Other"),Parameters!$D$4:$E$12,2,FALSE),0)))))</x:f>
        <x:v>0.18</x:v>
      </x:c>
      <x:c r="AL224" s="42" t="n">
        <x:f>IF(LOWER(AC224)="basis",Parameters!$B$8,IF(LOWER(AC224)="volatility",Parameters!$B$9,1))</x:f>
        <x:v>1</x:v>
      </x:c>
      <x:c r="AM224" s="41" t="n">
        <x:f>AK224*AL224</x:f>
        <x:v>0.18</x:v>
      </x:c>
      <x:c r="AN224" s="42" t="n">
        <x:f>IF(E224="Credit",VLOOKUP(IF(LOWER(K224)="index","Credit Index","Credit Single Name"),Parameters!$J$4:$K$8,2,FALSE),IF(E224="Equity",VLOOKUP(IF(LOWER(K224)="index","Equity Index","Equity Single Name"),Parameters!$J$4:$K$8,2,FALSE),IF(E224="Commodity",VLOOKUP("Commodity",Parameters!$J$4:$K$8,2,FALSE),"")))</x:f>
        <x:v>0.4</x:v>
      </x:c>
      <x:c r="AO224" s="27" t="n">
        <x:f>MAX((O224-M224)/365,0)</x:f>
        <x:v>0</x:v>
      </x:c>
      <x:c r="AP224" s="27" t="n">
        <x:f>MAX((P224-M224)/365,10/Parameters!$B$6)</x:f>
        <x:v>1.7780821917808218</x:v>
      </x:c>
      <x:c r="AQ224" s="27" t="n">
        <x:f>IF(AP224&lt;=AO224,AO224+10/Parameters!$B$6,AP224)</x:f>
        <x:v>1.7780821917808218</x:v>
      </x:c>
      <x:c r="AR224" s="41" t="n">
        <x:f>IF(OR(E224="Interest Rate",E224="Credit"),(EXP(-Parameters!$B$7*AO224)-EXP(-Parameters!$B$7*AQ224))/Parameters!$B$7,1)</x:f>
        <x:v>1</x:v>
      </x:c>
      <x:c r="AS224" s="40" t="n">
        <x:f>IF(OR(E224="Interest Rate",E224="Credit"),ABS(Q224)*AR224,IF(E224="FX",IF(Q224&gt;0,Q224,MAX(ABS(R224),ABS(S224),ABS(Q224))),ABS(Q224)))</x:f>
        <x:v>58100000</x:v>
      </x:c>
      <x:c r="AT224" s="42" t="n">
        <x:f>IF(OR(E224="Interest Rate",E224="FX"),VLOOKUP(E224,Parameters!$M$4:$N$11,2,FALSE),IF(E224="Credit",VLOOKUP(IF(LOWER(K224)="index","Credit Index","Credit Single Name"),Parameters!$M$4:$N$11,2,FALSE),IF(E224="Equity",VLOOKUP(IF(LOWER(K224)="index","Equity Index","Equity Single Name"),Parameters!$M$4:$N$11,2,FALSE),IF(E224="Commodity",VLOOKUP(IF(F224="Electricity","Commodity Electricity","Commodity Other"),Parameters!$M$4:$N$11,2,FALSE),1))))</x:f>
        <x:v>0.7</x:v>
      </x:c>
      <x:c r="AU224" s="27" t="n">
        <x:f>IF(W224="B",1,-1)</x:f>
        <x:v>1</x:v>
      </x:c>
      <x:c r="AV224" s="27" t="n">
        <x:f>IF(OR(AA224="",M224=""),MAX(AE224,1/365),MAX((AA224-M224)/365,1/365))</x:f>
        <x:v>1.3315068493150686</x:v>
      </x:c>
      <x:c r="AW224" s="41" t="n">
        <x:f>IF(OR(Z224&lt;=0,Y224&lt;=0,AT224&lt;=0,AV224&lt;=0),"",(LN(Z224/Y224)+0.5*AT224^2*AV224)/(AT224*SQRT(AV224)))</x:f>
        <x:v>0.5495321637740089</x:v>
      </x:c>
      <x:c r="AX224" s="41" t="n">
        <x:f>IF(AND(X224&lt;&gt;"C",X224&lt;&gt;"P"),AU224,IF(AW224="",AU224,IF(X224="C",AU224*0.5*(1+ERF(AW224/SQRT(2))),-AU224*0.5*(1+ERF(-AW224/SQRT(2))))))</x:f>
        <x:v>0.7086798510152752</x:v>
      </x:c>
      <x:c r="AY224" s="41" t="n">
        <x:f>IF(AJ224="M",1.5*SQRT(MAX(IF(U224="Y",5,10),IF(V224="",10,V224))/Parameters!$B$6),SQRT(MIN(MAX(AE224,10/Parameters!$B$6),1)))</x:f>
        <x:v>0.30000000000000004</x:v>
      </x:c>
      <x:c r="AZ224" s="40" t="n">
        <x:f>AS224*AX224*AY224</x:f>
        <x:v>12352289.803196248</x:v>
      </x:c>
      <x:c r="BA224" s="40" t="n">
        <x:f>'Python_Trade_Output'!AZ224</x:f>
        <x:v>12352289.803196246</x:v>
      </x:c>
      <x:c r="BB224" s="43" t="n">
        <x:f>AZ224-BA224</x:f>
        <x:v>1.862645149230957e-9</x:v>
      </x:c>
    </x:row>
    <x:row r="225">
      <x:c r="A225" s="27" t="str">
        <x:f>'Inputs_Trades'!D225</x:f>
        <x:v>IND-000222</x:v>
      </x:c>
      <x:c r="B225" s="27" t="str">
        <x:f>'Inputs_Trades'!B225</x:f>
        <x:v>IND_SOVEREIGN_001</x:v>
      </x:c>
      <x:c r="C225" s="27" t="n">
        <x:f>'Inputs_Trades'!C225</x:f>
        <x:v>3126</x:v>
      </x:c>
      <x:c r="D225" s="27" t="str">
        <x:f>'Inputs_Trades'!E225</x:f>
        <x:v>Commodity Option</x:v>
      </x:c>
      <x:c r="E225" s="27" t="str">
        <x:f>'Inputs_Trades'!F225</x:f>
        <x:v>Commodity</x:v>
      </x:c>
      <x:c r="F225" s="27" t="str">
        <x:f>'Inputs_Trades'!G225</x:f>
        <x:v>Gold</x:v>
      </x:c>
      <x:c r="G225" s="27" t="str">
        <x:f>'Inputs_Trades'!J225</x:f>
        <x:v>USD</x:v>
      </x:c>
      <x:c r="H225" s="27" t="str">
        <x:f>'Inputs_Trades'!H225</x:f>
        <x:v>Oil</x:v>
      </x:c>
      <x:c r="I225" s="27" t="str">
        <x:f>'Inputs_Trades'!I225</x:f>
        <x:v>USD</x:v>
      </x:c>
      <x:c r="J225" s="27" t="str">
        <x:f>'Inputs_Trades'!M225</x:f>
        <x:v>Oil/USD</x:v>
      </x:c>
      <x:c r="K225" s="27" t="n">
        <x:f>'Inputs_Trades'!N225</x:f>
        <x:v>0</x:v>
      </x:c>
      <x:c r="L225" s="27" t="n">
        <x:f>'Inputs_Trades'!O225</x:f>
        <x:v>0</x:v>
      </x:c>
      <x:c r="M225" s="39" t="n">
        <x:f>'Inputs_Trades'!A225</x:f>
        <x:v>45702</x:v>
      </x:c>
      <x:c r="N225" s="39" t="n">
        <x:f>'Inputs_Trades'!P225</x:f>
        <x:v>46228</x:v>
      </x:c>
      <x:c r="O225" s="39" t="n">
        <x:f>'Inputs_Trades'!Q225</x:f>
        <x:v>45615</x:v>
      </x:c>
      <x:c r="P225" s="39" t="n">
        <x:f>'Inputs_Trades'!R225</x:f>
        <x:v>46228</x:v>
      </x:c>
      <x:c r="Q225" s="40" t="n">
        <x:f>'Inputs_Trades'!U225</x:f>
        <x:v>29200000</x:v>
      </x:c>
      <x:c r="R225" s="40" t="n">
        <x:f>'Inputs_Trades'!S225</x:f>
        <x:v>29200000</x:v>
      </x:c>
      <x:c r="S225" s="40" t="n">
        <x:f>'Inputs_Trades'!T225</x:f>
        <x:v>29200000</x:v>
      </x:c>
      <x:c r="T225" s="27" t="str">
        <x:f>'Inputs_Trades'!V225</x:f>
        <x:v>U</x:v>
      </x:c>
      <x:c r="U225" s="27" t="str">
        <x:f>'Inputs_Trades'!W225</x:f>
        <x:v>N</x:v>
      </x:c>
      <x:c r="V225" s="27" t="n">
        <x:f>'Inputs_Trades'!X225</x:f>
        <x:v>0</x:v>
      </x:c>
      <x:c r="W225" s="27" t="str">
        <x:f>'Inputs_Trades'!Y225</x:f>
        <x:v>S</x:v>
      </x:c>
      <x:c r="X225" s="27" t="str">
        <x:f>'Inputs_Trades'!AA225</x:f>
        <x:v>C</x:v>
      </x:c>
      <x:c r="Y225" s="27" t="n">
        <x:f>'Inputs_Trades'!AB225</x:f>
        <x:v>88.998</x:v>
      </x:c>
      <x:c r="Z225" s="27" t="n">
        <x:f>'Inputs_Trades'!AC225</x:f>
        <x:v>78</x:v>
      </x:c>
      <x:c r="AA225" s="39" t="n">
        <x:f>'Inputs_Trades'!Z225</x:f>
        <x:v>46096</x:v>
      </x:c>
      <x:c r="AB225" s="40" t="n">
        <x:f>'Inputs_Trades'!AD225</x:f>
        <x:v>45990</x:v>
      </x:c>
      <x:c r="AC225" s="27" t="n">
        <x:f>'Inputs_Trades'!K225</x:f>
        <x:v>0</x:v>
      </x:c>
      <x:c r="AD225" s="27" t="n">
        <x:f>N225-M225</x:f>
        <x:v>526</x:v>
      </x:c>
      <x:c r="AE225" s="41" t="n">
        <x:f>AD225/365</x:f>
        <x:v>1.441095890410959</x:v>
      </x:c>
      <x:c r="AF225" s="27" t="str">
        <x:f>IF(AE225&lt;1,"&lt;1Y",IF(AE225&lt;=5,"1Y-5Y","&gt;5Y"))</x:f>
        <x:v>1Y-5Y</x:v>
      </x:c>
      <x:c r="AG225" s="27" t="str">
        <x:f>IF(E225="Commodity",IFERROR(VLOOKUP(F225,Parameters!$P$4:$Q$12,2,FALSE),"Other"),"")</x:f>
        <x:v>Metals</x:v>
      </x:c>
      <x:c r="AH225" s="27" t="str">
        <x:f>IF(F225="","Unknown",F225)</x:f>
        <x:v>Gold</x:v>
      </x:c>
      <x:c r="AI225" s="27" t="str">
        <x:f>IF(E225="Interest Rate",G225&amp;IF(OR(LOWER(AC225)="basis",LOWER(AC225)="volatility"),"_"&amp;AC225,""),IF(E225="FX",IF(H225&lt;I225,H225&amp;"/"&amp;I225,I225&amp;"/"&amp;H225)&amp;IF(OR(LOWER(AC225)="basis",LOWER(AC225)="volatility"),"_"&amp;AC225,""),IF(OR(E225="Credit",E225="Equity"),J225&amp;IF(OR(LOWER(AC225)="basis",LOWER(AC225)="volatility"),"_"&amp;AC225,""),IF(E225="Commodity",AG225&amp;IF(OR(LOWER(AC225)="basis",LOWER(AC225)="volatility"),"_"&amp;AC225,""),"UNKNOWN"))))</x:f>
        <x:v>Metals</x:v>
      </x:c>
      <x:c r="AJ225" s="27" t="str">
        <x:f>T225</x:f>
        <x:v>U</x:v>
      </x:c>
      <x:c r="AK225" s="41" t="n">
        <x:f>IF(E225="Interest Rate",VLOOKUP("Interest Rate",Parameters!$D$4:$E$12,2,FALSE),IF(E225="FX",VLOOKUP("FX",Parameters!$D$4:$E$12,2,FALSE),IF(E225="Credit",IFERROR(VLOOKUP(L225,Parameters!$G$4:$H$12,2,FALSE),VLOOKUP("BBB",Parameters!$G$4:$H$12,2,FALSE)),IF(E225="Equity",VLOOKUP(IF(LOWER(K225)="index","Equity Index","Equity Single Name"),Parameters!$D$4:$E$12,2,FALSE),IF(E225="Commodity",VLOOKUP(IFERROR(VLOOKUP(F225,Parameters!$S$4:$T$12,2,FALSE),"Commodity Other"),Parameters!$D$4:$E$12,2,FALSE),0)))))</x:f>
        <x:v>0.18</x:v>
      </x:c>
      <x:c r="AL225" s="42" t="n">
        <x:f>IF(LOWER(AC225)="basis",Parameters!$B$8,IF(LOWER(AC225)="volatility",Parameters!$B$9,1))</x:f>
        <x:v>1</x:v>
      </x:c>
      <x:c r="AM225" s="41" t="n">
        <x:f>AK225*AL225</x:f>
        <x:v>0.18</x:v>
      </x:c>
      <x:c r="AN225" s="42" t="n">
        <x:f>IF(E225="Credit",VLOOKUP(IF(LOWER(K225)="index","Credit Index","Credit Single Name"),Parameters!$J$4:$K$8,2,FALSE),IF(E225="Equity",VLOOKUP(IF(LOWER(K225)="index","Equity Index","Equity Single Name"),Parameters!$J$4:$K$8,2,FALSE),IF(E225="Commodity",VLOOKUP("Commodity",Parameters!$J$4:$K$8,2,FALSE),"")))</x:f>
        <x:v>0.4</x:v>
      </x:c>
      <x:c r="AO225" s="27" t="n">
        <x:f>MAX((O225-M225)/365,0)</x:f>
        <x:v>0</x:v>
      </x:c>
      <x:c r="AP225" s="27" t="n">
        <x:f>MAX((P225-M225)/365,10/Parameters!$B$6)</x:f>
        <x:v>1.441095890410959</x:v>
      </x:c>
      <x:c r="AQ225" s="27" t="n">
        <x:f>IF(AP225&lt;=AO225,AO225+10/Parameters!$B$6,AP225)</x:f>
        <x:v>1.441095890410959</x:v>
      </x:c>
      <x:c r="AR225" s="41" t="n">
        <x:f>IF(OR(E225="Interest Rate",E225="Credit"),(EXP(-Parameters!$B$7*AO225)-EXP(-Parameters!$B$7*AQ225))/Parameters!$B$7,1)</x:f>
        <x:v>1</x:v>
      </x:c>
      <x:c r="AS225" s="40" t="n">
        <x:f>IF(OR(E225="Interest Rate",E225="Credit"),ABS(Q225)*AR225,IF(E225="FX",IF(Q225&gt;0,Q225,MAX(ABS(R225),ABS(S225),ABS(Q225))),ABS(Q225)))</x:f>
        <x:v>29200000</x:v>
      </x:c>
      <x:c r="AT225" s="42" t="n">
        <x:f>IF(OR(E225="Interest Rate",E225="FX"),VLOOKUP(E225,Parameters!$M$4:$N$11,2,FALSE),IF(E225="Credit",VLOOKUP(IF(LOWER(K225)="index","Credit Index","Credit Single Name"),Parameters!$M$4:$N$11,2,FALSE),IF(E225="Equity",VLOOKUP(IF(LOWER(K225)="index","Equity Index","Equity Single Name"),Parameters!$M$4:$N$11,2,FALSE),IF(E225="Commodity",VLOOKUP(IF(F225="Electricity","Commodity Electricity","Commodity Other"),Parameters!$M$4:$N$11,2,FALSE),1))))</x:f>
        <x:v>0.7</x:v>
      </x:c>
      <x:c r="AU225" s="27" t="n">
        <x:f>IF(W225="B",1,-1)</x:f>
        <x:v>-1</x:v>
      </x:c>
      <x:c r="AV225" s="27" t="n">
        <x:f>IF(OR(AA225="",M225=""),MAX(AE225,1/365),MAX((AA225-M225)/365,1/365))</x:f>
        <x:v>1.0794520547945206</x:v>
      </x:c>
      <x:c r="AW225" s="41" t="n">
        <x:f>IF(OR(Z225&lt;=0,Y225&lt;=0,AT225&lt;=0,AV225&lt;=0),"",(LN(Z225/Y225)+0.5*AT225^2*AV225)/(AT225*SQRT(AV225)))</x:f>
        <x:v>0.18226992415719878</x:v>
      </x:c>
      <x:c r="AX225" s="41" t="n">
        <x:f>IF(AND(X225&lt;&gt;"C",X225&lt;&gt;"P"),AU225,IF(AW225="",AU225,IF(X225="C",AU225*0.5*(1+ERF(AW225/SQRT(2))),-AU225*0.5*(1+ERF(-AW225/SQRT(2))))))</x:f>
        <x:v>-0.5723145498281228</x:v>
      </x:c>
      <x:c r="AY225" s="41" t="n">
        <x:f>IF(AJ225="M",1.5*SQRT(MAX(IF(U225="Y",5,10),IF(V225="",10,V225))/Parameters!$B$6),SQRT(MIN(MAX(AE225,10/Parameters!$B$6),1)))</x:f>
        <x:v>1</x:v>
      </x:c>
      <x:c r="AZ225" s="40" t="n">
        <x:f>AS225*AX225*AY225</x:f>
        <x:v>-16711584.854981186</x:v>
      </x:c>
      <x:c r="BA225" s="40" t="n">
        <x:f>'Python_Trade_Output'!AZ225</x:f>
        <x:v>-16711584.85498119</x:v>
      </x:c>
      <x:c r="BB225" s="43" t="n">
        <x:f>AZ225-BA225</x:f>
        <x:v>3.725290298461914e-9</x:v>
      </x:c>
    </x:row>
    <x:row r="226">
      <x:c r="A226" s="27" t="str">
        <x:f>'Inputs_Trades'!D226</x:f>
        <x:v>IND-000223</x:v>
      </x:c>
      <x:c r="B226" s="27" t="str">
        <x:f>'Inputs_Trades'!B226</x:f>
        <x:v>IND_HEDGE_FUND_001</x:v>
      </x:c>
      <x:c r="C226" s="27" t="n">
        <x:f>'Inputs_Trades'!C226</x:f>
        <x:v>3109</x:v>
      </x:c>
      <x:c r="D226" s="27" t="str">
        <x:f>'Inputs_Trades'!E226</x:f>
        <x:v>Commodity Option</x:v>
      </x:c>
      <x:c r="E226" s="27" t="str">
        <x:f>'Inputs_Trades'!F226</x:f>
        <x:v>Commodity</x:v>
      </x:c>
      <x:c r="F226" s="27" t="str">
        <x:f>'Inputs_Trades'!G226</x:f>
        <x:v>Gold</x:v>
      </x:c>
      <x:c r="G226" s="27" t="str">
        <x:f>'Inputs_Trades'!J226</x:f>
        <x:v>CNY</x:v>
      </x:c>
      <x:c r="H226" s="27" t="str">
        <x:f>'Inputs_Trades'!H226</x:f>
        <x:v>XAU</x:v>
      </x:c>
      <x:c r="I226" s="27" t="str">
        <x:f>'Inputs_Trades'!I226</x:f>
        <x:v>CNY</x:v>
      </x:c>
      <x:c r="J226" s="27" t="str">
        <x:f>'Inputs_Trades'!M226</x:f>
        <x:v>XAU/CNY</x:v>
      </x:c>
      <x:c r="K226" s="27" t="n">
        <x:f>'Inputs_Trades'!N226</x:f>
        <x:v>0</x:v>
      </x:c>
      <x:c r="L226" s="27" t="n">
        <x:f>'Inputs_Trades'!O226</x:f>
        <x:v>0</x:v>
      </x:c>
      <x:c r="M226" s="39" t="n">
        <x:f>'Inputs_Trades'!A226</x:f>
        <x:v>45702</x:v>
      </x:c>
      <x:c r="N226" s="39" t="n">
        <x:f>'Inputs_Trades'!P226</x:f>
        <x:v>47407</x:v>
      </x:c>
      <x:c r="O226" s="39" t="n">
        <x:f>'Inputs_Trades'!Q226</x:f>
        <x:v>45069</x:v>
      </x:c>
      <x:c r="P226" s="39" t="n">
        <x:f>'Inputs_Trades'!R226</x:f>
        <x:v>47407</x:v>
      </x:c>
      <x:c r="Q226" s="40" t="n">
        <x:f>'Inputs_Trades'!U226</x:f>
        <x:v>49200000</x:v>
      </x:c>
      <x:c r="R226" s="40" t="n">
        <x:f>'Inputs_Trades'!S226</x:f>
        <x:v>24600</x:v>
      </x:c>
      <x:c r="S226" s="40" t="n">
        <x:f>'Inputs_Trades'!T226</x:f>
        <x:v>351428571.43</x:v>
      </x:c>
      <x:c r="T226" s="27" t="str">
        <x:f>'Inputs_Trades'!V226</x:f>
        <x:v>M</x:v>
      </x:c>
      <x:c r="U226" s="27" t="str">
        <x:f>'Inputs_Trades'!W226</x:f>
        <x:v>N</x:v>
      </x:c>
      <x:c r="V226" s="27" t="n">
        <x:f>'Inputs_Trades'!X226</x:f>
        <x:v>10</x:v>
      </x:c>
      <x:c r="W226" s="27" t="str">
        <x:f>'Inputs_Trades'!Y226</x:f>
        <x:v>B</x:v>
      </x:c>
      <x:c r="X226" s="27" t="str">
        <x:f>'Inputs_Trades'!AA226</x:f>
        <x:v>C</x:v>
      </x:c>
      <x:c r="Y226" s="27" t="n">
        <x:f>'Inputs_Trades'!AB226</x:f>
        <x:v>2002.85</x:v>
      </x:c>
      <x:c r="Z226" s="27" t="n">
        <x:f>'Inputs_Trades'!AC226</x:f>
        <x:v>2050</x:v>
      </x:c>
      <x:c r="AA226" s="39" t="n">
        <x:f>'Inputs_Trades'!Z226</x:f>
        <x:v>46980</x:v>
      </x:c>
      <x:c r="AB226" s="40" t="n">
        <x:f>'Inputs_Trades'!AD226</x:f>
        <x:v>172692</x:v>
      </x:c>
      <x:c r="AC226" s="27" t="n">
        <x:f>'Inputs_Trades'!K226</x:f>
        <x:v>0</x:v>
      </x:c>
      <x:c r="AD226" s="27" t="n">
        <x:f>N226-M226</x:f>
        <x:v>1705</x:v>
      </x:c>
      <x:c r="AE226" s="41" t="n">
        <x:f>AD226/365</x:f>
        <x:v>4.671232876712328</x:v>
      </x:c>
      <x:c r="AF226" s="27" t="str">
        <x:f>IF(AE226&lt;1,"&lt;1Y",IF(AE226&lt;=5,"1Y-5Y","&gt;5Y"))</x:f>
        <x:v>1Y-5Y</x:v>
      </x:c>
      <x:c r="AG226" s="27" t="str">
        <x:f>IF(E226="Commodity",IFERROR(VLOOKUP(F226,Parameters!$P$4:$Q$12,2,FALSE),"Other"),"")</x:f>
        <x:v>Metals</x:v>
      </x:c>
      <x:c r="AH226" s="27" t="str">
        <x:f>IF(F226="","Unknown",F226)</x:f>
        <x:v>Gold</x:v>
      </x:c>
      <x:c r="AI226" s="27" t="str">
        <x:f>IF(E226="Interest Rate",G226&amp;IF(OR(LOWER(AC226)="basis",LOWER(AC226)="volatility"),"_"&amp;AC226,""),IF(E226="FX",IF(H226&lt;I226,H226&amp;"/"&amp;I226,I226&amp;"/"&amp;H226)&amp;IF(OR(LOWER(AC226)="basis",LOWER(AC226)="volatility"),"_"&amp;AC226,""),IF(OR(E226="Credit",E226="Equity"),J226&amp;IF(OR(LOWER(AC226)="basis",LOWER(AC226)="volatility"),"_"&amp;AC226,""),IF(E226="Commodity",AG226&amp;IF(OR(LOWER(AC226)="basis",LOWER(AC226)="volatility"),"_"&amp;AC226,""),"UNKNOWN"))))</x:f>
        <x:v>Metals</x:v>
      </x:c>
      <x:c r="AJ226" s="27" t="str">
        <x:f>T226</x:f>
        <x:v>M</x:v>
      </x:c>
      <x:c r="AK226" s="41" t="n">
        <x:f>IF(E226="Interest Rate",VLOOKUP("Interest Rate",Parameters!$D$4:$E$12,2,FALSE),IF(E226="FX",VLOOKUP("FX",Parameters!$D$4:$E$12,2,FALSE),IF(E226="Credit",IFERROR(VLOOKUP(L226,Parameters!$G$4:$H$12,2,FALSE),VLOOKUP("BBB",Parameters!$G$4:$H$12,2,FALSE)),IF(E226="Equity",VLOOKUP(IF(LOWER(K226)="index","Equity Index","Equity Single Name"),Parameters!$D$4:$E$12,2,FALSE),IF(E226="Commodity",VLOOKUP(IFERROR(VLOOKUP(F226,Parameters!$S$4:$T$12,2,FALSE),"Commodity Other"),Parameters!$D$4:$E$12,2,FALSE),0)))))</x:f>
        <x:v>0.18</x:v>
      </x:c>
      <x:c r="AL226" s="42" t="n">
        <x:f>IF(LOWER(AC226)="basis",Parameters!$B$8,IF(LOWER(AC226)="volatility",Parameters!$B$9,1))</x:f>
        <x:v>1</x:v>
      </x:c>
      <x:c r="AM226" s="41" t="n">
        <x:f>AK226*AL226</x:f>
        <x:v>0.18</x:v>
      </x:c>
      <x:c r="AN226" s="42" t="n">
        <x:f>IF(E226="Credit",VLOOKUP(IF(LOWER(K226)="index","Credit Index","Credit Single Name"),Parameters!$J$4:$K$8,2,FALSE),IF(E226="Equity",VLOOKUP(IF(LOWER(K226)="index","Equity Index","Equity Single Name"),Parameters!$J$4:$K$8,2,FALSE),IF(E226="Commodity",VLOOKUP("Commodity",Parameters!$J$4:$K$8,2,FALSE),"")))</x:f>
        <x:v>0.4</x:v>
      </x:c>
      <x:c r="AO226" s="27" t="n">
        <x:f>MAX((O226-M226)/365,0)</x:f>
        <x:v>0</x:v>
      </x:c>
      <x:c r="AP226" s="27" t="n">
        <x:f>MAX((P226-M226)/365,10/Parameters!$B$6)</x:f>
        <x:v>4.671232876712328</x:v>
      </x:c>
      <x:c r="AQ226" s="27" t="n">
        <x:f>IF(AP226&lt;=AO226,AO226+10/Parameters!$B$6,AP226)</x:f>
        <x:v>4.671232876712328</x:v>
      </x:c>
      <x:c r="AR226" s="41" t="n">
        <x:f>IF(OR(E226="Interest Rate",E226="Credit"),(EXP(-Parameters!$B$7*AO226)-EXP(-Parameters!$B$7*AQ226))/Parameters!$B$7,1)</x:f>
        <x:v>1</x:v>
      </x:c>
      <x:c r="AS226" s="40" t="n">
        <x:f>IF(OR(E226="Interest Rate",E226="Credit"),ABS(Q226)*AR226,IF(E226="FX",IF(Q226&gt;0,Q226,MAX(ABS(R226),ABS(S226),ABS(Q226))),ABS(Q226)))</x:f>
        <x:v>49200000</x:v>
      </x:c>
      <x:c r="AT226" s="42" t="n">
        <x:f>IF(OR(E226="Interest Rate",E226="FX"),VLOOKUP(E226,Parameters!$M$4:$N$11,2,FALSE),IF(E226="Credit",VLOOKUP(IF(LOWER(K226)="index","Credit Index","Credit Single Name"),Parameters!$M$4:$N$11,2,FALSE),IF(E226="Equity",VLOOKUP(IF(LOWER(K226)="index","Equity Index","Equity Single Name"),Parameters!$M$4:$N$11,2,FALSE),IF(E226="Commodity",VLOOKUP(IF(F226="Electricity","Commodity Electricity","Commodity Other"),Parameters!$M$4:$N$11,2,FALSE),1))))</x:f>
        <x:v>0.7</x:v>
      </x:c>
      <x:c r="AU226" s="27" t="n">
        <x:f>IF(W226="B",1,-1)</x:f>
        <x:v>1</x:v>
      </x:c>
      <x:c r="AV226" s="27" t="n">
        <x:f>IF(OR(AA226="",M226=""),MAX(AE226,1/365),MAX((AA226-M226)/365,1/365))</x:f>
        <x:v>3.5013698630136987</x:v>
      </x:c>
      <x:c r="AW226" s="41" t="n">
        <x:f>IF(OR(Z226&lt;=0,Y226&lt;=0,AT226&lt;=0,AV226&lt;=0),"",(LN(Z226/Y226)+0.5*AT226^2*AV226)/(AT226*SQRT(AV226)))</x:f>
        <x:v>0.6726826991123228</x:v>
      </x:c>
      <x:c r="AX226" s="41" t="n">
        <x:f>IF(AND(X226&lt;&gt;"C",X226&lt;&gt;"P"),AU226,IF(AW226="",AU226,IF(X226="C",AU226*0.5*(1+ERF(AW226/SQRT(2))),-AU226*0.5*(1+ERF(-AW226/SQRT(2))))))</x:f>
        <x:v>0.7494254117188353</x:v>
      </x:c>
      <x:c r="AY226" s="41" t="n">
        <x:f>IF(AJ226="M",1.5*SQRT(MAX(IF(U226="Y",5,10),IF(V226="",10,V226))/Parameters!$B$6),SQRT(MIN(MAX(AE226,10/Parameters!$B$6),1)))</x:f>
        <x:v>0.30000000000000004</x:v>
      </x:c>
      <x:c r="AZ226" s="40" t="n">
        <x:f>AS226*AX226*AY226</x:f>
        <x:v>11061519.076970011</x:v>
      </x:c>
      <x:c r="BA226" s="40" t="n">
        <x:f>'Python_Trade_Output'!AZ226</x:f>
        <x:v>11061519.076970011</x:v>
      </x:c>
      <x:c r="BB226" s="43" t="n">
        <x:f>AZ226-BA226</x:f>
        <x:v>0</x:v>
      </x:c>
    </x:row>
    <x:row r="227">
      <x:c r="A227" s="27" t="str">
        <x:f>'Inputs_Trades'!D227</x:f>
        <x:v>IND-000224</x:v>
      </x:c>
      <x:c r="B227" s="27" t="str">
        <x:f>'Inputs_Trades'!B227</x:f>
        <x:v>IND_BANK_002</x:v>
      </x:c>
      <x:c r="C227" s="27" t="n">
        <x:f>'Inputs_Trades'!C227</x:f>
        <x:v>3259</x:v>
      </x:c>
      <x:c r="D227" s="27" t="str">
        <x:f>'Inputs_Trades'!E227</x:f>
        <x:v>Commodity Option</x:v>
      </x:c>
      <x:c r="E227" s="27" t="str">
        <x:f>'Inputs_Trades'!F227</x:f>
        <x:v>Commodity</x:v>
      </x:c>
      <x:c r="F227" s="27" t="str">
        <x:f>'Inputs_Trades'!G227</x:f>
        <x:v>Gold</x:v>
      </x:c>
      <x:c r="G227" s="27" t="str">
        <x:f>'Inputs_Trades'!J227</x:f>
        <x:v>CNY</x:v>
      </x:c>
      <x:c r="H227" s="27" t="str">
        <x:f>'Inputs_Trades'!H227</x:f>
        <x:v>XAU</x:v>
      </x:c>
      <x:c r="I227" s="27" t="str">
        <x:f>'Inputs_Trades'!I227</x:f>
        <x:v>CNY</x:v>
      </x:c>
      <x:c r="J227" s="27" t="str">
        <x:f>'Inputs_Trades'!M227</x:f>
        <x:v>XAU/CNY</x:v>
      </x:c>
      <x:c r="K227" s="27" t="n">
        <x:f>'Inputs_Trades'!N227</x:f>
        <x:v>0</x:v>
      </x:c>
      <x:c r="L227" s="27" t="n">
        <x:f>'Inputs_Trades'!O227</x:f>
        <x:v>0</x:v>
      </x:c>
      <x:c r="M227" s="39" t="n">
        <x:f>'Inputs_Trades'!A227</x:f>
        <x:v>45702</x:v>
      </x:c>
      <x:c r="N227" s="39" t="n">
        <x:f>'Inputs_Trades'!P227</x:f>
        <x:v>46799</x:v>
      </x:c>
      <x:c r="O227" s="39" t="n">
        <x:f>'Inputs_Trades'!Q227</x:f>
        <x:v>45241</x:v>
      </x:c>
      <x:c r="P227" s="39" t="n">
        <x:f>'Inputs_Trades'!R227</x:f>
        <x:v>46799</x:v>
      </x:c>
      <x:c r="Q227" s="40" t="n">
        <x:f>'Inputs_Trades'!U227</x:f>
        <x:v>3800000</x:v>
      </x:c>
      <x:c r="R227" s="40" t="n">
        <x:f>'Inputs_Trades'!S227</x:f>
        <x:v>1900</x:v>
      </x:c>
      <x:c r="S227" s="40" t="n">
        <x:f>'Inputs_Trades'!T227</x:f>
        <x:v>27142857.14</x:v>
      </x:c>
      <x:c r="T227" s="27" t="str">
        <x:f>'Inputs_Trades'!V227</x:f>
        <x:v>M</x:v>
      </x:c>
      <x:c r="U227" s="27" t="str">
        <x:f>'Inputs_Trades'!W227</x:f>
        <x:v>N</x:v>
      </x:c>
      <x:c r="V227" s="27" t="n">
        <x:f>'Inputs_Trades'!X227</x:f>
        <x:v>10</x:v>
      </x:c>
      <x:c r="W227" s="27" t="str">
        <x:f>'Inputs_Trades'!Y227</x:f>
        <x:v>B</x:v>
      </x:c>
      <x:c r="X227" s="27" t="str">
        <x:f>'Inputs_Trades'!AA227</x:f>
        <x:v>P</x:v>
      </x:c>
      <x:c r="Y227" s="27" t="n">
        <x:f>'Inputs_Trades'!AB227</x:f>
        <x:v>1867.55</x:v>
      </x:c>
      <x:c r="Z227" s="27" t="n">
        <x:f>'Inputs_Trades'!AC227</x:f>
        <x:v>2050</x:v>
      </x:c>
      <x:c r="AA227" s="39" t="n">
        <x:f>'Inputs_Trades'!Z227</x:f>
        <x:v>46524</x:v>
      </x:c>
      <x:c r="AB227" s="40" t="n">
        <x:f>'Inputs_Trades'!AD227</x:f>
        <x:v>23769</x:v>
      </x:c>
      <x:c r="AC227" s="27" t="n">
        <x:f>'Inputs_Trades'!K227</x:f>
        <x:v>0</x:v>
      </x:c>
      <x:c r="AD227" s="27" t="n">
        <x:f>N227-M227</x:f>
        <x:v>1097</x:v>
      </x:c>
      <x:c r="AE227" s="41" t="n">
        <x:f>AD227/365</x:f>
        <x:v>3.0054794520547947</x:v>
      </x:c>
      <x:c r="AF227" s="27" t="str">
        <x:f>IF(AE227&lt;1,"&lt;1Y",IF(AE227&lt;=5,"1Y-5Y","&gt;5Y"))</x:f>
        <x:v>1Y-5Y</x:v>
      </x:c>
      <x:c r="AG227" s="27" t="str">
        <x:f>IF(E227="Commodity",IFERROR(VLOOKUP(F227,Parameters!$P$4:$Q$12,2,FALSE),"Other"),"")</x:f>
        <x:v>Metals</x:v>
      </x:c>
      <x:c r="AH227" s="27" t="str">
        <x:f>IF(F227="","Unknown",F227)</x:f>
        <x:v>Gold</x:v>
      </x:c>
      <x:c r="AI227" s="27" t="str">
        <x:f>IF(E227="Interest Rate",G227&amp;IF(OR(LOWER(AC227)="basis",LOWER(AC227)="volatility"),"_"&amp;AC227,""),IF(E227="FX",IF(H227&lt;I227,H227&amp;"/"&amp;I227,I227&amp;"/"&amp;H227)&amp;IF(OR(LOWER(AC227)="basis",LOWER(AC227)="volatility"),"_"&amp;AC227,""),IF(OR(E227="Credit",E227="Equity"),J227&amp;IF(OR(LOWER(AC227)="basis",LOWER(AC227)="volatility"),"_"&amp;AC227,""),IF(E227="Commodity",AG227&amp;IF(OR(LOWER(AC227)="basis",LOWER(AC227)="volatility"),"_"&amp;AC227,""),"UNKNOWN"))))</x:f>
        <x:v>Metals</x:v>
      </x:c>
      <x:c r="AJ227" s="27" t="str">
        <x:f>T227</x:f>
        <x:v>M</x:v>
      </x:c>
      <x:c r="AK227" s="41" t="n">
        <x:f>IF(E227="Interest Rate",VLOOKUP("Interest Rate",Parameters!$D$4:$E$12,2,FALSE),IF(E227="FX",VLOOKUP("FX",Parameters!$D$4:$E$12,2,FALSE),IF(E227="Credit",IFERROR(VLOOKUP(L227,Parameters!$G$4:$H$12,2,FALSE),VLOOKUP("BBB",Parameters!$G$4:$H$12,2,FALSE)),IF(E227="Equity",VLOOKUP(IF(LOWER(K227)="index","Equity Index","Equity Single Name"),Parameters!$D$4:$E$12,2,FALSE),IF(E227="Commodity",VLOOKUP(IFERROR(VLOOKUP(F227,Parameters!$S$4:$T$12,2,FALSE),"Commodity Other"),Parameters!$D$4:$E$12,2,FALSE),0)))))</x:f>
        <x:v>0.18</x:v>
      </x:c>
      <x:c r="AL227" s="42" t="n">
        <x:f>IF(LOWER(AC227)="basis",Parameters!$B$8,IF(LOWER(AC227)="volatility",Parameters!$B$9,1))</x:f>
        <x:v>1</x:v>
      </x:c>
      <x:c r="AM227" s="41" t="n">
        <x:f>AK227*AL227</x:f>
        <x:v>0.18</x:v>
      </x:c>
      <x:c r="AN227" s="42" t="n">
        <x:f>IF(E227="Credit",VLOOKUP(IF(LOWER(K227)="index","Credit Index","Credit Single Name"),Parameters!$J$4:$K$8,2,FALSE),IF(E227="Equity",VLOOKUP(IF(LOWER(K227)="index","Equity Index","Equity Single Name"),Parameters!$J$4:$K$8,2,FALSE),IF(E227="Commodity",VLOOKUP("Commodity",Parameters!$J$4:$K$8,2,FALSE),"")))</x:f>
        <x:v>0.4</x:v>
      </x:c>
      <x:c r="AO227" s="27" t="n">
        <x:f>MAX((O227-M227)/365,0)</x:f>
        <x:v>0</x:v>
      </x:c>
      <x:c r="AP227" s="27" t="n">
        <x:f>MAX((P227-M227)/365,10/Parameters!$B$6)</x:f>
        <x:v>3.0054794520547947</x:v>
      </x:c>
      <x:c r="AQ227" s="27" t="n">
        <x:f>IF(AP227&lt;=AO227,AO227+10/Parameters!$B$6,AP227)</x:f>
        <x:v>3.0054794520547947</x:v>
      </x:c>
      <x:c r="AR227" s="41" t="n">
        <x:f>IF(OR(E227="Interest Rate",E227="Credit"),(EXP(-Parameters!$B$7*AO227)-EXP(-Parameters!$B$7*AQ227))/Parameters!$B$7,1)</x:f>
        <x:v>1</x:v>
      </x:c>
      <x:c r="AS227" s="40" t="n">
        <x:f>IF(OR(E227="Interest Rate",E227="Credit"),ABS(Q227)*AR227,IF(E227="FX",IF(Q227&gt;0,Q227,MAX(ABS(R227),ABS(S227),ABS(Q227))),ABS(Q227)))</x:f>
        <x:v>3800000</x:v>
      </x:c>
      <x:c r="AT227" s="42" t="n">
        <x:f>IF(OR(E227="Interest Rate",E227="FX"),VLOOKUP(E227,Parameters!$M$4:$N$11,2,FALSE),IF(E227="Credit",VLOOKUP(IF(LOWER(K227)="index","Credit Index","Credit Single Name"),Parameters!$M$4:$N$11,2,FALSE),IF(E227="Equity",VLOOKUP(IF(LOWER(K227)="index","Equity Index","Equity Single Name"),Parameters!$M$4:$N$11,2,FALSE),IF(E227="Commodity",VLOOKUP(IF(F227="Electricity","Commodity Electricity","Commodity Other"),Parameters!$M$4:$N$11,2,FALSE),1))))</x:f>
        <x:v>0.7</x:v>
      </x:c>
      <x:c r="AU227" s="27" t="n">
        <x:f>IF(W227="B",1,-1)</x:f>
        <x:v>1</x:v>
      </x:c>
      <x:c r="AV227" s="27" t="n">
        <x:f>IF(OR(AA227="",M227=""),MAX(AE227,1/365),MAX((AA227-M227)/365,1/365))</x:f>
        <x:v>2.252054794520548</x:v>
      </x:c>
      <x:c r="AW227" s="41" t="n">
        <x:f>IF(OR(Z227&lt;=0,Y227&lt;=0,AT227&lt;=0,AV227&lt;=0),"",(LN(Z227/Y227)+0.5*AT227^2*AV227)/(AT227*SQRT(AV227)))</x:f>
        <x:v>0.613972860007249</x:v>
      </x:c>
      <x:c r="AX227" s="41" t="n">
        <x:f>IF(AND(X227&lt;&gt;"C",X227&lt;&gt;"P"),AU227,IF(AW227="",AU227,IF(X227="C",AU227*0.5*(1+ERF(AW227/SQRT(2))),-AU227*0.5*(1+ERF(-AW227/SQRT(2))))))</x:f>
        <x:v>-0.2696166308627303</x:v>
      </x:c>
      <x:c r="AY227" s="41" t="n">
        <x:f>IF(AJ227="M",1.5*SQRT(MAX(IF(U227="Y",5,10),IF(V227="",10,V227))/Parameters!$B$6),SQRT(MIN(MAX(AE227,10/Parameters!$B$6),1)))</x:f>
        <x:v>0.30000000000000004</x:v>
      </x:c>
      <x:c r="AZ227" s="40" t="n">
        <x:f>AS227*AX227*AY227</x:f>
        <x:v>-307362.9591835126</x:v>
      </x:c>
      <x:c r="BA227" s="40" t="n">
        <x:f>'Python_Trade_Output'!AZ227</x:f>
        <x:v>-307362.95918351255</x:v>
      </x:c>
      <x:c r="BB227" s="43" t="n">
        <x:f>AZ227-BA227</x:f>
        <x:v>-5.820766091346741e-11</x:v>
      </x:c>
    </x:row>
    <x:row r="228">
      <x:c r="A228" s="27" t="str">
        <x:f>'Inputs_Trades'!D228</x:f>
        <x:v>IND-000225</x:v>
      </x:c>
      <x:c r="B228" s="27" t="str">
        <x:f>'Inputs_Trades'!B228</x:f>
        <x:v>IND_ASSET_MANAGER_001</x:v>
      </x:c>
      <x:c r="C228" s="27" t="n">
        <x:f>'Inputs_Trades'!C228</x:f>
        <x:v>3331</x:v>
      </x:c>
      <x:c r="D228" s="27" t="str">
        <x:f>'Inputs_Trades'!E228</x:f>
        <x:v>Oil Forward</x:v>
      </x:c>
      <x:c r="E228" s="27" t="str">
        <x:f>'Inputs_Trades'!F228</x:f>
        <x:v>Commodity</x:v>
      </x:c>
      <x:c r="F228" s="27" t="str">
        <x:f>'Inputs_Trades'!G228</x:f>
        <x:v>Oil</x:v>
      </x:c>
      <x:c r="G228" s="27" t="str">
        <x:f>'Inputs_Trades'!J228</x:f>
        <x:v>USD</x:v>
      </x:c>
      <x:c r="H228" s="27" t="str">
        <x:f>'Inputs_Trades'!H228</x:f>
        <x:v>Oil</x:v>
      </x:c>
      <x:c r="I228" s="27" t="str">
        <x:f>'Inputs_Trades'!I228</x:f>
        <x:v>USD</x:v>
      </x:c>
      <x:c r="J228" s="27" t="str">
        <x:f>'Inputs_Trades'!M228</x:f>
        <x:v>Oil/USD</x:v>
      </x:c>
      <x:c r="K228" s="27" t="n">
        <x:f>'Inputs_Trades'!N228</x:f>
        <x:v>0</x:v>
      </x:c>
      <x:c r="L228" s="27" t="n">
        <x:f>'Inputs_Trades'!O228</x:f>
        <x:v>0</x:v>
      </x:c>
      <x:c r="M228" s="39" t="n">
        <x:f>'Inputs_Trades'!A228</x:f>
        <x:v>45702</x:v>
      </x:c>
      <x:c r="N228" s="39" t="n">
        <x:f>'Inputs_Trades'!P228</x:f>
        <x:v>46750</x:v>
      </x:c>
      <x:c r="O228" s="39" t="n">
        <x:f>'Inputs_Trades'!Q228</x:f>
        <x:v>44941</x:v>
      </x:c>
      <x:c r="P228" s="39" t="n">
        <x:f>'Inputs_Trades'!R228</x:f>
        <x:v>46750</x:v>
      </x:c>
      <x:c r="Q228" s="40" t="n">
        <x:f>'Inputs_Trades'!U228</x:f>
        <x:v>3600000</x:v>
      </x:c>
      <x:c r="R228" s="40" t="n">
        <x:f>'Inputs_Trades'!S228</x:f>
        <x:v>3600000</x:v>
      </x:c>
      <x:c r="S228" s="40" t="n">
        <x:f>'Inputs_Trades'!T228</x:f>
        <x:v>3600000</x:v>
      </x:c>
      <x:c r="T228" s="27" t="str">
        <x:f>'Inputs_Trades'!V228</x:f>
        <x:v>M</x:v>
      </x:c>
      <x:c r="U228" s="27" t="str">
        <x:f>'Inputs_Trades'!W228</x:f>
        <x:v>N</x:v>
      </x:c>
      <x:c r="V228" s="27" t="n">
        <x:f>'Inputs_Trades'!X228</x:f>
        <x:v>10</x:v>
      </x:c>
      <x:c r="W228" s="27" t="str">
        <x:f>'Inputs_Trades'!Y228</x:f>
        <x:v>B</x:v>
      </x:c>
      <x:c r="X228" s="27" t="n">
        <x:f>'Inputs_Trades'!AA228</x:f>
        <x:v>0</x:v>
      </x:c>
      <x:c r="Y228" s="27" t="n">
        <x:f>'Inputs_Trades'!AB228</x:f>
        <x:v>0</x:v>
      </x:c>
      <x:c r="Z228" s="27" t="n">
        <x:f>'Inputs_Trades'!AC228</x:f>
        <x:v>0</x:v>
      </x:c>
      <x:c r="AA228" s="39" t="n">
        <x:f>'Inputs_Trades'!Z228</x:f>
        <x:v>0</x:v>
      </x:c>
      <x:c r="AB228" s="40" t="n">
        <x:f>'Inputs_Trades'!AD228</x:f>
        <x:v>-3780</x:v>
      </x:c>
      <x:c r="AC228" s="27" t="n">
        <x:f>'Inputs_Trades'!K228</x:f>
        <x:v>0</x:v>
      </x:c>
      <x:c r="AD228" s="27" t="n">
        <x:f>N228-M228</x:f>
        <x:v>1048</x:v>
      </x:c>
      <x:c r="AE228" s="41" t="n">
        <x:f>AD228/365</x:f>
        <x:v>2.871232876712329</x:v>
      </x:c>
      <x:c r="AF228" s="27" t="str">
        <x:f>IF(AE228&lt;1,"&lt;1Y",IF(AE228&lt;=5,"1Y-5Y","&gt;5Y"))</x:f>
        <x:v>1Y-5Y</x:v>
      </x:c>
      <x:c r="AG228" s="27" t="str">
        <x:f>IF(E228="Commodity",IFERROR(VLOOKUP(F228,Parameters!$P$4:$Q$12,2,FALSE),"Other"),"")</x:f>
        <x:v>Energy</x:v>
      </x:c>
      <x:c r="AH228" s="27" t="str">
        <x:f>IF(F228="","Unknown",F228)</x:f>
        <x:v>Oil</x:v>
      </x:c>
      <x:c r="AI228" s="27" t="str">
        <x:f>IF(E228="Interest Rate",G228&amp;IF(OR(LOWER(AC228)="basis",LOWER(AC228)="volatility"),"_"&amp;AC228,""),IF(E228="FX",IF(H228&lt;I228,H228&amp;"/"&amp;I228,I228&amp;"/"&amp;H228)&amp;IF(OR(LOWER(AC228)="basis",LOWER(AC228)="volatility"),"_"&amp;AC228,""),IF(OR(E228="Credit",E228="Equity"),J228&amp;IF(OR(LOWER(AC228)="basis",LOWER(AC228)="volatility"),"_"&amp;AC228,""),IF(E228="Commodity",AG228&amp;IF(OR(LOWER(AC228)="basis",LOWER(AC228)="volatility"),"_"&amp;AC228,""),"UNKNOWN"))))</x:f>
        <x:v>Energy</x:v>
      </x:c>
      <x:c r="AJ228" s="27" t="str">
        <x:f>T228</x:f>
        <x:v>M</x:v>
      </x:c>
      <x:c r="AK228" s="41" t="n">
        <x:f>IF(E228="Interest Rate",VLOOKUP("Interest Rate",Parameters!$D$4:$E$12,2,FALSE),IF(E228="FX",VLOOKUP("FX",Parameters!$D$4:$E$12,2,FALSE),IF(E228="Credit",IFERROR(VLOOKUP(L228,Parameters!$G$4:$H$12,2,FALSE),VLOOKUP("BBB",Parameters!$G$4:$H$12,2,FALSE)),IF(E228="Equity",VLOOKUP(IF(LOWER(K228)="index","Equity Index","Equity Single Name"),Parameters!$D$4:$E$12,2,FALSE),IF(E228="Commodity",VLOOKUP(IFERROR(VLOOKUP(F228,Parameters!$S$4:$T$12,2,FALSE),"Commodity Other"),Parameters!$D$4:$E$12,2,FALSE),0)))))</x:f>
        <x:v>0.18</x:v>
      </x:c>
      <x:c r="AL228" s="42" t="n">
        <x:f>IF(LOWER(AC228)="basis",Parameters!$B$8,IF(LOWER(AC228)="volatility",Parameters!$B$9,1))</x:f>
        <x:v>1</x:v>
      </x:c>
      <x:c r="AM228" s="41" t="n">
        <x:f>AK228*AL228</x:f>
        <x:v>0.18</x:v>
      </x:c>
      <x:c r="AN228" s="42" t="n">
        <x:f>IF(E228="Credit",VLOOKUP(IF(LOWER(K228)="index","Credit Index","Credit Single Name"),Parameters!$J$4:$K$8,2,FALSE),IF(E228="Equity",VLOOKUP(IF(LOWER(K228)="index","Equity Index","Equity Single Name"),Parameters!$J$4:$K$8,2,FALSE),IF(E228="Commodity",VLOOKUP("Commodity",Parameters!$J$4:$K$8,2,FALSE),"")))</x:f>
        <x:v>0.4</x:v>
      </x:c>
      <x:c r="AO228" s="27" t="n">
        <x:f>MAX((O228-M228)/365,0)</x:f>
        <x:v>0</x:v>
      </x:c>
      <x:c r="AP228" s="27" t="n">
        <x:f>MAX((P228-M228)/365,10/Parameters!$B$6)</x:f>
        <x:v>2.871232876712329</x:v>
      </x:c>
      <x:c r="AQ228" s="27" t="n">
        <x:f>IF(AP228&lt;=AO228,AO228+10/Parameters!$B$6,AP228)</x:f>
        <x:v>2.871232876712329</x:v>
      </x:c>
      <x:c r="AR228" s="41" t="n">
        <x:f>IF(OR(E228="Interest Rate",E228="Credit"),(EXP(-Parameters!$B$7*AO228)-EXP(-Parameters!$B$7*AQ228))/Parameters!$B$7,1)</x:f>
        <x:v>1</x:v>
      </x:c>
      <x:c r="AS228" s="40" t="n">
        <x:f>IF(OR(E228="Interest Rate",E228="Credit"),ABS(Q228)*AR228,IF(E228="FX",IF(Q228&gt;0,Q228,MAX(ABS(R228),ABS(S228),ABS(Q228))),ABS(Q228)))</x:f>
        <x:v>3600000</x:v>
      </x:c>
      <x:c r="AT228" s="42" t="n">
        <x:f>IF(OR(E228="Interest Rate",E228="FX"),VLOOKUP(E228,Parameters!$M$4:$N$11,2,FALSE),IF(E228="Credit",VLOOKUP(IF(LOWER(K228)="index","Credit Index","Credit Single Name"),Parameters!$M$4:$N$11,2,FALSE),IF(E228="Equity",VLOOKUP(IF(LOWER(K228)="index","Equity Index","Equity Single Name"),Parameters!$M$4:$N$11,2,FALSE),IF(E228="Commodity",VLOOKUP(IF(F228="Electricity","Commodity Electricity","Commodity Other"),Parameters!$M$4:$N$11,2,FALSE),1))))</x:f>
        <x:v>0.7</x:v>
      </x:c>
      <x:c r="AU228" s="27" t="n">
        <x:f>IF(W228="B",1,-1)</x:f>
        <x:v>1</x:v>
      </x:c>
      <x:c r="AV228" s="27" t="n">
        <x:f>IF(OR(AA228="",M228=""),MAX(AE228,1/365),MAX((AA228-M228)/365,1/365))</x:f>
        <x:v>2.871232876712329</x:v>
      </x:c>
      <x:c r="AW228" s="41" t="str">
        <x:f>IF(OR(Z228&lt;=0,Y228&lt;=0,AT228&lt;=0,AV228&lt;=0),"",(LN(Z228/Y228)+0.5*AT228^2*AV228)/(AT228*SQRT(AV228)))</x:f>
      </x:c>
      <x:c r="AX228" s="41" t="n">
        <x:f>IF(AND(X228&lt;&gt;"C",X228&lt;&gt;"P"),AU228,IF(AW228="",AU228,IF(X228="C",AU228*0.5*(1+ERF(AW228/SQRT(2))),-AU228*0.5*(1+ERF(-AW228/SQRT(2))))))</x:f>
        <x:v>1</x:v>
      </x:c>
      <x:c r="AY228" s="41" t="n">
        <x:f>IF(AJ228="M",1.5*SQRT(MAX(IF(U228="Y",5,10),IF(V228="",10,V228))/Parameters!$B$6),SQRT(MIN(MAX(AE228,10/Parameters!$B$6),1)))</x:f>
        <x:v>0.30000000000000004</x:v>
      </x:c>
      <x:c r="AZ228" s="40" t="n">
        <x:f>AS228*AX228*AY228</x:f>
        <x:v>1080000.0000000002</x:v>
      </x:c>
      <x:c r="BA228" s="40" t="n">
        <x:f>'Python_Trade_Output'!AZ228</x:f>
        <x:v>1080000.0000000002</x:v>
      </x:c>
      <x:c r="BB228" s="43" t="n">
        <x:f>AZ228-BA228</x:f>
        <x:v>0</x:v>
      </x:c>
    </x:row>
    <x:row r="229">
      <x:c r="A229" s="27" t="str">
        <x:f>'Inputs_Trades'!D229</x:f>
        <x:v>IND-000226</x:v>
      </x:c>
      <x:c r="B229" s="27" t="str">
        <x:f>'Inputs_Trades'!B229</x:f>
        <x:v>IND_HEDGE_FUND_001</x:v>
      </x:c>
      <x:c r="C229" s="27" t="n">
        <x:f>'Inputs_Trades'!C229</x:f>
        <x:v>3109</x:v>
      </x:c>
      <x:c r="D229" s="27" t="str">
        <x:f>'Inputs_Trades'!E229</x:f>
        <x:v>Oil Forward</x:v>
      </x:c>
      <x:c r="E229" s="27" t="str">
        <x:f>'Inputs_Trades'!F229</x:f>
        <x:v>Commodity</x:v>
      </x:c>
      <x:c r="F229" s="27" t="str">
        <x:f>'Inputs_Trades'!G229</x:f>
        <x:v>Oil</x:v>
      </x:c>
      <x:c r="G229" s="27" t="str">
        <x:f>'Inputs_Trades'!J229</x:f>
        <x:v>USD</x:v>
      </x:c>
      <x:c r="H229" s="27" t="str">
        <x:f>'Inputs_Trades'!H229</x:f>
        <x:v>Oil</x:v>
      </x:c>
      <x:c r="I229" s="27" t="str">
        <x:f>'Inputs_Trades'!I229</x:f>
        <x:v>USD</x:v>
      </x:c>
      <x:c r="J229" s="27" t="str">
        <x:f>'Inputs_Trades'!M229</x:f>
        <x:v>Oil/USD</x:v>
      </x:c>
      <x:c r="K229" s="27" t="n">
        <x:f>'Inputs_Trades'!N229</x:f>
        <x:v>0</x:v>
      </x:c>
      <x:c r="L229" s="27" t="n">
        <x:f>'Inputs_Trades'!O229</x:f>
        <x:v>0</x:v>
      </x:c>
      <x:c r="M229" s="39" t="n">
        <x:f>'Inputs_Trades'!A229</x:f>
        <x:v>45702</x:v>
      </x:c>
      <x:c r="N229" s="39" t="n">
        <x:f>'Inputs_Trades'!P229</x:f>
        <x:v>47861</x:v>
      </x:c>
      <x:c r="O229" s="39" t="n">
        <x:f>'Inputs_Trades'!Q229</x:f>
        <x:v>44888</x:v>
      </x:c>
      <x:c r="P229" s="39" t="n">
        <x:f>'Inputs_Trades'!R229</x:f>
        <x:v>47861</x:v>
      </x:c>
      <x:c r="Q229" s="40" t="n">
        <x:f>'Inputs_Trades'!U229</x:f>
        <x:v>1100000</x:v>
      </x:c>
      <x:c r="R229" s="40" t="n">
        <x:f>'Inputs_Trades'!S229</x:f>
        <x:v>1100000</x:v>
      </x:c>
      <x:c r="S229" s="40" t="n">
        <x:f>'Inputs_Trades'!T229</x:f>
        <x:v>1100000</x:v>
      </x:c>
      <x:c r="T229" s="27" t="str">
        <x:f>'Inputs_Trades'!V229</x:f>
        <x:v>M</x:v>
      </x:c>
      <x:c r="U229" s="27" t="str">
        <x:f>'Inputs_Trades'!W229</x:f>
        <x:v>N</x:v>
      </x:c>
      <x:c r="V229" s="27" t="n">
        <x:f>'Inputs_Trades'!X229</x:f>
        <x:v>10</x:v>
      </x:c>
      <x:c r="W229" s="27" t="str">
        <x:f>'Inputs_Trades'!Y229</x:f>
        <x:v>S</x:v>
      </x:c>
      <x:c r="X229" s="27" t="n">
        <x:f>'Inputs_Trades'!AA229</x:f>
        <x:v>0</x:v>
      </x:c>
      <x:c r="Y229" s="27" t="n">
        <x:f>'Inputs_Trades'!AB229</x:f>
        <x:v>0</x:v>
      </x:c>
      <x:c r="Z229" s="27" t="n">
        <x:f>'Inputs_Trades'!AC229</x:f>
        <x:v>0</x:v>
      </x:c>
      <x:c r="AA229" s="39" t="n">
        <x:f>'Inputs_Trades'!Z229</x:f>
        <x:v>0</x:v>
      </x:c>
      <x:c r="AB229" s="40" t="n">
        <x:f>'Inputs_Trades'!AD229</x:f>
        <x:v>1584</x:v>
      </x:c>
      <x:c r="AC229" s="27" t="n">
        <x:f>'Inputs_Trades'!K229</x:f>
        <x:v>0</x:v>
      </x:c>
      <x:c r="AD229" s="27" t="n">
        <x:f>N229-M229</x:f>
        <x:v>2159</x:v>
      </x:c>
      <x:c r="AE229" s="41" t="n">
        <x:f>AD229/365</x:f>
        <x:v>5.9150684931506845</x:v>
      </x:c>
      <x:c r="AF229" s="27" t="str">
        <x:f>IF(AE229&lt;1,"&lt;1Y",IF(AE229&lt;=5,"1Y-5Y","&gt;5Y"))</x:f>
        <x:v>&gt;5Y</x:v>
      </x:c>
      <x:c r="AG229" s="27" t="str">
        <x:f>IF(E229="Commodity",IFERROR(VLOOKUP(F229,Parameters!$P$4:$Q$12,2,FALSE),"Other"),"")</x:f>
        <x:v>Energy</x:v>
      </x:c>
      <x:c r="AH229" s="27" t="str">
        <x:f>IF(F229="","Unknown",F229)</x:f>
        <x:v>Oil</x:v>
      </x:c>
      <x:c r="AI229" s="27" t="str">
        <x:f>IF(E229="Interest Rate",G229&amp;IF(OR(LOWER(AC229)="basis",LOWER(AC229)="volatility"),"_"&amp;AC229,""),IF(E229="FX",IF(H229&lt;I229,H229&amp;"/"&amp;I229,I229&amp;"/"&amp;H229)&amp;IF(OR(LOWER(AC229)="basis",LOWER(AC229)="volatility"),"_"&amp;AC229,""),IF(OR(E229="Credit",E229="Equity"),J229&amp;IF(OR(LOWER(AC229)="basis",LOWER(AC229)="volatility"),"_"&amp;AC229,""),IF(E229="Commodity",AG229&amp;IF(OR(LOWER(AC229)="basis",LOWER(AC229)="volatility"),"_"&amp;AC229,""),"UNKNOWN"))))</x:f>
        <x:v>Energy</x:v>
      </x:c>
      <x:c r="AJ229" s="27" t="str">
        <x:f>T229</x:f>
        <x:v>M</x:v>
      </x:c>
      <x:c r="AK229" s="41" t="n">
        <x:f>IF(E229="Interest Rate",VLOOKUP("Interest Rate",Parameters!$D$4:$E$12,2,FALSE),IF(E229="FX",VLOOKUP("FX",Parameters!$D$4:$E$12,2,FALSE),IF(E229="Credit",IFERROR(VLOOKUP(L229,Parameters!$G$4:$H$12,2,FALSE),VLOOKUP("BBB",Parameters!$G$4:$H$12,2,FALSE)),IF(E229="Equity",VLOOKUP(IF(LOWER(K229)="index","Equity Index","Equity Single Name"),Parameters!$D$4:$E$12,2,FALSE),IF(E229="Commodity",VLOOKUP(IFERROR(VLOOKUP(F229,Parameters!$S$4:$T$12,2,FALSE),"Commodity Other"),Parameters!$D$4:$E$12,2,FALSE),0)))))</x:f>
        <x:v>0.18</x:v>
      </x:c>
      <x:c r="AL229" s="42" t="n">
        <x:f>IF(LOWER(AC229)="basis",Parameters!$B$8,IF(LOWER(AC229)="volatility",Parameters!$B$9,1))</x:f>
        <x:v>1</x:v>
      </x:c>
      <x:c r="AM229" s="41" t="n">
        <x:f>AK229*AL229</x:f>
        <x:v>0.18</x:v>
      </x:c>
      <x:c r="AN229" s="42" t="n">
        <x:f>IF(E229="Credit",VLOOKUP(IF(LOWER(K229)="index","Credit Index","Credit Single Name"),Parameters!$J$4:$K$8,2,FALSE),IF(E229="Equity",VLOOKUP(IF(LOWER(K229)="index","Equity Index","Equity Single Name"),Parameters!$J$4:$K$8,2,FALSE),IF(E229="Commodity",VLOOKUP("Commodity",Parameters!$J$4:$K$8,2,FALSE),"")))</x:f>
        <x:v>0.4</x:v>
      </x:c>
      <x:c r="AO229" s="27" t="n">
        <x:f>MAX((O229-M229)/365,0)</x:f>
        <x:v>0</x:v>
      </x:c>
      <x:c r="AP229" s="27" t="n">
        <x:f>MAX((P229-M229)/365,10/Parameters!$B$6)</x:f>
        <x:v>5.9150684931506845</x:v>
      </x:c>
      <x:c r="AQ229" s="27" t="n">
        <x:f>IF(AP229&lt;=AO229,AO229+10/Parameters!$B$6,AP229)</x:f>
        <x:v>5.9150684931506845</x:v>
      </x:c>
      <x:c r="AR229" s="41" t="n">
        <x:f>IF(OR(E229="Interest Rate",E229="Credit"),(EXP(-Parameters!$B$7*AO229)-EXP(-Parameters!$B$7*AQ229))/Parameters!$B$7,1)</x:f>
        <x:v>1</x:v>
      </x:c>
      <x:c r="AS229" s="40" t="n">
        <x:f>IF(OR(E229="Interest Rate",E229="Credit"),ABS(Q229)*AR229,IF(E229="FX",IF(Q229&gt;0,Q229,MAX(ABS(R229),ABS(S229),ABS(Q229))),ABS(Q229)))</x:f>
        <x:v>1100000</x:v>
      </x:c>
      <x:c r="AT229" s="42" t="n">
        <x:f>IF(OR(E229="Interest Rate",E229="FX"),VLOOKUP(E229,Parameters!$M$4:$N$11,2,FALSE),IF(E229="Credit",VLOOKUP(IF(LOWER(K229)="index","Credit Index","Credit Single Name"),Parameters!$M$4:$N$11,2,FALSE),IF(E229="Equity",VLOOKUP(IF(LOWER(K229)="index","Equity Index","Equity Single Name"),Parameters!$M$4:$N$11,2,FALSE),IF(E229="Commodity",VLOOKUP(IF(F229="Electricity","Commodity Electricity","Commodity Other"),Parameters!$M$4:$N$11,2,FALSE),1))))</x:f>
        <x:v>0.7</x:v>
      </x:c>
      <x:c r="AU229" s="27" t="n">
        <x:f>IF(W229="B",1,-1)</x:f>
        <x:v>-1</x:v>
      </x:c>
      <x:c r="AV229" s="27" t="n">
        <x:f>IF(OR(AA229="",M229=""),MAX(AE229,1/365),MAX((AA229-M229)/365,1/365))</x:f>
        <x:v>5.9150684931506845</x:v>
      </x:c>
      <x:c r="AW229" s="41" t="str">
        <x:f>IF(OR(Z229&lt;=0,Y229&lt;=0,AT229&lt;=0,AV229&lt;=0),"",(LN(Z229/Y229)+0.5*AT229^2*AV229)/(AT229*SQRT(AV229)))</x:f>
      </x:c>
      <x:c r="AX229" s="41" t="n">
        <x:f>IF(AND(X229&lt;&gt;"C",X229&lt;&gt;"P"),AU229,IF(AW229="",AU229,IF(X229="C",AU229*0.5*(1+ERF(AW229/SQRT(2))),-AU229*0.5*(1+ERF(-AW229/SQRT(2))))))</x:f>
        <x:v>-1</x:v>
      </x:c>
      <x:c r="AY229" s="41" t="n">
        <x:f>IF(AJ229="M",1.5*SQRT(MAX(IF(U229="Y",5,10),IF(V229="",10,V229))/Parameters!$B$6),SQRT(MIN(MAX(AE229,10/Parameters!$B$6),1)))</x:f>
        <x:v>0.30000000000000004</x:v>
      </x:c>
      <x:c r="AZ229" s="40" t="n">
        <x:f>AS229*AX229*AY229</x:f>
        <x:v>-330000.00000000006</x:v>
      </x:c>
      <x:c r="BA229" s="40" t="n">
        <x:f>'Python_Trade_Output'!AZ229</x:f>
        <x:v>-330000.00000000006</x:v>
      </x:c>
      <x:c r="BB229" s="43" t="n">
        <x:f>AZ229-BA229</x:f>
        <x:v>0</x:v>
      </x:c>
    </x:row>
    <x:row r="230">
      <x:c r="A230" s="27" t="str">
        <x:f>'Inputs_Trades'!D230</x:f>
        <x:v>IND-000227</x:v>
      </x:c>
      <x:c r="B230" s="27" t="str">
        <x:f>'Inputs_Trades'!B230</x:f>
        <x:v>IND_INSURER_001</x:v>
      </x:c>
      <x:c r="C230" s="27" t="n">
        <x:f>'Inputs_Trades'!C230</x:f>
        <x:v>3257</x:v>
      </x:c>
      <x:c r="D230" s="27" t="str">
        <x:f>'Inputs_Trades'!E230</x:f>
        <x:v>Oil Forward</x:v>
      </x:c>
      <x:c r="E230" s="27" t="str">
        <x:f>'Inputs_Trades'!F230</x:f>
        <x:v>Commodity</x:v>
      </x:c>
      <x:c r="F230" s="27" t="str">
        <x:f>'Inputs_Trades'!G230</x:f>
        <x:v>Oil</x:v>
      </x:c>
      <x:c r="G230" s="27" t="str">
        <x:f>'Inputs_Trades'!J230</x:f>
        <x:v>USD</x:v>
      </x:c>
      <x:c r="H230" s="27" t="str">
        <x:f>'Inputs_Trades'!H230</x:f>
        <x:v>Oil</x:v>
      </x:c>
      <x:c r="I230" s="27" t="str">
        <x:f>'Inputs_Trades'!I230</x:f>
        <x:v>USD</x:v>
      </x:c>
      <x:c r="J230" s="27" t="str">
        <x:f>'Inputs_Trades'!M230</x:f>
        <x:v>Oil/USD</x:v>
      </x:c>
      <x:c r="K230" s="27" t="n">
        <x:f>'Inputs_Trades'!N230</x:f>
        <x:v>0</x:v>
      </x:c>
      <x:c r="L230" s="27" t="n">
        <x:f>'Inputs_Trades'!O230</x:f>
        <x:v>0</x:v>
      </x:c>
      <x:c r="M230" s="39" t="n">
        <x:f>'Inputs_Trades'!A230</x:f>
        <x:v>45702</x:v>
      </x:c>
      <x:c r="N230" s="39" t="n">
        <x:f>'Inputs_Trades'!P230</x:f>
        <x:v>47653</x:v>
      </x:c>
      <x:c r="O230" s="39" t="n">
        <x:f>'Inputs_Trades'!Q230</x:f>
        <x:v>45437</x:v>
      </x:c>
      <x:c r="P230" s="39" t="n">
        <x:f>'Inputs_Trades'!R230</x:f>
        <x:v>47653</x:v>
      </x:c>
      <x:c r="Q230" s="40" t="n">
        <x:f>'Inputs_Trades'!U230</x:f>
        <x:v>4800000</x:v>
      </x:c>
      <x:c r="R230" s="40" t="n">
        <x:f>'Inputs_Trades'!S230</x:f>
        <x:v>4800000</x:v>
      </x:c>
      <x:c r="S230" s="40" t="n">
        <x:f>'Inputs_Trades'!T230</x:f>
        <x:v>4800000</x:v>
      </x:c>
      <x:c r="T230" s="27" t="str">
        <x:f>'Inputs_Trades'!V230</x:f>
        <x:v>M</x:v>
      </x:c>
      <x:c r="U230" s="27" t="str">
        <x:f>'Inputs_Trades'!W230</x:f>
        <x:v>N</x:v>
      </x:c>
      <x:c r="V230" s="27" t="n">
        <x:f>'Inputs_Trades'!X230</x:f>
        <x:v>10</x:v>
      </x:c>
      <x:c r="W230" s="27" t="str">
        <x:f>'Inputs_Trades'!Y230</x:f>
        <x:v>B</x:v>
      </x:c>
      <x:c r="X230" s="27" t="n">
        <x:f>'Inputs_Trades'!AA230</x:f>
        <x:v>0</x:v>
      </x:c>
      <x:c r="Y230" s="27" t="n">
        <x:f>'Inputs_Trades'!AB230</x:f>
        <x:v>0</x:v>
      </x:c>
      <x:c r="Z230" s="27" t="n">
        <x:f>'Inputs_Trades'!AC230</x:f>
        <x:v>0</x:v>
      </x:c>
      <x:c r="AA230" s="39" t="n">
        <x:f>'Inputs_Trades'!Z230</x:f>
        <x:v>0</x:v>
      </x:c>
      <x:c r="AB230" s="40" t="n">
        <x:f>'Inputs_Trades'!AD230</x:f>
        <x:v>-135504</x:v>
      </x:c>
      <x:c r="AC230" s="27" t="n">
        <x:f>'Inputs_Trades'!K230</x:f>
        <x:v>0</x:v>
      </x:c>
      <x:c r="AD230" s="27" t="n">
        <x:f>N230-M230</x:f>
        <x:v>1951</x:v>
      </x:c>
      <x:c r="AE230" s="41" t="n">
        <x:f>AD230/365</x:f>
        <x:v>5.345205479452055</x:v>
      </x:c>
      <x:c r="AF230" s="27" t="str">
        <x:f>IF(AE230&lt;1,"&lt;1Y",IF(AE230&lt;=5,"1Y-5Y","&gt;5Y"))</x:f>
        <x:v>&gt;5Y</x:v>
      </x:c>
      <x:c r="AG230" s="27" t="str">
        <x:f>IF(E230="Commodity",IFERROR(VLOOKUP(F230,Parameters!$P$4:$Q$12,2,FALSE),"Other"),"")</x:f>
        <x:v>Energy</x:v>
      </x:c>
      <x:c r="AH230" s="27" t="str">
        <x:f>IF(F230="","Unknown",F230)</x:f>
        <x:v>Oil</x:v>
      </x:c>
      <x:c r="AI230" s="27" t="str">
        <x:f>IF(E230="Interest Rate",G230&amp;IF(OR(LOWER(AC230)="basis",LOWER(AC230)="volatility"),"_"&amp;AC230,""),IF(E230="FX",IF(H230&lt;I230,H230&amp;"/"&amp;I230,I230&amp;"/"&amp;H230)&amp;IF(OR(LOWER(AC230)="basis",LOWER(AC230)="volatility"),"_"&amp;AC230,""),IF(OR(E230="Credit",E230="Equity"),J230&amp;IF(OR(LOWER(AC230)="basis",LOWER(AC230)="volatility"),"_"&amp;AC230,""),IF(E230="Commodity",AG230&amp;IF(OR(LOWER(AC230)="basis",LOWER(AC230)="volatility"),"_"&amp;AC230,""),"UNKNOWN"))))</x:f>
        <x:v>Energy</x:v>
      </x:c>
      <x:c r="AJ230" s="27" t="str">
        <x:f>T230</x:f>
        <x:v>M</x:v>
      </x:c>
      <x:c r="AK230" s="41" t="n">
        <x:f>IF(E230="Interest Rate",VLOOKUP("Interest Rate",Parameters!$D$4:$E$12,2,FALSE),IF(E230="FX",VLOOKUP("FX",Parameters!$D$4:$E$12,2,FALSE),IF(E230="Credit",IFERROR(VLOOKUP(L230,Parameters!$G$4:$H$12,2,FALSE),VLOOKUP("BBB",Parameters!$G$4:$H$12,2,FALSE)),IF(E230="Equity",VLOOKUP(IF(LOWER(K230)="index","Equity Index","Equity Single Name"),Parameters!$D$4:$E$12,2,FALSE),IF(E230="Commodity",VLOOKUP(IFERROR(VLOOKUP(F230,Parameters!$S$4:$T$12,2,FALSE),"Commodity Other"),Parameters!$D$4:$E$12,2,FALSE),0)))))</x:f>
        <x:v>0.18</x:v>
      </x:c>
      <x:c r="AL230" s="42" t="n">
        <x:f>IF(LOWER(AC230)="basis",Parameters!$B$8,IF(LOWER(AC230)="volatility",Parameters!$B$9,1))</x:f>
        <x:v>1</x:v>
      </x:c>
      <x:c r="AM230" s="41" t="n">
        <x:f>AK230*AL230</x:f>
        <x:v>0.18</x:v>
      </x:c>
      <x:c r="AN230" s="42" t="n">
        <x:f>IF(E230="Credit",VLOOKUP(IF(LOWER(K230)="index","Credit Index","Credit Single Name"),Parameters!$J$4:$K$8,2,FALSE),IF(E230="Equity",VLOOKUP(IF(LOWER(K230)="index","Equity Index","Equity Single Name"),Parameters!$J$4:$K$8,2,FALSE),IF(E230="Commodity",VLOOKUP("Commodity",Parameters!$J$4:$K$8,2,FALSE),"")))</x:f>
        <x:v>0.4</x:v>
      </x:c>
      <x:c r="AO230" s="27" t="n">
        <x:f>MAX((O230-M230)/365,0)</x:f>
        <x:v>0</x:v>
      </x:c>
      <x:c r="AP230" s="27" t="n">
        <x:f>MAX((P230-M230)/365,10/Parameters!$B$6)</x:f>
        <x:v>5.345205479452055</x:v>
      </x:c>
      <x:c r="AQ230" s="27" t="n">
        <x:f>IF(AP230&lt;=AO230,AO230+10/Parameters!$B$6,AP230)</x:f>
        <x:v>5.345205479452055</x:v>
      </x:c>
      <x:c r="AR230" s="41" t="n">
        <x:f>IF(OR(E230="Interest Rate",E230="Credit"),(EXP(-Parameters!$B$7*AO230)-EXP(-Parameters!$B$7*AQ230))/Parameters!$B$7,1)</x:f>
        <x:v>1</x:v>
      </x:c>
      <x:c r="AS230" s="40" t="n">
        <x:f>IF(OR(E230="Interest Rate",E230="Credit"),ABS(Q230)*AR230,IF(E230="FX",IF(Q230&gt;0,Q230,MAX(ABS(R230),ABS(S230),ABS(Q230))),ABS(Q230)))</x:f>
        <x:v>4800000</x:v>
      </x:c>
      <x:c r="AT230" s="42" t="n">
        <x:f>IF(OR(E230="Interest Rate",E230="FX"),VLOOKUP(E230,Parameters!$M$4:$N$11,2,FALSE),IF(E230="Credit",VLOOKUP(IF(LOWER(K230)="index","Credit Index","Credit Single Name"),Parameters!$M$4:$N$11,2,FALSE),IF(E230="Equity",VLOOKUP(IF(LOWER(K230)="index","Equity Index","Equity Single Name"),Parameters!$M$4:$N$11,2,FALSE),IF(E230="Commodity",VLOOKUP(IF(F230="Electricity","Commodity Electricity","Commodity Other"),Parameters!$M$4:$N$11,2,FALSE),1))))</x:f>
        <x:v>0.7</x:v>
      </x:c>
      <x:c r="AU230" s="27" t="n">
        <x:f>IF(W230="B",1,-1)</x:f>
        <x:v>1</x:v>
      </x:c>
      <x:c r="AV230" s="27" t="n">
        <x:f>IF(OR(AA230="",M230=""),MAX(AE230,1/365),MAX((AA230-M230)/365,1/365))</x:f>
        <x:v>5.345205479452055</x:v>
      </x:c>
      <x:c r="AW230" s="41" t="str">
        <x:f>IF(OR(Z230&lt;=0,Y230&lt;=0,AT230&lt;=0,AV230&lt;=0),"",(LN(Z230/Y230)+0.5*AT230^2*AV230)/(AT230*SQRT(AV230)))</x:f>
      </x:c>
      <x:c r="AX230" s="41" t="n">
        <x:f>IF(AND(X230&lt;&gt;"C",X230&lt;&gt;"P"),AU230,IF(AW230="",AU230,IF(X230="C",AU230*0.5*(1+ERF(AW230/SQRT(2))),-AU230*0.5*(1+ERF(-AW230/SQRT(2))))))</x:f>
        <x:v>1</x:v>
      </x:c>
      <x:c r="AY230" s="41" t="n">
        <x:f>IF(AJ230="M",1.5*SQRT(MAX(IF(U230="Y",5,10),IF(V230="",10,V230))/Parameters!$B$6),SQRT(MIN(MAX(AE230,10/Parameters!$B$6),1)))</x:f>
        <x:v>0.30000000000000004</x:v>
      </x:c>
      <x:c r="AZ230" s="40" t="n">
        <x:f>AS230*AX230*AY230</x:f>
        <x:v>1440000.0000000002</x:v>
      </x:c>
      <x:c r="BA230" s="40" t="n">
        <x:f>'Python_Trade_Output'!AZ230</x:f>
        <x:v>1440000.0000000002</x:v>
      </x:c>
      <x:c r="BB230" s="43" t="n">
        <x:f>AZ230-BA230</x:f>
        <x:v>0</x:v>
      </x:c>
    </x:row>
    <x:row r="231">
      <x:c r="A231" s="27" t="str">
        <x:f>'Inputs_Trades'!D231</x:f>
        <x:v>IND-000228</x:v>
      </x:c>
      <x:c r="B231" s="27" t="str">
        <x:f>'Inputs_Trades'!B231</x:f>
        <x:v>IND_PENSION_001</x:v>
      </x:c>
      <x:c r="C231" s="27" t="n">
        <x:f>'Inputs_Trades'!C231</x:f>
        <x:v>3113</x:v>
      </x:c>
      <x:c r="D231" s="27" t="str">
        <x:f>'Inputs_Trades'!E231</x:f>
        <x:v>Oil Forward</x:v>
      </x:c>
      <x:c r="E231" s="27" t="str">
        <x:f>'Inputs_Trades'!F231</x:f>
        <x:v>Commodity</x:v>
      </x:c>
      <x:c r="F231" s="27" t="str">
        <x:f>'Inputs_Trades'!G231</x:f>
        <x:v>Oil</x:v>
      </x:c>
      <x:c r="G231" s="27" t="str">
        <x:f>'Inputs_Trades'!J231</x:f>
        <x:v>USD</x:v>
      </x:c>
      <x:c r="H231" s="27" t="str">
        <x:f>'Inputs_Trades'!H231</x:f>
        <x:v>Oil</x:v>
      </x:c>
      <x:c r="I231" s="27" t="str">
        <x:f>'Inputs_Trades'!I231</x:f>
        <x:v>USD</x:v>
      </x:c>
      <x:c r="J231" s="27" t="str">
        <x:f>'Inputs_Trades'!M231</x:f>
        <x:v>Oil/USD</x:v>
      </x:c>
      <x:c r="K231" s="27" t="n">
        <x:f>'Inputs_Trades'!N231</x:f>
        <x:v>0</x:v>
      </x:c>
      <x:c r="L231" s="27" t="n">
        <x:f>'Inputs_Trades'!O231</x:f>
        <x:v>0</x:v>
      </x:c>
      <x:c r="M231" s="39" t="n">
        <x:f>'Inputs_Trades'!A231</x:f>
        <x:v>45702</x:v>
      </x:c>
      <x:c r="N231" s="39" t="n">
        <x:f>'Inputs_Trades'!P231</x:f>
        <x:v>47172</x:v>
      </x:c>
      <x:c r="O231" s="39" t="n">
        <x:f>'Inputs_Trades'!Q231</x:f>
        <x:v>45467</x:v>
      </x:c>
      <x:c r="P231" s="39" t="n">
        <x:f>'Inputs_Trades'!R231</x:f>
        <x:v>47172</x:v>
      </x:c>
      <x:c r="Q231" s="40" t="n">
        <x:f>'Inputs_Trades'!U231</x:f>
        <x:v>4900000</x:v>
      </x:c>
      <x:c r="R231" s="40" t="n">
        <x:f>'Inputs_Trades'!S231</x:f>
        <x:v>4900000</x:v>
      </x:c>
      <x:c r="S231" s="40" t="n">
        <x:f>'Inputs_Trades'!T231</x:f>
        <x:v>4900000</x:v>
      </x:c>
      <x:c r="T231" s="27" t="str">
        <x:f>'Inputs_Trades'!V231</x:f>
        <x:v>M</x:v>
      </x:c>
      <x:c r="U231" s="27" t="str">
        <x:f>'Inputs_Trades'!W231</x:f>
        <x:v>N</x:v>
      </x:c>
      <x:c r="V231" s="27" t="n">
        <x:f>'Inputs_Trades'!X231</x:f>
        <x:v>10</x:v>
      </x:c>
      <x:c r="W231" s="27" t="str">
        <x:f>'Inputs_Trades'!Y231</x:f>
        <x:v>S</x:v>
      </x:c>
      <x:c r="X231" s="27" t="n">
        <x:f>'Inputs_Trades'!AA231</x:f>
        <x:v>0</x:v>
      </x:c>
      <x:c r="Y231" s="27" t="n">
        <x:f>'Inputs_Trades'!AB231</x:f>
        <x:v>0</x:v>
      </x:c>
      <x:c r="Z231" s="27" t="n">
        <x:f>'Inputs_Trades'!AC231</x:f>
        <x:v>0</x:v>
      </x:c>
      <x:c r="AA231" s="39" t="n">
        <x:f>'Inputs_Trades'!Z231</x:f>
        <x:v>0</x:v>
      </x:c>
      <x:c r="AB231" s="40" t="n">
        <x:f>'Inputs_Trades'!AD231</x:f>
        <x:v>6321</x:v>
      </x:c>
      <x:c r="AC231" s="27" t="n">
        <x:f>'Inputs_Trades'!K231</x:f>
        <x:v>0</x:v>
      </x:c>
      <x:c r="AD231" s="27" t="n">
        <x:f>N231-M231</x:f>
        <x:v>1470</x:v>
      </x:c>
      <x:c r="AE231" s="41" t="n">
        <x:f>AD231/365</x:f>
        <x:v>4.027397260273973</x:v>
      </x:c>
      <x:c r="AF231" s="27" t="str">
        <x:f>IF(AE231&lt;1,"&lt;1Y",IF(AE231&lt;=5,"1Y-5Y","&gt;5Y"))</x:f>
        <x:v>1Y-5Y</x:v>
      </x:c>
      <x:c r="AG231" s="27" t="str">
        <x:f>IF(E231="Commodity",IFERROR(VLOOKUP(F231,Parameters!$P$4:$Q$12,2,FALSE),"Other"),"")</x:f>
        <x:v>Energy</x:v>
      </x:c>
      <x:c r="AH231" s="27" t="str">
        <x:f>IF(F231="","Unknown",F231)</x:f>
        <x:v>Oil</x:v>
      </x:c>
      <x:c r="AI231" s="27" t="str">
        <x:f>IF(E231="Interest Rate",G231&amp;IF(OR(LOWER(AC231)="basis",LOWER(AC231)="volatility"),"_"&amp;AC231,""),IF(E231="FX",IF(H231&lt;I231,H231&amp;"/"&amp;I231,I231&amp;"/"&amp;H231)&amp;IF(OR(LOWER(AC231)="basis",LOWER(AC231)="volatility"),"_"&amp;AC231,""),IF(OR(E231="Credit",E231="Equity"),J231&amp;IF(OR(LOWER(AC231)="basis",LOWER(AC231)="volatility"),"_"&amp;AC231,""),IF(E231="Commodity",AG231&amp;IF(OR(LOWER(AC231)="basis",LOWER(AC231)="volatility"),"_"&amp;AC231,""),"UNKNOWN"))))</x:f>
        <x:v>Energy</x:v>
      </x:c>
      <x:c r="AJ231" s="27" t="str">
        <x:f>T231</x:f>
        <x:v>M</x:v>
      </x:c>
      <x:c r="AK231" s="41" t="n">
        <x:f>IF(E231="Interest Rate",VLOOKUP("Interest Rate",Parameters!$D$4:$E$12,2,FALSE),IF(E231="FX",VLOOKUP("FX",Parameters!$D$4:$E$12,2,FALSE),IF(E231="Credit",IFERROR(VLOOKUP(L231,Parameters!$G$4:$H$12,2,FALSE),VLOOKUP("BBB",Parameters!$G$4:$H$12,2,FALSE)),IF(E231="Equity",VLOOKUP(IF(LOWER(K231)="index","Equity Index","Equity Single Name"),Parameters!$D$4:$E$12,2,FALSE),IF(E231="Commodity",VLOOKUP(IFERROR(VLOOKUP(F231,Parameters!$S$4:$T$12,2,FALSE),"Commodity Other"),Parameters!$D$4:$E$12,2,FALSE),0)))))</x:f>
        <x:v>0.18</x:v>
      </x:c>
      <x:c r="AL231" s="42" t="n">
        <x:f>IF(LOWER(AC231)="basis",Parameters!$B$8,IF(LOWER(AC231)="volatility",Parameters!$B$9,1))</x:f>
        <x:v>1</x:v>
      </x:c>
      <x:c r="AM231" s="41" t="n">
        <x:f>AK231*AL231</x:f>
        <x:v>0.18</x:v>
      </x:c>
      <x:c r="AN231" s="42" t="n">
        <x:f>IF(E231="Credit",VLOOKUP(IF(LOWER(K231)="index","Credit Index","Credit Single Name"),Parameters!$J$4:$K$8,2,FALSE),IF(E231="Equity",VLOOKUP(IF(LOWER(K231)="index","Equity Index","Equity Single Name"),Parameters!$J$4:$K$8,2,FALSE),IF(E231="Commodity",VLOOKUP("Commodity",Parameters!$J$4:$K$8,2,FALSE),"")))</x:f>
        <x:v>0.4</x:v>
      </x:c>
      <x:c r="AO231" s="27" t="n">
        <x:f>MAX((O231-M231)/365,0)</x:f>
        <x:v>0</x:v>
      </x:c>
      <x:c r="AP231" s="27" t="n">
        <x:f>MAX((P231-M231)/365,10/Parameters!$B$6)</x:f>
        <x:v>4.027397260273973</x:v>
      </x:c>
      <x:c r="AQ231" s="27" t="n">
        <x:f>IF(AP231&lt;=AO231,AO231+10/Parameters!$B$6,AP231)</x:f>
        <x:v>4.027397260273973</x:v>
      </x:c>
      <x:c r="AR231" s="41" t="n">
        <x:f>IF(OR(E231="Interest Rate",E231="Credit"),(EXP(-Parameters!$B$7*AO231)-EXP(-Parameters!$B$7*AQ231))/Parameters!$B$7,1)</x:f>
        <x:v>1</x:v>
      </x:c>
      <x:c r="AS231" s="40" t="n">
        <x:f>IF(OR(E231="Interest Rate",E231="Credit"),ABS(Q231)*AR231,IF(E231="FX",IF(Q231&gt;0,Q231,MAX(ABS(R231),ABS(S231),ABS(Q231))),ABS(Q231)))</x:f>
        <x:v>4900000</x:v>
      </x:c>
      <x:c r="AT231" s="42" t="n">
        <x:f>IF(OR(E231="Interest Rate",E231="FX"),VLOOKUP(E231,Parameters!$M$4:$N$11,2,FALSE),IF(E231="Credit",VLOOKUP(IF(LOWER(K231)="index","Credit Index","Credit Single Name"),Parameters!$M$4:$N$11,2,FALSE),IF(E231="Equity",VLOOKUP(IF(LOWER(K231)="index","Equity Index","Equity Single Name"),Parameters!$M$4:$N$11,2,FALSE),IF(E231="Commodity",VLOOKUP(IF(F231="Electricity","Commodity Electricity","Commodity Other"),Parameters!$M$4:$N$11,2,FALSE),1))))</x:f>
        <x:v>0.7</x:v>
      </x:c>
      <x:c r="AU231" s="27" t="n">
        <x:f>IF(W231="B",1,-1)</x:f>
        <x:v>-1</x:v>
      </x:c>
      <x:c r="AV231" s="27" t="n">
        <x:f>IF(OR(AA231="",M231=""),MAX(AE231,1/365),MAX((AA231-M231)/365,1/365))</x:f>
        <x:v>4.027397260273973</x:v>
      </x:c>
      <x:c r="AW231" s="41" t="str">
        <x:f>IF(OR(Z231&lt;=0,Y231&lt;=0,AT231&lt;=0,AV231&lt;=0),"",(LN(Z231/Y231)+0.5*AT231^2*AV231)/(AT231*SQRT(AV231)))</x:f>
      </x:c>
      <x:c r="AX231" s="41" t="n">
        <x:f>IF(AND(X231&lt;&gt;"C",X231&lt;&gt;"P"),AU231,IF(AW231="",AU231,IF(X231="C",AU231*0.5*(1+ERF(AW231/SQRT(2))),-AU231*0.5*(1+ERF(-AW231/SQRT(2))))))</x:f>
        <x:v>-1</x:v>
      </x:c>
      <x:c r="AY231" s="41" t="n">
        <x:f>IF(AJ231="M",1.5*SQRT(MAX(IF(U231="Y",5,10),IF(V231="",10,V231))/Parameters!$B$6),SQRT(MIN(MAX(AE231,10/Parameters!$B$6),1)))</x:f>
        <x:v>0.30000000000000004</x:v>
      </x:c>
      <x:c r="AZ231" s="40" t="n">
        <x:f>AS231*AX231*AY231</x:f>
        <x:v>-1470000.0000000002</x:v>
      </x:c>
      <x:c r="BA231" s="40" t="n">
        <x:f>'Python_Trade_Output'!AZ231</x:f>
        <x:v>-1470000.0000000002</x:v>
      </x:c>
      <x:c r="BB231" s="43" t="n">
        <x:f>AZ231-BA231</x:f>
        <x:v>0</x:v>
      </x:c>
    </x:row>
    <x:row r="232">
      <x:c r="A232" s="27" t="str">
        <x:f>'Inputs_Trades'!D232</x:f>
        <x:v>IND-000229</x:v>
      </x:c>
      <x:c r="B232" s="27" t="str">
        <x:f>'Inputs_Trades'!B232</x:f>
        <x:v>IND_ASSET_MANAGER_001</x:v>
      </x:c>
      <x:c r="C232" s="27" t="n">
        <x:f>'Inputs_Trades'!C232</x:f>
        <x:v>3205</x:v>
      </x:c>
      <x:c r="D232" s="27" t="str">
        <x:f>'Inputs_Trades'!E232</x:f>
        <x:v>Oil Forward</x:v>
      </x:c>
      <x:c r="E232" s="27" t="str">
        <x:f>'Inputs_Trades'!F232</x:f>
        <x:v>Commodity</x:v>
      </x:c>
      <x:c r="F232" s="27" t="str">
        <x:f>'Inputs_Trades'!G232</x:f>
        <x:v>Oil</x:v>
      </x:c>
      <x:c r="G232" s="27" t="str">
        <x:f>'Inputs_Trades'!J232</x:f>
        <x:v>USD</x:v>
      </x:c>
      <x:c r="H232" s="27" t="str">
        <x:f>'Inputs_Trades'!H232</x:f>
        <x:v>Oil</x:v>
      </x:c>
      <x:c r="I232" s="27" t="str">
        <x:f>'Inputs_Trades'!I232</x:f>
        <x:v>USD</x:v>
      </x:c>
      <x:c r="J232" s="27" t="str">
        <x:f>'Inputs_Trades'!M232</x:f>
        <x:v>Oil/USD</x:v>
      </x:c>
      <x:c r="K232" s="27" t="n">
        <x:f>'Inputs_Trades'!N232</x:f>
        <x:v>0</x:v>
      </x:c>
      <x:c r="L232" s="27" t="n">
        <x:f>'Inputs_Trades'!O232</x:f>
        <x:v>0</x:v>
      </x:c>
      <x:c r="M232" s="39" t="n">
        <x:f>'Inputs_Trades'!A232</x:f>
        <x:v>45702</x:v>
      </x:c>
      <x:c r="N232" s="39" t="n">
        <x:f>'Inputs_Trades'!P232</x:f>
        <x:v>46300</x:v>
      </x:c>
      <x:c r="O232" s="39" t="n">
        <x:f>'Inputs_Trades'!Q232</x:f>
        <x:v>45352</x:v>
      </x:c>
      <x:c r="P232" s="39" t="n">
        <x:f>'Inputs_Trades'!R232</x:f>
        <x:v>46300</x:v>
      </x:c>
      <x:c r="Q232" s="40" t="n">
        <x:f>'Inputs_Trades'!U232</x:f>
        <x:v>43200000</x:v>
      </x:c>
      <x:c r="R232" s="40" t="n">
        <x:f>'Inputs_Trades'!S232</x:f>
        <x:v>43200000</x:v>
      </x:c>
      <x:c r="S232" s="40" t="n">
        <x:f>'Inputs_Trades'!T232</x:f>
        <x:v>43200000</x:v>
      </x:c>
      <x:c r="T232" s="27" t="str">
        <x:f>'Inputs_Trades'!V232</x:f>
        <x:v>U</x:v>
      </x:c>
      <x:c r="U232" s="27" t="str">
        <x:f>'Inputs_Trades'!W232</x:f>
        <x:v>N</x:v>
      </x:c>
      <x:c r="V232" s="27" t="n">
        <x:f>'Inputs_Trades'!X232</x:f>
        <x:v>0</x:v>
      </x:c>
      <x:c r="W232" s="27" t="str">
        <x:f>'Inputs_Trades'!Y232</x:f>
        <x:v>S</x:v>
      </x:c>
      <x:c r="X232" s="27" t="n">
        <x:f>'Inputs_Trades'!AA232</x:f>
        <x:v>0</x:v>
      </x:c>
      <x:c r="Y232" s="27" t="n">
        <x:f>'Inputs_Trades'!AB232</x:f>
        <x:v>0</x:v>
      </x:c>
      <x:c r="Z232" s="27" t="n">
        <x:f>'Inputs_Trades'!AC232</x:f>
        <x:v>0</x:v>
      </x:c>
      <x:c r="AA232" s="39" t="n">
        <x:f>'Inputs_Trades'!Z232</x:f>
        <x:v>0</x:v>
      </x:c>
      <x:c r="AB232" s="40" t="n">
        <x:f>'Inputs_Trades'!AD232</x:f>
        <x:v>-145152</x:v>
      </x:c>
      <x:c r="AC232" s="27" t="n">
        <x:f>'Inputs_Trades'!K232</x:f>
        <x:v>0</x:v>
      </x:c>
      <x:c r="AD232" s="27" t="n">
        <x:f>N232-M232</x:f>
        <x:v>598</x:v>
      </x:c>
      <x:c r="AE232" s="41" t="n">
        <x:f>AD232/365</x:f>
        <x:v>1.6383561643835616</x:v>
      </x:c>
      <x:c r="AF232" s="27" t="str">
        <x:f>IF(AE232&lt;1,"&lt;1Y",IF(AE232&lt;=5,"1Y-5Y","&gt;5Y"))</x:f>
        <x:v>1Y-5Y</x:v>
      </x:c>
      <x:c r="AG232" s="27" t="str">
        <x:f>IF(E232="Commodity",IFERROR(VLOOKUP(F232,Parameters!$P$4:$Q$12,2,FALSE),"Other"),"")</x:f>
        <x:v>Energy</x:v>
      </x:c>
      <x:c r="AH232" s="27" t="str">
        <x:f>IF(F232="","Unknown",F232)</x:f>
        <x:v>Oil</x:v>
      </x:c>
      <x:c r="AI232" s="27" t="str">
        <x:f>IF(E232="Interest Rate",G232&amp;IF(OR(LOWER(AC232)="basis",LOWER(AC232)="volatility"),"_"&amp;AC232,""),IF(E232="FX",IF(H232&lt;I232,H232&amp;"/"&amp;I232,I232&amp;"/"&amp;H232)&amp;IF(OR(LOWER(AC232)="basis",LOWER(AC232)="volatility"),"_"&amp;AC232,""),IF(OR(E232="Credit",E232="Equity"),J232&amp;IF(OR(LOWER(AC232)="basis",LOWER(AC232)="volatility"),"_"&amp;AC232,""),IF(E232="Commodity",AG232&amp;IF(OR(LOWER(AC232)="basis",LOWER(AC232)="volatility"),"_"&amp;AC232,""),"UNKNOWN"))))</x:f>
        <x:v>Energy</x:v>
      </x:c>
      <x:c r="AJ232" s="27" t="str">
        <x:f>T232</x:f>
        <x:v>U</x:v>
      </x:c>
      <x:c r="AK232" s="41" t="n">
        <x:f>IF(E232="Interest Rate",VLOOKUP("Interest Rate",Parameters!$D$4:$E$12,2,FALSE),IF(E232="FX",VLOOKUP("FX",Parameters!$D$4:$E$12,2,FALSE),IF(E232="Credit",IFERROR(VLOOKUP(L232,Parameters!$G$4:$H$12,2,FALSE),VLOOKUP("BBB",Parameters!$G$4:$H$12,2,FALSE)),IF(E232="Equity",VLOOKUP(IF(LOWER(K232)="index","Equity Index","Equity Single Name"),Parameters!$D$4:$E$12,2,FALSE),IF(E232="Commodity",VLOOKUP(IFERROR(VLOOKUP(F232,Parameters!$S$4:$T$12,2,FALSE),"Commodity Other"),Parameters!$D$4:$E$12,2,FALSE),0)))))</x:f>
        <x:v>0.18</x:v>
      </x:c>
      <x:c r="AL232" s="42" t="n">
        <x:f>IF(LOWER(AC232)="basis",Parameters!$B$8,IF(LOWER(AC232)="volatility",Parameters!$B$9,1))</x:f>
        <x:v>1</x:v>
      </x:c>
      <x:c r="AM232" s="41" t="n">
        <x:f>AK232*AL232</x:f>
        <x:v>0.18</x:v>
      </x:c>
      <x:c r="AN232" s="42" t="n">
        <x:f>IF(E232="Credit",VLOOKUP(IF(LOWER(K232)="index","Credit Index","Credit Single Name"),Parameters!$J$4:$K$8,2,FALSE),IF(E232="Equity",VLOOKUP(IF(LOWER(K232)="index","Equity Index","Equity Single Name"),Parameters!$J$4:$K$8,2,FALSE),IF(E232="Commodity",VLOOKUP("Commodity",Parameters!$J$4:$K$8,2,FALSE),"")))</x:f>
        <x:v>0.4</x:v>
      </x:c>
      <x:c r="AO232" s="27" t="n">
        <x:f>MAX((O232-M232)/365,0)</x:f>
        <x:v>0</x:v>
      </x:c>
      <x:c r="AP232" s="27" t="n">
        <x:f>MAX((P232-M232)/365,10/Parameters!$B$6)</x:f>
        <x:v>1.6383561643835616</x:v>
      </x:c>
      <x:c r="AQ232" s="27" t="n">
        <x:f>IF(AP232&lt;=AO232,AO232+10/Parameters!$B$6,AP232)</x:f>
        <x:v>1.6383561643835616</x:v>
      </x:c>
      <x:c r="AR232" s="41" t="n">
        <x:f>IF(OR(E232="Interest Rate",E232="Credit"),(EXP(-Parameters!$B$7*AO232)-EXP(-Parameters!$B$7*AQ232))/Parameters!$B$7,1)</x:f>
        <x:v>1</x:v>
      </x:c>
      <x:c r="AS232" s="40" t="n">
        <x:f>IF(OR(E232="Interest Rate",E232="Credit"),ABS(Q232)*AR232,IF(E232="FX",IF(Q232&gt;0,Q232,MAX(ABS(R232),ABS(S232),ABS(Q232))),ABS(Q232)))</x:f>
        <x:v>43200000</x:v>
      </x:c>
      <x:c r="AT232" s="42" t="n">
        <x:f>IF(OR(E232="Interest Rate",E232="FX"),VLOOKUP(E232,Parameters!$M$4:$N$11,2,FALSE),IF(E232="Credit",VLOOKUP(IF(LOWER(K232)="index","Credit Index","Credit Single Name"),Parameters!$M$4:$N$11,2,FALSE),IF(E232="Equity",VLOOKUP(IF(LOWER(K232)="index","Equity Index","Equity Single Name"),Parameters!$M$4:$N$11,2,FALSE),IF(E232="Commodity",VLOOKUP(IF(F232="Electricity","Commodity Electricity","Commodity Other"),Parameters!$M$4:$N$11,2,FALSE),1))))</x:f>
        <x:v>0.7</x:v>
      </x:c>
      <x:c r="AU232" s="27" t="n">
        <x:f>IF(W232="B",1,-1)</x:f>
        <x:v>-1</x:v>
      </x:c>
      <x:c r="AV232" s="27" t="n">
        <x:f>IF(OR(AA232="",M232=""),MAX(AE232,1/365),MAX((AA232-M232)/365,1/365))</x:f>
        <x:v>1.6383561643835616</x:v>
      </x:c>
      <x:c r="AW232" s="41" t="str">
        <x:f>IF(OR(Z232&lt;=0,Y232&lt;=0,AT232&lt;=0,AV232&lt;=0),"",(LN(Z232/Y232)+0.5*AT232^2*AV232)/(AT232*SQRT(AV232)))</x:f>
      </x:c>
      <x:c r="AX232" s="41" t="n">
        <x:f>IF(AND(X232&lt;&gt;"C",X232&lt;&gt;"P"),AU232,IF(AW232="",AU232,IF(X232="C",AU232*0.5*(1+ERF(AW232/SQRT(2))),-AU232*0.5*(1+ERF(-AW232/SQRT(2))))))</x:f>
        <x:v>-1</x:v>
      </x:c>
      <x:c r="AY232" s="41" t="n">
        <x:f>IF(AJ232="M",1.5*SQRT(MAX(IF(U232="Y",5,10),IF(V232="",10,V232))/Parameters!$B$6),SQRT(MIN(MAX(AE232,10/Parameters!$B$6),1)))</x:f>
        <x:v>1</x:v>
      </x:c>
      <x:c r="AZ232" s="40" t="n">
        <x:f>AS232*AX232*AY232</x:f>
        <x:v>-43200000</x:v>
      </x:c>
      <x:c r="BA232" s="40" t="n">
        <x:f>'Python_Trade_Output'!AZ232</x:f>
        <x:v>-43200000</x:v>
      </x:c>
      <x:c r="BB232" s="43" t="n">
        <x:f>AZ232-BA232</x:f>
        <x:v>0</x:v>
      </x:c>
    </x:row>
    <x:row r="233">
      <x:c r="A233" s="27" t="str">
        <x:f>'Inputs_Trades'!D233</x:f>
        <x:v>IND-000230</x:v>
      </x:c>
      <x:c r="B233" s="27" t="str">
        <x:f>'Inputs_Trades'!B233</x:f>
        <x:v>IND_BANK_002</x:v>
      </x:c>
      <x:c r="C233" s="27" t="n">
        <x:f>'Inputs_Trades'!C233</x:f>
        <x:v>3259</x:v>
      </x:c>
      <x:c r="D233" s="27" t="str">
        <x:f>'Inputs_Trades'!E233</x:f>
        <x:v>Oil Forward</x:v>
      </x:c>
      <x:c r="E233" s="27" t="str">
        <x:f>'Inputs_Trades'!F233</x:f>
        <x:v>Commodity</x:v>
      </x:c>
      <x:c r="F233" s="27" t="str">
        <x:f>'Inputs_Trades'!G233</x:f>
        <x:v>Oil</x:v>
      </x:c>
      <x:c r="G233" s="27" t="str">
        <x:f>'Inputs_Trades'!J233</x:f>
        <x:v>USD</x:v>
      </x:c>
      <x:c r="H233" s="27" t="str">
        <x:f>'Inputs_Trades'!H233</x:f>
        <x:v>Oil</x:v>
      </x:c>
      <x:c r="I233" s="27" t="str">
        <x:f>'Inputs_Trades'!I233</x:f>
        <x:v>USD</x:v>
      </x:c>
      <x:c r="J233" s="27" t="str">
        <x:f>'Inputs_Trades'!M233</x:f>
        <x:v>Oil/USD</x:v>
      </x:c>
      <x:c r="K233" s="27" t="n">
        <x:f>'Inputs_Trades'!N233</x:f>
        <x:v>0</x:v>
      </x:c>
      <x:c r="L233" s="27" t="n">
        <x:f>'Inputs_Trades'!O233</x:f>
        <x:v>0</x:v>
      </x:c>
      <x:c r="M233" s="39" t="n">
        <x:f>'Inputs_Trades'!A233</x:f>
        <x:v>45702</x:v>
      </x:c>
      <x:c r="N233" s="39" t="n">
        <x:f>'Inputs_Trades'!P233</x:f>
        <x:v>46946</x:v>
      </x:c>
      <x:c r="O233" s="39" t="n">
        <x:f>'Inputs_Trades'!Q233</x:f>
        <x:v>45643</x:v>
      </x:c>
      <x:c r="P233" s="39" t="n">
        <x:f>'Inputs_Trades'!R233</x:f>
        <x:v>46946</x:v>
      </x:c>
      <x:c r="Q233" s="40" t="n">
        <x:f>'Inputs_Trades'!U233</x:f>
        <x:v>13500000</x:v>
      </x:c>
      <x:c r="R233" s="40" t="n">
        <x:f>'Inputs_Trades'!S233</x:f>
        <x:v>13500000</x:v>
      </x:c>
      <x:c r="S233" s="40" t="n">
        <x:f>'Inputs_Trades'!T233</x:f>
        <x:v>13500000</x:v>
      </x:c>
      <x:c r="T233" s="27" t="str">
        <x:f>'Inputs_Trades'!V233</x:f>
        <x:v>M</x:v>
      </x:c>
      <x:c r="U233" s="27" t="str">
        <x:f>'Inputs_Trades'!W233</x:f>
        <x:v>N</x:v>
      </x:c>
      <x:c r="V233" s="27" t="n">
        <x:f>'Inputs_Trades'!X233</x:f>
        <x:v>10</x:v>
      </x:c>
      <x:c r="W233" s="27" t="str">
        <x:f>'Inputs_Trades'!Y233</x:f>
        <x:v>S</x:v>
      </x:c>
      <x:c r="X233" s="27" t="n">
        <x:f>'Inputs_Trades'!AA233</x:f>
        <x:v>0</x:v>
      </x:c>
      <x:c r="Y233" s="27" t="n">
        <x:f>'Inputs_Trades'!AB233</x:f>
        <x:v>0</x:v>
      </x:c>
      <x:c r="Z233" s="27" t="n">
        <x:f>'Inputs_Trades'!AC233</x:f>
        <x:v>0</x:v>
      </x:c>
      <x:c r="AA233" s="39" t="n">
        <x:f>'Inputs_Trades'!Z233</x:f>
        <x:v>0</x:v>
      </x:c>
      <x:c r="AB233" s="40" t="n">
        <x:f>'Inputs_Trades'!AD233</x:f>
        <x:v>363285</x:v>
      </x:c>
      <x:c r="AC233" s="27" t="n">
        <x:f>'Inputs_Trades'!K233</x:f>
        <x:v>0</x:v>
      </x:c>
      <x:c r="AD233" s="27" t="n">
        <x:f>N233-M233</x:f>
        <x:v>1244</x:v>
      </x:c>
      <x:c r="AE233" s="41" t="n">
        <x:f>AD233/365</x:f>
        <x:v>3.408219178082192</x:v>
      </x:c>
      <x:c r="AF233" s="27" t="str">
        <x:f>IF(AE233&lt;1,"&lt;1Y",IF(AE233&lt;=5,"1Y-5Y","&gt;5Y"))</x:f>
        <x:v>1Y-5Y</x:v>
      </x:c>
      <x:c r="AG233" s="27" t="str">
        <x:f>IF(E233="Commodity",IFERROR(VLOOKUP(F233,Parameters!$P$4:$Q$12,2,FALSE),"Other"),"")</x:f>
        <x:v>Energy</x:v>
      </x:c>
      <x:c r="AH233" s="27" t="str">
        <x:f>IF(F233="","Unknown",F233)</x:f>
        <x:v>Oil</x:v>
      </x:c>
      <x:c r="AI233" s="27" t="str">
        <x:f>IF(E233="Interest Rate",G233&amp;IF(OR(LOWER(AC233)="basis",LOWER(AC233)="volatility"),"_"&amp;AC233,""),IF(E233="FX",IF(H233&lt;I233,H233&amp;"/"&amp;I233,I233&amp;"/"&amp;H233)&amp;IF(OR(LOWER(AC233)="basis",LOWER(AC233)="volatility"),"_"&amp;AC233,""),IF(OR(E233="Credit",E233="Equity"),J233&amp;IF(OR(LOWER(AC233)="basis",LOWER(AC233)="volatility"),"_"&amp;AC233,""),IF(E233="Commodity",AG233&amp;IF(OR(LOWER(AC233)="basis",LOWER(AC233)="volatility"),"_"&amp;AC233,""),"UNKNOWN"))))</x:f>
        <x:v>Energy</x:v>
      </x:c>
      <x:c r="AJ233" s="27" t="str">
        <x:f>T233</x:f>
        <x:v>M</x:v>
      </x:c>
      <x:c r="AK233" s="41" t="n">
        <x:f>IF(E233="Interest Rate",VLOOKUP("Interest Rate",Parameters!$D$4:$E$12,2,FALSE),IF(E233="FX",VLOOKUP("FX",Parameters!$D$4:$E$12,2,FALSE),IF(E233="Credit",IFERROR(VLOOKUP(L233,Parameters!$G$4:$H$12,2,FALSE),VLOOKUP("BBB",Parameters!$G$4:$H$12,2,FALSE)),IF(E233="Equity",VLOOKUP(IF(LOWER(K233)="index","Equity Index","Equity Single Name"),Parameters!$D$4:$E$12,2,FALSE),IF(E233="Commodity",VLOOKUP(IFERROR(VLOOKUP(F233,Parameters!$S$4:$T$12,2,FALSE),"Commodity Other"),Parameters!$D$4:$E$12,2,FALSE),0)))))</x:f>
        <x:v>0.18</x:v>
      </x:c>
      <x:c r="AL233" s="42" t="n">
        <x:f>IF(LOWER(AC233)="basis",Parameters!$B$8,IF(LOWER(AC233)="volatility",Parameters!$B$9,1))</x:f>
        <x:v>1</x:v>
      </x:c>
      <x:c r="AM233" s="41" t="n">
        <x:f>AK233*AL233</x:f>
        <x:v>0.18</x:v>
      </x:c>
      <x:c r="AN233" s="42" t="n">
        <x:f>IF(E233="Credit",VLOOKUP(IF(LOWER(K233)="index","Credit Index","Credit Single Name"),Parameters!$J$4:$K$8,2,FALSE),IF(E233="Equity",VLOOKUP(IF(LOWER(K233)="index","Equity Index","Equity Single Name"),Parameters!$J$4:$K$8,2,FALSE),IF(E233="Commodity",VLOOKUP("Commodity",Parameters!$J$4:$K$8,2,FALSE),"")))</x:f>
        <x:v>0.4</x:v>
      </x:c>
      <x:c r="AO233" s="27" t="n">
        <x:f>MAX((O233-M233)/365,0)</x:f>
        <x:v>0</x:v>
      </x:c>
      <x:c r="AP233" s="27" t="n">
        <x:f>MAX((P233-M233)/365,10/Parameters!$B$6)</x:f>
        <x:v>3.408219178082192</x:v>
      </x:c>
      <x:c r="AQ233" s="27" t="n">
        <x:f>IF(AP233&lt;=AO233,AO233+10/Parameters!$B$6,AP233)</x:f>
        <x:v>3.408219178082192</x:v>
      </x:c>
      <x:c r="AR233" s="41" t="n">
        <x:f>IF(OR(E233="Interest Rate",E233="Credit"),(EXP(-Parameters!$B$7*AO233)-EXP(-Parameters!$B$7*AQ233))/Parameters!$B$7,1)</x:f>
        <x:v>1</x:v>
      </x:c>
      <x:c r="AS233" s="40" t="n">
        <x:f>IF(OR(E233="Interest Rate",E233="Credit"),ABS(Q233)*AR233,IF(E233="FX",IF(Q233&gt;0,Q233,MAX(ABS(R233),ABS(S233),ABS(Q233))),ABS(Q233)))</x:f>
        <x:v>13500000</x:v>
      </x:c>
      <x:c r="AT233" s="42" t="n">
        <x:f>IF(OR(E233="Interest Rate",E233="FX"),VLOOKUP(E233,Parameters!$M$4:$N$11,2,FALSE),IF(E233="Credit",VLOOKUP(IF(LOWER(K233)="index","Credit Index","Credit Single Name"),Parameters!$M$4:$N$11,2,FALSE),IF(E233="Equity",VLOOKUP(IF(LOWER(K233)="index","Equity Index","Equity Single Name"),Parameters!$M$4:$N$11,2,FALSE),IF(E233="Commodity",VLOOKUP(IF(F233="Electricity","Commodity Electricity","Commodity Other"),Parameters!$M$4:$N$11,2,FALSE),1))))</x:f>
        <x:v>0.7</x:v>
      </x:c>
      <x:c r="AU233" s="27" t="n">
        <x:f>IF(W233="B",1,-1)</x:f>
        <x:v>-1</x:v>
      </x:c>
      <x:c r="AV233" s="27" t="n">
        <x:f>IF(OR(AA233="",M233=""),MAX(AE233,1/365),MAX((AA233-M233)/365,1/365))</x:f>
        <x:v>3.408219178082192</x:v>
      </x:c>
      <x:c r="AW233" s="41" t="str">
        <x:f>IF(OR(Z233&lt;=0,Y233&lt;=0,AT233&lt;=0,AV233&lt;=0),"",(LN(Z233/Y233)+0.5*AT233^2*AV233)/(AT233*SQRT(AV233)))</x:f>
      </x:c>
      <x:c r="AX233" s="41" t="n">
        <x:f>IF(AND(X233&lt;&gt;"C",X233&lt;&gt;"P"),AU233,IF(AW233="",AU233,IF(X233="C",AU233*0.5*(1+ERF(AW233/SQRT(2))),-AU233*0.5*(1+ERF(-AW233/SQRT(2))))))</x:f>
        <x:v>-1</x:v>
      </x:c>
      <x:c r="AY233" s="41" t="n">
        <x:f>IF(AJ233="M",1.5*SQRT(MAX(IF(U233="Y",5,10),IF(V233="",10,V233))/Parameters!$B$6),SQRT(MIN(MAX(AE233,10/Parameters!$B$6),1)))</x:f>
        <x:v>0.30000000000000004</x:v>
      </x:c>
      <x:c r="AZ233" s="40" t="n">
        <x:f>AS233*AX233*AY233</x:f>
        <x:v>-4050000.0000000005</x:v>
      </x:c>
      <x:c r="BA233" s="40" t="n">
        <x:f>'Python_Trade_Output'!AZ233</x:f>
        <x:v>-4050000.0000000005</x:v>
      </x:c>
      <x:c r="BB233" s="43" t="n">
        <x:f>AZ233-BA233</x:f>
        <x:v>0</x:v>
      </x:c>
    </x:row>
    <x:row r="234">
      <x:c r="A234" s="27" t="str">
        <x:f>'Inputs_Trades'!D234</x:f>
        <x:v>IND-000231</x:v>
      </x:c>
      <x:c r="B234" s="27" t="str">
        <x:f>'Inputs_Trades'!B234</x:f>
        <x:v>IND_CORPORATE_001</x:v>
      </x:c>
      <x:c r="C234" s="27" t="n">
        <x:f>'Inputs_Trades'!C234</x:f>
        <x:v>3100</x:v>
      </x:c>
      <x:c r="D234" s="27" t="str">
        <x:f>'Inputs_Trades'!E234</x:f>
        <x:v>Oil Forward</x:v>
      </x:c>
      <x:c r="E234" s="27" t="str">
        <x:f>'Inputs_Trades'!F234</x:f>
        <x:v>Commodity</x:v>
      </x:c>
      <x:c r="F234" s="27" t="str">
        <x:f>'Inputs_Trades'!G234</x:f>
        <x:v>Oil</x:v>
      </x:c>
      <x:c r="G234" s="27" t="str">
        <x:f>'Inputs_Trades'!J234</x:f>
        <x:v>USD</x:v>
      </x:c>
      <x:c r="H234" s="27" t="str">
        <x:f>'Inputs_Trades'!H234</x:f>
        <x:v>Oil</x:v>
      </x:c>
      <x:c r="I234" s="27" t="str">
        <x:f>'Inputs_Trades'!I234</x:f>
        <x:v>USD</x:v>
      </x:c>
      <x:c r="J234" s="27" t="str">
        <x:f>'Inputs_Trades'!M234</x:f>
        <x:v>Oil/USD</x:v>
      </x:c>
      <x:c r="K234" s="27" t="n">
        <x:f>'Inputs_Trades'!N234</x:f>
        <x:v>0</x:v>
      </x:c>
      <x:c r="L234" s="27" t="n">
        <x:f>'Inputs_Trades'!O234</x:f>
        <x:v>0</x:v>
      </x:c>
      <x:c r="M234" s="39" t="n">
        <x:f>'Inputs_Trades'!A234</x:f>
        <x:v>45702</x:v>
      </x:c>
      <x:c r="N234" s="39" t="n">
        <x:f>'Inputs_Trades'!P234</x:f>
        <x:v>47100</x:v>
      </x:c>
      <x:c r="O234" s="39" t="n">
        <x:f>'Inputs_Trades'!Q234</x:f>
        <x:v>45566</x:v>
      </x:c>
      <x:c r="P234" s="39" t="n">
        <x:f>'Inputs_Trades'!R234</x:f>
        <x:v>47100</x:v>
      </x:c>
      <x:c r="Q234" s="40" t="n">
        <x:f>'Inputs_Trades'!U234</x:f>
        <x:v>5300000</x:v>
      </x:c>
      <x:c r="R234" s="40" t="n">
        <x:f>'Inputs_Trades'!S234</x:f>
        <x:v>5300000</x:v>
      </x:c>
      <x:c r="S234" s="40" t="n">
        <x:f>'Inputs_Trades'!T234</x:f>
        <x:v>5300000</x:v>
      </x:c>
      <x:c r="T234" s="27" t="str">
        <x:f>'Inputs_Trades'!V234</x:f>
        <x:v>M</x:v>
      </x:c>
      <x:c r="U234" s="27" t="str">
        <x:f>'Inputs_Trades'!W234</x:f>
        <x:v>N</x:v>
      </x:c>
      <x:c r="V234" s="27" t="n">
        <x:f>'Inputs_Trades'!X234</x:f>
        <x:v>10</x:v>
      </x:c>
      <x:c r="W234" s="27" t="str">
        <x:f>'Inputs_Trades'!Y234</x:f>
        <x:v>B</x:v>
      </x:c>
      <x:c r="X234" s="27" t="n">
        <x:f>'Inputs_Trades'!AA234</x:f>
        <x:v>0</x:v>
      </x:c>
      <x:c r="Y234" s="27" t="n">
        <x:f>'Inputs_Trades'!AB234</x:f>
        <x:v>0</x:v>
      </x:c>
      <x:c r="Z234" s="27" t="n">
        <x:f>'Inputs_Trades'!AC234</x:f>
        <x:v>0</x:v>
      </x:c>
      <x:c r="AA234" s="39" t="n">
        <x:f>'Inputs_Trades'!Z234</x:f>
        <x:v>0</x:v>
      </x:c>
      <x:c r="AB234" s="40" t="n">
        <x:f>'Inputs_Trades'!AD234</x:f>
        <x:v>-92697</x:v>
      </x:c>
      <x:c r="AC234" s="27" t="n">
        <x:f>'Inputs_Trades'!K234</x:f>
        <x:v>0</x:v>
      </x:c>
      <x:c r="AD234" s="27" t="n">
        <x:f>N234-M234</x:f>
        <x:v>1398</x:v>
      </x:c>
      <x:c r="AE234" s="41" t="n">
        <x:f>AD234/365</x:f>
        <x:v>3.83013698630137</x:v>
      </x:c>
      <x:c r="AF234" s="27" t="str">
        <x:f>IF(AE234&lt;1,"&lt;1Y",IF(AE234&lt;=5,"1Y-5Y","&gt;5Y"))</x:f>
        <x:v>1Y-5Y</x:v>
      </x:c>
      <x:c r="AG234" s="27" t="str">
        <x:f>IF(E234="Commodity",IFERROR(VLOOKUP(F234,Parameters!$P$4:$Q$12,2,FALSE),"Other"),"")</x:f>
        <x:v>Energy</x:v>
      </x:c>
      <x:c r="AH234" s="27" t="str">
        <x:f>IF(F234="","Unknown",F234)</x:f>
        <x:v>Oil</x:v>
      </x:c>
      <x:c r="AI234" s="27" t="str">
        <x:f>IF(E234="Interest Rate",G234&amp;IF(OR(LOWER(AC234)="basis",LOWER(AC234)="volatility"),"_"&amp;AC234,""),IF(E234="FX",IF(H234&lt;I234,H234&amp;"/"&amp;I234,I234&amp;"/"&amp;H234)&amp;IF(OR(LOWER(AC234)="basis",LOWER(AC234)="volatility"),"_"&amp;AC234,""),IF(OR(E234="Credit",E234="Equity"),J234&amp;IF(OR(LOWER(AC234)="basis",LOWER(AC234)="volatility"),"_"&amp;AC234,""),IF(E234="Commodity",AG234&amp;IF(OR(LOWER(AC234)="basis",LOWER(AC234)="volatility"),"_"&amp;AC234,""),"UNKNOWN"))))</x:f>
        <x:v>Energy</x:v>
      </x:c>
      <x:c r="AJ234" s="27" t="str">
        <x:f>T234</x:f>
        <x:v>M</x:v>
      </x:c>
      <x:c r="AK234" s="41" t="n">
        <x:f>IF(E234="Interest Rate",VLOOKUP("Interest Rate",Parameters!$D$4:$E$12,2,FALSE),IF(E234="FX",VLOOKUP("FX",Parameters!$D$4:$E$12,2,FALSE),IF(E234="Credit",IFERROR(VLOOKUP(L234,Parameters!$G$4:$H$12,2,FALSE),VLOOKUP("BBB",Parameters!$G$4:$H$12,2,FALSE)),IF(E234="Equity",VLOOKUP(IF(LOWER(K234)="index","Equity Index","Equity Single Name"),Parameters!$D$4:$E$12,2,FALSE),IF(E234="Commodity",VLOOKUP(IFERROR(VLOOKUP(F234,Parameters!$S$4:$T$12,2,FALSE),"Commodity Other"),Parameters!$D$4:$E$12,2,FALSE),0)))))</x:f>
        <x:v>0.18</x:v>
      </x:c>
      <x:c r="AL234" s="42" t="n">
        <x:f>IF(LOWER(AC234)="basis",Parameters!$B$8,IF(LOWER(AC234)="volatility",Parameters!$B$9,1))</x:f>
        <x:v>1</x:v>
      </x:c>
      <x:c r="AM234" s="41" t="n">
        <x:f>AK234*AL234</x:f>
        <x:v>0.18</x:v>
      </x:c>
      <x:c r="AN234" s="42" t="n">
        <x:f>IF(E234="Credit",VLOOKUP(IF(LOWER(K234)="index","Credit Index","Credit Single Name"),Parameters!$J$4:$K$8,2,FALSE),IF(E234="Equity",VLOOKUP(IF(LOWER(K234)="index","Equity Index","Equity Single Name"),Parameters!$J$4:$K$8,2,FALSE),IF(E234="Commodity",VLOOKUP("Commodity",Parameters!$J$4:$K$8,2,FALSE),"")))</x:f>
        <x:v>0.4</x:v>
      </x:c>
      <x:c r="AO234" s="27" t="n">
        <x:f>MAX((O234-M234)/365,0)</x:f>
        <x:v>0</x:v>
      </x:c>
      <x:c r="AP234" s="27" t="n">
        <x:f>MAX((P234-M234)/365,10/Parameters!$B$6)</x:f>
        <x:v>3.83013698630137</x:v>
      </x:c>
      <x:c r="AQ234" s="27" t="n">
        <x:f>IF(AP234&lt;=AO234,AO234+10/Parameters!$B$6,AP234)</x:f>
        <x:v>3.83013698630137</x:v>
      </x:c>
      <x:c r="AR234" s="41" t="n">
        <x:f>IF(OR(E234="Interest Rate",E234="Credit"),(EXP(-Parameters!$B$7*AO234)-EXP(-Parameters!$B$7*AQ234))/Parameters!$B$7,1)</x:f>
        <x:v>1</x:v>
      </x:c>
      <x:c r="AS234" s="40" t="n">
        <x:f>IF(OR(E234="Interest Rate",E234="Credit"),ABS(Q234)*AR234,IF(E234="FX",IF(Q234&gt;0,Q234,MAX(ABS(R234),ABS(S234),ABS(Q234))),ABS(Q234)))</x:f>
        <x:v>5300000</x:v>
      </x:c>
      <x:c r="AT234" s="42" t="n">
        <x:f>IF(OR(E234="Interest Rate",E234="FX"),VLOOKUP(E234,Parameters!$M$4:$N$11,2,FALSE),IF(E234="Credit",VLOOKUP(IF(LOWER(K234)="index","Credit Index","Credit Single Name"),Parameters!$M$4:$N$11,2,FALSE),IF(E234="Equity",VLOOKUP(IF(LOWER(K234)="index","Equity Index","Equity Single Name"),Parameters!$M$4:$N$11,2,FALSE),IF(E234="Commodity",VLOOKUP(IF(F234="Electricity","Commodity Electricity","Commodity Other"),Parameters!$M$4:$N$11,2,FALSE),1))))</x:f>
        <x:v>0.7</x:v>
      </x:c>
      <x:c r="AU234" s="27" t="n">
        <x:f>IF(W234="B",1,-1)</x:f>
        <x:v>1</x:v>
      </x:c>
      <x:c r="AV234" s="27" t="n">
        <x:f>IF(OR(AA234="",M234=""),MAX(AE234,1/365),MAX((AA234-M234)/365,1/365))</x:f>
        <x:v>3.83013698630137</x:v>
      </x:c>
      <x:c r="AW234" s="41" t="str">
        <x:f>IF(OR(Z234&lt;=0,Y234&lt;=0,AT234&lt;=0,AV234&lt;=0),"",(LN(Z234/Y234)+0.5*AT234^2*AV234)/(AT234*SQRT(AV234)))</x:f>
      </x:c>
      <x:c r="AX234" s="41" t="n">
        <x:f>IF(AND(X234&lt;&gt;"C",X234&lt;&gt;"P"),AU234,IF(AW234="",AU234,IF(X234="C",AU234*0.5*(1+ERF(AW234/SQRT(2))),-AU234*0.5*(1+ERF(-AW234/SQRT(2))))))</x:f>
        <x:v>1</x:v>
      </x:c>
      <x:c r="AY234" s="41" t="n">
        <x:f>IF(AJ234="M",1.5*SQRT(MAX(IF(U234="Y",5,10),IF(V234="",10,V234))/Parameters!$B$6),SQRT(MIN(MAX(AE234,10/Parameters!$B$6),1)))</x:f>
        <x:v>0.30000000000000004</x:v>
      </x:c>
      <x:c r="AZ234" s="40" t="n">
        <x:f>AS234*AX234*AY234</x:f>
        <x:v>1590000.0000000002</x:v>
      </x:c>
      <x:c r="BA234" s="40" t="n">
        <x:f>'Python_Trade_Output'!AZ234</x:f>
        <x:v>1590000.0000000002</x:v>
      </x:c>
      <x:c r="BB234" s="43" t="n">
        <x:f>AZ234-BA234</x:f>
        <x:v>0</x:v>
      </x:c>
    </x:row>
    <x:row r="235">
      <x:c r="A235" s="27" t="str">
        <x:f>'Inputs_Trades'!D235</x:f>
        <x:v>IND-000232</x:v>
      </x:c>
      <x:c r="B235" s="27" t="str">
        <x:f>'Inputs_Trades'!B235</x:f>
        <x:v>IND_CLEARING_MEMBER_001</x:v>
      </x:c>
      <x:c r="C235" s="27" t="n">
        <x:f>'Inputs_Trades'!C235</x:f>
        <x:v>3186</x:v>
      </x:c>
      <x:c r="D235" s="27" t="str">
        <x:f>'Inputs_Trades'!E235</x:f>
        <x:v>Oil Forward</x:v>
      </x:c>
      <x:c r="E235" s="27" t="str">
        <x:f>'Inputs_Trades'!F235</x:f>
        <x:v>Commodity</x:v>
      </x:c>
      <x:c r="F235" s="27" t="str">
        <x:f>'Inputs_Trades'!G235</x:f>
        <x:v>Oil</x:v>
      </x:c>
      <x:c r="G235" s="27" t="str">
        <x:f>'Inputs_Trades'!J235</x:f>
        <x:v>USD</x:v>
      </x:c>
      <x:c r="H235" s="27" t="str">
        <x:f>'Inputs_Trades'!H235</x:f>
        <x:v>Oil</x:v>
      </x:c>
      <x:c r="I235" s="27" t="str">
        <x:f>'Inputs_Trades'!I235</x:f>
        <x:v>USD</x:v>
      </x:c>
      <x:c r="J235" s="27" t="str">
        <x:f>'Inputs_Trades'!M235</x:f>
        <x:v>Oil/USD</x:v>
      </x:c>
      <x:c r="K235" s="27" t="n">
        <x:f>'Inputs_Trades'!N235</x:f>
        <x:v>0</x:v>
      </x:c>
      <x:c r="L235" s="27" t="n">
        <x:f>'Inputs_Trades'!O235</x:f>
        <x:v>0</x:v>
      </x:c>
      <x:c r="M235" s="39" t="n">
        <x:f>'Inputs_Trades'!A235</x:f>
        <x:v>45702</x:v>
      </x:c>
      <x:c r="N235" s="39" t="n">
        <x:f>'Inputs_Trades'!P235</x:f>
        <x:v>46732</x:v>
      </x:c>
      <x:c r="O235" s="39" t="n">
        <x:f>'Inputs_Trades'!Q235</x:f>
        <x:v>45208</x:v>
      </x:c>
      <x:c r="P235" s="39" t="n">
        <x:f>'Inputs_Trades'!R235</x:f>
        <x:v>46732</x:v>
      </x:c>
      <x:c r="Q235" s="40" t="n">
        <x:f>'Inputs_Trades'!U235</x:f>
        <x:v>18800000</x:v>
      </x:c>
      <x:c r="R235" s="40" t="n">
        <x:f>'Inputs_Trades'!S235</x:f>
        <x:v>18800000</x:v>
      </x:c>
      <x:c r="S235" s="40" t="n">
        <x:f>'Inputs_Trades'!T235</x:f>
        <x:v>18800000</x:v>
      </x:c>
      <x:c r="T235" s="27" t="str">
        <x:f>'Inputs_Trades'!V235</x:f>
        <x:v>U</x:v>
      </x:c>
      <x:c r="U235" s="27" t="str">
        <x:f>'Inputs_Trades'!W235</x:f>
        <x:v>N</x:v>
      </x:c>
      <x:c r="V235" s="27" t="n">
        <x:f>'Inputs_Trades'!X235</x:f>
        <x:v>0</x:v>
      </x:c>
      <x:c r="W235" s="27" t="str">
        <x:f>'Inputs_Trades'!Y235</x:f>
        <x:v>B</x:v>
      </x:c>
      <x:c r="X235" s="27" t="n">
        <x:f>'Inputs_Trades'!AA235</x:f>
        <x:v>0</x:v>
      </x:c>
      <x:c r="Y235" s="27" t="n">
        <x:f>'Inputs_Trades'!AB235</x:f>
        <x:v>0</x:v>
      </x:c>
      <x:c r="Z235" s="27" t="n">
        <x:f>'Inputs_Trades'!AC235</x:f>
        <x:v>0</x:v>
      </x:c>
      <x:c r="AA235" s="39" t="n">
        <x:f>'Inputs_Trades'!Z235</x:f>
        <x:v>0</x:v>
      </x:c>
      <x:c r="AB235" s="40" t="n">
        <x:f>'Inputs_Trades'!AD235</x:f>
        <x:v>469248</x:v>
      </x:c>
      <x:c r="AC235" s="27" t="n">
        <x:f>'Inputs_Trades'!K235</x:f>
        <x:v>0</x:v>
      </x:c>
      <x:c r="AD235" s="27" t="n">
        <x:f>N235-M235</x:f>
        <x:v>1030</x:v>
      </x:c>
      <x:c r="AE235" s="41" t="n">
        <x:f>AD235/365</x:f>
        <x:v>2.8219178082191783</x:v>
      </x:c>
      <x:c r="AF235" s="27" t="str">
        <x:f>IF(AE235&lt;1,"&lt;1Y",IF(AE235&lt;=5,"1Y-5Y","&gt;5Y"))</x:f>
        <x:v>1Y-5Y</x:v>
      </x:c>
      <x:c r="AG235" s="27" t="str">
        <x:f>IF(E235="Commodity",IFERROR(VLOOKUP(F235,Parameters!$P$4:$Q$12,2,FALSE),"Other"),"")</x:f>
        <x:v>Energy</x:v>
      </x:c>
      <x:c r="AH235" s="27" t="str">
        <x:f>IF(F235="","Unknown",F235)</x:f>
        <x:v>Oil</x:v>
      </x:c>
      <x:c r="AI235" s="27" t="str">
        <x:f>IF(E235="Interest Rate",G235&amp;IF(OR(LOWER(AC235)="basis",LOWER(AC235)="volatility"),"_"&amp;AC235,""),IF(E235="FX",IF(H235&lt;I235,H235&amp;"/"&amp;I235,I235&amp;"/"&amp;H235)&amp;IF(OR(LOWER(AC235)="basis",LOWER(AC235)="volatility"),"_"&amp;AC235,""),IF(OR(E235="Credit",E235="Equity"),J235&amp;IF(OR(LOWER(AC235)="basis",LOWER(AC235)="volatility"),"_"&amp;AC235,""),IF(E235="Commodity",AG235&amp;IF(OR(LOWER(AC235)="basis",LOWER(AC235)="volatility"),"_"&amp;AC235,""),"UNKNOWN"))))</x:f>
        <x:v>Energy</x:v>
      </x:c>
      <x:c r="AJ235" s="27" t="str">
        <x:f>T235</x:f>
        <x:v>U</x:v>
      </x:c>
      <x:c r="AK235" s="41" t="n">
        <x:f>IF(E235="Interest Rate",VLOOKUP("Interest Rate",Parameters!$D$4:$E$12,2,FALSE),IF(E235="FX",VLOOKUP("FX",Parameters!$D$4:$E$12,2,FALSE),IF(E235="Credit",IFERROR(VLOOKUP(L235,Parameters!$G$4:$H$12,2,FALSE),VLOOKUP("BBB",Parameters!$G$4:$H$12,2,FALSE)),IF(E235="Equity",VLOOKUP(IF(LOWER(K235)="index","Equity Index","Equity Single Name"),Parameters!$D$4:$E$12,2,FALSE),IF(E235="Commodity",VLOOKUP(IFERROR(VLOOKUP(F235,Parameters!$S$4:$T$12,2,FALSE),"Commodity Other"),Parameters!$D$4:$E$12,2,FALSE),0)))))</x:f>
        <x:v>0.18</x:v>
      </x:c>
      <x:c r="AL235" s="42" t="n">
        <x:f>IF(LOWER(AC235)="basis",Parameters!$B$8,IF(LOWER(AC235)="volatility",Parameters!$B$9,1))</x:f>
        <x:v>1</x:v>
      </x:c>
      <x:c r="AM235" s="41" t="n">
        <x:f>AK235*AL235</x:f>
        <x:v>0.18</x:v>
      </x:c>
      <x:c r="AN235" s="42" t="n">
        <x:f>IF(E235="Credit",VLOOKUP(IF(LOWER(K235)="index","Credit Index","Credit Single Name"),Parameters!$J$4:$K$8,2,FALSE),IF(E235="Equity",VLOOKUP(IF(LOWER(K235)="index","Equity Index","Equity Single Name"),Parameters!$J$4:$K$8,2,FALSE),IF(E235="Commodity",VLOOKUP("Commodity",Parameters!$J$4:$K$8,2,FALSE),"")))</x:f>
        <x:v>0.4</x:v>
      </x:c>
      <x:c r="AO235" s="27" t="n">
        <x:f>MAX((O235-M235)/365,0)</x:f>
        <x:v>0</x:v>
      </x:c>
      <x:c r="AP235" s="27" t="n">
        <x:f>MAX((P235-M235)/365,10/Parameters!$B$6)</x:f>
        <x:v>2.8219178082191783</x:v>
      </x:c>
      <x:c r="AQ235" s="27" t="n">
        <x:f>IF(AP235&lt;=AO235,AO235+10/Parameters!$B$6,AP235)</x:f>
        <x:v>2.8219178082191783</x:v>
      </x:c>
      <x:c r="AR235" s="41" t="n">
        <x:f>IF(OR(E235="Interest Rate",E235="Credit"),(EXP(-Parameters!$B$7*AO235)-EXP(-Parameters!$B$7*AQ235))/Parameters!$B$7,1)</x:f>
        <x:v>1</x:v>
      </x:c>
      <x:c r="AS235" s="40" t="n">
        <x:f>IF(OR(E235="Interest Rate",E235="Credit"),ABS(Q235)*AR235,IF(E235="FX",IF(Q235&gt;0,Q235,MAX(ABS(R235),ABS(S235),ABS(Q235))),ABS(Q235)))</x:f>
        <x:v>18800000</x:v>
      </x:c>
      <x:c r="AT235" s="42" t="n">
        <x:f>IF(OR(E235="Interest Rate",E235="FX"),VLOOKUP(E235,Parameters!$M$4:$N$11,2,FALSE),IF(E235="Credit",VLOOKUP(IF(LOWER(K235)="index","Credit Index","Credit Single Name"),Parameters!$M$4:$N$11,2,FALSE),IF(E235="Equity",VLOOKUP(IF(LOWER(K235)="index","Equity Index","Equity Single Name"),Parameters!$M$4:$N$11,2,FALSE),IF(E235="Commodity",VLOOKUP(IF(F235="Electricity","Commodity Electricity","Commodity Other"),Parameters!$M$4:$N$11,2,FALSE),1))))</x:f>
        <x:v>0.7</x:v>
      </x:c>
      <x:c r="AU235" s="27" t="n">
        <x:f>IF(W235="B",1,-1)</x:f>
        <x:v>1</x:v>
      </x:c>
      <x:c r="AV235" s="27" t="n">
        <x:f>IF(OR(AA235="",M235=""),MAX(AE235,1/365),MAX((AA235-M235)/365,1/365))</x:f>
        <x:v>2.8219178082191783</x:v>
      </x:c>
      <x:c r="AW235" s="41" t="str">
        <x:f>IF(OR(Z235&lt;=0,Y235&lt;=0,AT235&lt;=0,AV235&lt;=0),"",(LN(Z235/Y235)+0.5*AT235^2*AV235)/(AT235*SQRT(AV235)))</x:f>
      </x:c>
      <x:c r="AX235" s="41" t="n">
        <x:f>IF(AND(X235&lt;&gt;"C",X235&lt;&gt;"P"),AU235,IF(AW235="",AU235,IF(X235="C",AU235*0.5*(1+ERF(AW235/SQRT(2))),-AU235*0.5*(1+ERF(-AW235/SQRT(2))))))</x:f>
        <x:v>1</x:v>
      </x:c>
      <x:c r="AY235" s="41" t="n">
        <x:f>IF(AJ235="M",1.5*SQRT(MAX(IF(U235="Y",5,10),IF(V235="",10,V235))/Parameters!$B$6),SQRT(MIN(MAX(AE235,10/Parameters!$B$6),1)))</x:f>
        <x:v>1</x:v>
      </x:c>
      <x:c r="AZ235" s="40" t="n">
        <x:f>AS235*AX235*AY235</x:f>
        <x:v>18800000</x:v>
      </x:c>
      <x:c r="BA235" s="40" t="n">
        <x:f>'Python_Trade_Output'!AZ235</x:f>
        <x:v>18800000</x:v>
      </x:c>
      <x:c r="BB235" s="43" t="n">
        <x:f>AZ235-BA235</x:f>
        <x:v>0</x:v>
      </x:c>
    </x:row>
    <x:row r="236">
      <x:c r="A236" s="27" t="str">
        <x:f>'Inputs_Trades'!D236</x:f>
        <x:v>IND-000233</x:v>
      </x:c>
      <x:c r="B236" s="27" t="str">
        <x:f>'Inputs_Trades'!B236</x:f>
        <x:v>IND_CORPORATE_002</x:v>
      </x:c>
      <x:c r="C236" s="27" t="n">
        <x:f>'Inputs_Trades'!C236</x:f>
        <x:v>3126</x:v>
      </x:c>
      <x:c r="D236" s="27" t="str">
        <x:f>'Inputs_Trades'!E236</x:f>
        <x:v>Oil Forward</x:v>
      </x:c>
      <x:c r="E236" s="27" t="str">
        <x:f>'Inputs_Trades'!F236</x:f>
        <x:v>Commodity</x:v>
      </x:c>
      <x:c r="F236" s="27" t="str">
        <x:f>'Inputs_Trades'!G236</x:f>
        <x:v>Oil</x:v>
      </x:c>
      <x:c r="G236" s="27" t="str">
        <x:f>'Inputs_Trades'!J236</x:f>
        <x:v>USD</x:v>
      </x:c>
      <x:c r="H236" s="27" t="str">
        <x:f>'Inputs_Trades'!H236</x:f>
        <x:v>Oil</x:v>
      </x:c>
      <x:c r="I236" s="27" t="str">
        <x:f>'Inputs_Trades'!I236</x:f>
        <x:v>USD</x:v>
      </x:c>
      <x:c r="J236" s="27" t="str">
        <x:f>'Inputs_Trades'!M236</x:f>
        <x:v>Oil/USD</x:v>
      </x:c>
      <x:c r="K236" s="27" t="n">
        <x:f>'Inputs_Trades'!N236</x:f>
        <x:v>0</x:v>
      </x:c>
      <x:c r="L236" s="27" t="n">
        <x:f>'Inputs_Trades'!O236</x:f>
        <x:v>0</x:v>
      </x:c>
      <x:c r="M236" s="39" t="n">
        <x:f>'Inputs_Trades'!A236</x:f>
        <x:v>45702</x:v>
      </x:c>
      <x:c r="N236" s="39" t="n">
        <x:f>'Inputs_Trades'!P236</x:f>
        <x:v>47644</x:v>
      </x:c>
      <x:c r="O236" s="39" t="n">
        <x:f>'Inputs_Trades'!Q236</x:f>
        <x:v>45646</x:v>
      </x:c>
      <x:c r="P236" s="39" t="n">
        <x:f>'Inputs_Trades'!R236</x:f>
        <x:v>47644</x:v>
      </x:c>
      <x:c r="Q236" s="40" t="n">
        <x:f>'Inputs_Trades'!U236</x:f>
        <x:v>7800000</x:v>
      </x:c>
      <x:c r="R236" s="40" t="n">
        <x:f>'Inputs_Trades'!S236</x:f>
        <x:v>7800000</x:v>
      </x:c>
      <x:c r="S236" s="40" t="n">
        <x:f>'Inputs_Trades'!T236</x:f>
        <x:v>7800000</x:v>
      </x:c>
      <x:c r="T236" s="27" t="str">
        <x:f>'Inputs_Trades'!V236</x:f>
        <x:v>M</x:v>
      </x:c>
      <x:c r="U236" s="27" t="str">
        <x:f>'Inputs_Trades'!W236</x:f>
        <x:v>N</x:v>
      </x:c>
      <x:c r="V236" s="27" t="n">
        <x:f>'Inputs_Trades'!X236</x:f>
        <x:v>10</x:v>
      </x:c>
      <x:c r="W236" s="27" t="str">
        <x:f>'Inputs_Trades'!Y236</x:f>
        <x:v>S</x:v>
      </x:c>
      <x:c r="X236" s="27" t="n">
        <x:f>'Inputs_Trades'!AA236</x:f>
        <x:v>0</x:v>
      </x:c>
      <x:c r="Y236" s="27" t="n">
        <x:f>'Inputs_Trades'!AB236</x:f>
        <x:v>0</x:v>
      </x:c>
      <x:c r="Z236" s="27" t="n">
        <x:f>'Inputs_Trades'!AC236</x:f>
        <x:v>0</x:v>
      </x:c>
      <x:c r="AA236" s="39" t="n">
        <x:f>'Inputs_Trades'!Z236</x:f>
        <x:v>0</x:v>
      </x:c>
      <x:c r="AB236" s="40" t="n">
        <x:f>'Inputs_Trades'!AD236</x:f>
        <x:v>-138294</x:v>
      </x:c>
      <x:c r="AC236" s="27" t="n">
        <x:f>'Inputs_Trades'!K236</x:f>
        <x:v>0</x:v>
      </x:c>
      <x:c r="AD236" s="27" t="n">
        <x:f>N236-M236</x:f>
        <x:v>1942</x:v>
      </x:c>
      <x:c r="AE236" s="41" t="n">
        <x:f>AD236/365</x:f>
        <x:v>5.32054794520548</x:v>
      </x:c>
      <x:c r="AF236" s="27" t="str">
        <x:f>IF(AE236&lt;1,"&lt;1Y",IF(AE236&lt;=5,"1Y-5Y","&gt;5Y"))</x:f>
        <x:v>&gt;5Y</x:v>
      </x:c>
      <x:c r="AG236" s="27" t="str">
        <x:f>IF(E236="Commodity",IFERROR(VLOOKUP(F236,Parameters!$P$4:$Q$12,2,FALSE),"Other"),"")</x:f>
        <x:v>Energy</x:v>
      </x:c>
      <x:c r="AH236" s="27" t="str">
        <x:f>IF(F236="","Unknown",F236)</x:f>
        <x:v>Oil</x:v>
      </x:c>
      <x:c r="AI236" s="27" t="str">
        <x:f>IF(E236="Interest Rate",G236&amp;IF(OR(LOWER(AC236)="basis",LOWER(AC236)="volatility"),"_"&amp;AC236,""),IF(E236="FX",IF(H236&lt;I236,H236&amp;"/"&amp;I236,I236&amp;"/"&amp;H236)&amp;IF(OR(LOWER(AC236)="basis",LOWER(AC236)="volatility"),"_"&amp;AC236,""),IF(OR(E236="Credit",E236="Equity"),J236&amp;IF(OR(LOWER(AC236)="basis",LOWER(AC236)="volatility"),"_"&amp;AC236,""),IF(E236="Commodity",AG236&amp;IF(OR(LOWER(AC236)="basis",LOWER(AC236)="volatility"),"_"&amp;AC236,""),"UNKNOWN"))))</x:f>
        <x:v>Energy</x:v>
      </x:c>
      <x:c r="AJ236" s="27" t="str">
        <x:f>T236</x:f>
        <x:v>M</x:v>
      </x:c>
      <x:c r="AK236" s="41" t="n">
        <x:f>IF(E236="Interest Rate",VLOOKUP("Interest Rate",Parameters!$D$4:$E$12,2,FALSE),IF(E236="FX",VLOOKUP("FX",Parameters!$D$4:$E$12,2,FALSE),IF(E236="Credit",IFERROR(VLOOKUP(L236,Parameters!$G$4:$H$12,2,FALSE),VLOOKUP("BBB",Parameters!$G$4:$H$12,2,FALSE)),IF(E236="Equity",VLOOKUP(IF(LOWER(K236)="index","Equity Index","Equity Single Name"),Parameters!$D$4:$E$12,2,FALSE),IF(E236="Commodity",VLOOKUP(IFERROR(VLOOKUP(F236,Parameters!$S$4:$T$12,2,FALSE),"Commodity Other"),Parameters!$D$4:$E$12,2,FALSE),0)))))</x:f>
        <x:v>0.18</x:v>
      </x:c>
      <x:c r="AL236" s="42" t="n">
        <x:f>IF(LOWER(AC236)="basis",Parameters!$B$8,IF(LOWER(AC236)="volatility",Parameters!$B$9,1))</x:f>
        <x:v>1</x:v>
      </x:c>
      <x:c r="AM236" s="41" t="n">
        <x:f>AK236*AL236</x:f>
        <x:v>0.18</x:v>
      </x:c>
      <x:c r="AN236" s="42" t="n">
        <x:f>IF(E236="Credit",VLOOKUP(IF(LOWER(K236)="index","Credit Index","Credit Single Name"),Parameters!$J$4:$K$8,2,FALSE),IF(E236="Equity",VLOOKUP(IF(LOWER(K236)="index","Equity Index","Equity Single Name"),Parameters!$J$4:$K$8,2,FALSE),IF(E236="Commodity",VLOOKUP("Commodity",Parameters!$J$4:$K$8,2,FALSE),"")))</x:f>
        <x:v>0.4</x:v>
      </x:c>
      <x:c r="AO236" s="27" t="n">
        <x:f>MAX((O236-M236)/365,0)</x:f>
        <x:v>0</x:v>
      </x:c>
      <x:c r="AP236" s="27" t="n">
        <x:f>MAX((P236-M236)/365,10/Parameters!$B$6)</x:f>
        <x:v>5.32054794520548</x:v>
      </x:c>
      <x:c r="AQ236" s="27" t="n">
        <x:f>IF(AP236&lt;=AO236,AO236+10/Parameters!$B$6,AP236)</x:f>
        <x:v>5.32054794520548</x:v>
      </x:c>
      <x:c r="AR236" s="41" t="n">
        <x:f>IF(OR(E236="Interest Rate",E236="Credit"),(EXP(-Parameters!$B$7*AO236)-EXP(-Parameters!$B$7*AQ236))/Parameters!$B$7,1)</x:f>
        <x:v>1</x:v>
      </x:c>
      <x:c r="AS236" s="40" t="n">
        <x:f>IF(OR(E236="Interest Rate",E236="Credit"),ABS(Q236)*AR236,IF(E236="FX",IF(Q236&gt;0,Q236,MAX(ABS(R236),ABS(S236),ABS(Q236))),ABS(Q236)))</x:f>
        <x:v>7800000</x:v>
      </x:c>
      <x:c r="AT236" s="42" t="n">
        <x:f>IF(OR(E236="Interest Rate",E236="FX"),VLOOKUP(E236,Parameters!$M$4:$N$11,2,FALSE),IF(E236="Credit",VLOOKUP(IF(LOWER(K236)="index","Credit Index","Credit Single Name"),Parameters!$M$4:$N$11,2,FALSE),IF(E236="Equity",VLOOKUP(IF(LOWER(K236)="index","Equity Index","Equity Single Name"),Parameters!$M$4:$N$11,2,FALSE),IF(E236="Commodity",VLOOKUP(IF(F236="Electricity","Commodity Electricity","Commodity Other"),Parameters!$M$4:$N$11,2,FALSE),1))))</x:f>
        <x:v>0.7</x:v>
      </x:c>
      <x:c r="AU236" s="27" t="n">
        <x:f>IF(W236="B",1,-1)</x:f>
        <x:v>-1</x:v>
      </x:c>
      <x:c r="AV236" s="27" t="n">
        <x:f>IF(OR(AA236="",M236=""),MAX(AE236,1/365),MAX((AA236-M236)/365,1/365))</x:f>
        <x:v>5.32054794520548</x:v>
      </x:c>
      <x:c r="AW236" s="41" t="str">
        <x:f>IF(OR(Z236&lt;=0,Y236&lt;=0,AT236&lt;=0,AV236&lt;=0),"",(LN(Z236/Y236)+0.5*AT236^2*AV236)/(AT236*SQRT(AV236)))</x:f>
      </x:c>
      <x:c r="AX236" s="41" t="n">
        <x:f>IF(AND(X236&lt;&gt;"C",X236&lt;&gt;"P"),AU236,IF(AW236="",AU236,IF(X236="C",AU236*0.5*(1+ERF(AW236/SQRT(2))),-AU236*0.5*(1+ERF(-AW236/SQRT(2))))))</x:f>
        <x:v>-1</x:v>
      </x:c>
      <x:c r="AY236" s="41" t="n">
        <x:f>IF(AJ236="M",1.5*SQRT(MAX(IF(U236="Y",5,10),IF(V236="",10,V236))/Parameters!$B$6),SQRT(MIN(MAX(AE236,10/Parameters!$B$6),1)))</x:f>
        <x:v>0.30000000000000004</x:v>
      </x:c>
      <x:c r="AZ236" s="40" t="n">
        <x:f>AS236*AX236*AY236</x:f>
        <x:v>-2340000.0000000005</x:v>
      </x:c>
      <x:c r="BA236" s="40" t="n">
        <x:f>'Python_Trade_Output'!AZ236</x:f>
        <x:v>-2340000.0000000005</x:v>
      </x:c>
      <x:c r="BB236" s="43" t="n">
        <x:f>AZ236-BA236</x:f>
        <x:v>0</x:v>
      </x:c>
    </x:row>
    <x:row r="237">
      <x:c r="A237" s="27" t="str">
        <x:f>'Inputs_Trades'!D237</x:f>
        <x:v>IND-000234</x:v>
      </x:c>
      <x:c r="B237" s="27" t="str">
        <x:f>'Inputs_Trades'!B237</x:f>
        <x:v>IND_CORPORATE_002</x:v>
      </x:c>
      <x:c r="C237" s="27" t="n">
        <x:f>'Inputs_Trades'!C237</x:f>
        <x:v>3126</x:v>
      </x:c>
      <x:c r="D237" s="27" t="str">
        <x:f>'Inputs_Trades'!E237</x:f>
        <x:v>Oil Forward</x:v>
      </x:c>
      <x:c r="E237" s="27" t="str">
        <x:f>'Inputs_Trades'!F237</x:f>
        <x:v>Commodity</x:v>
      </x:c>
      <x:c r="F237" s="27" t="str">
        <x:f>'Inputs_Trades'!G237</x:f>
        <x:v>Oil</x:v>
      </x:c>
      <x:c r="G237" s="27" t="str">
        <x:f>'Inputs_Trades'!J237</x:f>
        <x:v>USD</x:v>
      </x:c>
      <x:c r="H237" s="27" t="str">
        <x:f>'Inputs_Trades'!H237</x:f>
        <x:v>Oil</x:v>
      </x:c>
      <x:c r="I237" s="27" t="str">
        <x:f>'Inputs_Trades'!I237</x:f>
        <x:v>USD</x:v>
      </x:c>
      <x:c r="J237" s="27" t="str">
        <x:f>'Inputs_Trades'!M237</x:f>
        <x:v>Oil/USD</x:v>
      </x:c>
      <x:c r="K237" s="27" t="n">
        <x:f>'Inputs_Trades'!N237</x:f>
        <x:v>0</x:v>
      </x:c>
      <x:c r="L237" s="27" t="n">
        <x:f>'Inputs_Trades'!O237</x:f>
        <x:v>0</x:v>
      </x:c>
      <x:c r="M237" s="39" t="n">
        <x:f>'Inputs_Trades'!A237</x:f>
        <x:v>45702</x:v>
      </x:c>
      <x:c r="N237" s="39" t="n">
        <x:f>'Inputs_Trades'!P237</x:f>
        <x:v>46893</x:v>
      </x:c>
      <x:c r="O237" s="39" t="n">
        <x:f>'Inputs_Trades'!Q237</x:f>
        <x:v>45576</x:v>
      </x:c>
      <x:c r="P237" s="39" t="n">
        <x:f>'Inputs_Trades'!R237</x:f>
        <x:v>46893</x:v>
      </x:c>
      <x:c r="Q237" s="40" t="n">
        <x:f>'Inputs_Trades'!U237</x:f>
        <x:v>38500000</x:v>
      </x:c>
      <x:c r="R237" s="40" t="n">
        <x:f>'Inputs_Trades'!S237</x:f>
        <x:v>38500000</x:v>
      </x:c>
      <x:c r="S237" s="40" t="n">
        <x:f>'Inputs_Trades'!T237</x:f>
        <x:v>38500000</x:v>
      </x:c>
      <x:c r="T237" s="27" t="str">
        <x:f>'Inputs_Trades'!V237</x:f>
        <x:v>M</x:v>
      </x:c>
      <x:c r="U237" s="27" t="str">
        <x:f>'Inputs_Trades'!W237</x:f>
        <x:v>N</x:v>
      </x:c>
      <x:c r="V237" s="27" t="n">
        <x:f>'Inputs_Trades'!X237</x:f>
        <x:v>10</x:v>
      </x:c>
      <x:c r="W237" s="27" t="str">
        <x:f>'Inputs_Trades'!Y237</x:f>
        <x:v>B</x:v>
      </x:c>
      <x:c r="X237" s="27" t="n">
        <x:f>'Inputs_Trades'!AA237</x:f>
        <x:v>0</x:v>
      </x:c>
      <x:c r="Y237" s="27" t="n">
        <x:f>'Inputs_Trades'!AB237</x:f>
        <x:v>0</x:v>
      </x:c>
      <x:c r="Z237" s="27" t="n">
        <x:f>'Inputs_Trades'!AC237</x:f>
        <x:v>0</x:v>
      </x:c>
      <x:c r="AA237" s="39" t="n">
        <x:f>'Inputs_Trades'!Z237</x:f>
        <x:v>0</x:v>
      </x:c>
      <x:c r="AB237" s="40" t="n">
        <x:f>'Inputs_Trades'!AD237</x:f>
        <x:v>-629475</x:v>
      </x:c>
      <x:c r="AC237" s="27" t="n">
        <x:f>'Inputs_Trades'!K237</x:f>
        <x:v>0</x:v>
      </x:c>
      <x:c r="AD237" s="27" t="n">
        <x:f>N237-M237</x:f>
        <x:v>1191</x:v>
      </x:c>
      <x:c r="AE237" s="41" t="n">
        <x:f>AD237/365</x:f>
        <x:v>3.263013698630137</x:v>
      </x:c>
      <x:c r="AF237" s="27" t="str">
        <x:f>IF(AE237&lt;1,"&lt;1Y",IF(AE237&lt;=5,"1Y-5Y","&gt;5Y"))</x:f>
        <x:v>1Y-5Y</x:v>
      </x:c>
      <x:c r="AG237" s="27" t="str">
        <x:f>IF(E237="Commodity",IFERROR(VLOOKUP(F237,Parameters!$P$4:$Q$12,2,FALSE),"Other"),"")</x:f>
        <x:v>Energy</x:v>
      </x:c>
      <x:c r="AH237" s="27" t="str">
        <x:f>IF(F237="","Unknown",F237)</x:f>
        <x:v>Oil</x:v>
      </x:c>
      <x:c r="AI237" s="27" t="str">
        <x:f>IF(E237="Interest Rate",G237&amp;IF(OR(LOWER(AC237)="basis",LOWER(AC237)="volatility"),"_"&amp;AC237,""),IF(E237="FX",IF(H237&lt;I237,H237&amp;"/"&amp;I237,I237&amp;"/"&amp;H237)&amp;IF(OR(LOWER(AC237)="basis",LOWER(AC237)="volatility"),"_"&amp;AC237,""),IF(OR(E237="Credit",E237="Equity"),J237&amp;IF(OR(LOWER(AC237)="basis",LOWER(AC237)="volatility"),"_"&amp;AC237,""),IF(E237="Commodity",AG237&amp;IF(OR(LOWER(AC237)="basis",LOWER(AC237)="volatility"),"_"&amp;AC237,""),"UNKNOWN"))))</x:f>
        <x:v>Energy</x:v>
      </x:c>
      <x:c r="AJ237" s="27" t="str">
        <x:f>T237</x:f>
        <x:v>M</x:v>
      </x:c>
      <x:c r="AK237" s="41" t="n">
        <x:f>IF(E237="Interest Rate",VLOOKUP("Interest Rate",Parameters!$D$4:$E$12,2,FALSE),IF(E237="FX",VLOOKUP("FX",Parameters!$D$4:$E$12,2,FALSE),IF(E237="Credit",IFERROR(VLOOKUP(L237,Parameters!$G$4:$H$12,2,FALSE),VLOOKUP("BBB",Parameters!$G$4:$H$12,2,FALSE)),IF(E237="Equity",VLOOKUP(IF(LOWER(K237)="index","Equity Index","Equity Single Name"),Parameters!$D$4:$E$12,2,FALSE),IF(E237="Commodity",VLOOKUP(IFERROR(VLOOKUP(F237,Parameters!$S$4:$T$12,2,FALSE),"Commodity Other"),Parameters!$D$4:$E$12,2,FALSE),0)))))</x:f>
        <x:v>0.18</x:v>
      </x:c>
      <x:c r="AL237" s="42" t="n">
        <x:f>IF(LOWER(AC237)="basis",Parameters!$B$8,IF(LOWER(AC237)="volatility",Parameters!$B$9,1))</x:f>
        <x:v>1</x:v>
      </x:c>
      <x:c r="AM237" s="41" t="n">
        <x:f>AK237*AL237</x:f>
        <x:v>0.18</x:v>
      </x:c>
      <x:c r="AN237" s="42" t="n">
        <x:f>IF(E237="Credit",VLOOKUP(IF(LOWER(K237)="index","Credit Index","Credit Single Name"),Parameters!$J$4:$K$8,2,FALSE),IF(E237="Equity",VLOOKUP(IF(LOWER(K237)="index","Equity Index","Equity Single Name"),Parameters!$J$4:$K$8,2,FALSE),IF(E237="Commodity",VLOOKUP("Commodity",Parameters!$J$4:$K$8,2,FALSE),"")))</x:f>
        <x:v>0.4</x:v>
      </x:c>
      <x:c r="AO237" s="27" t="n">
        <x:f>MAX((O237-M237)/365,0)</x:f>
        <x:v>0</x:v>
      </x:c>
      <x:c r="AP237" s="27" t="n">
        <x:f>MAX((P237-M237)/365,10/Parameters!$B$6)</x:f>
        <x:v>3.263013698630137</x:v>
      </x:c>
      <x:c r="AQ237" s="27" t="n">
        <x:f>IF(AP237&lt;=AO237,AO237+10/Parameters!$B$6,AP237)</x:f>
        <x:v>3.263013698630137</x:v>
      </x:c>
      <x:c r="AR237" s="41" t="n">
        <x:f>IF(OR(E237="Interest Rate",E237="Credit"),(EXP(-Parameters!$B$7*AO237)-EXP(-Parameters!$B$7*AQ237))/Parameters!$B$7,1)</x:f>
        <x:v>1</x:v>
      </x:c>
      <x:c r="AS237" s="40" t="n">
        <x:f>IF(OR(E237="Interest Rate",E237="Credit"),ABS(Q237)*AR237,IF(E237="FX",IF(Q237&gt;0,Q237,MAX(ABS(R237),ABS(S237),ABS(Q237))),ABS(Q237)))</x:f>
        <x:v>38500000</x:v>
      </x:c>
      <x:c r="AT237" s="42" t="n">
        <x:f>IF(OR(E237="Interest Rate",E237="FX"),VLOOKUP(E237,Parameters!$M$4:$N$11,2,FALSE),IF(E237="Credit",VLOOKUP(IF(LOWER(K237)="index","Credit Index","Credit Single Name"),Parameters!$M$4:$N$11,2,FALSE),IF(E237="Equity",VLOOKUP(IF(LOWER(K237)="index","Equity Index","Equity Single Name"),Parameters!$M$4:$N$11,2,FALSE),IF(E237="Commodity",VLOOKUP(IF(F237="Electricity","Commodity Electricity","Commodity Other"),Parameters!$M$4:$N$11,2,FALSE),1))))</x:f>
        <x:v>0.7</x:v>
      </x:c>
      <x:c r="AU237" s="27" t="n">
        <x:f>IF(W237="B",1,-1)</x:f>
        <x:v>1</x:v>
      </x:c>
      <x:c r="AV237" s="27" t="n">
        <x:f>IF(OR(AA237="",M237=""),MAX(AE237,1/365),MAX((AA237-M237)/365,1/365))</x:f>
        <x:v>3.263013698630137</x:v>
      </x:c>
      <x:c r="AW237" s="41" t="str">
        <x:f>IF(OR(Z237&lt;=0,Y237&lt;=0,AT237&lt;=0,AV237&lt;=0),"",(LN(Z237/Y237)+0.5*AT237^2*AV237)/(AT237*SQRT(AV237)))</x:f>
      </x:c>
      <x:c r="AX237" s="41" t="n">
        <x:f>IF(AND(X237&lt;&gt;"C",X237&lt;&gt;"P"),AU237,IF(AW237="",AU237,IF(X237="C",AU237*0.5*(1+ERF(AW237/SQRT(2))),-AU237*0.5*(1+ERF(-AW237/SQRT(2))))))</x:f>
        <x:v>1</x:v>
      </x:c>
      <x:c r="AY237" s="41" t="n">
        <x:f>IF(AJ237="M",1.5*SQRT(MAX(IF(U237="Y",5,10),IF(V237="",10,V237))/Parameters!$B$6),SQRT(MIN(MAX(AE237,10/Parameters!$B$6),1)))</x:f>
        <x:v>0.30000000000000004</x:v>
      </x:c>
      <x:c r="AZ237" s="40" t="n">
        <x:f>AS237*AX237*AY237</x:f>
        <x:v>11550000.000000002</x:v>
      </x:c>
      <x:c r="BA237" s="40" t="n">
        <x:f>'Python_Trade_Output'!AZ237</x:f>
        <x:v>11550000.000000002</x:v>
      </x:c>
      <x:c r="BB237" s="43" t="n">
        <x:f>AZ237-BA237</x:f>
        <x:v>0</x:v>
      </x:c>
    </x:row>
    <x:row r="238">
      <x:c r="A238" s="27" t="str">
        <x:f>'Inputs_Trades'!D238</x:f>
        <x:v>IND-000235</x:v>
      </x:c>
      <x:c r="B238" s="27" t="str">
        <x:f>'Inputs_Trades'!B238</x:f>
        <x:v>IND_REGIONAL_BANK_001</x:v>
      </x:c>
      <x:c r="C238" s="27" t="n">
        <x:f>'Inputs_Trades'!C238</x:f>
        <x:v>3082</x:v>
      </x:c>
      <x:c r="D238" s="27" t="str">
        <x:f>'Inputs_Trades'!E238</x:f>
        <x:v>Electricity Swap</x:v>
      </x:c>
      <x:c r="E238" s="27" t="str">
        <x:f>'Inputs_Trades'!F238</x:f>
        <x:v>Commodity</x:v>
      </x:c>
      <x:c r="F238" s="27" t="str">
        <x:f>'Inputs_Trades'!G238</x:f>
        <x:v>Electricity</x:v>
      </x:c>
      <x:c r="G238" s="27" t="str">
        <x:f>'Inputs_Trades'!J238</x:f>
        <x:v>USD</x:v>
      </x:c>
      <x:c r="H238" s="27" t="str">
        <x:f>'Inputs_Trades'!H238</x:f>
        <x:v>Pow</x:v>
      </x:c>
      <x:c r="I238" s="27" t="str">
        <x:f>'Inputs_Trades'!I238</x:f>
        <x:v>USD</x:v>
      </x:c>
      <x:c r="J238" s="27" t="str">
        <x:f>'Inputs_Trades'!M238</x:f>
        <x:v>Power/USD</x:v>
      </x:c>
      <x:c r="K238" s="27" t="n">
        <x:f>'Inputs_Trades'!N238</x:f>
        <x:v>0</x:v>
      </x:c>
      <x:c r="L238" s="27" t="n">
        <x:f>'Inputs_Trades'!O238</x:f>
        <x:v>0</x:v>
      </x:c>
      <x:c r="M238" s="39" t="n">
        <x:f>'Inputs_Trades'!A238</x:f>
        <x:v>45702</x:v>
      </x:c>
      <x:c r="N238" s="39" t="n">
        <x:f>'Inputs_Trades'!P238</x:f>
        <x:v>46745</x:v>
      </x:c>
      <x:c r="O238" s="39" t="n">
        <x:f>'Inputs_Trades'!Q238</x:f>
        <x:v>45491</x:v>
      </x:c>
      <x:c r="P238" s="39" t="n">
        <x:f>'Inputs_Trades'!R238</x:f>
        <x:v>46745</x:v>
      </x:c>
      <x:c r="Q238" s="40" t="n">
        <x:f>'Inputs_Trades'!U238</x:f>
        <x:v>7100000</x:v>
      </x:c>
      <x:c r="R238" s="40" t="n">
        <x:f>'Inputs_Trades'!S238</x:f>
        <x:v>7100000</x:v>
      </x:c>
      <x:c r="S238" s="40" t="n">
        <x:f>'Inputs_Trades'!T238</x:f>
        <x:v>7100000</x:v>
      </x:c>
      <x:c r="T238" s="27" t="str">
        <x:f>'Inputs_Trades'!V238</x:f>
        <x:v>M</x:v>
      </x:c>
      <x:c r="U238" s="27" t="str">
        <x:f>'Inputs_Trades'!W238</x:f>
        <x:v>N</x:v>
      </x:c>
      <x:c r="V238" s="27" t="n">
        <x:f>'Inputs_Trades'!X238</x:f>
        <x:v>10</x:v>
      </x:c>
      <x:c r="W238" s="27" t="str">
        <x:f>'Inputs_Trades'!Y238</x:f>
        <x:v>B</x:v>
      </x:c>
      <x:c r="X238" s="27" t="n">
        <x:f>'Inputs_Trades'!AA238</x:f>
        <x:v>0</x:v>
      </x:c>
      <x:c r="Y238" s="27" t="n">
        <x:f>'Inputs_Trades'!AB238</x:f>
        <x:v>0</x:v>
      </x:c>
      <x:c r="Z238" s="27" t="n">
        <x:f>'Inputs_Trades'!AC238</x:f>
        <x:v>0</x:v>
      </x:c>
      <x:c r="AA238" s="39" t="n">
        <x:f>'Inputs_Trades'!Z238</x:f>
        <x:v>0</x:v>
      </x:c>
      <x:c r="AB238" s="40" t="n">
        <x:f>'Inputs_Trades'!AD238</x:f>
        <x:v>-73059</x:v>
      </x:c>
      <x:c r="AC238" s="27" t="n">
        <x:f>'Inputs_Trades'!K238</x:f>
        <x:v>0</x:v>
      </x:c>
      <x:c r="AD238" s="27" t="n">
        <x:f>N238-M238</x:f>
        <x:v>1043</x:v>
      </x:c>
      <x:c r="AE238" s="41" t="n">
        <x:f>AD238/365</x:f>
        <x:v>2.8575342465753426</x:v>
      </x:c>
      <x:c r="AF238" s="27" t="str">
        <x:f>IF(AE238&lt;1,"&lt;1Y",IF(AE238&lt;=5,"1Y-5Y","&gt;5Y"))</x:f>
        <x:v>1Y-5Y</x:v>
      </x:c>
      <x:c r="AG238" s="27" t="str">
        <x:f>IF(E238="Commodity",IFERROR(VLOOKUP(F238,Parameters!$P$4:$Q$12,2,FALSE),"Other"),"")</x:f>
        <x:v>Energy</x:v>
      </x:c>
      <x:c r="AH238" s="27" t="str">
        <x:f>IF(F238="","Unknown",F238)</x:f>
        <x:v>Electricity</x:v>
      </x:c>
      <x:c r="AI238" s="27" t="str">
        <x:f>IF(E238="Interest Rate",G238&amp;IF(OR(LOWER(AC238)="basis",LOWER(AC238)="volatility"),"_"&amp;AC238,""),IF(E238="FX",IF(H238&lt;I238,H238&amp;"/"&amp;I238,I238&amp;"/"&amp;H238)&amp;IF(OR(LOWER(AC238)="basis",LOWER(AC238)="volatility"),"_"&amp;AC238,""),IF(OR(E238="Credit",E238="Equity"),J238&amp;IF(OR(LOWER(AC238)="basis",LOWER(AC238)="volatility"),"_"&amp;AC238,""),IF(E238="Commodity",AG238&amp;IF(OR(LOWER(AC238)="basis",LOWER(AC238)="volatility"),"_"&amp;AC238,""),"UNKNOWN"))))</x:f>
        <x:v>Energy</x:v>
      </x:c>
      <x:c r="AJ238" s="27" t="str">
        <x:f>T238</x:f>
        <x:v>M</x:v>
      </x:c>
      <x:c r="AK238" s="41" t="n">
        <x:f>IF(E238="Interest Rate",VLOOKUP("Interest Rate",Parameters!$D$4:$E$12,2,FALSE),IF(E238="FX",VLOOKUP("FX",Parameters!$D$4:$E$12,2,FALSE),IF(E238="Credit",IFERROR(VLOOKUP(L238,Parameters!$G$4:$H$12,2,FALSE),VLOOKUP("BBB",Parameters!$G$4:$H$12,2,FALSE)),IF(E238="Equity",VLOOKUP(IF(LOWER(K238)="index","Equity Index","Equity Single Name"),Parameters!$D$4:$E$12,2,FALSE),IF(E238="Commodity",VLOOKUP(IFERROR(VLOOKUP(F238,Parameters!$S$4:$T$12,2,FALSE),"Commodity Other"),Parameters!$D$4:$E$12,2,FALSE),0)))))</x:f>
        <x:v>0.4</x:v>
      </x:c>
      <x:c r="AL238" s="42" t="n">
        <x:f>IF(LOWER(AC238)="basis",Parameters!$B$8,IF(LOWER(AC238)="volatility",Parameters!$B$9,1))</x:f>
        <x:v>1</x:v>
      </x:c>
      <x:c r="AM238" s="41" t="n">
        <x:f>AK238*AL238</x:f>
        <x:v>0.4</x:v>
      </x:c>
      <x:c r="AN238" s="42" t="n">
        <x:f>IF(E238="Credit",VLOOKUP(IF(LOWER(K238)="index","Credit Index","Credit Single Name"),Parameters!$J$4:$K$8,2,FALSE),IF(E238="Equity",VLOOKUP(IF(LOWER(K238)="index","Equity Index","Equity Single Name"),Parameters!$J$4:$K$8,2,FALSE),IF(E238="Commodity",VLOOKUP("Commodity",Parameters!$J$4:$K$8,2,FALSE),"")))</x:f>
        <x:v>0.4</x:v>
      </x:c>
      <x:c r="AO238" s="27" t="n">
        <x:f>MAX((O238-M238)/365,0)</x:f>
        <x:v>0</x:v>
      </x:c>
      <x:c r="AP238" s="27" t="n">
        <x:f>MAX((P238-M238)/365,10/Parameters!$B$6)</x:f>
        <x:v>2.8575342465753426</x:v>
      </x:c>
      <x:c r="AQ238" s="27" t="n">
        <x:f>IF(AP238&lt;=AO238,AO238+10/Parameters!$B$6,AP238)</x:f>
        <x:v>2.8575342465753426</x:v>
      </x:c>
      <x:c r="AR238" s="41" t="n">
        <x:f>IF(OR(E238="Interest Rate",E238="Credit"),(EXP(-Parameters!$B$7*AO238)-EXP(-Parameters!$B$7*AQ238))/Parameters!$B$7,1)</x:f>
        <x:v>1</x:v>
      </x:c>
      <x:c r="AS238" s="40" t="n">
        <x:f>IF(OR(E238="Interest Rate",E238="Credit"),ABS(Q238)*AR238,IF(E238="FX",IF(Q238&gt;0,Q238,MAX(ABS(R238),ABS(S238),ABS(Q238))),ABS(Q238)))</x:f>
        <x:v>7100000</x:v>
      </x:c>
      <x:c r="AT238" s="42" t="n">
        <x:f>IF(OR(E238="Interest Rate",E238="FX"),VLOOKUP(E238,Parameters!$M$4:$N$11,2,FALSE),IF(E238="Credit",VLOOKUP(IF(LOWER(K238)="index","Credit Index","Credit Single Name"),Parameters!$M$4:$N$11,2,FALSE),IF(E238="Equity",VLOOKUP(IF(LOWER(K238)="index","Equity Index","Equity Single Name"),Parameters!$M$4:$N$11,2,FALSE),IF(E238="Commodity",VLOOKUP(IF(F238="Electricity","Commodity Electricity","Commodity Other"),Parameters!$M$4:$N$11,2,FALSE),1))))</x:f>
        <x:v>1.5</x:v>
      </x:c>
      <x:c r="AU238" s="27" t="n">
        <x:f>IF(W238="B",1,-1)</x:f>
        <x:v>1</x:v>
      </x:c>
      <x:c r="AV238" s="27" t="n">
        <x:f>IF(OR(AA238="",M238=""),MAX(AE238,1/365),MAX((AA238-M238)/365,1/365))</x:f>
        <x:v>2.8575342465753426</x:v>
      </x:c>
      <x:c r="AW238" s="41" t="str">
        <x:f>IF(OR(Z238&lt;=0,Y238&lt;=0,AT238&lt;=0,AV238&lt;=0),"",(LN(Z238/Y238)+0.5*AT238^2*AV238)/(AT238*SQRT(AV238)))</x:f>
      </x:c>
      <x:c r="AX238" s="41" t="n">
        <x:f>IF(AND(X238&lt;&gt;"C",X238&lt;&gt;"P"),AU238,IF(AW238="",AU238,IF(X238="C",AU238*0.5*(1+ERF(AW238/SQRT(2))),-AU238*0.5*(1+ERF(-AW238/SQRT(2))))))</x:f>
        <x:v>1</x:v>
      </x:c>
      <x:c r="AY238" s="41" t="n">
        <x:f>IF(AJ238="M",1.5*SQRT(MAX(IF(U238="Y",5,10),IF(V238="",10,V238))/Parameters!$B$6),SQRT(MIN(MAX(AE238,10/Parameters!$B$6),1)))</x:f>
        <x:v>0.30000000000000004</x:v>
      </x:c>
      <x:c r="AZ238" s="40" t="n">
        <x:f>AS238*AX238*AY238</x:f>
        <x:v>2130000.0000000005</x:v>
      </x:c>
      <x:c r="BA238" s="40" t="n">
        <x:f>'Python_Trade_Output'!AZ238</x:f>
        <x:v>2130000.0000000005</x:v>
      </x:c>
      <x:c r="BB238" s="43" t="n">
        <x:f>AZ238-BA238</x:f>
        <x:v>0</x:v>
      </x:c>
    </x:row>
    <x:row r="239">
      <x:c r="A239" s="27" t="str">
        <x:f>'Inputs_Trades'!D239</x:f>
        <x:v>IND-000236</x:v>
      </x:c>
      <x:c r="B239" s="27" t="str">
        <x:f>'Inputs_Trades'!B239</x:f>
        <x:v>IND_SOVEREIGN_001</x:v>
      </x:c>
      <x:c r="C239" s="27" t="n">
        <x:f>'Inputs_Trades'!C239</x:f>
        <x:v>3126</x:v>
      </x:c>
      <x:c r="D239" s="27" t="str">
        <x:f>'Inputs_Trades'!E239</x:f>
        <x:v>Electricity Swap</x:v>
      </x:c>
      <x:c r="E239" s="27" t="str">
        <x:f>'Inputs_Trades'!F239</x:f>
        <x:v>Commodity</x:v>
      </x:c>
      <x:c r="F239" s="27" t="str">
        <x:f>'Inputs_Trades'!G239</x:f>
        <x:v>Electricity</x:v>
      </x:c>
      <x:c r="G239" s="27" t="str">
        <x:f>'Inputs_Trades'!J239</x:f>
        <x:v>USD</x:v>
      </x:c>
      <x:c r="H239" s="27" t="str">
        <x:f>'Inputs_Trades'!H239</x:f>
        <x:v>Pow</x:v>
      </x:c>
      <x:c r="I239" s="27" t="str">
        <x:f>'Inputs_Trades'!I239</x:f>
        <x:v>USD</x:v>
      </x:c>
      <x:c r="J239" s="27" t="str">
        <x:f>'Inputs_Trades'!M239</x:f>
        <x:v>Power/USD</x:v>
      </x:c>
      <x:c r="K239" s="27" t="n">
        <x:f>'Inputs_Trades'!N239</x:f>
        <x:v>0</x:v>
      </x:c>
      <x:c r="L239" s="27" t="n">
        <x:f>'Inputs_Trades'!O239</x:f>
        <x:v>0</x:v>
      </x:c>
      <x:c r="M239" s="39" t="n">
        <x:f>'Inputs_Trades'!A239</x:f>
        <x:v>45702</x:v>
      </x:c>
      <x:c r="N239" s="39" t="n">
        <x:f>'Inputs_Trades'!P239</x:f>
        <x:v>47607</x:v>
      </x:c>
      <x:c r="O239" s="39" t="n">
        <x:f>'Inputs_Trades'!Q239</x:f>
        <x:v>45282</x:v>
      </x:c>
      <x:c r="P239" s="39" t="n">
        <x:f>'Inputs_Trades'!R239</x:f>
        <x:v>47607</x:v>
      </x:c>
      <x:c r="Q239" s="40" t="n">
        <x:f>'Inputs_Trades'!U239</x:f>
        <x:v>16800000</x:v>
      </x:c>
      <x:c r="R239" s="40" t="n">
        <x:f>'Inputs_Trades'!S239</x:f>
        <x:v>16800000</x:v>
      </x:c>
      <x:c r="S239" s="40" t="n">
        <x:f>'Inputs_Trades'!T239</x:f>
        <x:v>16800000</x:v>
      </x:c>
      <x:c r="T239" s="27" t="str">
        <x:f>'Inputs_Trades'!V239</x:f>
        <x:v>U</x:v>
      </x:c>
      <x:c r="U239" s="27" t="str">
        <x:f>'Inputs_Trades'!W239</x:f>
        <x:v>N</x:v>
      </x:c>
      <x:c r="V239" s="27" t="n">
        <x:f>'Inputs_Trades'!X239</x:f>
        <x:v>0</x:v>
      </x:c>
      <x:c r="W239" s="27" t="str">
        <x:f>'Inputs_Trades'!Y239</x:f>
        <x:v>B</x:v>
      </x:c>
      <x:c r="X239" s="27" t="n">
        <x:f>'Inputs_Trades'!AA239</x:f>
        <x:v>0</x:v>
      </x:c>
      <x:c r="Y239" s="27" t="n">
        <x:f>'Inputs_Trades'!AB239</x:f>
        <x:v>0</x:v>
      </x:c>
      <x:c r="Z239" s="27" t="n">
        <x:f>'Inputs_Trades'!AC239</x:f>
        <x:v>0</x:v>
      </x:c>
      <x:c r="AA239" s="39" t="n">
        <x:f>'Inputs_Trades'!Z239</x:f>
        <x:v>0</x:v>
      </x:c>
      <x:c r="AB239" s="40" t="n">
        <x:f>'Inputs_Trades'!AD239</x:f>
        <x:v>-24192</x:v>
      </x:c>
      <x:c r="AC239" s="27" t="n">
        <x:f>'Inputs_Trades'!K239</x:f>
        <x:v>0</x:v>
      </x:c>
      <x:c r="AD239" s="27" t="n">
        <x:f>N239-M239</x:f>
        <x:v>1905</x:v>
      </x:c>
      <x:c r="AE239" s="41" t="n">
        <x:f>AD239/365</x:f>
        <x:v>5.219178082191781</x:v>
      </x:c>
      <x:c r="AF239" s="27" t="str">
        <x:f>IF(AE239&lt;1,"&lt;1Y",IF(AE239&lt;=5,"1Y-5Y","&gt;5Y"))</x:f>
        <x:v>&gt;5Y</x:v>
      </x:c>
      <x:c r="AG239" s="27" t="str">
        <x:f>IF(E239="Commodity",IFERROR(VLOOKUP(F239,Parameters!$P$4:$Q$12,2,FALSE),"Other"),"")</x:f>
        <x:v>Energy</x:v>
      </x:c>
      <x:c r="AH239" s="27" t="str">
        <x:f>IF(F239="","Unknown",F239)</x:f>
        <x:v>Electricity</x:v>
      </x:c>
      <x:c r="AI239" s="27" t="str">
        <x:f>IF(E239="Interest Rate",G239&amp;IF(OR(LOWER(AC239)="basis",LOWER(AC239)="volatility"),"_"&amp;AC239,""),IF(E239="FX",IF(H239&lt;I239,H239&amp;"/"&amp;I239,I239&amp;"/"&amp;H239)&amp;IF(OR(LOWER(AC239)="basis",LOWER(AC239)="volatility"),"_"&amp;AC239,""),IF(OR(E239="Credit",E239="Equity"),J239&amp;IF(OR(LOWER(AC239)="basis",LOWER(AC239)="volatility"),"_"&amp;AC239,""),IF(E239="Commodity",AG239&amp;IF(OR(LOWER(AC239)="basis",LOWER(AC239)="volatility"),"_"&amp;AC239,""),"UNKNOWN"))))</x:f>
        <x:v>Energy</x:v>
      </x:c>
      <x:c r="AJ239" s="27" t="str">
        <x:f>T239</x:f>
        <x:v>U</x:v>
      </x:c>
      <x:c r="AK239" s="41" t="n">
        <x:f>IF(E239="Interest Rate",VLOOKUP("Interest Rate",Parameters!$D$4:$E$12,2,FALSE),IF(E239="FX",VLOOKUP("FX",Parameters!$D$4:$E$12,2,FALSE),IF(E239="Credit",IFERROR(VLOOKUP(L239,Parameters!$G$4:$H$12,2,FALSE),VLOOKUP("BBB",Parameters!$G$4:$H$12,2,FALSE)),IF(E239="Equity",VLOOKUP(IF(LOWER(K239)="index","Equity Index","Equity Single Name"),Parameters!$D$4:$E$12,2,FALSE),IF(E239="Commodity",VLOOKUP(IFERROR(VLOOKUP(F239,Parameters!$S$4:$T$12,2,FALSE),"Commodity Other"),Parameters!$D$4:$E$12,2,FALSE),0)))))</x:f>
        <x:v>0.4</x:v>
      </x:c>
      <x:c r="AL239" s="42" t="n">
        <x:f>IF(LOWER(AC239)="basis",Parameters!$B$8,IF(LOWER(AC239)="volatility",Parameters!$B$9,1))</x:f>
        <x:v>1</x:v>
      </x:c>
      <x:c r="AM239" s="41" t="n">
        <x:f>AK239*AL239</x:f>
        <x:v>0.4</x:v>
      </x:c>
      <x:c r="AN239" s="42" t="n">
        <x:f>IF(E239="Credit",VLOOKUP(IF(LOWER(K239)="index","Credit Index","Credit Single Name"),Parameters!$J$4:$K$8,2,FALSE),IF(E239="Equity",VLOOKUP(IF(LOWER(K239)="index","Equity Index","Equity Single Name"),Parameters!$J$4:$K$8,2,FALSE),IF(E239="Commodity",VLOOKUP("Commodity",Parameters!$J$4:$K$8,2,FALSE),"")))</x:f>
        <x:v>0.4</x:v>
      </x:c>
      <x:c r="AO239" s="27" t="n">
        <x:f>MAX((O239-M239)/365,0)</x:f>
        <x:v>0</x:v>
      </x:c>
      <x:c r="AP239" s="27" t="n">
        <x:f>MAX((P239-M239)/365,10/Parameters!$B$6)</x:f>
        <x:v>5.219178082191781</x:v>
      </x:c>
      <x:c r="AQ239" s="27" t="n">
        <x:f>IF(AP239&lt;=AO239,AO239+10/Parameters!$B$6,AP239)</x:f>
        <x:v>5.219178082191781</x:v>
      </x:c>
      <x:c r="AR239" s="41" t="n">
        <x:f>IF(OR(E239="Interest Rate",E239="Credit"),(EXP(-Parameters!$B$7*AO239)-EXP(-Parameters!$B$7*AQ239))/Parameters!$B$7,1)</x:f>
        <x:v>1</x:v>
      </x:c>
      <x:c r="AS239" s="40" t="n">
        <x:f>IF(OR(E239="Interest Rate",E239="Credit"),ABS(Q239)*AR239,IF(E239="FX",IF(Q239&gt;0,Q239,MAX(ABS(R239),ABS(S239),ABS(Q239))),ABS(Q239)))</x:f>
        <x:v>16800000</x:v>
      </x:c>
      <x:c r="AT239" s="42" t="n">
        <x:f>IF(OR(E239="Interest Rate",E239="FX"),VLOOKUP(E239,Parameters!$M$4:$N$11,2,FALSE),IF(E239="Credit",VLOOKUP(IF(LOWER(K239)="index","Credit Index","Credit Single Name"),Parameters!$M$4:$N$11,2,FALSE),IF(E239="Equity",VLOOKUP(IF(LOWER(K239)="index","Equity Index","Equity Single Name"),Parameters!$M$4:$N$11,2,FALSE),IF(E239="Commodity",VLOOKUP(IF(F239="Electricity","Commodity Electricity","Commodity Other"),Parameters!$M$4:$N$11,2,FALSE),1))))</x:f>
        <x:v>1.5</x:v>
      </x:c>
      <x:c r="AU239" s="27" t="n">
        <x:f>IF(W239="B",1,-1)</x:f>
        <x:v>1</x:v>
      </x:c>
      <x:c r="AV239" s="27" t="n">
        <x:f>IF(OR(AA239="",M239=""),MAX(AE239,1/365),MAX((AA239-M239)/365,1/365))</x:f>
        <x:v>5.219178082191781</x:v>
      </x:c>
      <x:c r="AW239" s="41" t="str">
        <x:f>IF(OR(Z239&lt;=0,Y239&lt;=0,AT239&lt;=0,AV239&lt;=0),"",(LN(Z239/Y239)+0.5*AT239^2*AV239)/(AT239*SQRT(AV239)))</x:f>
      </x:c>
      <x:c r="AX239" s="41" t="n">
        <x:f>IF(AND(X239&lt;&gt;"C",X239&lt;&gt;"P"),AU239,IF(AW239="",AU239,IF(X239="C",AU239*0.5*(1+ERF(AW239/SQRT(2))),-AU239*0.5*(1+ERF(-AW239/SQRT(2))))))</x:f>
        <x:v>1</x:v>
      </x:c>
      <x:c r="AY239" s="41" t="n">
        <x:f>IF(AJ239="M",1.5*SQRT(MAX(IF(U239="Y",5,10),IF(V239="",10,V239))/Parameters!$B$6),SQRT(MIN(MAX(AE239,10/Parameters!$B$6),1)))</x:f>
        <x:v>1</x:v>
      </x:c>
      <x:c r="AZ239" s="40" t="n">
        <x:f>AS239*AX239*AY239</x:f>
        <x:v>16800000</x:v>
      </x:c>
      <x:c r="BA239" s="40" t="n">
        <x:f>'Python_Trade_Output'!AZ239</x:f>
        <x:v>16800000</x:v>
      </x:c>
      <x:c r="BB239" s="43" t="n">
        <x:f>AZ239-BA239</x:f>
        <x:v>0</x:v>
      </x:c>
    </x:row>
    <x:row r="240">
      <x:c r="A240" s="27" t="str">
        <x:f>'Inputs_Trades'!D240</x:f>
        <x:v>IND-000237</x:v>
      </x:c>
      <x:c r="B240" s="27" t="str">
        <x:f>'Inputs_Trades'!B240</x:f>
        <x:v>IND_CLEARING_MEMBER_001</x:v>
      </x:c>
      <x:c r="C240" s="27" t="n">
        <x:f>'Inputs_Trades'!C240</x:f>
        <x:v>3340</x:v>
      </x:c>
      <x:c r="D240" s="27" t="str">
        <x:f>'Inputs_Trades'!E240</x:f>
        <x:v>Electricity Swap</x:v>
      </x:c>
      <x:c r="E240" s="27" t="str">
        <x:f>'Inputs_Trades'!F240</x:f>
        <x:v>Commodity</x:v>
      </x:c>
      <x:c r="F240" s="27" t="str">
        <x:f>'Inputs_Trades'!G240</x:f>
        <x:v>Electricity</x:v>
      </x:c>
      <x:c r="G240" s="27" t="str">
        <x:f>'Inputs_Trades'!J240</x:f>
        <x:v>USD</x:v>
      </x:c>
      <x:c r="H240" s="27" t="str">
        <x:f>'Inputs_Trades'!H240</x:f>
        <x:v>Pow</x:v>
      </x:c>
      <x:c r="I240" s="27" t="str">
        <x:f>'Inputs_Trades'!I240</x:f>
        <x:v>USD</x:v>
      </x:c>
      <x:c r="J240" s="27" t="str">
        <x:f>'Inputs_Trades'!M240</x:f>
        <x:v>Power/USD</x:v>
      </x:c>
      <x:c r="K240" s="27" t="n">
        <x:f>'Inputs_Trades'!N240</x:f>
        <x:v>0</x:v>
      </x:c>
      <x:c r="L240" s="27" t="n">
        <x:f>'Inputs_Trades'!O240</x:f>
        <x:v>0</x:v>
      </x:c>
      <x:c r="M240" s="39" t="n">
        <x:f>'Inputs_Trades'!A240</x:f>
        <x:v>45702</x:v>
      </x:c>
      <x:c r="N240" s="39" t="n">
        <x:f>'Inputs_Trades'!P240</x:f>
        <x:v>46450</x:v>
      </x:c>
      <x:c r="O240" s="39" t="n">
        <x:f>'Inputs_Trades'!Q240</x:f>
        <x:v>44861</x:v>
      </x:c>
      <x:c r="P240" s="39" t="n">
        <x:f>'Inputs_Trades'!R240</x:f>
        <x:v>46450</x:v>
      </x:c>
      <x:c r="Q240" s="40" t="n">
        <x:f>'Inputs_Trades'!U240</x:f>
        <x:v>10600000</x:v>
      </x:c>
      <x:c r="R240" s="40" t="n">
        <x:f>'Inputs_Trades'!S240</x:f>
        <x:v>10600000</x:v>
      </x:c>
      <x:c r="S240" s="40" t="n">
        <x:f>'Inputs_Trades'!T240</x:f>
        <x:v>10600000</x:v>
      </x:c>
      <x:c r="T240" s="27" t="str">
        <x:f>'Inputs_Trades'!V240</x:f>
        <x:v>M</x:v>
      </x:c>
      <x:c r="U240" s="27" t="str">
        <x:f>'Inputs_Trades'!W240</x:f>
        <x:v>N</x:v>
      </x:c>
      <x:c r="V240" s="27" t="n">
        <x:f>'Inputs_Trades'!X240</x:f>
        <x:v>10</x:v>
      </x:c>
      <x:c r="W240" s="27" t="str">
        <x:f>'Inputs_Trades'!Y240</x:f>
        <x:v>S</x:v>
      </x:c>
      <x:c r="X240" s="27" t="n">
        <x:f>'Inputs_Trades'!AA240</x:f>
        <x:v>0</x:v>
      </x:c>
      <x:c r="Y240" s="27" t="n">
        <x:f>'Inputs_Trades'!AB240</x:f>
        <x:v>0</x:v>
      </x:c>
      <x:c r="Z240" s="27" t="n">
        <x:f>'Inputs_Trades'!AC240</x:f>
        <x:v>0</x:v>
      </x:c>
      <x:c r="AA240" s="39" t="n">
        <x:f>'Inputs_Trades'!Z240</x:f>
        <x:v>0</x:v>
      </x:c>
      <x:c r="AB240" s="40" t="n">
        <x:f>'Inputs_Trades'!AD240</x:f>
        <x:v>-12720</x:v>
      </x:c>
      <x:c r="AC240" s="27" t="n">
        <x:f>'Inputs_Trades'!K240</x:f>
        <x:v>0</x:v>
      </x:c>
      <x:c r="AD240" s="27" t="n">
        <x:f>N240-M240</x:f>
        <x:v>748</x:v>
      </x:c>
      <x:c r="AE240" s="41" t="n">
        <x:f>AD240/365</x:f>
        <x:v>2.0493150684931507</x:v>
      </x:c>
      <x:c r="AF240" s="27" t="str">
        <x:f>IF(AE240&lt;1,"&lt;1Y",IF(AE240&lt;=5,"1Y-5Y","&gt;5Y"))</x:f>
        <x:v>1Y-5Y</x:v>
      </x:c>
      <x:c r="AG240" s="27" t="str">
        <x:f>IF(E240="Commodity",IFERROR(VLOOKUP(F240,Parameters!$P$4:$Q$12,2,FALSE),"Other"),"")</x:f>
        <x:v>Energy</x:v>
      </x:c>
      <x:c r="AH240" s="27" t="str">
        <x:f>IF(F240="","Unknown",F240)</x:f>
        <x:v>Electricity</x:v>
      </x:c>
      <x:c r="AI240" s="27" t="str">
        <x:f>IF(E240="Interest Rate",G240&amp;IF(OR(LOWER(AC240)="basis",LOWER(AC240)="volatility"),"_"&amp;AC240,""),IF(E240="FX",IF(H240&lt;I240,H240&amp;"/"&amp;I240,I240&amp;"/"&amp;H240)&amp;IF(OR(LOWER(AC240)="basis",LOWER(AC240)="volatility"),"_"&amp;AC240,""),IF(OR(E240="Credit",E240="Equity"),J240&amp;IF(OR(LOWER(AC240)="basis",LOWER(AC240)="volatility"),"_"&amp;AC240,""),IF(E240="Commodity",AG240&amp;IF(OR(LOWER(AC240)="basis",LOWER(AC240)="volatility"),"_"&amp;AC240,""),"UNKNOWN"))))</x:f>
        <x:v>Energy</x:v>
      </x:c>
      <x:c r="AJ240" s="27" t="str">
        <x:f>T240</x:f>
        <x:v>M</x:v>
      </x:c>
      <x:c r="AK240" s="41" t="n">
        <x:f>IF(E240="Interest Rate",VLOOKUP("Interest Rate",Parameters!$D$4:$E$12,2,FALSE),IF(E240="FX",VLOOKUP("FX",Parameters!$D$4:$E$12,2,FALSE),IF(E240="Credit",IFERROR(VLOOKUP(L240,Parameters!$G$4:$H$12,2,FALSE),VLOOKUP("BBB",Parameters!$G$4:$H$12,2,FALSE)),IF(E240="Equity",VLOOKUP(IF(LOWER(K240)="index","Equity Index","Equity Single Name"),Parameters!$D$4:$E$12,2,FALSE),IF(E240="Commodity",VLOOKUP(IFERROR(VLOOKUP(F240,Parameters!$S$4:$T$12,2,FALSE),"Commodity Other"),Parameters!$D$4:$E$12,2,FALSE),0)))))</x:f>
        <x:v>0.4</x:v>
      </x:c>
      <x:c r="AL240" s="42" t="n">
        <x:f>IF(LOWER(AC240)="basis",Parameters!$B$8,IF(LOWER(AC240)="volatility",Parameters!$B$9,1))</x:f>
        <x:v>1</x:v>
      </x:c>
      <x:c r="AM240" s="41" t="n">
        <x:f>AK240*AL240</x:f>
        <x:v>0.4</x:v>
      </x:c>
      <x:c r="AN240" s="42" t="n">
        <x:f>IF(E240="Credit",VLOOKUP(IF(LOWER(K240)="index","Credit Index","Credit Single Name"),Parameters!$J$4:$K$8,2,FALSE),IF(E240="Equity",VLOOKUP(IF(LOWER(K240)="index","Equity Index","Equity Single Name"),Parameters!$J$4:$K$8,2,FALSE),IF(E240="Commodity",VLOOKUP("Commodity",Parameters!$J$4:$K$8,2,FALSE),"")))</x:f>
        <x:v>0.4</x:v>
      </x:c>
      <x:c r="AO240" s="27" t="n">
        <x:f>MAX((O240-M240)/365,0)</x:f>
        <x:v>0</x:v>
      </x:c>
      <x:c r="AP240" s="27" t="n">
        <x:f>MAX((P240-M240)/365,10/Parameters!$B$6)</x:f>
        <x:v>2.0493150684931507</x:v>
      </x:c>
      <x:c r="AQ240" s="27" t="n">
        <x:f>IF(AP240&lt;=AO240,AO240+10/Parameters!$B$6,AP240)</x:f>
        <x:v>2.0493150684931507</x:v>
      </x:c>
      <x:c r="AR240" s="41" t="n">
        <x:f>IF(OR(E240="Interest Rate",E240="Credit"),(EXP(-Parameters!$B$7*AO240)-EXP(-Parameters!$B$7*AQ240))/Parameters!$B$7,1)</x:f>
        <x:v>1</x:v>
      </x:c>
      <x:c r="AS240" s="40" t="n">
        <x:f>IF(OR(E240="Interest Rate",E240="Credit"),ABS(Q240)*AR240,IF(E240="FX",IF(Q240&gt;0,Q240,MAX(ABS(R240),ABS(S240),ABS(Q240))),ABS(Q240)))</x:f>
        <x:v>10600000</x:v>
      </x:c>
      <x:c r="AT240" s="42" t="n">
        <x:f>IF(OR(E240="Interest Rate",E240="FX"),VLOOKUP(E240,Parameters!$M$4:$N$11,2,FALSE),IF(E240="Credit",VLOOKUP(IF(LOWER(K240)="index","Credit Index","Credit Single Name"),Parameters!$M$4:$N$11,2,FALSE),IF(E240="Equity",VLOOKUP(IF(LOWER(K240)="index","Equity Index","Equity Single Name"),Parameters!$M$4:$N$11,2,FALSE),IF(E240="Commodity",VLOOKUP(IF(F240="Electricity","Commodity Electricity","Commodity Other"),Parameters!$M$4:$N$11,2,FALSE),1))))</x:f>
        <x:v>1.5</x:v>
      </x:c>
      <x:c r="AU240" s="27" t="n">
        <x:f>IF(W240="B",1,-1)</x:f>
        <x:v>-1</x:v>
      </x:c>
      <x:c r="AV240" s="27" t="n">
        <x:f>IF(OR(AA240="",M240=""),MAX(AE240,1/365),MAX((AA240-M240)/365,1/365))</x:f>
        <x:v>2.0493150684931507</x:v>
      </x:c>
      <x:c r="AW240" s="41" t="str">
        <x:f>IF(OR(Z240&lt;=0,Y240&lt;=0,AT240&lt;=0,AV240&lt;=0),"",(LN(Z240/Y240)+0.5*AT240^2*AV240)/(AT240*SQRT(AV240)))</x:f>
      </x:c>
      <x:c r="AX240" s="41" t="n">
        <x:f>IF(AND(X240&lt;&gt;"C",X240&lt;&gt;"P"),AU240,IF(AW240="",AU240,IF(X240="C",AU240*0.5*(1+ERF(AW240/SQRT(2))),-AU240*0.5*(1+ERF(-AW240/SQRT(2))))))</x:f>
        <x:v>-1</x:v>
      </x:c>
      <x:c r="AY240" s="41" t="n">
        <x:f>IF(AJ240="M",1.5*SQRT(MAX(IF(U240="Y",5,10),IF(V240="",10,V240))/Parameters!$B$6),SQRT(MIN(MAX(AE240,10/Parameters!$B$6),1)))</x:f>
        <x:v>0.30000000000000004</x:v>
      </x:c>
      <x:c r="AZ240" s="40" t="n">
        <x:f>AS240*AX240*AY240</x:f>
        <x:v>-3180000.0000000005</x:v>
      </x:c>
      <x:c r="BA240" s="40" t="n">
        <x:f>'Python_Trade_Output'!AZ240</x:f>
        <x:v>-3180000.0000000005</x:v>
      </x:c>
      <x:c r="BB240" s="43" t="n">
        <x:f>AZ240-BA240</x:f>
        <x:v>0</x:v>
      </x:c>
    </x:row>
    <x:row r="241">
      <x:c r="A241" s="27" t="str">
        <x:f>'Inputs_Trades'!D241</x:f>
        <x:v>IND-000238</x:v>
      </x:c>
      <x:c r="B241" s="27" t="str">
        <x:f>'Inputs_Trades'!B241</x:f>
        <x:v>IND_SOVEREIGN_001</x:v>
      </x:c>
      <x:c r="C241" s="27" t="n">
        <x:f>'Inputs_Trades'!C241</x:f>
        <x:v>3357</x:v>
      </x:c>
      <x:c r="D241" s="27" t="str">
        <x:f>'Inputs_Trades'!E241</x:f>
        <x:v>Electricity Swap</x:v>
      </x:c>
      <x:c r="E241" s="27" t="str">
        <x:f>'Inputs_Trades'!F241</x:f>
        <x:v>Commodity</x:v>
      </x:c>
      <x:c r="F241" s="27" t="str">
        <x:f>'Inputs_Trades'!G241</x:f>
        <x:v>Electricity</x:v>
      </x:c>
      <x:c r="G241" s="27" t="str">
        <x:f>'Inputs_Trades'!J241</x:f>
        <x:v>USD</x:v>
      </x:c>
      <x:c r="H241" s="27" t="str">
        <x:f>'Inputs_Trades'!H241</x:f>
        <x:v>Pow</x:v>
      </x:c>
      <x:c r="I241" s="27" t="str">
        <x:f>'Inputs_Trades'!I241</x:f>
        <x:v>USD</x:v>
      </x:c>
      <x:c r="J241" s="27" t="str">
        <x:f>'Inputs_Trades'!M241</x:f>
        <x:v>Power/USD</x:v>
      </x:c>
      <x:c r="K241" s="27" t="n">
        <x:f>'Inputs_Trades'!N241</x:f>
        <x:v>0</x:v>
      </x:c>
      <x:c r="L241" s="27" t="n">
        <x:f>'Inputs_Trades'!O241</x:f>
        <x:v>0</x:v>
      </x:c>
      <x:c r="M241" s="39" t="n">
        <x:f>'Inputs_Trades'!A241</x:f>
        <x:v>45702</x:v>
      </x:c>
      <x:c r="N241" s="39" t="n">
        <x:f>'Inputs_Trades'!P241</x:f>
        <x:v>45973</x:v>
      </x:c>
      <x:c r="O241" s="39" t="n">
        <x:f>'Inputs_Trades'!Q241</x:f>
        <x:v>45398</x:v>
      </x:c>
      <x:c r="P241" s="39" t="n">
        <x:f>'Inputs_Trades'!R241</x:f>
        <x:v>45973</x:v>
      </x:c>
      <x:c r="Q241" s="40" t="n">
        <x:f>'Inputs_Trades'!U241</x:f>
        <x:v>52400000</x:v>
      </x:c>
      <x:c r="R241" s="40" t="n">
        <x:f>'Inputs_Trades'!S241</x:f>
        <x:v>52400000</x:v>
      </x:c>
      <x:c r="S241" s="40" t="n">
        <x:f>'Inputs_Trades'!T241</x:f>
        <x:v>52400000</x:v>
      </x:c>
      <x:c r="T241" s="27" t="str">
        <x:f>'Inputs_Trades'!V241</x:f>
        <x:v>M</x:v>
      </x:c>
      <x:c r="U241" s="27" t="str">
        <x:f>'Inputs_Trades'!W241</x:f>
        <x:v>N</x:v>
      </x:c>
      <x:c r="V241" s="27" t="n">
        <x:f>'Inputs_Trades'!X241</x:f>
        <x:v>10</x:v>
      </x:c>
      <x:c r="W241" s="27" t="str">
        <x:f>'Inputs_Trades'!Y241</x:f>
        <x:v>B</x:v>
      </x:c>
      <x:c r="X241" s="27" t="n">
        <x:f>'Inputs_Trades'!AA241</x:f>
        <x:v>0</x:v>
      </x:c>
      <x:c r="Y241" s="27" t="n">
        <x:f>'Inputs_Trades'!AB241</x:f>
        <x:v>0</x:v>
      </x:c>
      <x:c r="Z241" s="27" t="n">
        <x:f>'Inputs_Trades'!AC241</x:f>
        <x:v>0</x:v>
      </x:c>
      <x:c r="AA241" s="39" t="n">
        <x:f>'Inputs_Trades'!Z241</x:f>
        <x:v>0</x:v>
      </x:c>
      <x:c r="AB241" s="40" t="n">
        <x:f>'Inputs_Trades'!AD241</x:f>
        <x:v>297108</x:v>
      </x:c>
      <x:c r="AC241" s="27" t="n">
        <x:f>'Inputs_Trades'!K241</x:f>
        <x:v>0</x:v>
      </x:c>
      <x:c r="AD241" s="27" t="n">
        <x:f>N241-M241</x:f>
        <x:v>271</x:v>
      </x:c>
      <x:c r="AE241" s="41" t="n">
        <x:f>AD241/365</x:f>
        <x:v>0.7424657534246575</x:v>
      </x:c>
      <x:c r="AF241" s="27" t="str">
        <x:f>IF(AE241&lt;1,"&lt;1Y",IF(AE241&lt;=5,"1Y-5Y","&gt;5Y"))</x:f>
        <x:v>&lt;1Y</x:v>
      </x:c>
      <x:c r="AG241" s="27" t="str">
        <x:f>IF(E241="Commodity",IFERROR(VLOOKUP(F241,Parameters!$P$4:$Q$12,2,FALSE),"Other"),"")</x:f>
        <x:v>Energy</x:v>
      </x:c>
      <x:c r="AH241" s="27" t="str">
        <x:f>IF(F241="","Unknown",F241)</x:f>
        <x:v>Electricity</x:v>
      </x:c>
      <x:c r="AI241" s="27" t="str">
        <x:f>IF(E241="Interest Rate",G241&amp;IF(OR(LOWER(AC241)="basis",LOWER(AC241)="volatility"),"_"&amp;AC241,""),IF(E241="FX",IF(H241&lt;I241,H241&amp;"/"&amp;I241,I241&amp;"/"&amp;H241)&amp;IF(OR(LOWER(AC241)="basis",LOWER(AC241)="volatility"),"_"&amp;AC241,""),IF(OR(E241="Credit",E241="Equity"),J241&amp;IF(OR(LOWER(AC241)="basis",LOWER(AC241)="volatility"),"_"&amp;AC241,""),IF(E241="Commodity",AG241&amp;IF(OR(LOWER(AC241)="basis",LOWER(AC241)="volatility"),"_"&amp;AC241,""),"UNKNOWN"))))</x:f>
        <x:v>Energy</x:v>
      </x:c>
      <x:c r="AJ241" s="27" t="str">
        <x:f>T241</x:f>
        <x:v>M</x:v>
      </x:c>
      <x:c r="AK241" s="41" t="n">
        <x:f>IF(E241="Interest Rate",VLOOKUP("Interest Rate",Parameters!$D$4:$E$12,2,FALSE),IF(E241="FX",VLOOKUP("FX",Parameters!$D$4:$E$12,2,FALSE),IF(E241="Credit",IFERROR(VLOOKUP(L241,Parameters!$G$4:$H$12,2,FALSE),VLOOKUP("BBB",Parameters!$G$4:$H$12,2,FALSE)),IF(E241="Equity",VLOOKUP(IF(LOWER(K241)="index","Equity Index","Equity Single Name"),Parameters!$D$4:$E$12,2,FALSE),IF(E241="Commodity",VLOOKUP(IFERROR(VLOOKUP(F241,Parameters!$S$4:$T$12,2,FALSE),"Commodity Other"),Parameters!$D$4:$E$12,2,FALSE),0)))))</x:f>
        <x:v>0.4</x:v>
      </x:c>
      <x:c r="AL241" s="42" t="n">
        <x:f>IF(LOWER(AC241)="basis",Parameters!$B$8,IF(LOWER(AC241)="volatility",Parameters!$B$9,1))</x:f>
        <x:v>1</x:v>
      </x:c>
      <x:c r="AM241" s="41" t="n">
        <x:f>AK241*AL241</x:f>
        <x:v>0.4</x:v>
      </x:c>
      <x:c r="AN241" s="42" t="n">
        <x:f>IF(E241="Credit",VLOOKUP(IF(LOWER(K241)="index","Credit Index","Credit Single Name"),Parameters!$J$4:$K$8,2,FALSE),IF(E241="Equity",VLOOKUP(IF(LOWER(K241)="index","Equity Index","Equity Single Name"),Parameters!$J$4:$K$8,2,FALSE),IF(E241="Commodity",VLOOKUP("Commodity",Parameters!$J$4:$K$8,2,FALSE),"")))</x:f>
        <x:v>0.4</x:v>
      </x:c>
      <x:c r="AO241" s="27" t="n">
        <x:f>MAX((O241-M241)/365,0)</x:f>
        <x:v>0</x:v>
      </x:c>
      <x:c r="AP241" s="27" t="n">
        <x:f>MAX((P241-M241)/365,10/Parameters!$B$6)</x:f>
        <x:v>0.7424657534246575</x:v>
      </x:c>
      <x:c r="AQ241" s="27" t="n">
        <x:f>IF(AP241&lt;=AO241,AO241+10/Parameters!$B$6,AP241)</x:f>
        <x:v>0.7424657534246575</x:v>
      </x:c>
      <x:c r="AR241" s="41" t="n">
        <x:f>IF(OR(E241="Interest Rate",E241="Credit"),(EXP(-Parameters!$B$7*AO241)-EXP(-Parameters!$B$7*AQ241))/Parameters!$B$7,1)</x:f>
        <x:v>1</x:v>
      </x:c>
      <x:c r="AS241" s="40" t="n">
        <x:f>IF(OR(E241="Interest Rate",E241="Credit"),ABS(Q241)*AR241,IF(E241="FX",IF(Q241&gt;0,Q241,MAX(ABS(R241),ABS(S241),ABS(Q241))),ABS(Q241)))</x:f>
        <x:v>52400000</x:v>
      </x:c>
      <x:c r="AT241" s="42" t="n">
        <x:f>IF(OR(E241="Interest Rate",E241="FX"),VLOOKUP(E241,Parameters!$M$4:$N$11,2,FALSE),IF(E241="Credit",VLOOKUP(IF(LOWER(K241)="index","Credit Index","Credit Single Name"),Parameters!$M$4:$N$11,2,FALSE),IF(E241="Equity",VLOOKUP(IF(LOWER(K241)="index","Equity Index","Equity Single Name"),Parameters!$M$4:$N$11,2,FALSE),IF(E241="Commodity",VLOOKUP(IF(F241="Electricity","Commodity Electricity","Commodity Other"),Parameters!$M$4:$N$11,2,FALSE),1))))</x:f>
        <x:v>1.5</x:v>
      </x:c>
      <x:c r="AU241" s="27" t="n">
        <x:f>IF(W241="B",1,-1)</x:f>
        <x:v>1</x:v>
      </x:c>
      <x:c r="AV241" s="27" t="n">
        <x:f>IF(OR(AA241="",M241=""),MAX(AE241,1/365),MAX((AA241-M241)/365,1/365))</x:f>
        <x:v>0.7424657534246575</x:v>
      </x:c>
      <x:c r="AW241" s="41" t="str">
        <x:f>IF(OR(Z241&lt;=0,Y241&lt;=0,AT241&lt;=0,AV241&lt;=0),"",(LN(Z241/Y241)+0.5*AT241^2*AV241)/(AT241*SQRT(AV241)))</x:f>
      </x:c>
      <x:c r="AX241" s="41" t="n">
        <x:f>IF(AND(X241&lt;&gt;"C",X241&lt;&gt;"P"),AU241,IF(AW241="",AU241,IF(X241="C",AU241*0.5*(1+ERF(AW241/SQRT(2))),-AU241*0.5*(1+ERF(-AW241/SQRT(2))))))</x:f>
        <x:v>1</x:v>
      </x:c>
      <x:c r="AY241" s="41" t="n">
        <x:f>IF(AJ241="M",1.5*SQRT(MAX(IF(U241="Y",5,10),IF(V241="",10,V241))/Parameters!$B$6),SQRT(MIN(MAX(AE241,10/Parameters!$B$6),1)))</x:f>
        <x:v>0.30000000000000004</x:v>
      </x:c>
      <x:c r="AZ241" s="40" t="n">
        <x:f>AS241*AX241*AY241</x:f>
        <x:v>15720000.000000002</x:v>
      </x:c>
      <x:c r="BA241" s="40" t="n">
        <x:f>'Python_Trade_Output'!AZ241</x:f>
        <x:v>15720000.000000002</x:v>
      </x:c>
      <x:c r="BB241" s="43" t="n">
        <x:f>AZ241-BA241</x:f>
        <x:v>0</x:v>
      </x:c>
    </x:row>
    <x:row r="242">
      <x:c r="A242" s="27" t="str">
        <x:f>'Inputs_Trades'!D242</x:f>
        <x:v>IND-000239</x:v>
      </x:c>
      <x:c r="B242" s="27" t="str">
        <x:f>'Inputs_Trades'!B242</x:f>
        <x:v>IND_ASSET_MANAGER_001</x:v>
      </x:c>
      <x:c r="C242" s="27" t="n">
        <x:f>'Inputs_Trades'!C242</x:f>
        <x:v>3331</x:v>
      </x:c>
      <x:c r="D242" s="27" t="str">
        <x:f>'Inputs_Trades'!E242</x:f>
        <x:v>Electricity Swap</x:v>
      </x:c>
      <x:c r="E242" s="27" t="str">
        <x:f>'Inputs_Trades'!F242</x:f>
        <x:v>Commodity</x:v>
      </x:c>
      <x:c r="F242" s="27" t="str">
        <x:f>'Inputs_Trades'!G242</x:f>
        <x:v>Electricity</x:v>
      </x:c>
      <x:c r="G242" s="27" t="str">
        <x:f>'Inputs_Trades'!J242</x:f>
        <x:v>USD</x:v>
      </x:c>
      <x:c r="H242" s="27" t="str">
        <x:f>'Inputs_Trades'!H242</x:f>
        <x:v>Pow</x:v>
      </x:c>
      <x:c r="I242" s="27" t="str">
        <x:f>'Inputs_Trades'!I242</x:f>
        <x:v>USD</x:v>
      </x:c>
      <x:c r="J242" s="27" t="str">
        <x:f>'Inputs_Trades'!M242</x:f>
        <x:v>Power/USD</x:v>
      </x:c>
      <x:c r="K242" s="27" t="n">
        <x:f>'Inputs_Trades'!N242</x:f>
        <x:v>0</x:v>
      </x:c>
      <x:c r="L242" s="27" t="n">
        <x:f>'Inputs_Trades'!O242</x:f>
        <x:v>0</x:v>
      </x:c>
      <x:c r="M242" s="39" t="n">
        <x:f>'Inputs_Trades'!A242</x:f>
        <x:v>45702</x:v>
      </x:c>
      <x:c r="N242" s="39" t="n">
        <x:f>'Inputs_Trades'!P242</x:f>
        <x:v>46065</x:v>
      </x:c>
      <x:c r="O242" s="39" t="n">
        <x:f>'Inputs_Trades'!Q242</x:f>
        <x:v>45532</x:v>
      </x:c>
      <x:c r="P242" s="39" t="n">
        <x:f>'Inputs_Trades'!R242</x:f>
        <x:v>46065</x:v>
      </x:c>
      <x:c r="Q242" s="40" t="n">
        <x:f>'Inputs_Trades'!U242</x:f>
        <x:v>6600000</x:v>
      </x:c>
      <x:c r="R242" s="40" t="n">
        <x:f>'Inputs_Trades'!S242</x:f>
        <x:v>6600000</x:v>
      </x:c>
      <x:c r="S242" s="40" t="n">
        <x:f>'Inputs_Trades'!T242</x:f>
        <x:v>6600000</x:v>
      </x:c>
      <x:c r="T242" s="27" t="str">
        <x:f>'Inputs_Trades'!V242</x:f>
        <x:v>M</x:v>
      </x:c>
      <x:c r="U242" s="27" t="str">
        <x:f>'Inputs_Trades'!W242</x:f>
        <x:v>N</x:v>
      </x:c>
      <x:c r="V242" s="27" t="n">
        <x:f>'Inputs_Trades'!X242</x:f>
        <x:v>10</x:v>
      </x:c>
      <x:c r="W242" s="27" t="str">
        <x:f>'Inputs_Trades'!Y242</x:f>
        <x:v>B</x:v>
      </x:c>
      <x:c r="X242" s="27" t="n">
        <x:f>'Inputs_Trades'!AA242</x:f>
        <x:v>0</x:v>
      </x:c>
      <x:c r="Y242" s="27" t="n">
        <x:f>'Inputs_Trades'!AB242</x:f>
        <x:v>0</x:v>
      </x:c>
      <x:c r="Z242" s="27" t="n">
        <x:f>'Inputs_Trades'!AC242</x:f>
        <x:v>0</x:v>
      </x:c>
      <x:c r="AA242" s="39" t="n">
        <x:f>'Inputs_Trades'!Z242</x:f>
        <x:v>0</x:v>
      </x:c>
      <x:c r="AB242" s="40" t="n">
        <x:f>'Inputs_Trades'!AD242</x:f>
        <x:v>-70092</x:v>
      </x:c>
      <x:c r="AC242" s="27" t="n">
        <x:f>'Inputs_Trades'!K242</x:f>
        <x:v>0</x:v>
      </x:c>
      <x:c r="AD242" s="27" t="n">
        <x:f>N242-M242</x:f>
        <x:v>363</x:v>
      </x:c>
      <x:c r="AE242" s="41" t="n">
        <x:f>AD242/365</x:f>
        <x:v>0.9945205479452055</x:v>
      </x:c>
      <x:c r="AF242" s="27" t="str">
        <x:f>IF(AE242&lt;1,"&lt;1Y",IF(AE242&lt;=5,"1Y-5Y","&gt;5Y"))</x:f>
        <x:v>&lt;1Y</x:v>
      </x:c>
      <x:c r="AG242" s="27" t="str">
        <x:f>IF(E242="Commodity",IFERROR(VLOOKUP(F242,Parameters!$P$4:$Q$12,2,FALSE),"Other"),"")</x:f>
        <x:v>Energy</x:v>
      </x:c>
      <x:c r="AH242" s="27" t="str">
        <x:f>IF(F242="","Unknown",F242)</x:f>
        <x:v>Electricity</x:v>
      </x:c>
      <x:c r="AI242" s="27" t="str">
        <x:f>IF(E242="Interest Rate",G242&amp;IF(OR(LOWER(AC242)="basis",LOWER(AC242)="volatility"),"_"&amp;AC242,""),IF(E242="FX",IF(H242&lt;I242,H242&amp;"/"&amp;I242,I242&amp;"/"&amp;H242)&amp;IF(OR(LOWER(AC242)="basis",LOWER(AC242)="volatility"),"_"&amp;AC242,""),IF(OR(E242="Credit",E242="Equity"),J242&amp;IF(OR(LOWER(AC242)="basis",LOWER(AC242)="volatility"),"_"&amp;AC242,""),IF(E242="Commodity",AG242&amp;IF(OR(LOWER(AC242)="basis",LOWER(AC242)="volatility"),"_"&amp;AC242,""),"UNKNOWN"))))</x:f>
        <x:v>Energy</x:v>
      </x:c>
      <x:c r="AJ242" s="27" t="str">
        <x:f>T242</x:f>
        <x:v>M</x:v>
      </x:c>
      <x:c r="AK242" s="41" t="n">
        <x:f>IF(E242="Interest Rate",VLOOKUP("Interest Rate",Parameters!$D$4:$E$12,2,FALSE),IF(E242="FX",VLOOKUP("FX",Parameters!$D$4:$E$12,2,FALSE),IF(E242="Credit",IFERROR(VLOOKUP(L242,Parameters!$G$4:$H$12,2,FALSE),VLOOKUP("BBB",Parameters!$G$4:$H$12,2,FALSE)),IF(E242="Equity",VLOOKUP(IF(LOWER(K242)="index","Equity Index","Equity Single Name"),Parameters!$D$4:$E$12,2,FALSE),IF(E242="Commodity",VLOOKUP(IFERROR(VLOOKUP(F242,Parameters!$S$4:$T$12,2,FALSE),"Commodity Other"),Parameters!$D$4:$E$12,2,FALSE),0)))))</x:f>
        <x:v>0.4</x:v>
      </x:c>
      <x:c r="AL242" s="42" t="n">
        <x:f>IF(LOWER(AC242)="basis",Parameters!$B$8,IF(LOWER(AC242)="volatility",Parameters!$B$9,1))</x:f>
        <x:v>1</x:v>
      </x:c>
      <x:c r="AM242" s="41" t="n">
        <x:f>AK242*AL242</x:f>
        <x:v>0.4</x:v>
      </x:c>
      <x:c r="AN242" s="42" t="n">
        <x:f>IF(E242="Credit",VLOOKUP(IF(LOWER(K242)="index","Credit Index","Credit Single Name"),Parameters!$J$4:$K$8,2,FALSE),IF(E242="Equity",VLOOKUP(IF(LOWER(K242)="index","Equity Index","Equity Single Name"),Parameters!$J$4:$K$8,2,FALSE),IF(E242="Commodity",VLOOKUP("Commodity",Parameters!$J$4:$K$8,2,FALSE),"")))</x:f>
        <x:v>0.4</x:v>
      </x:c>
      <x:c r="AO242" s="27" t="n">
        <x:f>MAX((O242-M242)/365,0)</x:f>
        <x:v>0</x:v>
      </x:c>
      <x:c r="AP242" s="27" t="n">
        <x:f>MAX((P242-M242)/365,10/Parameters!$B$6)</x:f>
        <x:v>0.9945205479452055</x:v>
      </x:c>
      <x:c r="AQ242" s="27" t="n">
        <x:f>IF(AP242&lt;=AO242,AO242+10/Parameters!$B$6,AP242)</x:f>
        <x:v>0.9945205479452055</x:v>
      </x:c>
      <x:c r="AR242" s="41" t="n">
        <x:f>IF(OR(E242="Interest Rate",E242="Credit"),(EXP(-Parameters!$B$7*AO242)-EXP(-Parameters!$B$7*AQ242))/Parameters!$B$7,1)</x:f>
        <x:v>1</x:v>
      </x:c>
      <x:c r="AS242" s="40" t="n">
        <x:f>IF(OR(E242="Interest Rate",E242="Credit"),ABS(Q242)*AR242,IF(E242="FX",IF(Q242&gt;0,Q242,MAX(ABS(R242),ABS(S242),ABS(Q242))),ABS(Q242)))</x:f>
        <x:v>6600000</x:v>
      </x:c>
      <x:c r="AT242" s="42" t="n">
        <x:f>IF(OR(E242="Interest Rate",E242="FX"),VLOOKUP(E242,Parameters!$M$4:$N$11,2,FALSE),IF(E242="Credit",VLOOKUP(IF(LOWER(K242)="index","Credit Index","Credit Single Name"),Parameters!$M$4:$N$11,2,FALSE),IF(E242="Equity",VLOOKUP(IF(LOWER(K242)="index","Equity Index","Equity Single Name"),Parameters!$M$4:$N$11,2,FALSE),IF(E242="Commodity",VLOOKUP(IF(F242="Electricity","Commodity Electricity","Commodity Other"),Parameters!$M$4:$N$11,2,FALSE),1))))</x:f>
        <x:v>1.5</x:v>
      </x:c>
      <x:c r="AU242" s="27" t="n">
        <x:f>IF(W242="B",1,-1)</x:f>
        <x:v>1</x:v>
      </x:c>
      <x:c r="AV242" s="27" t="n">
        <x:f>IF(OR(AA242="",M242=""),MAX(AE242,1/365),MAX((AA242-M242)/365,1/365))</x:f>
        <x:v>0.9945205479452055</x:v>
      </x:c>
      <x:c r="AW242" s="41" t="str">
        <x:f>IF(OR(Z242&lt;=0,Y242&lt;=0,AT242&lt;=0,AV242&lt;=0),"",(LN(Z242/Y242)+0.5*AT242^2*AV242)/(AT242*SQRT(AV242)))</x:f>
      </x:c>
      <x:c r="AX242" s="41" t="n">
        <x:f>IF(AND(X242&lt;&gt;"C",X242&lt;&gt;"P"),AU242,IF(AW242="",AU242,IF(X242="C",AU242*0.5*(1+ERF(AW242/SQRT(2))),-AU242*0.5*(1+ERF(-AW242/SQRT(2))))))</x:f>
        <x:v>1</x:v>
      </x:c>
      <x:c r="AY242" s="41" t="n">
        <x:f>IF(AJ242="M",1.5*SQRT(MAX(IF(U242="Y",5,10),IF(V242="",10,V242))/Parameters!$B$6),SQRT(MIN(MAX(AE242,10/Parameters!$B$6),1)))</x:f>
        <x:v>0.30000000000000004</x:v>
      </x:c>
      <x:c r="AZ242" s="40" t="n">
        <x:f>AS242*AX242*AY242</x:f>
        <x:v>1980000.0000000002</x:v>
      </x:c>
      <x:c r="BA242" s="40" t="n">
        <x:f>'Python_Trade_Output'!AZ242</x:f>
        <x:v>1980000.0000000002</x:v>
      </x:c>
      <x:c r="BB242" s="43" t="n">
        <x:f>AZ242-BA242</x:f>
        <x:v>0</x:v>
      </x:c>
    </x:row>
    <x:row r="243">
      <x:c r="A243" s="27" t="str">
        <x:f>'Inputs_Trades'!D243</x:f>
        <x:v>IND-000240</x:v>
      </x:c>
      <x:c r="B243" s="27" t="str">
        <x:f>'Inputs_Trades'!B243</x:f>
        <x:v>IND_BANK_001</x:v>
      </x:c>
      <x:c r="C243" s="27" t="n">
        <x:f>'Inputs_Trades'!C243</x:f>
        <x:v>3172</x:v>
      </x:c>
      <x:c r="D243" s="27" t="str">
        <x:f>'Inputs_Trades'!E243</x:f>
        <x:v>Electricity Swap</x:v>
      </x:c>
      <x:c r="E243" s="27" t="str">
        <x:f>'Inputs_Trades'!F243</x:f>
        <x:v>Commodity</x:v>
      </x:c>
      <x:c r="F243" s="27" t="str">
        <x:f>'Inputs_Trades'!G243</x:f>
        <x:v>Electricity</x:v>
      </x:c>
      <x:c r="G243" s="27" t="str">
        <x:f>'Inputs_Trades'!J243</x:f>
        <x:v>USD</x:v>
      </x:c>
      <x:c r="H243" s="27" t="str">
        <x:f>'Inputs_Trades'!H243</x:f>
        <x:v>Pow</x:v>
      </x:c>
      <x:c r="I243" s="27" t="str">
        <x:f>'Inputs_Trades'!I243</x:f>
        <x:v>USD</x:v>
      </x:c>
      <x:c r="J243" s="27" t="str">
        <x:f>'Inputs_Trades'!M243</x:f>
        <x:v>Power/USD</x:v>
      </x:c>
      <x:c r="K243" s="27" t="n">
        <x:f>'Inputs_Trades'!N243</x:f>
        <x:v>0</x:v>
      </x:c>
      <x:c r="L243" s="27" t="n">
        <x:f>'Inputs_Trades'!O243</x:f>
        <x:v>0</x:v>
      </x:c>
      <x:c r="M243" s="39" t="n">
        <x:f>'Inputs_Trades'!A243</x:f>
        <x:v>45702</x:v>
      </x:c>
      <x:c r="N243" s="39" t="n">
        <x:f>'Inputs_Trades'!P243</x:f>
        <x:v>47697</x:v>
      </x:c>
      <x:c r="O243" s="39" t="n">
        <x:f>'Inputs_Trades'!Q243</x:f>
        <x:v>45230</x:v>
      </x:c>
      <x:c r="P243" s="39" t="n">
        <x:f>'Inputs_Trades'!R243</x:f>
        <x:v>47697</x:v>
      </x:c>
      <x:c r="Q243" s="40" t="n">
        <x:f>'Inputs_Trades'!U243</x:f>
        <x:v>47400000</x:v>
      </x:c>
      <x:c r="R243" s="40" t="n">
        <x:f>'Inputs_Trades'!S243</x:f>
        <x:v>47400000</x:v>
      </x:c>
      <x:c r="S243" s="40" t="n">
        <x:f>'Inputs_Trades'!T243</x:f>
        <x:v>47400000</x:v>
      </x:c>
      <x:c r="T243" s="27" t="str">
        <x:f>'Inputs_Trades'!V243</x:f>
        <x:v>M</x:v>
      </x:c>
      <x:c r="U243" s="27" t="str">
        <x:f>'Inputs_Trades'!W243</x:f>
        <x:v>N</x:v>
      </x:c>
      <x:c r="V243" s="27" t="n">
        <x:f>'Inputs_Trades'!X243</x:f>
        <x:v>10</x:v>
      </x:c>
      <x:c r="W243" s="27" t="str">
        <x:f>'Inputs_Trades'!Y243</x:f>
        <x:v>B</x:v>
      </x:c>
      <x:c r="X243" s="27" t="n">
        <x:f>'Inputs_Trades'!AA243</x:f>
        <x:v>0</x:v>
      </x:c>
      <x:c r="Y243" s="27" t="n">
        <x:f>'Inputs_Trades'!AB243</x:f>
        <x:v>0</x:v>
      </x:c>
      <x:c r="Z243" s="27" t="n">
        <x:f>'Inputs_Trades'!AC243</x:f>
        <x:v>0</x:v>
      </x:c>
      <x:c r="AA243" s="39" t="n">
        <x:f>'Inputs_Trades'!Z243</x:f>
        <x:v>0</x:v>
      </x:c>
      <x:c r="AB243" s="40" t="n">
        <x:f>'Inputs_Trades'!AD243</x:f>
        <x:v>-1335258</x:v>
      </x:c>
      <x:c r="AC243" s="27" t="n">
        <x:f>'Inputs_Trades'!K243</x:f>
        <x:v>0</x:v>
      </x:c>
      <x:c r="AD243" s="27" t="n">
        <x:f>N243-M243</x:f>
        <x:v>1995</x:v>
      </x:c>
      <x:c r="AE243" s="41" t="n">
        <x:f>AD243/365</x:f>
        <x:v>5.465753424657534</x:v>
      </x:c>
      <x:c r="AF243" s="27" t="str">
        <x:f>IF(AE243&lt;1,"&lt;1Y",IF(AE243&lt;=5,"1Y-5Y","&gt;5Y"))</x:f>
        <x:v>&gt;5Y</x:v>
      </x:c>
      <x:c r="AG243" s="27" t="str">
        <x:f>IF(E243="Commodity",IFERROR(VLOOKUP(F243,Parameters!$P$4:$Q$12,2,FALSE),"Other"),"")</x:f>
        <x:v>Energy</x:v>
      </x:c>
      <x:c r="AH243" s="27" t="str">
        <x:f>IF(F243="","Unknown",F243)</x:f>
        <x:v>Electricity</x:v>
      </x:c>
      <x:c r="AI243" s="27" t="str">
        <x:f>IF(E243="Interest Rate",G243&amp;IF(OR(LOWER(AC243)="basis",LOWER(AC243)="volatility"),"_"&amp;AC243,""),IF(E243="FX",IF(H243&lt;I243,H243&amp;"/"&amp;I243,I243&amp;"/"&amp;H243)&amp;IF(OR(LOWER(AC243)="basis",LOWER(AC243)="volatility"),"_"&amp;AC243,""),IF(OR(E243="Credit",E243="Equity"),J243&amp;IF(OR(LOWER(AC243)="basis",LOWER(AC243)="volatility"),"_"&amp;AC243,""),IF(E243="Commodity",AG243&amp;IF(OR(LOWER(AC243)="basis",LOWER(AC243)="volatility"),"_"&amp;AC243,""),"UNKNOWN"))))</x:f>
        <x:v>Energy</x:v>
      </x:c>
      <x:c r="AJ243" s="27" t="str">
        <x:f>T243</x:f>
        <x:v>M</x:v>
      </x:c>
      <x:c r="AK243" s="41" t="n">
        <x:f>IF(E243="Interest Rate",VLOOKUP("Interest Rate",Parameters!$D$4:$E$12,2,FALSE),IF(E243="FX",VLOOKUP("FX",Parameters!$D$4:$E$12,2,FALSE),IF(E243="Credit",IFERROR(VLOOKUP(L243,Parameters!$G$4:$H$12,2,FALSE),VLOOKUP("BBB",Parameters!$G$4:$H$12,2,FALSE)),IF(E243="Equity",VLOOKUP(IF(LOWER(K243)="index","Equity Index","Equity Single Name"),Parameters!$D$4:$E$12,2,FALSE),IF(E243="Commodity",VLOOKUP(IFERROR(VLOOKUP(F243,Parameters!$S$4:$T$12,2,FALSE),"Commodity Other"),Parameters!$D$4:$E$12,2,FALSE),0)))))</x:f>
        <x:v>0.4</x:v>
      </x:c>
      <x:c r="AL243" s="42" t="n">
        <x:f>IF(LOWER(AC243)="basis",Parameters!$B$8,IF(LOWER(AC243)="volatility",Parameters!$B$9,1))</x:f>
        <x:v>1</x:v>
      </x:c>
      <x:c r="AM243" s="41" t="n">
        <x:f>AK243*AL243</x:f>
        <x:v>0.4</x:v>
      </x:c>
      <x:c r="AN243" s="42" t="n">
        <x:f>IF(E243="Credit",VLOOKUP(IF(LOWER(K243)="index","Credit Index","Credit Single Name"),Parameters!$J$4:$K$8,2,FALSE),IF(E243="Equity",VLOOKUP(IF(LOWER(K243)="index","Equity Index","Equity Single Name"),Parameters!$J$4:$K$8,2,FALSE),IF(E243="Commodity",VLOOKUP("Commodity",Parameters!$J$4:$K$8,2,FALSE),"")))</x:f>
        <x:v>0.4</x:v>
      </x:c>
      <x:c r="AO243" s="27" t="n">
        <x:f>MAX((O243-M243)/365,0)</x:f>
        <x:v>0</x:v>
      </x:c>
      <x:c r="AP243" s="27" t="n">
        <x:f>MAX((P243-M243)/365,10/Parameters!$B$6)</x:f>
        <x:v>5.465753424657534</x:v>
      </x:c>
      <x:c r="AQ243" s="27" t="n">
        <x:f>IF(AP243&lt;=AO243,AO243+10/Parameters!$B$6,AP243)</x:f>
        <x:v>5.465753424657534</x:v>
      </x:c>
      <x:c r="AR243" s="41" t="n">
        <x:f>IF(OR(E243="Interest Rate",E243="Credit"),(EXP(-Parameters!$B$7*AO243)-EXP(-Parameters!$B$7*AQ243))/Parameters!$B$7,1)</x:f>
        <x:v>1</x:v>
      </x:c>
      <x:c r="AS243" s="40" t="n">
        <x:f>IF(OR(E243="Interest Rate",E243="Credit"),ABS(Q243)*AR243,IF(E243="FX",IF(Q243&gt;0,Q243,MAX(ABS(R243),ABS(S243),ABS(Q243))),ABS(Q243)))</x:f>
        <x:v>47400000</x:v>
      </x:c>
      <x:c r="AT243" s="42" t="n">
        <x:f>IF(OR(E243="Interest Rate",E243="FX"),VLOOKUP(E243,Parameters!$M$4:$N$11,2,FALSE),IF(E243="Credit",VLOOKUP(IF(LOWER(K243)="index","Credit Index","Credit Single Name"),Parameters!$M$4:$N$11,2,FALSE),IF(E243="Equity",VLOOKUP(IF(LOWER(K243)="index","Equity Index","Equity Single Name"),Parameters!$M$4:$N$11,2,FALSE),IF(E243="Commodity",VLOOKUP(IF(F243="Electricity","Commodity Electricity","Commodity Other"),Parameters!$M$4:$N$11,2,FALSE),1))))</x:f>
        <x:v>1.5</x:v>
      </x:c>
      <x:c r="AU243" s="27" t="n">
        <x:f>IF(W243="B",1,-1)</x:f>
        <x:v>1</x:v>
      </x:c>
      <x:c r="AV243" s="27" t="n">
        <x:f>IF(OR(AA243="",M243=""),MAX(AE243,1/365),MAX((AA243-M243)/365,1/365))</x:f>
        <x:v>5.465753424657534</x:v>
      </x:c>
      <x:c r="AW243" s="41" t="str">
        <x:f>IF(OR(Z243&lt;=0,Y243&lt;=0,AT243&lt;=0,AV243&lt;=0),"",(LN(Z243/Y243)+0.5*AT243^2*AV243)/(AT243*SQRT(AV243)))</x:f>
      </x:c>
      <x:c r="AX243" s="41" t="n">
        <x:f>IF(AND(X243&lt;&gt;"C",X243&lt;&gt;"P"),AU243,IF(AW243="",AU243,IF(X243="C",AU243*0.5*(1+ERF(AW243/SQRT(2))),-AU243*0.5*(1+ERF(-AW243/SQRT(2))))))</x:f>
        <x:v>1</x:v>
      </x:c>
      <x:c r="AY243" s="41" t="n">
        <x:f>IF(AJ243="M",1.5*SQRT(MAX(IF(U243="Y",5,10),IF(V243="",10,V243))/Parameters!$B$6),SQRT(MIN(MAX(AE243,10/Parameters!$B$6),1)))</x:f>
        <x:v>0.30000000000000004</x:v>
      </x:c>
      <x:c r="AZ243" s="40" t="n">
        <x:f>AS243*AX243*AY243</x:f>
        <x:v>14220000.000000002</x:v>
      </x:c>
      <x:c r="BA243" s="40" t="n">
        <x:f>'Python_Trade_Output'!AZ243</x:f>
        <x:v>14220000.000000002</x:v>
      </x:c>
      <x:c r="BB243" s="43" t="n">
        <x:f>AZ243-BA243</x:f>
        <x:v>0</x:v>
      </x:c>
    </x:row>
    <x:row r="244">
      <x:c r="A244" s="27" t="str">
        <x:f>'Inputs_Trades'!D244</x:f>
        <x:v>IND-000241</x:v>
      </x:c>
      <x:c r="B244" s="27" t="str">
        <x:f>'Inputs_Trades'!B244</x:f>
        <x:v>IND_REGIONAL_BANK_001</x:v>
      </x:c>
      <x:c r="C244" s="27" t="n">
        <x:f>'Inputs_Trades'!C244</x:f>
        <x:v>3161</x:v>
      </x:c>
      <x:c r="D244" s="27" t="str">
        <x:f>'Inputs_Trades'!E244</x:f>
        <x:v>Credit TRS</x:v>
      </x:c>
      <x:c r="E244" s="27" t="str">
        <x:f>'Inputs_Trades'!F244</x:f>
        <x:v>Credit</x:v>
      </x:c>
      <x:c r="F244" s="27" t="n">
        <x:f>'Inputs_Trades'!G244</x:f>
        <x:v>0</x:v>
      </x:c>
      <x:c r="G244" s="27" t="str">
        <x:f>'Inputs_Trades'!J244</x:f>
        <x:v>USD</x:v>
      </x:c>
      <x:c r="H244" s="27" t="str">
        <x:f>'Inputs_Trades'!H244</x:f>
        <x:v>USD</x:v>
      </x:c>
      <x:c r="I244" s="27" t="n">
        <x:f>'Inputs_Trades'!I244</x:f>
        <x:v>0</x:v>
      </x:c>
      <x:c r="J244" s="27" t="str">
        <x:f>'Inputs_Trades'!M244</x:f>
        <x:v>CREDIT_INDEX_29</x:v>
      </x:c>
      <x:c r="K244" s="27" t="str">
        <x:f>'Inputs_Trades'!N244</x:f>
        <x:v>Singleton</x:v>
      </x:c>
      <x:c r="L244" s="27" t="str">
        <x:f>'Inputs_Trades'!O244</x:f>
        <x:v>B</x:v>
      </x:c>
      <x:c r="M244" s="39" t="n">
        <x:f>'Inputs_Trades'!A244</x:f>
        <x:v>45702</x:v>
      </x:c>
      <x:c r="N244" s="39" t="n">
        <x:f>'Inputs_Trades'!P244</x:f>
        <x:v>47735</x:v>
      </x:c>
      <x:c r="O244" s="39" t="n">
        <x:f>'Inputs_Trades'!Q244</x:f>
        <x:v>45099</x:v>
      </x:c>
      <x:c r="P244" s="39" t="n">
        <x:f>'Inputs_Trades'!R244</x:f>
        <x:v>47735</x:v>
      </x:c>
      <x:c r="Q244" s="40" t="n">
        <x:f>'Inputs_Trades'!U244</x:f>
        <x:v>45600000</x:v>
      </x:c>
      <x:c r="R244" s="40" t="n">
        <x:f>'Inputs_Trades'!S244</x:f>
        <x:v>45600000</x:v>
      </x:c>
      <x:c r="S244" s="40" t="n">
        <x:f>'Inputs_Trades'!T244</x:f>
        <x:v>0</x:v>
      </x:c>
      <x:c r="T244" s="27" t="str">
        <x:f>'Inputs_Trades'!V244</x:f>
        <x:v>U</x:v>
      </x:c>
      <x:c r="U244" s="27" t="str">
        <x:f>'Inputs_Trades'!W244</x:f>
        <x:v>N</x:v>
      </x:c>
      <x:c r="V244" s="27" t="n">
        <x:f>'Inputs_Trades'!X244</x:f>
        <x:v>0</x:v>
      </x:c>
      <x:c r="W244" s="27" t="str">
        <x:f>'Inputs_Trades'!Y244</x:f>
        <x:v>S</x:v>
      </x:c>
      <x:c r="X244" s="27" t="n">
        <x:f>'Inputs_Trades'!AA244</x:f>
        <x:v>0</x:v>
      </x:c>
      <x:c r="Y244" s="27" t="n">
        <x:f>'Inputs_Trades'!AB244</x:f>
        <x:v>0</x:v>
      </x:c>
      <x:c r="Z244" s="27" t="n">
        <x:f>'Inputs_Trades'!AC244</x:f>
        <x:v>0</x:v>
      </x:c>
      <x:c r="AA244" s="39" t="n">
        <x:f>'Inputs_Trades'!Z244</x:f>
        <x:v>0</x:v>
      </x:c>
      <x:c r="AB244" s="40" t="n">
        <x:f>'Inputs_Trades'!AD244</x:f>
        <x:v>207024</x:v>
      </x:c>
      <x:c r="AC244" s="27" t="n">
        <x:f>'Inputs_Trades'!K244</x:f>
        <x:v>0</x:v>
      </x:c>
      <x:c r="AD244" s="27" t="n">
        <x:f>N244-M244</x:f>
        <x:v>2033</x:v>
      </x:c>
      <x:c r="AE244" s="41" t="n">
        <x:f>AD244/365</x:f>
        <x:v>5.5698630136986305</x:v>
      </x:c>
      <x:c r="AF244" s="27" t="str">
        <x:f>IF(AE244&lt;1,"&lt;1Y",IF(AE244&lt;=5,"1Y-5Y","&gt;5Y"))</x:f>
        <x:v>&gt;5Y</x:v>
      </x:c>
      <x:c r="AG244" s="27" t="str">
        <x:f>IF(E244="Commodity",IFERROR(VLOOKUP(F244,Parameters!$P$4:$Q$12,2,FALSE),"Other"),"")</x:f>
      </x:c>
      <x:c r="AH244" s="27" t="str">
        <x:f>IF(F244="","Unknown",F244)</x:f>
        <x:v>Unknown</x:v>
      </x:c>
      <x:c r="AI244" s="27" t="str">
        <x:f>IF(E244="Interest Rate",G244&amp;IF(OR(LOWER(AC244)="basis",LOWER(AC244)="volatility"),"_"&amp;AC244,""),IF(E244="FX",IF(H244&lt;I244,H244&amp;"/"&amp;I244,I244&amp;"/"&amp;H244)&amp;IF(OR(LOWER(AC244)="basis",LOWER(AC244)="volatility"),"_"&amp;AC244,""),IF(OR(E244="Credit",E244="Equity"),J244&amp;IF(OR(LOWER(AC244)="basis",LOWER(AC244)="volatility"),"_"&amp;AC244,""),IF(E244="Commodity",AG244&amp;IF(OR(LOWER(AC244)="basis",LOWER(AC244)="volatility"),"_"&amp;AC244,""),"UNKNOWN"))))</x:f>
        <x:v>CREDIT_INDEX_29</x:v>
      </x:c>
      <x:c r="AJ244" s="27" t="str">
        <x:f>T244</x:f>
        <x:v>U</x:v>
      </x:c>
      <x:c r="AK244" s="41" t="n">
        <x:f>IF(E244="Interest Rate",VLOOKUP("Interest Rate",Parameters!$D$4:$E$12,2,FALSE),IF(E244="FX",VLOOKUP("FX",Parameters!$D$4:$E$12,2,FALSE),IF(E244="Credit",IFERROR(VLOOKUP(L244,Parameters!$G$4:$H$12,2,FALSE),VLOOKUP("BBB",Parameters!$G$4:$H$12,2,FALSE)),IF(E244="Equity",VLOOKUP(IF(LOWER(K244)="index","Equity Index","Equity Single Name"),Parameters!$D$4:$E$12,2,FALSE),IF(E244="Commodity",VLOOKUP(IFERROR(VLOOKUP(F244,Parameters!$S$4:$T$12,2,FALSE),"Commodity Other"),Parameters!$D$4:$E$12,2,FALSE),0)))))</x:f>
        <x:v>0.016</x:v>
      </x:c>
      <x:c r="AL244" s="42" t="n">
        <x:f>IF(LOWER(AC244)="basis",Parameters!$B$8,IF(LOWER(AC244)="volatility",Parameters!$B$9,1))</x:f>
        <x:v>1</x:v>
      </x:c>
      <x:c r="AM244" s="41" t="n">
        <x:f>AK244*AL244</x:f>
        <x:v>0.016</x:v>
      </x:c>
      <x:c r="AN244" s="42" t="n">
        <x:f>IF(E244="Credit",VLOOKUP(IF(LOWER(K244)="index","Credit Index","Credit Single Name"),Parameters!$J$4:$K$8,2,FALSE),IF(E244="Equity",VLOOKUP(IF(LOWER(K244)="index","Equity Index","Equity Single Name"),Parameters!$J$4:$K$8,2,FALSE),IF(E244="Commodity",VLOOKUP("Commodity",Parameters!$J$4:$K$8,2,FALSE),"")))</x:f>
        <x:v>0.5</x:v>
      </x:c>
      <x:c r="AO244" s="27" t="n">
        <x:f>MAX((O244-M244)/365,0)</x:f>
        <x:v>0</x:v>
      </x:c>
      <x:c r="AP244" s="27" t="n">
        <x:f>MAX((P244-M244)/365,10/Parameters!$B$6)</x:f>
        <x:v>5.5698630136986305</x:v>
      </x:c>
      <x:c r="AQ244" s="27" t="n">
        <x:f>IF(AP244&lt;=AO244,AO244+10/Parameters!$B$6,AP244)</x:f>
        <x:v>5.5698630136986305</x:v>
      </x:c>
      <x:c r="AR244" s="41" t="n">
        <x:f>IF(OR(E244="Interest Rate",E244="Credit"),(EXP(-Parameters!$B$7*AO244)-EXP(-Parameters!$B$7*AQ244))/Parameters!$B$7,1)</x:f>
        <x:v>4.861530957212847</x:v>
      </x:c>
      <x:c r="AS244" s="40" t="n">
        <x:f>IF(OR(E244="Interest Rate",E244="Credit"),ABS(Q244)*AR244,IF(E244="FX",IF(Q244&gt;0,Q244,MAX(ABS(R244),ABS(S244),ABS(Q244))),ABS(Q244)))</x:f>
        <x:v>221685811.6489058</x:v>
      </x:c>
      <x:c r="AT244" s="42" t="n">
        <x:f>IF(OR(E244="Interest Rate",E244="FX"),VLOOKUP(E244,Parameters!$M$4:$N$11,2,FALSE),IF(E244="Credit",VLOOKUP(IF(LOWER(K244)="index","Credit Index","Credit Single Name"),Parameters!$M$4:$N$11,2,FALSE),IF(E244="Equity",VLOOKUP(IF(LOWER(K244)="index","Equity Index","Equity Single Name"),Parameters!$M$4:$N$11,2,FALSE),IF(E244="Commodity",VLOOKUP(IF(F244="Electricity","Commodity Electricity","Commodity Other"),Parameters!$M$4:$N$11,2,FALSE),1))))</x:f>
        <x:v>1</x:v>
      </x:c>
      <x:c r="AU244" s="27" t="n">
        <x:f>IF(W244="B",1,-1)</x:f>
        <x:v>-1</x:v>
      </x:c>
      <x:c r="AV244" s="27" t="n">
        <x:f>IF(OR(AA244="",M244=""),MAX(AE244,1/365),MAX((AA244-M244)/365,1/365))</x:f>
        <x:v>5.5698630136986305</x:v>
      </x:c>
      <x:c r="AW244" s="41" t="str">
        <x:f>IF(OR(Z244&lt;=0,Y244&lt;=0,AT244&lt;=0,AV244&lt;=0),"",(LN(Z244/Y244)+0.5*AT244^2*AV244)/(AT244*SQRT(AV244)))</x:f>
      </x:c>
      <x:c r="AX244" s="41" t="n">
        <x:f>IF(AND(X244&lt;&gt;"C",X244&lt;&gt;"P"),AU244,IF(AW244="",AU244,IF(X244="C",AU244*0.5*(1+ERF(AW244/SQRT(2))),-AU244*0.5*(1+ERF(-AW244/SQRT(2))))))</x:f>
        <x:v>-1</x:v>
      </x:c>
      <x:c r="AY244" s="41" t="n">
        <x:f>IF(AJ244="M",1.5*SQRT(MAX(IF(U244="Y",5,10),IF(V244="",10,V244))/Parameters!$B$6),SQRT(MIN(MAX(AE244,10/Parameters!$B$6),1)))</x:f>
        <x:v>1</x:v>
      </x:c>
      <x:c r="AZ244" s="40" t="n">
        <x:f>AS244*AX244*AY244</x:f>
        <x:v>-221685811.6489058</x:v>
      </x:c>
      <x:c r="BA244" s="40" t="n">
        <x:f>'Python_Trade_Output'!AZ244</x:f>
        <x:v>-221685811.6489058</x:v>
      </x:c>
      <x:c r="BB244" s="43" t="n">
        <x:f>AZ244-BA244</x:f>
        <x:v>0</x:v>
      </x:c>
    </x:row>
    <x:row r="245">
      <x:c r="A245" s="27" t="str">
        <x:f>'Inputs_Trades'!D245</x:f>
        <x:v>IND-000242</x:v>
      </x:c>
      <x:c r="B245" s="27" t="str">
        <x:f>'Inputs_Trades'!B245</x:f>
        <x:v>IND_BANK_002</x:v>
      </x:c>
      <x:c r="C245" s="27" t="n">
        <x:f>'Inputs_Trades'!C245</x:f>
        <x:v>3341</x:v>
      </x:c>
      <x:c r="D245" s="27" t="str">
        <x:f>'Inputs_Trades'!E245</x:f>
        <x:v>Credit TRS</x:v>
      </x:c>
      <x:c r="E245" s="27" t="str">
        <x:f>'Inputs_Trades'!F245</x:f>
        <x:v>Credit</x:v>
      </x:c>
      <x:c r="F245" s="27" t="n">
        <x:f>'Inputs_Trades'!G245</x:f>
        <x:v>0</x:v>
      </x:c>
      <x:c r="G245" s="27" t="str">
        <x:f>'Inputs_Trades'!J245</x:f>
        <x:v>USD</x:v>
      </x:c>
      <x:c r="H245" s="27" t="str">
        <x:f>'Inputs_Trades'!H245</x:f>
        <x:v>USD</x:v>
      </x:c>
      <x:c r="I245" s="27" t="n">
        <x:f>'Inputs_Trades'!I245</x:f>
        <x:v>0</x:v>
      </x:c>
      <x:c r="J245" s="27" t="str">
        <x:f>'Inputs_Trades'!M245</x:f>
        <x:v>CREDIT_INDEX_13</x:v>
      </x:c>
      <x:c r="K245" s="27" t="str">
        <x:f>'Inputs_Trades'!N245</x:f>
        <x:v>Singleton</x:v>
      </x:c>
      <x:c r="L245" s="27" t="str">
        <x:f>'Inputs_Trades'!O245</x:f>
        <x:v>AA</x:v>
      </x:c>
      <x:c r="M245" s="39" t="n">
        <x:f>'Inputs_Trades'!A245</x:f>
        <x:v>45702</x:v>
      </x:c>
      <x:c r="N245" s="39" t="n">
        <x:f>'Inputs_Trades'!P245</x:f>
        <x:v>47473</x:v>
      </x:c>
      <x:c r="O245" s="39" t="n">
        <x:f>'Inputs_Trades'!Q245</x:f>
        <x:v>45054</x:v>
      </x:c>
      <x:c r="P245" s="39" t="n">
        <x:f>'Inputs_Trades'!R245</x:f>
        <x:v>47473</x:v>
      </x:c>
      <x:c r="Q245" s="40" t="n">
        <x:f>'Inputs_Trades'!U245</x:f>
        <x:v>77300000</x:v>
      </x:c>
      <x:c r="R245" s="40" t="n">
        <x:f>'Inputs_Trades'!S245</x:f>
        <x:v>77300000</x:v>
      </x:c>
      <x:c r="S245" s="40" t="n">
        <x:f>'Inputs_Trades'!T245</x:f>
        <x:v>0</x:v>
      </x:c>
      <x:c r="T245" s="27" t="str">
        <x:f>'Inputs_Trades'!V245</x:f>
        <x:v>M</x:v>
      </x:c>
      <x:c r="U245" s="27" t="str">
        <x:f>'Inputs_Trades'!W245</x:f>
        <x:v>N</x:v>
      </x:c>
      <x:c r="V245" s="27" t="n">
        <x:f>'Inputs_Trades'!X245</x:f>
        <x:v>10</x:v>
      </x:c>
      <x:c r="W245" s="27" t="str">
        <x:f>'Inputs_Trades'!Y245</x:f>
        <x:v>B</x:v>
      </x:c>
      <x:c r="X245" s="27" t="n">
        <x:f>'Inputs_Trades'!AA245</x:f>
        <x:v>0</x:v>
      </x:c>
      <x:c r="Y245" s="27" t="n">
        <x:f>'Inputs_Trades'!AB245</x:f>
        <x:v>0</x:v>
      </x:c>
      <x:c r="Z245" s="27" t="n">
        <x:f>'Inputs_Trades'!AC245</x:f>
        <x:v>0</x:v>
      </x:c>
      <x:c r="AA245" s="39" t="n">
        <x:f>'Inputs_Trades'!Z245</x:f>
        <x:v>0</x:v>
      </x:c>
      <x:c r="AB245" s="40" t="n">
        <x:f>'Inputs_Trades'!AD245</x:f>
        <x:v>-1417682</x:v>
      </x:c>
      <x:c r="AC245" s="27" t="n">
        <x:f>'Inputs_Trades'!K245</x:f>
        <x:v>0</x:v>
      </x:c>
      <x:c r="AD245" s="27" t="n">
        <x:f>N245-M245</x:f>
        <x:v>1771</x:v>
      </x:c>
      <x:c r="AE245" s="41" t="n">
        <x:f>AD245/365</x:f>
        <x:v>4.852054794520548</x:v>
      </x:c>
      <x:c r="AF245" s="27" t="str">
        <x:f>IF(AE245&lt;1,"&lt;1Y",IF(AE245&lt;=5,"1Y-5Y","&gt;5Y"))</x:f>
        <x:v>1Y-5Y</x:v>
      </x:c>
      <x:c r="AG245" s="27" t="str">
        <x:f>IF(E245="Commodity",IFERROR(VLOOKUP(F245,Parameters!$P$4:$Q$12,2,FALSE),"Other"),"")</x:f>
      </x:c>
      <x:c r="AH245" s="27" t="str">
        <x:f>IF(F245="","Unknown",F245)</x:f>
        <x:v>Unknown</x:v>
      </x:c>
      <x:c r="AI245" s="27" t="str">
        <x:f>IF(E245="Interest Rate",G245&amp;IF(OR(LOWER(AC245)="basis",LOWER(AC245)="volatility"),"_"&amp;AC245,""),IF(E245="FX",IF(H245&lt;I245,H245&amp;"/"&amp;I245,I245&amp;"/"&amp;H245)&amp;IF(OR(LOWER(AC245)="basis",LOWER(AC245)="volatility"),"_"&amp;AC245,""),IF(OR(E245="Credit",E245="Equity"),J245&amp;IF(OR(LOWER(AC245)="basis",LOWER(AC245)="volatility"),"_"&amp;AC245,""),IF(E245="Commodity",AG245&amp;IF(OR(LOWER(AC245)="basis",LOWER(AC245)="volatility"),"_"&amp;AC245,""),"UNKNOWN"))))</x:f>
        <x:v>CREDIT_INDEX_13</x:v>
      </x:c>
      <x:c r="AJ245" s="27" t="str">
        <x:f>T245</x:f>
        <x:v>M</x:v>
      </x:c>
      <x:c r="AK245" s="41" t="n">
        <x:f>IF(E245="Interest Rate",VLOOKUP("Interest Rate",Parameters!$D$4:$E$12,2,FALSE),IF(E245="FX",VLOOKUP("FX",Parameters!$D$4:$E$12,2,FALSE),IF(E245="Credit",IFERROR(VLOOKUP(L245,Parameters!$G$4:$H$12,2,FALSE),VLOOKUP("BBB",Parameters!$G$4:$H$12,2,FALSE)),IF(E245="Equity",VLOOKUP(IF(LOWER(K245)="index","Equity Index","Equity Single Name"),Parameters!$D$4:$E$12,2,FALSE),IF(E245="Commodity",VLOOKUP(IFERROR(VLOOKUP(F245,Parameters!$S$4:$T$12,2,FALSE),"Commodity Other"),Parameters!$D$4:$E$12,2,FALSE),0)))))</x:f>
        <x:v>0.0038</x:v>
      </x:c>
      <x:c r="AL245" s="42" t="n">
        <x:f>IF(LOWER(AC245)="basis",Parameters!$B$8,IF(LOWER(AC245)="volatility",Parameters!$B$9,1))</x:f>
        <x:v>1</x:v>
      </x:c>
      <x:c r="AM245" s="41" t="n">
        <x:f>AK245*AL245</x:f>
        <x:v>0.0038</x:v>
      </x:c>
      <x:c r="AN245" s="42" t="n">
        <x:f>IF(E245="Credit",VLOOKUP(IF(LOWER(K245)="index","Credit Index","Credit Single Name"),Parameters!$J$4:$K$8,2,FALSE),IF(E245="Equity",VLOOKUP(IF(LOWER(K245)="index","Equity Index","Equity Single Name"),Parameters!$J$4:$K$8,2,FALSE),IF(E245="Commodity",VLOOKUP("Commodity",Parameters!$J$4:$K$8,2,FALSE),"")))</x:f>
        <x:v>0.5</x:v>
      </x:c>
      <x:c r="AO245" s="27" t="n">
        <x:f>MAX((O245-M245)/365,0)</x:f>
        <x:v>0</x:v>
      </x:c>
      <x:c r="AP245" s="27" t="n">
        <x:f>MAX((P245-M245)/365,10/Parameters!$B$6)</x:f>
        <x:v>4.852054794520548</x:v>
      </x:c>
      <x:c r="AQ245" s="27" t="n">
        <x:f>IF(AP245&lt;=AO245,AO245+10/Parameters!$B$6,AP245)</x:f>
        <x:v>4.852054794520548</x:v>
      </x:c>
      <x:c r="AR245" s="41" t="n">
        <x:f>IF(OR(E245="Interest Rate",E245="Credit"),(EXP(-Parameters!$B$7*AO245)-EXP(-Parameters!$B$7*AQ245))/Parameters!$B$7,1)</x:f>
        <x:v>4.3083372883725835</x:v>
      </x:c>
      <x:c r="AS245" s="40" t="n">
        <x:f>IF(OR(E245="Interest Rate",E245="Credit"),ABS(Q245)*AR245,IF(E245="FX",IF(Q245&gt;0,Q245,MAX(ABS(R245),ABS(S245),ABS(Q245))),ABS(Q245)))</x:f>
        <x:v>333034472.3912007</x:v>
      </x:c>
      <x:c r="AT245" s="42" t="n">
        <x:f>IF(OR(E245="Interest Rate",E245="FX"),VLOOKUP(E245,Parameters!$M$4:$N$11,2,FALSE),IF(E245="Credit",VLOOKUP(IF(LOWER(K245)="index","Credit Index","Credit Single Name"),Parameters!$M$4:$N$11,2,FALSE),IF(E245="Equity",VLOOKUP(IF(LOWER(K245)="index","Equity Index","Equity Single Name"),Parameters!$M$4:$N$11,2,FALSE),IF(E245="Commodity",VLOOKUP(IF(F245="Electricity","Commodity Electricity","Commodity Other"),Parameters!$M$4:$N$11,2,FALSE),1))))</x:f>
        <x:v>1</x:v>
      </x:c>
      <x:c r="AU245" s="27" t="n">
        <x:f>IF(W245="B",1,-1)</x:f>
        <x:v>1</x:v>
      </x:c>
      <x:c r="AV245" s="27" t="n">
        <x:f>IF(OR(AA245="",M245=""),MAX(AE245,1/365),MAX((AA245-M245)/365,1/365))</x:f>
        <x:v>4.852054794520548</x:v>
      </x:c>
      <x:c r="AW245" s="41" t="str">
        <x:f>IF(OR(Z245&lt;=0,Y245&lt;=0,AT245&lt;=0,AV245&lt;=0),"",(LN(Z245/Y245)+0.5*AT245^2*AV245)/(AT245*SQRT(AV245)))</x:f>
      </x:c>
      <x:c r="AX245" s="41" t="n">
        <x:f>IF(AND(X245&lt;&gt;"C",X245&lt;&gt;"P"),AU245,IF(AW245="",AU245,IF(X245="C",AU245*0.5*(1+ERF(AW245/SQRT(2))),-AU245*0.5*(1+ERF(-AW245/SQRT(2))))))</x:f>
        <x:v>1</x:v>
      </x:c>
      <x:c r="AY245" s="41" t="n">
        <x:f>IF(AJ245="M",1.5*SQRT(MAX(IF(U245="Y",5,10),IF(V245="",10,V245))/Parameters!$B$6),SQRT(MIN(MAX(AE245,10/Parameters!$B$6),1)))</x:f>
        <x:v>0.30000000000000004</x:v>
      </x:c>
      <x:c r="AZ245" s="40" t="n">
        <x:f>AS245*AX245*AY245</x:f>
        <x:v>99910341.71736023</x:v>
      </x:c>
      <x:c r="BA245" s="40" t="n">
        <x:f>'Python_Trade_Output'!AZ245</x:f>
        <x:v>99910341.71736027</x:v>
      </x:c>
      <x:c r="BB245" s="43" t="n">
        <x:f>AZ245-BA245</x:f>
        <x:v>-4.470348358154297e-8</x:v>
      </x:c>
    </x:row>
    <x:row r="246">
      <x:c r="A246" s="27" t="str">
        <x:f>'Inputs_Trades'!D246</x:f>
        <x:v>IND-000243</x:v>
      </x:c>
      <x:c r="B246" s="27" t="str">
        <x:f>'Inputs_Trades'!B246</x:f>
        <x:v>IND_INSURER_001</x:v>
      </x:c>
      <x:c r="C246" s="27" t="n">
        <x:f>'Inputs_Trades'!C246</x:f>
        <x:v>3338</x:v>
      </x:c>
      <x:c r="D246" s="27" t="str">
        <x:f>'Inputs_Trades'!E246</x:f>
        <x:v>Credit TRS</x:v>
      </x:c>
      <x:c r="E246" s="27" t="str">
        <x:f>'Inputs_Trades'!F246</x:f>
        <x:v>Credit</x:v>
      </x:c>
      <x:c r="F246" s="27" t="n">
        <x:f>'Inputs_Trades'!G246</x:f>
        <x:v>0</x:v>
      </x:c>
      <x:c r="G246" s="27" t="str">
        <x:f>'Inputs_Trades'!J246</x:f>
        <x:v>USD</x:v>
      </x:c>
      <x:c r="H246" s="27" t="str">
        <x:f>'Inputs_Trades'!H246</x:f>
        <x:v>USD</x:v>
      </x:c>
      <x:c r="I246" s="27" t="n">
        <x:f>'Inputs_Trades'!I246</x:f>
        <x:v>0</x:v>
      </x:c>
      <x:c r="J246" s="27" t="str">
        <x:f>'Inputs_Trades'!M246</x:f>
        <x:v>CREDIT_INDEX_01</x:v>
      </x:c>
      <x:c r="K246" s="27" t="str">
        <x:f>'Inputs_Trades'!N246</x:f>
        <x:v>Singleton</x:v>
      </x:c>
      <x:c r="L246" s="27" t="str">
        <x:f>'Inputs_Trades'!O246</x:f>
        <x:v>AA</x:v>
      </x:c>
      <x:c r="M246" s="39" t="n">
        <x:f>'Inputs_Trades'!A246</x:f>
        <x:v>45702</x:v>
      </x:c>
      <x:c r="N246" s="39" t="n">
        <x:f>'Inputs_Trades'!P246</x:f>
        <x:v>46465</x:v>
      </x:c>
      <x:c r="O246" s="39" t="n">
        <x:f>'Inputs_Trades'!Q246</x:f>
        <x:v>44901</x:v>
      </x:c>
      <x:c r="P246" s="39" t="n">
        <x:f>'Inputs_Trades'!R246</x:f>
        <x:v>46465</x:v>
      </x:c>
      <x:c r="Q246" s="40" t="n">
        <x:f>'Inputs_Trades'!U246</x:f>
        <x:v>31900000</x:v>
      </x:c>
      <x:c r="R246" s="40" t="n">
        <x:f>'Inputs_Trades'!S246</x:f>
        <x:v>31900000</x:v>
      </x:c>
      <x:c r="S246" s="40" t="n">
        <x:f>'Inputs_Trades'!T246</x:f>
        <x:v>0</x:v>
      </x:c>
      <x:c r="T246" s="27" t="str">
        <x:f>'Inputs_Trades'!V246</x:f>
        <x:v>U</x:v>
      </x:c>
      <x:c r="U246" s="27" t="str">
        <x:f>'Inputs_Trades'!W246</x:f>
        <x:v>N</x:v>
      </x:c>
      <x:c r="V246" s="27" t="n">
        <x:f>'Inputs_Trades'!X246</x:f>
        <x:v>0</x:v>
      </x:c>
      <x:c r="W246" s="27" t="str">
        <x:f>'Inputs_Trades'!Y246</x:f>
        <x:v>B</x:v>
      </x:c>
      <x:c r="X246" s="27" t="n">
        <x:f>'Inputs_Trades'!AA246</x:f>
        <x:v>0</x:v>
      </x:c>
      <x:c r="Y246" s="27" t="n">
        <x:f>'Inputs_Trades'!AB246</x:f>
        <x:v>0</x:v>
      </x:c>
      <x:c r="Z246" s="27" t="n">
        <x:f>'Inputs_Trades'!AC246</x:f>
        <x:v>0</x:v>
      </x:c>
      <x:c r="AA246" s="39" t="n">
        <x:f>'Inputs_Trades'!Z246</x:f>
        <x:v>0</x:v>
      </x:c>
      <x:c r="AB246" s="40" t="n">
        <x:f>'Inputs_Trades'!AD246</x:f>
        <x:v>-54868</x:v>
      </x:c>
      <x:c r="AC246" s="27" t="n">
        <x:f>'Inputs_Trades'!K246</x:f>
        <x:v>0</x:v>
      </x:c>
      <x:c r="AD246" s="27" t="n">
        <x:f>N246-M246</x:f>
        <x:v>763</x:v>
      </x:c>
      <x:c r="AE246" s="41" t="n">
        <x:f>AD246/365</x:f>
        <x:v>2.0904109589041098</x:v>
      </x:c>
      <x:c r="AF246" s="27" t="str">
        <x:f>IF(AE246&lt;1,"&lt;1Y",IF(AE246&lt;=5,"1Y-5Y","&gt;5Y"))</x:f>
        <x:v>1Y-5Y</x:v>
      </x:c>
      <x:c r="AG246" s="27" t="str">
        <x:f>IF(E246="Commodity",IFERROR(VLOOKUP(F246,Parameters!$P$4:$Q$12,2,FALSE),"Other"),"")</x:f>
      </x:c>
      <x:c r="AH246" s="27" t="str">
        <x:f>IF(F246="","Unknown",F246)</x:f>
        <x:v>Unknown</x:v>
      </x:c>
      <x:c r="AI246" s="27" t="str">
        <x:f>IF(E246="Interest Rate",G246&amp;IF(OR(LOWER(AC246)="basis",LOWER(AC246)="volatility"),"_"&amp;AC246,""),IF(E246="FX",IF(H246&lt;I246,H246&amp;"/"&amp;I246,I246&amp;"/"&amp;H246)&amp;IF(OR(LOWER(AC246)="basis",LOWER(AC246)="volatility"),"_"&amp;AC246,""),IF(OR(E246="Credit",E246="Equity"),J246&amp;IF(OR(LOWER(AC246)="basis",LOWER(AC246)="volatility"),"_"&amp;AC246,""),IF(E246="Commodity",AG246&amp;IF(OR(LOWER(AC246)="basis",LOWER(AC246)="volatility"),"_"&amp;AC246,""),"UNKNOWN"))))</x:f>
        <x:v>CREDIT_INDEX_01</x:v>
      </x:c>
      <x:c r="AJ246" s="27" t="str">
        <x:f>T246</x:f>
        <x:v>U</x:v>
      </x:c>
      <x:c r="AK246" s="41" t="n">
        <x:f>IF(E246="Interest Rate",VLOOKUP("Interest Rate",Parameters!$D$4:$E$12,2,FALSE),IF(E246="FX",VLOOKUP("FX",Parameters!$D$4:$E$12,2,FALSE),IF(E246="Credit",IFERROR(VLOOKUP(L246,Parameters!$G$4:$H$12,2,FALSE),VLOOKUP("BBB",Parameters!$G$4:$H$12,2,FALSE)),IF(E246="Equity",VLOOKUP(IF(LOWER(K246)="index","Equity Index","Equity Single Name"),Parameters!$D$4:$E$12,2,FALSE),IF(E246="Commodity",VLOOKUP(IFERROR(VLOOKUP(F246,Parameters!$S$4:$T$12,2,FALSE),"Commodity Other"),Parameters!$D$4:$E$12,2,FALSE),0)))))</x:f>
        <x:v>0.0038</x:v>
      </x:c>
      <x:c r="AL246" s="42" t="n">
        <x:f>IF(LOWER(AC246)="basis",Parameters!$B$8,IF(LOWER(AC246)="volatility",Parameters!$B$9,1))</x:f>
        <x:v>1</x:v>
      </x:c>
      <x:c r="AM246" s="41" t="n">
        <x:f>AK246*AL246</x:f>
        <x:v>0.0038</x:v>
      </x:c>
      <x:c r="AN246" s="42" t="n">
        <x:f>IF(E246="Credit",VLOOKUP(IF(LOWER(K246)="index","Credit Index","Credit Single Name"),Parameters!$J$4:$K$8,2,FALSE),IF(E246="Equity",VLOOKUP(IF(LOWER(K246)="index","Equity Index","Equity Single Name"),Parameters!$J$4:$K$8,2,FALSE),IF(E246="Commodity",VLOOKUP("Commodity",Parameters!$J$4:$K$8,2,FALSE),"")))</x:f>
        <x:v>0.5</x:v>
      </x:c>
      <x:c r="AO246" s="27" t="n">
        <x:f>MAX((O246-M246)/365,0)</x:f>
        <x:v>0</x:v>
      </x:c>
      <x:c r="AP246" s="27" t="n">
        <x:f>MAX((P246-M246)/365,10/Parameters!$B$6)</x:f>
        <x:v>2.0904109589041098</x:v>
      </x:c>
      <x:c r="AQ246" s="27" t="n">
        <x:f>IF(AP246&lt;=AO246,AO246+10/Parameters!$B$6,AP246)</x:f>
        <x:v>2.0904109589041098</x:v>
      </x:c>
      <x:c r="AR246" s="41" t="n">
        <x:f>IF(OR(E246="Interest Rate",E246="Credit"),(EXP(-Parameters!$B$7*AO246)-EXP(-Parameters!$B$7*AQ246))/Parameters!$B$7,1)</x:f>
        <x:v>1.9848742294827204</x:v>
      </x:c>
      <x:c r="AS246" s="40" t="n">
        <x:f>IF(OR(E246="Interest Rate",E246="Credit"),ABS(Q246)*AR246,IF(E246="FX",IF(Q246&gt;0,Q246,MAX(ABS(R246),ABS(S246),ABS(Q246))),ABS(Q246)))</x:f>
        <x:v>63317487.92049878</x:v>
      </x:c>
      <x:c r="AT246" s="42" t="n">
        <x:f>IF(OR(E246="Interest Rate",E246="FX"),VLOOKUP(E246,Parameters!$M$4:$N$11,2,FALSE),IF(E246="Credit",VLOOKUP(IF(LOWER(K246)="index","Credit Index","Credit Single Name"),Parameters!$M$4:$N$11,2,FALSE),IF(E246="Equity",VLOOKUP(IF(LOWER(K246)="index","Equity Index","Equity Single Name"),Parameters!$M$4:$N$11,2,FALSE),IF(E246="Commodity",VLOOKUP(IF(F246="Electricity","Commodity Electricity","Commodity Other"),Parameters!$M$4:$N$11,2,FALSE),1))))</x:f>
        <x:v>1</x:v>
      </x:c>
      <x:c r="AU246" s="27" t="n">
        <x:f>IF(W246="B",1,-1)</x:f>
        <x:v>1</x:v>
      </x:c>
      <x:c r="AV246" s="27" t="n">
        <x:f>IF(OR(AA246="",M246=""),MAX(AE246,1/365),MAX((AA246-M246)/365,1/365))</x:f>
        <x:v>2.0904109589041098</x:v>
      </x:c>
      <x:c r="AW246" s="41" t="str">
        <x:f>IF(OR(Z246&lt;=0,Y246&lt;=0,AT246&lt;=0,AV246&lt;=0),"",(LN(Z246/Y246)+0.5*AT246^2*AV246)/(AT246*SQRT(AV246)))</x:f>
      </x:c>
      <x:c r="AX246" s="41" t="n">
        <x:f>IF(AND(X246&lt;&gt;"C",X246&lt;&gt;"P"),AU246,IF(AW246="",AU246,IF(X246="C",AU246*0.5*(1+ERF(AW246/SQRT(2))),-AU246*0.5*(1+ERF(-AW246/SQRT(2))))))</x:f>
        <x:v>1</x:v>
      </x:c>
      <x:c r="AY246" s="41" t="n">
        <x:f>IF(AJ246="M",1.5*SQRT(MAX(IF(U246="Y",5,10),IF(V246="",10,V246))/Parameters!$B$6),SQRT(MIN(MAX(AE246,10/Parameters!$B$6),1)))</x:f>
        <x:v>1</x:v>
      </x:c>
      <x:c r="AZ246" s="40" t="n">
        <x:f>AS246*AX246*AY246</x:f>
        <x:v>63317487.92049878</x:v>
      </x:c>
      <x:c r="BA246" s="40" t="n">
        <x:f>'Python_Trade_Output'!AZ246</x:f>
        <x:v>63317487.92049878</x:v>
      </x:c>
      <x:c r="BB246" s="43" t="n">
        <x:f>AZ246-BA246</x:f>
        <x:v>0</x:v>
      </x:c>
    </x:row>
    <x:row r="247">
      <x:c r="A247" s="27" t="str">
        <x:f>'Inputs_Trades'!D247</x:f>
        <x:v>IND-000244</x:v>
      </x:c>
      <x:c r="B247" s="27" t="str">
        <x:f>'Inputs_Trades'!B247</x:f>
        <x:v>IND_ASSET_MANAGER_001</x:v>
      </x:c>
      <x:c r="C247" s="27" t="n">
        <x:f>'Inputs_Trades'!C247</x:f>
        <x:v>3277</x:v>
      </x:c>
      <x:c r="D247" s="27" t="str">
        <x:f>'Inputs_Trades'!E247</x:f>
        <x:v>Credit TRS</x:v>
      </x:c>
      <x:c r="E247" s="27" t="str">
        <x:f>'Inputs_Trades'!F247</x:f>
        <x:v>Credit</x:v>
      </x:c>
      <x:c r="F247" s="27" t="n">
        <x:f>'Inputs_Trades'!G247</x:f>
        <x:v>0</x:v>
      </x:c>
      <x:c r="G247" s="27" t="str">
        <x:f>'Inputs_Trades'!J247</x:f>
        <x:v>USD</x:v>
      </x:c>
      <x:c r="H247" s="27" t="str">
        <x:f>'Inputs_Trades'!H247</x:f>
        <x:v>USD</x:v>
      </x:c>
      <x:c r="I247" s="27" t="n">
        <x:f>'Inputs_Trades'!I247</x:f>
        <x:v>0</x:v>
      </x:c>
      <x:c r="J247" s="27" t="str">
        <x:f>'Inputs_Trades'!M247</x:f>
        <x:v>CREDIT_INDEX_21</x:v>
      </x:c>
      <x:c r="K247" s="27" t="str">
        <x:f>'Inputs_Trades'!N247</x:f>
        <x:v>Singleton</x:v>
      </x:c>
      <x:c r="L247" s="27" t="str">
        <x:f>'Inputs_Trades'!O247</x:f>
        <x:v>BBB</x:v>
      </x:c>
      <x:c r="M247" s="39" t="n">
        <x:f>'Inputs_Trades'!A247</x:f>
        <x:v>45702</x:v>
      </x:c>
      <x:c r="N247" s="39" t="n">
        <x:f>'Inputs_Trades'!P247</x:f>
        <x:v>46568</x:v>
      </x:c>
      <x:c r="O247" s="39" t="n">
        <x:f>'Inputs_Trades'!Q247</x:f>
        <x:v>45615</x:v>
      </x:c>
      <x:c r="P247" s="39" t="n">
        <x:f>'Inputs_Trades'!R247</x:f>
        <x:v>46568</x:v>
      </x:c>
      <x:c r="Q247" s="40" t="n">
        <x:f>'Inputs_Trades'!U247</x:f>
        <x:v>84800000</x:v>
      </x:c>
      <x:c r="R247" s="40" t="n">
        <x:f>'Inputs_Trades'!S247</x:f>
        <x:v>84800000</x:v>
      </x:c>
      <x:c r="S247" s="40" t="n">
        <x:f>'Inputs_Trades'!T247</x:f>
        <x:v>0</x:v>
      </x:c>
      <x:c r="T247" s="27" t="str">
        <x:f>'Inputs_Trades'!V247</x:f>
        <x:v>U</x:v>
      </x:c>
      <x:c r="U247" s="27" t="str">
        <x:f>'Inputs_Trades'!W247</x:f>
        <x:v>N</x:v>
      </x:c>
      <x:c r="V247" s="27" t="n">
        <x:f>'Inputs_Trades'!X247</x:f>
        <x:v>0</x:v>
      </x:c>
      <x:c r="W247" s="27" t="str">
        <x:f>'Inputs_Trades'!Y247</x:f>
        <x:v>S</x:v>
      </x:c>
      <x:c r="X247" s="27" t="n">
        <x:f>'Inputs_Trades'!AA247</x:f>
        <x:v>0</x:v>
      </x:c>
      <x:c r="Y247" s="27" t="n">
        <x:f>'Inputs_Trades'!AB247</x:f>
        <x:v>0</x:v>
      </x:c>
      <x:c r="Z247" s="27" t="n">
        <x:f>'Inputs_Trades'!AC247</x:f>
        <x:v>0</x:v>
      </x:c>
      <x:c r="AA247" s="39" t="n">
        <x:f>'Inputs_Trades'!Z247</x:f>
        <x:v>0</x:v>
      </x:c>
      <x:c r="AB247" s="40" t="n">
        <x:f>'Inputs_Trades'!AD247</x:f>
        <x:v>-347680</x:v>
      </x:c>
      <x:c r="AC247" s="27" t="n">
        <x:f>'Inputs_Trades'!K247</x:f>
        <x:v>0</x:v>
      </x:c>
      <x:c r="AD247" s="27" t="n">
        <x:f>N247-M247</x:f>
        <x:v>866</x:v>
      </x:c>
      <x:c r="AE247" s="41" t="n">
        <x:f>AD247/365</x:f>
        <x:v>2.372602739726027</x:v>
      </x:c>
      <x:c r="AF247" s="27" t="str">
        <x:f>IF(AE247&lt;1,"&lt;1Y",IF(AE247&lt;=5,"1Y-5Y","&gt;5Y"))</x:f>
        <x:v>1Y-5Y</x:v>
      </x:c>
      <x:c r="AG247" s="27" t="str">
        <x:f>IF(E247="Commodity",IFERROR(VLOOKUP(F247,Parameters!$P$4:$Q$12,2,FALSE),"Other"),"")</x:f>
      </x:c>
      <x:c r="AH247" s="27" t="str">
        <x:f>IF(F247="","Unknown",F247)</x:f>
        <x:v>Unknown</x:v>
      </x:c>
      <x:c r="AI247" s="27" t="str">
        <x:f>IF(E247="Interest Rate",G247&amp;IF(OR(LOWER(AC247)="basis",LOWER(AC247)="volatility"),"_"&amp;AC247,""),IF(E247="FX",IF(H247&lt;I247,H247&amp;"/"&amp;I247,I247&amp;"/"&amp;H247)&amp;IF(OR(LOWER(AC247)="basis",LOWER(AC247)="volatility"),"_"&amp;AC247,""),IF(OR(E247="Credit",E247="Equity"),J247&amp;IF(OR(LOWER(AC247)="basis",LOWER(AC247)="volatility"),"_"&amp;AC247,""),IF(E247="Commodity",AG247&amp;IF(OR(LOWER(AC247)="basis",LOWER(AC247)="volatility"),"_"&amp;AC247,""),"UNKNOWN"))))</x:f>
        <x:v>CREDIT_INDEX_21</x:v>
      </x:c>
      <x:c r="AJ247" s="27" t="str">
        <x:f>T247</x:f>
        <x:v>U</x:v>
      </x:c>
      <x:c r="AK247" s="41" t="n">
        <x:f>IF(E247="Interest Rate",VLOOKUP("Interest Rate",Parameters!$D$4:$E$12,2,FALSE),IF(E247="FX",VLOOKUP("FX",Parameters!$D$4:$E$12,2,FALSE),IF(E247="Credit",IFERROR(VLOOKUP(L247,Parameters!$G$4:$H$12,2,FALSE),VLOOKUP("BBB",Parameters!$G$4:$H$12,2,FALSE)),IF(E247="Equity",VLOOKUP(IF(LOWER(K247)="index","Equity Index","Equity Single Name"),Parameters!$D$4:$E$12,2,FALSE),IF(E247="Commodity",VLOOKUP(IFERROR(VLOOKUP(F247,Parameters!$S$4:$T$12,2,FALSE),"Commodity Other"),Parameters!$D$4:$E$12,2,FALSE),0)))))</x:f>
        <x:v>0.0054</x:v>
      </x:c>
      <x:c r="AL247" s="42" t="n">
        <x:f>IF(LOWER(AC247)="basis",Parameters!$B$8,IF(LOWER(AC247)="volatility",Parameters!$B$9,1))</x:f>
        <x:v>1</x:v>
      </x:c>
      <x:c r="AM247" s="41" t="n">
        <x:f>AK247*AL247</x:f>
        <x:v>0.0054</x:v>
      </x:c>
      <x:c r="AN247" s="42" t="n">
        <x:f>IF(E247="Credit",VLOOKUP(IF(LOWER(K247)="index","Credit Index","Credit Single Name"),Parameters!$J$4:$K$8,2,FALSE),IF(E247="Equity",VLOOKUP(IF(LOWER(K247)="index","Equity Index","Equity Single Name"),Parameters!$J$4:$K$8,2,FALSE),IF(E247="Commodity",VLOOKUP("Commodity",Parameters!$J$4:$K$8,2,FALSE),"")))</x:f>
        <x:v>0.5</x:v>
      </x:c>
      <x:c r="AO247" s="27" t="n">
        <x:f>MAX((O247-M247)/365,0)</x:f>
        <x:v>0</x:v>
      </x:c>
      <x:c r="AP247" s="27" t="n">
        <x:f>MAX((P247-M247)/365,10/Parameters!$B$6)</x:f>
        <x:v>2.372602739726027</x:v>
      </x:c>
      <x:c r="AQ247" s="27" t="n">
        <x:f>IF(AP247&lt;=AO247,AO247+10/Parameters!$B$6,AP247)</x:f>
        <x:v>2.372602739726027</x:v>
      </x:c>
      <x:c r="AR247" s="41" t="n">
        <x:f>IF(OR(E247="Interest Rate",E247="Credit"),(EXP(-Parameters!$B$7*AO247)-EXP(-Parameters!$B$7*AQ247))/Parameters!$B$7,1)</x:f>
        <x:v>2.2372754247266746</x:v>
      </x:c>
      <x:c r="AS247" s="40" t="n">
        <x:f>IF(OR(E247="Interest Rate",E247="Credit"),ABS(Q247)*AR247,IF(E247="FX",IF(Q247&gt;0,Q247,MAX(ABS(R247),ABS(S247),ABS(Q247))),ABS(Q247)))</x:f>
        <x:v>189720956.016822</x:v>
      </x:c>
      <x:c r="AT247" s="42" t="n">
        <x:f>IF(OR(E247="Interest Rate",E247="FX"),VLOOKUP(E247,Parameters!$M$4:$N$11,2,FALSE),IF(E247="Credit",VLOOKUP(IF(LOWER(K247)="index","Credit Index","Credit Single Name"),Parameters!$M$4:$N$11,2,FALSE),IF(E247="Equity",VLOOKUP(IF(LOWER(K247)="index","Equity Index","Equity Single Name"),Parameters!$M$4:$N$11,2,FALSE),IF(E247="Commodity",VLOOKUP(IF(F247="Electricity","Commodity Electricity","Commodity Other"),Parameters!$M$4:$N$11,2,FALSE),1))))</x:f>
        <x:v>1</x:v>
      </x:c>
      <x:c r="AU247" s="27" t="n">
        <x:f>IF(W247="B",1,-1)</x:f>
        <x:v>-1</x:v>
      </x:c>
      <x:c r="AV247" s="27" t="n">
        <x:f>IF(OR(AA247="",M247=""),MAX(AE247,1/365),MAX((AA247-M247)/365,1/365))</x:f>
        <x:v>2.372602739726027</x:v>
      </x:c>
      <x:c r="AW247" s="41" t="str">
        <x:f>IF(OR(Z247&lt;=0,Y247&lt;=0,AT247&lt;=0,AV247&lt;=0),"",(LN(Z247/Y247)+0.5*AT247^2*AV247)/(AT247*SQRT(AV247)))</x:f>
      </x:c>
      <x:c r="AX247" s="41" t="n">
        <x:f>IF(AND(X247&lt;&gt;"C",X247&lt;&gt;"P"),AU247,IF(AW247="",AU247,IF(X247="C",AU247*0.5*(1+ERF(AW247/SQRT(2))),-AU247*0.5*(1+ERF(-AW247/SQRT(2))))))</x:f>
        <x:v>-1</x:v>
      </x:c>
      <x:c r="AY247" s="41" t="n">
        <x:f>IF(AJ247="M",1.5*SQRT(MAX(IF(U247="Y",5,10),IF(V247="",10,V247))/Parameters!$B$6),SQRT(MIN(MAX(AE247,10/Parameters!$B$6),1)))</x:f>
        <x:v>1</x:v>
      </x:c>
      <x:c r="AZ247" s="40" t="n">
        <x:f>AS247*AX247*AY247</x:f>
        <x:v>-189720956.016822</x:v>
      </x:c>
      <x:c r="BA247" s="40" t="n">
        <x:f>'Python_Trade_Output'!AZ247</x:f>
        <x:v>-189720956.016822</x:v>
      </x:c>
      <x:c r="BB247" s="43" t="n">
        <x:f>AZ247-BA247</x:f>
        <x:v>0</x:v>
      </x:c>
    </x:row>
    <x:row r="248">
      <x:c r="A248" s="27" t="str">
        <x:f>'Inputs_Trades'!D248</x:f>
        <x:v>IND-000245</x:v>
      </x:c>
      <x:c r="B248" s="27" t="str">
        <x:f>'Inputs_Trades'!B248</x:f>
        <x:v>IND_PENSION_001</x:v>
      </x:c>
      <x:c r="C248" s="27" t="n">
        <x:f>'Inputs_Trades'!C248</x:f>
        <x:v>3242</x:v>
      </x:c>
      <x:c r="D248" s="27" t="str">
        <x:f>'Inputs_Trades'!E248</x:f>
        <x:v>Credit TRS</x:v>
      </x:c>
      <x:c r="E248" s="27" t="str">
        <x:f>'Inputs_Trades'!F248</x:f>
        <x:v>Credit</x:v>
      </x:c>
      <x:c r="F248" s="27" t="n">
        <x:f>'Inputs_Trades'!G248</x:f>
        <x:v>0</x:v>
      </x:c>
      <x:c r="G248" s="27" t="str">
        <x:f>'Inputs_Trades'!J248</x:f>
        <x:v>USD</x:v>
      </x:c>
      <x:c r="H248" s="27" t="str">
        <x:f>'Inputs_Trades'!H248</x:f>
        <x:v>USD</x:v>
      </x:c>
      <x:c r="I248" s="27" t="n">
        <x:f>'Inputs_Trades'!I248</x:f>
        <x:v>0</x:v>
      </x:c>
      <x:c r="J248" s="27" t="str">
        <x:f>'Inputs_Trades'!M248</x:f>
        <x:v>CREDIT_INDEX_21</x:v>
      </x:c>
      <x:c r="K248" s="27" t="str">
        <x:f>'Inputs_Trades'!N248</x:f>
        <x:v>Singleton</x:v>
      </x:c>
      <x:c r="L248" s="27" t="str">
        <x:f>'Inputs_Trades'!O248</x:f>
        <x:v>BBB</x:v>
      </x:c>
      <x:c r="M248" s="39" t="n">
        <x:f>'Inputs_Trades'!A248</x:f>
        <x:v>45702</x:v>
      </x:c>
      <x:c r="N248" s="39" t="n">
        <x:f>'Inputs_Trades'!P248</x:f>
        <x:v>46454</x:v>
      </x:c>
      <x:c r="O248" s="39" t="n">
        <x:f>'Inputs_Trades'!Q248</x:f>
        <x:v>45677</x:v>
      </x:c>
      <x:c r="P248" s="39" t="n">
        <x:f>'Inputs_Trades'!R248</x:f>
        <x:v>46454</x:v>
      </x:c>
      <x:c r="Q248" s="40" t="n">
        <x:f>'Inputs_Trades'!U248</x:f>
        <x:v>41600000</x:v>
      </x:c>
      <x:c r="R248" s="40" t="n">
        <x:f>'Inputs_Trades'!S248</x:f>
        <x:v>41600000</x:v>
      </x:c>
      <x:c r="S248" s="40" t="n">
        <x:f>'Inputs_Trades'!T248</x:f>
        <x:v>0</x:v>
      </x:c>
      <x:c r="T248" s="27" t="str">
        <x:f>'Inputs_Trades'!V248</x:f>
        <x:v>M</x:v>
      </x:c>
      <x:c r="U248" s="27" t="str">
        <x:f>'Inputs_Trades'!W248</x:f>
        <x:v>N</x:v>
      </x:c>
      <x:c r="V248" s="27" t="n">
        <x:f>'Inputs_Trades'!X248</x:f>
        <x:v>10</x:v>
      </x:c>
      <x:c r="W248" s="27" t="str">
        <x:f>'Inputs_Trades'!Y248</x:f>
        <x:v>B</x:v>
      </x:c>
      <x:c r="X248" s="27" t="n">
        <x:f>'Inputs_Trades'!AA248</x:f>
        <x:v>0</x:v>
      </x:c>
      <x:c r="Y248" s="27" t="n">
        <x:f>'Inputs_Trades'!AB248</x:f>
        <x:v>0</x:v>
      </x:c>
      <x:c r="Z248" s="27" t="n">
        <x:f>'Inputs_Trades'!AC248</x:f>
        <x:v>0</x:v>
      </x:c>
      <x:c r="AA248" s="39" t="n">
        <x:f>'Inputs_Trades'!Z248</x:f>
        <x:v>0</x:v>
      </x:c>
      <x:c r="AB248" s="40" t="n">
        <x:f>'Inputs_Trades'!AD248</x:f>
        <x:v>356928</x:v>
      </x:c>
      <x:c r="AC248" s="27" t="n">
        <x:f>'Inputs_Trades'!K248</x:f>
        <x:v>0</x:v>
      </x:c>
      <x:c r="AD248" s="27" t="n">
        <x:f>N248-M248</x:f>
        <x:v>752</x:v>
      </x:c>
      <x:c r="AE248" s="41" t="n">
        <x:f>AD248/365</x:f>
        <x:v>2.0602739726027397</x:v>
      </x:c>
      <x:c r="AF248" s="27" t="str">
        <x:f>IF(AE248&lt;1,"&lt;1Y",IF(AE248&lt;=5,"1Y-5Y","&gt;5Y"))</x:f>
        <x:v>1Y-5Y</x:v>
      </x:c>
      <x:c r="AG248" s="27" t="str">
        <x:f>IF(E248="Commodity",IFERROR(VLOOKUP(F248,Parameters!$P$4:$Q$12,2,FALSE),"Other"),"")</x:f>
      </x:c>
      <x:c r="AH248" s="27" t="str">
        <x:f>IF(F248="","Unknown",F248)</x:f>
        <x:v>Unknown</x:v>
      </x:c>
      <x:c r="AI248" s="27" t="str">
        <x:f>IF(E248="Interest Rate",G248&amp;IF(OR(LOWER(AC248)="basis",LOWER(AC248)="volatility"),"_"&amp;AC248,""),IF(E248="FX",IF(H248&lt;I248,H248&amp;"/"&amp;I248,I248&amp;"/"&amp;H248)&amp;IF(OR(LOWER(AC248)="basis",LOWER(AC248)="volatility"),"_"&amp;AC248,""),IF(OR(E248="Credit",E248="Equity"),J248&amp;IF(OR(LOWER(AC248)="basis",LOWER(AC248)="volatility"),"_"&amp;AC248,""),IF(E248="Commodity",AG248&amp;IF(OR(LOWER(AC248)="basis",LOWER(AC248)="volatility"),"_"&amp;AC248,""),"UNKNOWN"))))</x:f>
        <x:v>CREDIT_INDEX_21</x:v>
      </x:c>
      <x:c r="AJ248" s="27" t="str">
        <x:f>T248</x:f>
        <x:v>M</x:v>
      </x:c>
      <x:c r="AK248" s="41" t="n">
        <x:f>IF(E248="Interest Rate",VLOOKUP("Interest Rate",Parameters!$D$4:$E$12,2,FALSE),IF(E248="FX",VLOOKUP("FX",Parameters!$D$4:$E$12,2,FALSE),IF(E248="Credit",IFERROR(VLOOKUP(L248,Parameters!$G$4:$H$12,2,FALSE),VLOOKUP("BBB",Parameters!$G$4:$H$12,2,FALSE)),IF(E248="Equity",VLOOKUP(IF(LOWER(K248)="index","Equity Index","Equity Single Name"),Parameters!$D$4:$E$12,2,FALSE),IF(E248="Commodity",VLOOKUP(IFERROR(VLOOKUP(F248,Parameters!$S$4:$T$12,2,FALSE),"Commodity Other"),Parameters!$D$4:$E$12,2,FALSE),0)))))</x:f>
        <x:v>0.0054</x:v>
      </x:c>
      <x:c r="AL248" s="42" t="n">
        <x:f>IF(LOWER(AC248)="basis",Parameters!$B$8,IF(LOWER(AC248)="volatility",Parameters!$B$9,1))</x:f>
        <x:v>1</x:v>
      </x:c>
      <x:c r="AM248" s="41" t="n">
        <x:f>AK248*AL248</x:f>
        <x:v>0.0054</x:v>
      </x:c>
      <x:c r="AN248" s="42" t="n">
        <x:f>IF(E248="Credit",VLOOKUP(IF(LOWER(K248)="index","Credit Index","Credit Single Name"),Parameters!$J$4:$K$8,2,FALSE),IF(E248="Equity",VLOOKUP(IF(LOWER(K248)="index","Equity Index","Equity Single Name"),Parameters!$J$4:$K$8,2,FALSE),IF(E248="Commodity",VLOOKUP("Commodity",Parameters!$J$4:$K$8,2,FALSE),"")))</x:f>
        <x:v>0.5</x:v>
      </x:c>
      <x:c r="AO248" s="27" t="n">
        <x:f>MAX((O248-M248)/365,0)</x:f>
        <x:v>0</x:v>
      </x:c>
      <x:c r="AP248" s="27" t="n">
        <x:f>MAX((P248-M248)/365,10/Parameters!$B$6)</x:f>
        <x:v>2.0602739726027397</x:v>
      </x:c>
      <x:c r="AQ248" s="27" t="n">
        <x:f>IF(AP248&lt;=AO248,AO248+10/Parameters!$B$6,AP248)</x:f>
        <x:v>2.0602739726027397</x:v>
      </x:c>
      <x:c r="AR248" s="41" t="n">
        <x:f>IF(OR(E248="Interest Rate",E248="Credit"),(EXP(-Parameters!$B$7*AO248)-EXP(-Parameters!$B$7*AQ248))/Parameters!$B$7,1)</x:f>
        <x:v>1.9577076867517418</x:v>
      </x:c>
      <x:c r="AS248" s="40" t="n">
        <x:f>IF(OR(E248="Interest Rate",E248="Credit"),ABS(Q248)*AR248,IF(E248="FX",IF(Q248&gt;0,Q248,MAX(ABS(R248),ABS(S248),ABS(Q248))),ABS(Q248)))</x:f>
        <x:v>81440639.76887245</x:v>
      </x:c>
      <x:c r="AT248" s="42" t="n">
        <x:f>IF(OR(E248="Interest Rate",E248="FX"),VLOOKUP(E248,Parameters!$M$4:$N$11,2,FALSE),IF(E248="Credit",VLOOKUP(IF(LOWER(K248)="index","Credit Index","Credit Single Name"),Parameters!$M$4:$N$11,2,FALSE),IF(E248="Equity",VLOOKUP(IF(LOWER(K248)="index","Equity Index","Equity Single Name"),Parameters!$M$4:$N$11,2,FALSE),IF(E248="Commodity",VLOOKUP(IF(F248="Electricity","Commodity Electricity","Commodity Other"),Parameters!$M$4:$N$11,2,FALSE),1))))</x:f>
        <x:v>1</x:v>
      </x:c>
      <x:c r="AU248" s="27" t="n">
        <x:f>IF(W248="B",1,-1)</x:f>
        <x:v>1</x:v>
      </x:c>
      <x:c r="AV248" s="27" t="n">
        <x:f>IF(OR(AA248="",M248=""),MAX(AE248,1/365),MAX((AA248-M248)/365,1/365))</x:f>
        <x:v>2.0602739726027397</x:v>
      </x:c>
      <x:c r="AW248" s="41" t="str">
        <x:f>IF(OR(Z248&lt;=0,Y248&lt;=0,AT248&lt;=0,AV248&lt;=0),"",(LN(Z248/Y248)+0.5*AT248^2*AV248)/(AT248*SQRT(AV248)))</x:f>
      </x:c>
      <x:c r="AX248" s="41" t="n">
        <x:f>IF(AND(X248&lt;&gt;"C",X248&lt;&gt;"P"),AU248,IF(AW248="",AU248,IF(X248="C",AU248*0.5*(1+ERF(AW248/SQRT(2))),-AU248*0.5*(1+ERF(-AW248/SQRT(2))))))</x:f>
        <x:v>1</x:v>
      </x:c>
      <x:c r="AY248" s="41" t="n">
        <x:f>IF(AJ248="M",1.5*SQRT(MAX(IF(U248="Y",5,10),IF(V248="",10,V248))/Parameters!$B$6),SQRT(MIN(MAX(AE248,10/Parameters!$B$6),1)))</x:f>
        <x:v>0.30000000000000004</x:v>
      </x:c>
      <x:c r="AZ248" s="40" t="n">
        <x:f>AS248*AX248*AY248</x:f>
        <x:v>24432191.93066174</x:v>
      </x:c>
      <x:c r="BA248" s="40" t="n">
        <x:f>'Python_Trade_Output'!AZ248</x:f>
        <x:v>24432191.93066174</x:v>
      </x:c>
      <x:c r="BB248" s="43" t="n">
        <x:f>AZ248-BA248</x:f>
        <x:v>0</x:v>
      </x:c>
    </x:row>
    <x:row r="249">
      <x:c r="A249" s="27" t="str">
        <x:f>'Inputs_Trades'!D249</x:f>
        <x:v>IND-000246</x:v>
      </x:c>
      <x:c r="B249" s="27" t="str">
        <x:f>'Inputs_Trades'!B249</x:f>
        <x:v>IND_HEDGE_FUND_001</x:v>
      </x:c>
      <x:c r="C249" s="27" t="n">
        <x:f>'Inputs_Trades'!C249</x:f>
        <x:v>3289</x:v>
      </x:c>
      <x:c r="D249" s="27" t="str">
        <x:f>'Inputs_Trades'!E249</x:f>
        <x:v>Credit TRS</x:v>
      </x:c>
      <x:c r="E249" s="27" t="str">
        <x:f>'Inputs_Trades'!F249</x:f>
        <x:v>Credit</x:v>
      </x:c>
      <x:c r="F249" s="27" t="n">
        <x:f>'Inputs_Trades'!G249</x:f>
        <x:v>0</x:v>
      </x:c>
      <x:c r="G249" s="27" t="str">
        <x:f>'Inputs_Trades'!J249</x:f>
        <x:v>USD</x:v>
      </x:c>
      <x:c r="H249" s="27" t="str">
        <x:f>'Inputs_Trades'!H249</x:f>
        <x:v>USD</x:v>
      </x:c>
      <x:c r="I249" s="27" t="n">
        <x:f>'Inputs_Trades'!I249</x:f>
        <x:v>0</x:v>
      </x:c>
      <x:c r="J249" s="27" t="str">
        <x:f>'Inputs_Trades'!M249</x:f>
        <x:v>CREDIT_NAME_16</x:v>
      </x:c>
      <x:c r="K249" s="27" t="str">
        <x:f>'Inputs_Trades'!N249</x:f>
        <x:v>Singleton</x:v>
      </x:c>
      <x:c r="L249" s="27" t="str">
        <x:f>'Inputs_Trades'!O249</x:f>
        <x:v>BB</x:v>
      </x:c>
      <x:c r="M249" s="39" t="n">
        <x:f>'Inputs_Trades'!A249</x:f>
        <x:v>45702</x:v>
      </x:c>
      <x:c r="N249" s="39" t="n">
        <x:f>'Inputs_Trades'!P249</x:f>
        <x:v>47380</x:v>
      </x:c>
      <x:c r="O249" s="39" t="n">
        <x:f>'Inputs_Trades'!Q249</x:f>
        <x:v>45593</x:v>
      </x:c>
      <x:c r="P249" s="39" t="n">
        <x:f>'Inputs_Trades'!R249</x:f>
        <x:v>47380</x:v>
      </x:c>
      <x:c r="Q249" s="40" t="n">
        <x:f>'Inputs_Trades'!U249</x:f>
        <x:v>43600000</x:v>
      </x:c>
      <x:c r="R249" s="40" t="n">
        <x:f>'Inputs_Trades'!S249</x:f>
        <x:v>43600000</x:v>
      </x:c>
      <x:c r="S249" s="40" t="n">
        <x:f>'Inputs_Trades'!T249</x:f>
        <x:v>0</x:v>
      </x:c>
      <x:c r="T249" s="27" t="str">
        <x:f>'Inputs_Trades'!V249</x:f>
        <x:v>M</x:v>
      </x:c>
      <x:c r="U249" s="27" t="str">
        <x:f>'Inputs_Trades'!W249</x:f>
        <x:v>N</x:v>
      </x:c>
      <x:c r="V249" s="27" t="n">
        <x:f>'Inputs_Trades'!X249</x:f>
        <x:v>10</x:v>
      </x:c>
      <x:c r="W249" s="27" t="str">
        <x:f>'Inputs_Trades'!Y249</x:f>
        <x:v>S</x:v>
      </x:c>
      <x:c r="X249" s="27" t="n">
        <x:f>'Inputs_Trades'!AA249</x:f>
        <x:v>0</x:v>
      </x:c>
      <x:c r="Y249" s="27" t="n">
        <x:f>'Inputs_Trades'!AB249</x:f>
        <x:v>0</x:v>
      </x:c>
      <x:c r="Z249" s="27" t="n">
        <x:f>'Inputs_Trades'!AC249</x:f>
        <x:v>0</x:v>
      </x:c>
      <x:c r="AA249" s="39" t="n">
        <x:f>'Inputs_Trades'!Z249</x:f>
        <x:v>0</x:v>
      </x:c>
      <x:c r="AB249" s="40" t="n">
        <x:f>'Inputs_Trades'!AD249</x:f>
        <x:v>-809216</x:v>
      </x:c>
      <x:c r="AC249" s="27" t="n">
        <x:f>'Inputs_Trades'!K249</x:f>
        <x:v>0</x:v>
      </x:c>
      <x:c r="AD249" s="27" t="n">
        <x:f>N249-M249</x:f>
        <x:v>1678</x:v>
      </x:c>
      <x:c r="AE249" s="41" t="n">
        <x:f>AD249/365</x:f>
        <x:v>4.597260273972603</x:v>
      </x:c>
      <x:c r="AF249" s="27" t="str">
        <x:f>IF(AE249&lt;1,"&lt;1Y",IF(AE249&lt;=5,"1Y-5Y","&gt;5Y"))</x:f>
        <x:v>1Y-5Y</x:v>
      </x:c>
      <x:c r="AG249" s="27" t="str">
        <x:f>IF(E249="Commodity",IFERROR(VLOOKUP(F249,Parameters!$P$4:$Q$12,2,FALSE),"Other"),"")</x:f>
      </x:c>
      <x:c r="AH249" s="27" t="str">
        <x:f>IF(F249="","Unknown",F249)</x:f>
        <x:v>Unknown</x:v>
      </x:c>
      <x:c r="AI249" s="27" t="str">
        <x:f>IF(E249="Interest Rate",G249&amp;IF(OR(LOWER(AC249)="basis",LOWER(AC249)="volatility"),"_"&amp;AC249,""),IF(E249="FX",IF(H249&lt;I249,H249&amp;"/"&amp;I249,I249&amp;"/"&amp;H249)&amp;IF(OR(LOWER(AC249)="basis",LOWER(AC249)="volatility"),"_"&amp;AC249,""),IF(OR(E249="Credit",E249="Equity"),J249&amp;IF(OR(LOWER(AC249)="basis",LOWER(AC249)="volatility"),"_"&amp;AC249,""),IF(E249="Commodity",AG249&amp;IF(OR(LOWER(AC249)="basis",LOWER(AC249)="volatility"),"_"&amp;AC249,""),"UNKNOWN"))))</x:f>
        <x:v>CREDIT_NAME_16</x:v>
      </x:c>
      <x:c r="AJ249" s="27" t="str">
        <x:f>T249</x:f>
        <x:v>M</x:v>
      </x:c>
      <x:c r="AK249" s="41" t="n">
        <x:f>IF(E249="Interest Rate",VLOOKUP("Interest Rate",Parameters!$D$4:$E$12,2,FALSE),IF(E249="FX",VLOOKUP("FX",Parameters!$D$4:$E$12,2,FALSE),IF(E249="Credit",IFERROR(VLOOKUP(L249,Parameters!$G$4:$H$12,2,FALSE),VLOOKUP("BBB",Parameters!$G$4:$H$12,2,FALSE)),IF(E249="Equity",VLOOKUP(IF(LOWER(K249)="index","Equity Index","Equity Single Name"),Parameters!$D$4:$E$12,2,FALSE),IF(E249="Commodity",VLOOKUP(IFERROR(VLOOKUP(F249,Parameters!$S$4:$T$12,2,FALSE),"Commodity Other"),Parameters!$D$4:$E$12,2,FALSE),0)))))</x:f>
        <x:v>0.0106</x:v>
      </x:c>
      <x:c r="AL249" s="42" t="n">
        <x:f>IF(LOWER(AC249)="basis",Parameters!$B$8,IF(LOWER(AC249)="volatility",Parameters!$B$9,1))</x:f>
        <x:v>1</x:v>
      </x:c>
      <x:c r="AM249" s="41" t="n">
        <x:f>AK249*AL249</x:f>
        <x:v>0.0106</x:v>
      </x:c>
      <x:c r="AN249" s="42" t="n">
        <x:f>IF(E249="Credit",VLOOKUP(IF(LOWER(K249)="index","Credit Index","Credit Single Name"),Parameters!$J$4:$K$8,2,FALSE),IF(E249="Equity",VLOOKUP(IF(LOWER(K249)="index","Equity Index","Equity Single Name"),Parameters!$J$4:$K$8,2,FALSE),IF(E249="Commodity",VLOOKUP("Commodity",Parameters!$J$4:$K$8,2,FALSE),"")))</x:f>
        <x:v>0.5</x:v>
      </x:c>
      <x:c r="AO249" s="27" t="n">
        <x:f>MAX((O249-M249)/365,0)</x:f>
        <x:v>0</x:v>
      </x:c>
      <x:c r="AP249" s="27" t="n">
        <x:f>MAX((P249-M249)/365,10/Parameters!$B$6)</x:f>
        <x:v>4.597260273972603</x:v>
      </x:c>
      <x:c r="AQ249" s="27" t="n">
        <x:f>IF(AP249&lt;=AO249,AO249+10/Parameters!$B$6,AP249)</x:f>
        <x:v>4.597260273972603</x:v>
      </x:c>
      <x:c r="AR249" s="41" t="n">
        <x:f>IF(OR(E249="Interest Rate",E249="Credit"),(EXP(-Parameters!$B$7*AO249)-EXP(-Parameters!$B$7*AQ249))/Parameters!$B$7,1)</x:f>
        <x:v>4.107150996439901</x:v>
      </x:c>
      <x:c r="AS249" s="40" t="n">
        <x:f>IF(OR(E249="Interest Rate",E249="Credit"),ABS(Q249)*AR249,IF(E249="FX",IF(Q249&gt;0,Q249,MAX(ABS(R249),ABS(S249),ABS(Q249))),ABS(Q249)))</x:f>
        <x:v>179071783.4447797</x:v>
      </x:c>
      <x:c r="AT249" s="42" t="n">
        <x:f>IF(OR(E249="Interest Rate",E249="FX"),VLOOKUP(E249,Parameters!$M$4:$N$11,2,FALSE),IF(E249="Credit",VLOOKUP(IF(LOWER(K249)="index","Credit Index","Credit Single Name"),Parameters!$M$4:$N$11,2,FALSE),IF(E249="Equity",VLOOKUP(IF(LOWER(K249)="index","Equity Index","Equity Single Name"),Parameters!$M$4:$N$11,2,FALSE),IF(E249="Commodity",VLOOKUP(IF(F249="Electricity","Commodity Electricity","Commodity Other"),Parameters!$M$4:$N$11,2,FALSE),1))))</x:f>
        <x:v>1</x:v>
      </x:c>
      <x:c r="AU249" s="27" t="n">
        <x:f>IF(W249="B",1,-1)</x:f>
        <x:v>-1</x:v>
      </x:c>
      <x:c r="AV249" s="27" t="n">
        <x:f>IF(OR(AA249="",M249=""),MAX(AE249,1/365),MAX((AA249-M249)/365,1/365))</x:f>
        <x:v>4.597260273972603</x:v>
      </x:c>
      <x:c r="AW249" s="41" t="str">
        <x:f>IF(OR(Z249&lt;=0,Y249&lt;=0,AT249&lt;=0,AV249&lt;=0),"",(LN(Z249/Y249)+0.5*AT249^2*AV249)/(AT249*SQRT(AV249)))</x:f>
      </x:c>
      <x:c r="AX249" s="41" t="n">
        <x:f>IF(AND(X249&lt;&gt;"C",X249&lt;&gt;"P"),AU249,IF(AW249="",AU249,IF(X249="C",AU249*0.5*(1+ERF(AW249/SQRT(2))),-AU249*0.5*(1+ERF(-AW249/SQRT(2))))))</x:f>
        <x:v>-1</x:v>
      </x:c>
      <x:c r="AY249" s="41" t="n">
        <x:f>IF(AJ249="M",1.5*SQRT(MAX(IF(U249="Y",5,10),IF(V249="",10,V249))/Parameters!$B$6),SQRT(MIN(MAX(AE249,10/Parameters!$B$6),1)))</x:f>
        <x:v>0.30000000000000004</x:v>
      </x:c>
      <x:c r="AZ249" s="40" t="n">
        <x:f>AS249*AX249*AY249</x:f>
        <x:v>-53721535.033433914</x:v>
      </x:c>
      <x:c r="BA249" s="40" t="n">
        <x:f>'Python_Trade_Output'!AZ249</x:f>
        <x:v>-53721535.033433914</x:v>
      </x:c>
      <x:c r="BB249" s="43" t="n">
        <x:f>AZ249-BA249</x:f>
        <x:v>0</x:v>
      </x:c>
    </x:row>
    <x:row r="250">
      <x:c r="A250" s="27" t="str">
        <x:f>'Inputs_Trades'!D250</x:f>
        <x:v>IND-000247</x:v>
      </x:c>
      <x:c r="B250" s="27" t="str">
        <x:f>'Inputs_Trades'!B250</x:f>
        <x:v>IND_CLEARING_MEMBER_001</x:v>
      </x:c>
      <x:c r="C250" s="27" t="n">
        <x:f>'Inputs_Trades'!C250</x:f>
        <x:v>3116</x:v>
      </x:c>
      <x:c r="D250" s="27" t="str">
        <x:f>'Inputs_Trades'!E250</x:f>
        <x:v>Credit TRS</x:v>
      </x:c>
      <x:c r="E250" s="27" t="str">
        <x:f>'Inputs_Trades'!F250</x:f>
        <x:v>Credit</x:v>
      </x:c>
      <x:c r="F250" s="27" t="n">
        <x:f>'Inputs_Trades'!G250</x:f>
        <x:v>0</x:v>
      </x:c>
      <x:c r="G250" s="27" t="str">
        <x:f>'Inputs_Trades'!J250</x:f>
        <x:v>USD</x:v>
      </x:c>
      <x:c r="H250" s="27" t="str">
        <x:f>'Inputs_Trades'!H250</x:f>
        <x:v>USD</x:v>
      </x:c>
      <x:c r="I250" s="27" t="n">
        <x:f>'Inputs_Trades'!I250</x:f>
        <x:v>0</x:v>
      </x:c>
      <x:c r="J250" s="27" t="str">
        <x:f>'Inputs_Trades'!M250</x:f>
        <x:v>CREDIT_NAME_16</x:v>
      </x:c>
      <x:c r="K250" s="27" t="str">
        <x:f>'Inputs_Trades'!N250</x:f>
        <x:v>Singleton</x:v>
      </x:c>
      <x:c r="L250" s="27" t="str">
        <x:f>'Inputs_Trades'!O250</x:f>
        <x:v>BB</x:v>
      </x:c>
      <x:c r="M250" s="39" t="n">
        <x:f>'Inputs_Trades'!A250</x:f>
        <x:v>45702</x:v>
      </x:c>
      <x:c r="N250" s="39" t="n">
        <x:f>'Inputs_Trades'!P250</x:f>
        <x:v>46816</x:v>
      </x:c>
      <x:c r="O250" s="39" t="n">
        <x:f>'Inputs_Trades'!Q250</x:f>
        <x:v>45622</x:v>
      </x:c>
      <x:c r="P250" s="39" t="n">
        <x:f>'Inputs_Trades'!R250</x:f>
        <x:v>46816</x:v>
      </x:c>
      <x:c r="Q250" s="40" t="n">
        <x:f>'Inputs_Trades'!U250</x:f>
        <x:v>102000000</x:v>
      </x:c>
      <x:c r="R250" s="40" t="n">
        <x:f>'Inputs_Trades'!S250</x:f>
        <x:v>102000000</x:v>
      </x:c>
      <x:c r="S250" s="40" t="n">
        <x:f>'Inputs_Trades'!T250</x:f>
        <x:v>0</x:v>
      </x:c>
      <x:c r="T250" s="27" t="str">
        <x:f>'Inputs_Trades'!V250</x:f>
        <x:v>M</x:v>
      </x:c>
      <x:c r="U250" s="27" t="str">
        <x:f>'Inputs_Trades'!W250</x:f>
        <x:v>N</x:v>
      </x:c>
      <x:c r="V250" s="27" t="n">
        <x:f>'Inputs_Trades'!X250</x:f>
        <x:v>10</x:v>
      </x:c>
      <x:c r="W250" s="27" t="str">
        <x:f>'Inputs_Trades'!Y250</x:f>
        <x:v>S</x:v>
      </x:c>
      <x:c r="X250" s="27" t="n">
        <x:f>'Inputs_Trades'!AA250</x:f>
        <x:v>0</x:v>
      </x:c>
      <x:c r="Y250" s="27" t="n">
        <x:f>'Inputs_Trades'!AB250</x:f>
        <x:v>0</x:v>
      </x:c>
      <x:c r="Z250" s="27" t="n">
        <x:f>'Inputs_Trades'!AC250</x:f>
        <x:v>0</x:v>
      </x:c>
      <x:c r="AA250" s="39" t="n">
        <x:f>'Inputs_Trades'!Z250</x:f>
        <x:v>0</x:v>
      </x:c>
      <x:c r="AB250" s="40" t="n">
        <x:f>'Inputs_Trades'!AD250</x:f>
        <x:v>-1632000</x:v>
      </x:c>
      <x:c r="AC250" s="27" t="n">
        <x:f>'Inputs_Trades'!K250</x:f>
        <x:v>0</x:v>
      </x:c>
      <x:c r="AD250" s="27" t="n">
        <x:f>N250-M250</x:f>
        <x:v>1114</x:v>
      </x:c>
      <x:c r="AE250" s="41" t="n">
        <x:f>AD250/365</x:f>
        <x:v>3.052054794520548</x:v>
      </x:c>
      <x:c r="AF250" s="27" t="str">
        <x:f>IF(AE250&lt;1,"&lt;1Y",IF(AE250&lt;=5,"1Y-5Y","&gt;5Y"))</x:f>
        <x:v>1Y-5Y</x:v>
      </x:c>
      <x:c r="AG250" s="27" t="str">
        <x:f>IF(E250="Commodity",IFERROR(VLOOKUP(F250,Parameters!$P$4:$Q$12,2,FALSE),"Other"),"")</x:f>
      </x:c>
      <x:c r="AH250" s="27" t="str">
        <x:f>IF(F250="","Unknown",F250)</x:f>
        <x:v>Unknown</x:v>
      </x:c>
      <x:c r="AI250" s="27" t="str">
        <x:f>IF(E250="Interest Rate",G250&amp;IF(OR(LOWER(AC250)="basis",LOWER(AC250)="volatility"),"_"&amp;AC250,""),IF(E250="FX",IF(H250&lt;I250,H250&amp;"/"&amp;I250,I250&amp;"/"&amp;H250)&amp;IF(OR(LOWER(AC250)="basis",LOWER(AC250)="volatility"),"_"&amp;AC250,""),IF(OR(E250="Credit",E250="Equity"),J250&amp;IF(OR(LOWER(AC250)="basis",LOWER(AC250)="volatility"),"_"&amp;AC250,""),IF(E250="Commodity",AG250&amp;IF(OR(LOWER(AC250)="basis",LOWER(AC250)="volatility"),"_"&amp;AC250,""),"UNKNOWN"))))</x:f>
        <x:v>CREDIT_NAME_16</x:v>
      </x:c>
      <x:c r="AJ250" s="27" t="str">
        <x:f>T250</x:f>
        <x:v>M</x:v>
      </x:c>
      <x:c r="AK250" s="41" t="n">
        <x:f>IF(E250="Interest Rate",VLOOKUP("Interest Rate",Parameters!$D$4:$E$12,2,FALSE),IF(E250="FX",VLOOKUP("FX",Parameters!$D$4:$E$12,2,FALSE),IF(E250="Credit",IFERROR(VLOOKUP(L250,Parameters!$G$4:$H$12,2,FALSE),VLOOKUP("BBB",Parameters!$G$4:$H$12,2,FALSE)),IF(E250="Equity",VLOOKUP(IF(LOWER(K250)="index","Equity Index","Equity Single Name"),Parameters!$D$4:$E$12,2,FALSE),IF(E250="Commodity",VLOOKUP(IFERROR(VLOOKUP(F250,Parameters!$S$4:$T$12,2,FALSE),"Commodity Other"),Parameters!$D$4:$E$12,2,FALSE),0)))))</x:f>
        <x:v>0.0106</x:v>
      </x:c>
      <x:c r="AL250" s="42" t="n">
        <x:f>IF(LOWER(AC250)="basis",Parameters!$B$8,IF(LOWER(AC250)="volatility",Parameters!$B$9,1))</x:f>
        <x:v>1</x:v>
      </x:c>
      <x:c r="AM250" s="41" t="n">
        <x:f>AK250*AL250</x:f>
        <x:v>0.0106</x:v>
      </x:c>
      <x:c r="AN250" s="42" t="n">
        <x:f>IF(E250="Credit",VLOOKUP(IF(LOWER(K250)="index","Credit Index","Credit Single Name"),Parameters!$J$4:$K$8,2,FALSE),IF(E250="Equity",VLOOKUP(IF(LOWER(K250)="index","Equity Index","Equity Single Name"),Parameters!$J$4:$K$8,2,FALSE),IF(E250="Commodity",VLOOKUP("Commodity",Parameters!$J$4:$K$8,2,FALSE),"")))</x:f>
        <x:v>0.5</x:v>
      </x:c>
      <x:c r="AO250" s="27" t="n">
        <x:f>MAX((O250-M250)/365,0)</x:f>
        <x:v>0</x:v>
      </x:c>
      <x:c r="AP250" s="27" t="n">
        <x:f>MAX((P250-M250)/365,10/Parameters!$B$6)</x:f>
        <x:v>3.052054794520548</x:v>
      </x:c>
      <x:c r="AQ250" s="27" t="n">
        <x:f>IF(AP250&lt;=AO250,AO250+10/Parameters!$B$6,AP250)</x:f>
        <x:v>3.052054794520548</x:v>
      </x:c>
      <x:c r="AR250" s="41" t="n">
        <x:f>IF(OR(E250="Interest Rate",E250="Credit"),(EXP(-Parameters!$B$7*AO250)-EXP(-Parameters!$B$7*AQ250))/Parameters!$B$7,1)</x:f>
        <x:v>2.830586192361313</x:v>
      </x:c>
      <x:c r="AS250" s="40" t="n">
        <x:f>IF(OR(E250="Interest Rate",E250="Credit"),ABS(Q250)*AR250,IF(E250="FX",IF(Q250&gt;0,Q250,MAX(ABS(R250),ABS(S250),ABS(Q250))),ABS(Q250)))</x:f>
        <x:v>288719791.6208539</x:v>
      </x:c>
      <x:c r="AT250" s="42" t="n">
        <x:f>IF(OR(E250="Interest Rate",E250="FX"),VLOOKUP(E250,Parameters!$M$4:$N$11,2,FALSE),IF(E250="Credit",VLOOKUP(IF(LOWER(K250)="index","Credit Index","Credit Single Name"),Parameters!$M$4:$N$11,2,FALSE),IF(E250="Equity",VLOOKUP(IF(LOWER(K250)="index","Equity Index","Equity Single Name"),Parameters!$M$4:$N$11,2,FALSE),IF(E250="Commodity",VLOOKUP(IF(F250="Electricity","Commodity Electricity","Commodity Other"),Parameters!$M$4:$N$11,2,FALSE),1))))</x:f>
        <x:v>1</x:v>
      </x:c>
      <x:c r="AU250" s="27" t="n">
        <x:f>IF(W250="B",1,-1)</x:f>
        <x:v>-1</x:v>
      </x:c>
      <x:c r="AV250" s="27" t="n">
        <x:f>IF(OR(AA250="",M250=""),MAX(AE250,1/365),MAX((AA250-M250)/365,1/365))</x:f>
        <x:v>3.052054794520548</x:v>
      </x:c>
      <x:c r="AW250" s="41" t="str">
        <x:f>IF(OR(Z250&lt;=0,Y250&lt;=0,AT250&lt;=0,AV250&lt;=0),"",(LN(Z250/Y250)+0.5*AT250^2*AV250)/(AT250*SQRT(AV250)))</x:f>
      </x:c>
      <x:c r="AX250" s="41" t="n">
        <x:f>IF(AND(X250&lt;&gt;"C",X250&lt;&gt;"P"),AU250,IF(AW250="",AU250,IF(X250="C",AU250*0.5*(1+ERF(AW250/SQRT(2))),-AU250*0.5*(1+ERF(-AW250/SQRT(2))))))</x:f>
        <x:v>-1</x:v>
      </x:c>
      <x:c r="AY250" s="41" t="n">
        <x:f>IF(AJ250="M",1.5*SQRT(MAX(IF(U250="Y",5,10),IF(V250="",10,V250))/Parameters!$B$6),SQRT(MIN(MAX(AE250,10/Parameters!$B$6),1)))</x:f>
        <x:v>0.30000000000000004</x:v>
      </x:c>
      <x:c r="AZ250" s="40" t="n">
        <x:f>AS250*AX250*AY250</x:f>
        <x:v>-86615937.48625618</x:v>
      </x:c>
      <x:c r="BA250" s="40" t="n">
        <x:f>'Python_Trade_Output'!AZ250</x:f>
        <x:v>-86615937.48625618</x:v>
      </x:c>
      <x:c r="BB250" s="43" t="n">
        <x:f>AZ250-BA250</x:f>
        <x:v>0</x:v>
      </x:c>
    </x:row>
    <x:row r="251">
      <x:c r="A251" s="27" t="str">
        <x:f>'Inputs_Trades'!D251</x:f>
        <x:v>IND-000248</x:v>
      </x:c>
      <x:c r="B251" s="27" t="str">
        <x:f>'Inputs_Trades'!B251</x:f>
        <x:v>IND_BANK_001</x:v>
      </x:c>
      <x:c r="C251" s="27" t="n">
        <x:f>'Inputs_Trades'!C251</x:f>
        <x:v>3372</x:v>
      </x:c>
      <x:c r="D251" s="27" t="str">
        <x:f>'Inputs_Trades'!E251</x:f>
        <x:v>Credit TRS</x:v>
      </x:c>
      <x:c r="E251" s="27" t="str">
        <x:f>'Inputs_Trades'!F251</x:f>
        <x:v>Credit</x:v>
      </x:c>
      <x:c r="F251" s="27" t="n">
        <x:f>'Inputs_Trades'!G251</x:f>
        <x:v>0</x:v>
      </x:c>
      <x:c r="G251" s="27" t="str">
        <x:f>'Inputs_Trades'!J251</x:f>
        <x:v>USD</x:v>
      </x:c>
      <x:c r="H251" s="27" t="str">
        <x:f>'Inputs_Trades'!H251</x:f>
        <x:v>USD</x:v>
      </x:c>
      <x:c r="I251" s="27" t="n">
        <x:f>'Inputs_Trades'!I251</x:f>
        <x:v>0</x:v>
      </x:c>
      <x:c r="J251" s="27" t="str">
        <x:f>'Inputs_Trades'!M251</x:f>
        <x:v>CREDIT_NAME_06</x:v>
      </x:c>
      <x:c r="K251" s="27" t="str">
        <x:f>'Inputs_Trades'!N251</x:f>
        <x:v>Singleton</x:v>
      </x:c>
      <x:c r="L251" s="27" t="str">
        <x:f>'Inputs_Trades'!O251</x:f>
        <x:v>AAA</x:v>
      </x:c>
      <x:c r="M251" s="39" t="n">
        <x:f>'Inputs_Trades'!A251</x:f>
        <x:v>45702</x:v>
      </x:c>
      <x:c r="N251" s="39" t="n">
        <x:f>'Inputs_Trades'!P251</x:f>
        <x:v>47240</x:v>
      </x:c>
      <x:c r="O251" s="39" t="n">
        <x:f>'Inputs_Trades'!Q251</x:f>
        <x:v>44910</x:v>
      </x:c>
      <x:c r="P251" s="39" t="n">
        <x:f>'Inputs_Trades'!R251</x:f>
        <x:v>47240</x:v>
      </x:c>
      <x:c r="Q251" s="40" t="n">
        <x:f>'Inputs_Trades'!U251</x:f>
        <x:v>144000000</x:v>
      </x:c>
      <x:c r="R251" s="40" t="n">
        <x:f>'Inputs_Trades'!S251</x:f>
        <x:v>144000000</x:v>
      </x:c>
      <x:c r="S251" s="40" t="n">
        <x:f>'Inputs_Trades'!T251</x:f>
        <x:v>0</x:v>
      </x:c>
      <x:c r="T251" s="27" t="str">
        <x:f>'Inputs_Trades'!V251</x:f>
        <x:v>M</x:v>
      </x:c>
      <x:c r="U251" s="27" t="str">
        <x:f>'Inputs_Trades'!W251</x:f>
        <x:v>N</x:v>
      </x:c>
      <x:c r="V251" s="27" t="n">
        <x:f>'Inputs_Trades'!X251</x:f>
        <x:v>10</x:v>
      </x:c>
      <x:c r="W251" s="27" t="str">
        <x:f>'Inputs_Trades'!Y251</x:f>
        <x:v>B</x:v>
      </x:c>
      <x:c r="X251" s="27" t="n">
        <x:f>'Inputs_Trades'!AA251</x:f>
        <x:v>0</x:v>
      </x:c>
      <x:c r="Y251" s="27" t="n">
        <x:f>'Inputs_Trades'!AB251</x:f>
        <x:v>0</x:v>
      </x:c>
      <x:c r="Z251" s="27" t="n">
        <x:f>'Inputs_Trades'!AC251</x:f>
        <x:v>0</x:v>
      </x:c>
      <x:c r="AA251" s="39" t="n">
        <x:f>'Inputs_Trades'!Z251</x:f>
        <x:v>0</x:v>
      </x:c>
      <x:c r="AB251" s="40" t="n">
        <x:f>'Inputs_Trades'!AD251</x:f>
        <x:v>-2306880</x:v>
      </x:c>
      <x:c r="AC251" s="27" t="n">
        <x:f>'Inputs_Trades'!K251</x:f>
        <x:v>0</x:v>
      </x:c>
      <x:c r="AD251" s="27" t="n">
        <x:f>N251-M251</x:f>
        <x:v>1538</x:v>
      </x:c>
      <x:c r="AE251" s="41" t="n">
        <x:f>AD251/365</x:f>
        <x:v>4.213698630136986</x:v>
      </x:c>
      <x:c r="AF251" s="27" t="str">
        <x:f>IF(AE251&lt;1,"&lt;1Y",IF(AE251&lt;=5,"1Y-5Y","&gt;5Y"))</x:f>
        <x:v>1Y-5Y</x:v>
      </x:c>
      <x:c r="AG251" s="27" t="str">
        <x:f>IF(E251="Commodity",IFERROR(VLOOKUP(F251,Parameters!$P$4:$Q$12,2,FALSE),"Other"),"")</x:f>
      </x:c>
      <x:c r="AH251" s="27" t="str">
        <x:f>IF(F251="","Unknown",F251)</x:f>
        <x:v>Unknown</x:v>
      </x:c>
      <x:c r="AI251" s="27" t="str">
        <x:f>IF(E251="Interest Rate",G251&amp;IF(OR(LOWER(AC251)="basis",LOWER(AC251)="volatility"),"_"&amp;AC251,""),IF(E251="FX",IF(H251&lt;I251,H251&amp;"/"&amp;I251,I251&amp;"/"&amp;H251)&amp;IF(OR(LOWER(AC251)="basis",LOWER(AC251)="volatility"),"_"&amp;AC251,""),IF(OR(E251="Credit",E251="Equity"),J251&amp;IF(OR(LOWER(AC251)="basis",LOWER(AC251)="volatility"),"_"&amp;AC251,""),IF(E251="Commodity",AG251&amp;IF(OR(LOWER(AC251)="basis",LOWER(AC251)="volatility"),"_"&amp;AC251,""),"UNKNOWN"))))</x:f>
        <x:v>CREDIT_NAME_06</x:v>
      </x:c>
      <x:c r="AJ251" s="27" t="str">
        <x:f>T251</x:f>
        <x:v>M</x:v>
      </x:c>
      <x:c r="AK251" s="41" t="n">
        <x:f>IF(E251="Interest Rate",VLOOKUP("Interest Rate",Parameters!$D$4:$E$12,2,FALSE),IF(E251="FX",VLOOKUP("FX",Parameters!$D$4:$E$12,2,FALSE),IF(E251="Credit",IFERROR(VLOOKUP(L251,Parameters!$G$4:$H$12,2,FALSE),VLOOKUP("BBB",Parameters!$G$4:$H$12,2,FALSE)),IF(E251="Equity",VLOOKUP(IF(LOWER(K251)="index","Equity Index","Equity Single Name"),Parameters!$D$4:$E$12,2,FALSE),IF(E251="Commodity",VLOOKUP(IFERROR(VLOOKUP(F251,Parameters!$S$4:$T$12,2,FALSE),"Commodity Other"),Parameters!$D$4:$E$12,2,FALSE),0)))))</x:f>
        <x:v>0.0038</x:v>
      </x:c>
      <x:c r="AL251" s="42" t="n">
        <x:f>IF(LOWER(AC251)="basis",Parameters!$B$8,IF(LOWER(AC251)="volatility",Parameters!$B$9,1))</x:f>
        <x:v>1</x:v>
      </x:c>
      <x:c r="AM251" s="41" t="n">
        <x:f>AK251*AL251</x:f>
        <x:v>0.0038</x:v>
      </x:c>
      <x:c r="AN251" s="42" t="n">
        <x:f>IF(E251="Credit",VLOOKUP(IF(LOWER(K251)="index","Credit Index","Credit Single Name"),Parameters!$J$4:$K$8,2,FALSE),IF(E251="Equity",VLOOKUP(IF(LOWER(K251)="index","Equity Index","Equity Single Name"),Parameters!$J$4:$K$8,2,FALSE),IF(E251="Commodity",VLOOKUP("Commodity",Parameters!$J$4:$K$8,2,FALSE),"")))</x:f>
        <x:v>0.5</x:v>
      </x:c>
      <x:c r="AO251" s="27" t="n">
        <x:f>MAX((O251-M251)/365,0)</x:f>
        <x:v>0</x:v>
      </x:c>
      <x:c r="AP251" s="27" t="n">
        <x:f>MAX((P251-M251)/365,10/Parameters!$B$6)</x:f>
        <x:v>4.213698630136986</x:v>
      </x:c>
      <x:c r="AQ251" s="27" t="n">
        <x:f>IF(AP251&lt;=AO251,AO251+10/Parameters!$B$6,AP251)</x:f>
        <x:v>4.213698630136986</x:v>
      </x:c>
      <x:c r="AR251" s="41" t="n">
        <x:f>IF(OR(E251="Interest Rate",E251="Credit"),(EXP(-Parameters!$B$7*AO251)-EXP(-Parameters!$B$7*AQ251))/Parameters!$B$7,1)</x:f>
        <x:v>3.7994151725413694</x:v>
      </x:c>
      <x:c r="AS251" s="40" t="n">
        <x:f>IF(OR(E251="Interest Rate",E251="Credit"),ABS(Q251)*AR251,IF(E251="FX",IF(Q251&gt;0,Q251,MAX(ABS(R251),ABS(S251),ABS(Q251))),ABS(Q251)))</x:f>
        <x:v>547115784.8459572</x:v>
      </x:c>
      <x:c r="AT251" s="42" t="n">
        <x:f>IF(OR(E251="Interest Rate",E251="FX"),VLOOKUP(E251,Parameters!$M$4:$N$11,2,FALSE),IF(E251="Credit",VLOOKUP(IF(LOWER(K251)="index","Credit Index","Credit Single Name"),Parameters!$M$4:$N$11,2,FALSE),IF(E251="Equity",VLOOKUP(IF(LOWER(K251)="index","Equity Index","Equity Single Name"),Parameters!$M$4:$N$11,2,FALSE),IF(E251="Commodity",VLOOKUP(IF(F251="Electricity","Commodity Electricity","Commodity Other"),Parameters!$M$4:$N$11,2,FALSE),1))))</x:f>
        <x:v>1</x:v>
      </x:c>
      <x:c r="AU251" s="27" t="n">
        <x:f>IF(W251="B",1,-1)</x:f>
        <x:v>1</x:v>
      </x:c>
      <x:c r="AV251" s="27" t="n">
        <x:f>IF(OR(AA251="",M251=""),MAX(AE251,1/365),MAX((AA251-M251)/365,1/365))</x:f>
        <x:v>4.213698630136986</x:v>
      </x:c>
      <x:c r="AW251" s="41" t="str">
        <x:f>IF(OR(Z251&lt;=0,Y251&lt;=0,AT251&lt;=0,AV251&lt;=0),"",(LN(Z251/Y251)+0.5*AT251^2*AV251)/(AT251*SQRT(AV251)))</x:f>
      </x:c>
      <x:c r="AX251" s="41" t="n">
        <x:f>IF(AND(X251&lt;&gt;"C",X251&lt;&gt;"P"),AU251,IF(AW251="",AU251,IF(X251="C",AU251*0.5*(1+ERF(AW251/SQRT(2))),-AU251*0.5*(1+ERF(-AW251/SQRT(2))))))</x:f>
        <x:v>1</x:v>
      </x:c>
      <x:c r="AY251" s="41" t="n">
        <x:f>IF(AJ251="M",1.5*SQRT(MAX(IF(U251="Y",5,10),IF(V251="",10,V251))/Parameters!$B$6),SQRT(MIN(MAX(AE251,10/Parameters!$B$6),1)))</x:f>
        <x:v>0.30000000000000004</x:v>
      </x:c>
      <x:c r="AZ251" s="40" t="n">
        <x:f>AS251*AX251*AY251</x:f>
        <x:v>164134735.45378718</x:v>
      </x:c>
      <x:c r="BA251" s="40" t="n">
        <x:f>'Python_Trade_Output'!AZ251</x:f>
        <x:v>164134735.45378718</x:v>
      </x:c>
      <x:c r="BB251" s="43" t="n">
        <x:f>AZ251-BA251</x:f>
        <x:v>0</x:v>
      </x:c>
    </x:row>
    <x:row r="252">
      <x:c r="A252" s="27" t="str">
        <x:f>'Inputs_Trades'!D252</x:f>
        <x:v>IND-000249</x:v>
      </x:c>
      <x:c r="B252" s="27" t="str">
        <x:f>'Inputs_Trades'!B252</x:f>
        <x:v>IND_REGIONAL_BANK_001</x:v>
      </x:c>
      <x:c r="C252" s="27" t="n">
        <x:f>'Inputs_Trades'!C252</x:f>
        <x:v>3161</x:v>
      </x:c>
      <x:c r="D252" s="27" t="str">
        <x:f>'Inputs_Trades'!E252</x:f>
        <x:v>Credit TRS</x:v>
      </x:c>
      <x:c r="E252" s="27" t="str">
        <x:f>'Inputs_Trades'!F252</x:f>
        <x:v>Credit</x:v>
      </x:c>
      <x:c r="F252" s="27" t="n">
        <x:f>'Inputs_Trades'!G252</x:f>
        <x:v>0</x:v>
      </x:c>
      <x:c r="G252" s="27" t="str">
        <x:f>'Inputs_Trades'!J252</x:f>
        <x:v>USD</x:v>
      </x:c>
      <x:c r="H252" s="27" t="str">
        <x:f>'Inputs_Trades'!H252</x:f>
        <x:v>USD</x:v>
      </x:c>
      <x:c r="I252" s="27" t="n">
        <x:f>'Inputs_Trades'!I252</x:f>
        <x:v>0</x:v>
      </x:c>
      <x:c r="J252" s="27" t="str">
        <x:f>'Inputs_Trades'!M252</x:f>
        <x:v>CREDIT_INDEX_05</x:v>
      </x:c>
      <x:c r="K252" s="27" t="str">
        <x:f>'Inputs_Trades'!N252</x:f>
        <x:v>Singleton</x:v>
      </x:c>
      <x:c r="L252" s="27" t="str">
        <x:f>'Inputs_Trades'!O252</x:f>
        <x:v>B</x:v>
      </x:c>
      <x:c r="M252" s="39" t="n">
        <x:f>'Inputs_Trades'!A252</x:f>
        <x:v>45702</x:v>
      </x:c>
      <x:c r="N252" s="39" t="n">
        <x:f>'Inputs_Trades'!P252</x:f>
        <x:v>45822</x:v>
      </x:c>
      <x:c r="O252" s="39" t="n">
        <x:f>'Inputs_Trades'!Q252</x:f>
        <x:v>45684</x:v>
      </x:c>
      <x:c r="P252" s="39" t="n">
        <x:f>'Inputs_Trades'!R252</x:f>
        <x:v>45822</x:v>
      </x:c>
      <x:c r="Q252" s="40" t="n">
        <x:f>'Inputs_Trades'!U252</x:f>
        <x:v>38100000</x:v>
      </x:c>
      <x:c r="R252" s="40" t="n">
        <x:f>'Inputs_Trades'!S252</x:f>
        <x:v>38100000</x:v>
      </x:c>
      <x:c r="S252" s="40" t="n">
        <x:f>'Inputs_Trades'!T252</x:f>
        <x:v>0</x:v>
      </x:c>
      <x:c r="T252" s="27" t="str">
        <x:f>'Inputs_Trades'!V252</x:f>
        <x:v>U</x:v>
      </x:c>
      <x:c r="U252" s="27" t="str">
        <x:f>'Inputs_Trades'!W252</x:f>
        <x:v>N</x:v>
      </x:c>
      <x:c r="V252" s="27" t="n">
        <x:f>'Inputs_Trades'!X252</x:f>
        <x:v>0</x:v>
      </x:c>
      <x:c r="W252" s="27" t="str">
        <x:f>'Inputs_Trades'!Y252</x:f>
        <x:v>B</x:v>
      </x:c>
      <x:c r="X252" s="27" t="n">
        <x:f>'Inputs_Trades'!AA252</x:f>
        <x:v>0</x:v>
      </x:c>
      <x:c r="Y252" s="27" t="n">
        <x:f>'Inputs_Trades'!AB252</x:f>
        <x:v>0</x:v>
      </x:c>
      <x:c r="Z252" s="27" t="n">
        <x:f>'Inputs_Trades'!AC252</x:f>
        <x:v>0</x:v>
      </x:c>
      <x:c r="AA252" s="39" t="n">
        <x:f>'Inputs_Trades'!Z252</x:f>
        <x:v>0</x:v>
      </x:c>
      <x:c r="AB252" s="40" t="n">
        <x:f>'Inputs_Trades'!AD252</x:f>
        <x:v>-298704</x:v>
      </x:c>
      <x:c r="AC252" s="27" t="n">
        <x:f>'Inputs_Trades'!K252</x:f>
        <x:v>0</x:v>
      </x:c>
      <x:c r="AD252" s="27" t="n">
        <x:f>N252-M252</x:f>
        <x:v>120</x:v>
      </x:c>
      <x:c r="AE252" s="41" t="n">
        <x:f>AD252/365</x:f>
        <x:v>0.3287671232876712</x:v>
      </x:c>
      <x:c r="AF252" s="27" t="str">
        <x:f>IF(AE252&lt;1,"&lt;1Y",IF(AE252&lt;=5,"1Y-5Y","&gt;5Y"))</x:f>
        <x:v>&lt;1Y</x:v>
      </x:c>
      <x:c r="AG252" s="27" t="str">
        <x:f>IF(E252="Commodity",IFERROR(VLOOKUP(F252,Parameters!$P$4:$Q$12,2,FALSE),"Other"),"")</x:f>
      </x:c>
      <x:c r="AH252" s="27" t="str">
        <x:f>IF(F252="","Unknown",F252)</x:f>
        <x:v>Unknown</x:v>
      </x:c>
      <x:c r="AI252" s="27" t="str">
        <x:f>IF(E252="Interest Rate",G252&amp;IF(OR(LOWER(AC252)="basis",LOWER(AC252)="volatility"),"_"&amp;AC252,""),IF(E252="FX",IF(H252&lt;I252,H252&amp;"/"&amp;I252,I252&amp;"/"&amp;H252)&amp;IF(OR(LOWER(AC252)="basis",LOWER(AC252)="volatility"),"_"&amp;AC252,""),IF(OR(E252="Credit",E252="Equity"),J252&amp;IF(OR(LOWER(AC252)="basis",LOWER(AC252)="volatility"),"_"&amp;AC252,""),IF(E252="Commodity",AG252&amp;IF(OR(LOWER(AC252)="basis",LOWER(AC252)="volatility"),"_"&amp;AC252,""),"UNKNOWN"))))</x:f>
        <x:v>CREDIT_INDEX_05</x:v>
      </x:c>
      <x:c r="AJ252" s="27" t="str">
        <x:f>T252</x:f>
        <x:v>U</x:v>
      </x:c>
      <x:c r="AK252" s="41" t="n">
        <x:f>IF(E252="Interest Rate",VLOOKUP("Interest Rate",Parameters!$D$4:$E$12,2,FALSE),IF(E252="FX",VLOOKUP("FX",Parameters!$D$4:$E$12,2,FALSE),IF(E252="Credit",IFERROR(VLOOKUP(L252,Parameters!$G$4:$H$12,2,FALSE),VLOOKUP("BBB",Parameters!$G$4:$H$12,2,FALSE)),IF(E252="Equity",VLOOKUP(IF(LOWER(K252)="index","Equity Index","Equity Single Name"),Parameters!$D$4:$E$12,2,FALSE),IF(E252="Commodity",VLOOKUP(IFERROR(VLOOKUP(F252,Parameters!$S$4:$T$12,2,FALSE),"Commodity Other"),Parameters!$D$4:$E$12,2,FALSE),0)))))</x:f>
        <x:v>0.016</x:v>
      </x:c>
      <x:c r="AL252" s="42" t="n">
        <x:f>IF(LOWER(AC252)="basis",Parameters!$B$8,IF(LOWER(AC252)="volatility",Parameters!$B$9,1))</x:f>
        <x:v>1</x:v>
      </x:c>
      <x:c r="AM252" s="41" t="n">
        <x:f>AK252*AL252</x:f>
        <x:v>0.016</x:v>
      </x:c>
      <x:c r="AN252" s="42" t="n">
        <x:f>IF(E252="Credit",VLOOKUP(IF(LOWER(K252)="index","Credit Index","Credit Single Name"),Parameters!$J$4:$K$8,2,FALSE),IF(E252="Equity",VLOOKUP(IF(LOWER(K252)="index","Equity Index","Equity Single Name"),Parameters!$J$4:$K$8,2,FALSE),IF(E252="Commodity",VLOOKUP("Commodity",Parameters!$J$4:$K$8,2,FALSE),"")))</x:f>
        <x:v>0.5</x:v>
      </x:c>
      <x:c r="AO252" s="27" t="n">
        <x:f>MAX((O252-M252)/365,0)</x:f>
        <x:v>0</x:v>
      </x:c>
      <x:c r="AP252" s="27" t="n">
        <x:f>MAX((P252-M252)/365,10/Parameters!$B$6)</x:f>
        <x:v>0.3287671232876712</x:v>
      </x:c>
      <x:c r="AQ252" s="27" t="n">
        <x:f>IF(AP252&lt;=AO252,AO252+10/Parameters!$B$6,AP252)</x:f>
        <x:v>0.3287671232876712</x:v>
      </x:c>
      <x:c r="AR252" s="41" t="n">
        <x:f>IF(OR(E252="Interest Rate",E252="Credit"),(EXP(-Parameters!$B$7*AO252)-EXP(-Parameters!$B$7*AQ252))/Parameters!$B$7,1)</x:f>
        <x:v>0.3260796736553351</x:v>
      </x:c>
      <x:c r="AS252" s="40" t="n">
        <x:f>IF(OR(E252="Interest Rate",E252="Credit"),ABS(Q252)*AR252,IF(E252="FX",IF(Q252&gt;0,Q252,MAX(ABS(R252),ABS(S252),ABS(Q252))),ABS(Q252)))</x:f>
        <x:v>12423635.566268267</x:v>
      </x:c>
      <x:c r="AT252" s="42" t="n">
        <x:f>IF(OR(E252="Interest Rate",E252="FX"),VLOOKUP(E252,Parameters!$M$4:$N$11,2,FALSE),IF(E252="Credit",VLOOKUP(IF(LOWER(K252)="index","Credit Index","Credit Single Name"),Parameters!$M$4:$N$11,2,FALSE),IF(E252="Equity",VLOOKUP(IF(LOWER(K252)="index","Equity Index","Equity Single Name"),Parameters!$M$4:$N$11,2,FALSE),IF(E252="Commodity",VLOOKUP(IF(F252="Electricity","Commodity Electricity","Commodity Other"),Parameters!$M$4:$N$11,2,FALSE),1))))</x:f>
        <x:v>1</x:v>
      </x:c>
      <x:c r="AU252" s="27" t="n">
        <x:f>IF(W252="B",1,-1)</x:f>
        <x:v>1</x:v>
      </x:c>
      <x:c r="AV252" s="27" t="n">
        <x:f>IF(OR(AA252="",M252=""),MAX(AE252,1/365),MAX((AA252-M252)/365,1/365))</x:f>
        <x:v>0.3287671232876712</x:v>
      </x:c>
      <x:c r="AW252" s="41" t="str">
        <x:f>IF(OR(Z252&lt;=0,Y252&lt;=0,AT252&lt;=0,AV252&lt;=0),"",(LN(Z252/Y252)+0.5*AT252^2*AV252)/(AT252*SQRT(AV252)))</x:f>
      </x:c>
      <x:c r="AX252" s="41" t="n">
        <x:f>IF(AND(X252&lt;&gt;"C",X252&lt;&gt;"P"),AU252,IF(AW252="",AU252,IF(X252="C",AU252*0.5*(1+ERF(AW252/SQRT(2))),-AU252*0.5*(1+ERF(-AW252/SQRT(2))))))</x:f>
        <x:v>1</x:v>
      </x:c>
      <x:c r="AY252" s="41" t="n">
        <x:f>IF(AJ252="M",1.5*SQRT(MAX(IF(U252="Y",5,10),IF(V252="",10,V252))/Parameters!$B$6),SQRT(MIN(MAX(AE252,10/Parameters!$B$6),1)))</x:f>
        <x:v>0.5733821790809959</x:v>
      </x:c>
      <x:c r="AZ252" s="40" t="n">
        <x:f>AS252*AX252*AY252</x:f>
        <x:v>7123491.233095061</x:v>
      </x:c>
      <x:c r="BA252" s="40" t="n">
        <x:f>'Python_Trade_Output'!AZ252</x:f>
        <x:v>7123491.233095061</x:v>
      </x:c>
      <x:c r="BB252" s="43" t="n">
        <x:f>AZ252-BA252</x:f>
        <x:v>0</x:v>
      </x:c>
    </x:row>
    <x:row r="253">
      <x:c r="A253" s="27" t="str">
        <x:f>'Inputs_Trades'!D253</x:f>
        <x:v>IND-000250</x:v>
      </x:c>
      <x:c r="B253" s="27" t="str">
        <x:f>'Inputs_Trades'!B253</x:f>
        <x:v>IND_ASSET_MANAGER_001</x:v>
      </x:c>
      <x:c r="C253" s="27" t="n">
        <x:f>'Inputs_Trades'!C253</x:f>
        <x:v>3277</x:v>
      </x:c>
      <x:c r="D253" s="27" t="str">
        <x:f>'Inputs_Trades'!E253</x:f>
        <x:v>Credit TRS</x:v>
      </x:c>
      <x:c r="E253" s="27" t="str">
        <x:f>'Inputs_Trades'!F253</x:f>
        <x:v>Credit</x:v>
      </x:c>
      <x:c r="F253" s="27" t="n">
        <x:f>'Inputs_Trades'!G253</x:f>
        <x:v>0</x:v>
      </x:c>
      <x:c r="G253" s="27" t="str">
        <x:f>'Inputs_Trades'!J253</x:f>
        <x:v>USD</x:v>
      </x:c>
      <x:c r="H253" s="27" t="str">
        <x:f>'Inputs_Trades'!H253</x:f>
        <x:v>USD</x:v>
      </x:c>
      <x:c r="I253" s="27" t="n">
        <x:f>'Inputs_Trades'!I253</x:f>
        <x:v>0</x:v>
      </x:c>
      <x:c r="J253" s="27" t="str">
        <x:f>'Inputs_Trades'!M253</x:f>
        <x:v>CREDIT_INDEX_27</x:v>
      </x:c>
      <x:c r="K253" s="27" t="str">
        <x:f>'Inputs_Trades'!N253</x:f>
        <x:v>Singleton</x:v>
      </x:c>
      <x:c r="L253" s="27" t="str">
        <x:f>'Inputs_Trades'!O253</x:f>
        <x:v>BBB</x:v>
      </x:c>
      <x:c r="M253" s="39" t="n">
        <x:f>'Inputs_Trades'!A253</x:f>
        <x:v>45702</x:v>
      </x:c>
      <x:c r="N253" s="39" t="n">
        <x:f>'Inputs_Trades'!P253</x:f>
        <x:v>46277</x:v>
      </x:c>
      <x:c r="O253" s="39" t="n">
        <x:f>'Inputs_Trades'!Q253</x:f>
        <x:v>45085</x:v>
      </x:c>
      <x:c r="P253" s="39" t="n">
        <x:f>'Inputs_Trades'!R253</x:f>
        <x:v>46277</x:v>
      </x:c>
      <x:c r="Q253" s="40" t="n">
        <x:f>'Inputs_Trades'!U253</x:f>
        <x:v>67400000</x:v>
      </x:c>
      <x:c r="R253" s="40" t="n">
        <x:f>'Inputs_Trades'!S253</x:f>
        <x:v>67400000</x:v>
      </x:c>
      <x:c r="S253" s="40" t="n">
        <x:f>'Inputs_Trades'!T253</x:f>
        <x:v>0</x:v>
      </x:c>
      <x:c r="T253" s="27" t="str">
        <x:f>'Inputs_Trades'!V253</x:f>
        <x:v>U</x:v>
      </x:c>
      <x:c r="U253" s="27" t="str">
        <x:f>'Inputs_Trades'!W253</x:f>
        <x:v>N</x:v>
      </x:c>
      <x:c r="V253" s="27" t="n">
        <x:f>'Inputs_Trades'!X253</x:f>
        <x:v>0</x:v>
      </x:c>
      <x:c r="W253" s="27" t="str">
        <x:f>'Inputs_Trades'!Y253</x:f>
        <x:v>B</x:v>
      </x:c>
      <x:c r="X253" s="27" t="n">
        <x:f>'Inputs_Trades'!AA253</x:f>
        <x:v>0</x:v>
      </x:c>
      <x:c r="Y253" s="27" t="n">
        <x:f>'Inputs_Trades'!AB253</x:f>
        <x:v>0</x:v>
      </x:c>
      <x:c r="Z253" s="27" t="n">
        <x:f>'Inputs_Trades'!AC253</x:f>
        <x:v>0</x:v>
      </x:c>
      <x:c r="AA253" s="39" t="n">
        <x:f>'Inputs_Trades'!Z253</x:f>
        <x:v>0</x:v>
      </x:c>
      <x:c r="AB253" s="40" t="n">
        <x:f>'Inputs_Trades'!AD253</x:f>
        <x:v>876200</x:v>
      </x:c>
      <x:c r="AC253" s="27" t="n">
        <x:f>'Inputs_Trades'!K253</x:f>
        <x:v>0</x:v>
      </x:c>
      <x:c r="AD253" s="27" t="n">
        <x:f>N253-M253</x:f>
        <x:v>575</x:v>
      </x:c>
      <x:c r="AE253" s="41" t="n">
        <x:f>AD253/365</x:f>
        <x:v>1.5753424657534247</x:v>
      </x:c>
      <x:c r="AF253" s="27" t="str">
        <x:f>IF(AE253&lt;1,"&lt;1Y",IF(AE253&lt;=5,"1Y-5Y","&gt;5Y"))</x:f>
        <x:v>1Y-5Y</x:v>
      </x:c>
      <x:c r="AG253" s="27" t="str">
        <x:f>IF(E253="Commodity",IFERROR(VLOOKUP(F253,Parameters!$P$4:$Q$12,2,FALSE),"Other"),"")</x:f>
      </x:c>
      <x:c r="AH253" s="27" t="str">
        <x:f>IF(F253="","Unknown",F253)</x:f>
        <x:v>Unknown</x:v>
      </x:c>
      <x:c r="AI253" s="27" t="str">
        <x:f>IF(E253="Interest Rate",G253&amp;IF(OR(LOWER(AC253)="basis",LOWER(AC253)="volatility"),"_"&amp;AC253,""),IF(E253="FX",IF(H253&lt;I253,H253&amp;"/"&amp;I253,I253&amp;"/"&amp;H253)&amp;IF(OR(LOWER(AC253)="basis",LOWER(AC253)="volatility"),"_"&amp;AC253,""),IF(OR(E253="Credit",E253="Equity"),J253&amp;IF(OR(LOWER(AC253)="basis",LOWER(AC253)="volatility"),"_"&amp;AC253,""),IF(E253="Commodity",AG253&amp;IF(OR(LOWER(AC253)="basis",LOWER(AC253)="volatility"),"_"&amp;AC253,""),"UNKNOWN"))))</x:f>
        <x:v>CREDIT_INDEX_27</x:v>
      </x:c>
      <x:c r="AJ253" s="27" t="str">
        <x:f>T253</x:f>
        <x:v>U</x:v>
      </x:c>
      <x:c r="AK253" s="41" t="n">
        <x:f>IF(E253="Interest Rate",VLOOKUP("Interest Rate",Parameters!$D$4:$E$12,2,FALSE),IF(E253="FX",VLOOKUP("FX",Parameters!$D$4:$E$12,2,FALSE),IF(E253="Credit",IFERROR(VLOOKUP(L253,Parameters!$G$4:$H$12,2,FALSE),VLOOKUP("BBB",Parameters!$G$4:$H$12,2,FALSE)),IF(E253="Equity",VLOOKUP(IF(LOWER(K253)="index","Equity Index","Equity Single Name"),Parameters!$D$4:$E$12,2,FALSE),IF(E253="Commodity",VLOOKUP(IFERROR(VLOOKUP(F253,Parameters!$S$4:$T$12,2,FALSE),"Commodity Other"),Parameters!$D$4:$E$12,2,FALSE),0)))))</x:f>
        <x:v>0.0054</x:v>
      </x:c>
      <x:c r="AL253" s="42" t="n">
        <x:f>IF(LOWER(AC253)="basis",Parameters!$B$8,IF(LOWER(AC253)="volatility",Parameters!$B$9,1))</x:f>
        <x:v>1</x:v>
      </x:c>
      <x:c r="AM253" s="41" t="n">
        <x:f>AK253*AL253</x:f>
        <x:v>0.0054</x:v>
      </x:c>
      <x:c r="AN253" s="42" t="n">
        <x:f>IF(E253="Credit",VLOOKUP(IF(LOWER(K253)="index","Credit Index","Credit Single Name"),Parameters!$J$4:$K$8,2,FALSE),IF(E253="Equity",VLOOKUP(IF(LOWER(K253)="index","Equity Index","Equity Single Name"),Parameters!$J$4:$K$8,2,FALSE),IF(E253="Commodity",VLOOKUP("Commodity",Parameters!$J$4:$K$8,2,FALSE),"")))</x:f>
        <x:v>0.5</x:v>
      </x:c>
      <x:c r="AO253" s="27" t="n">
        <x:f>MAX((O253-M253)/365,0)</x:f>
        <x:v>0</x:v>
      </x:c>
      <x:c r="AP253" s="27" t="n">
        <x:f>MAX((P253-M253)/365,10/Parameters!$B$6)</x:f>
        <x:v>1.5753424657534247</x:v>
      </x:c>
      <x:c r="AQ253" s="27" t="n">
        <x:f>IF(AP253&lt;=AO253,AO253+10/Parameters!$B$6,AP253)</x:f>
        <x:v>1.5753424657534247</x:v>
      </x:c>
      <x:c r="AR253" s="41" t="n">
        <x:f>IF(OR(E253="Interest Rate",E253="Credit"),(EXP(-Parameters!$B$7*AO253)-EXP(-Parameters!$B$7*AQ253))/Parameters!$B$7,1)</x:f>
        <x:v>1.514897262344761</x:v>
      </x:c>
      <x:c r="AS253" s="40" t="n">
        <x:f>IF(OR(E253="Interest Rate",E253="Credit"),ABS(Q253)*AR253,IF(E253="FX",IF(Q253&gt;0,Q253,MAX(ABS(R253),ABS(S253),ABS(Q253))),ABS(Q253)))</x:f>
        <x:v>102104075.48203689</x:v>
      </x:c>
      <x:c r="AT253" s="42" t="n">
        <x:f>IF(OR(E253="Interest Rate",E253="FX"),VLOOKUP(E253,Parameters!$M$4:$N$11,2,FALSE),IF(E253="Credit",VLOOKUP(IF(LOWER(K253)="index","Credit Index","Credit Single Name"),Parameters!$M$4:$N$11,2,FALSE),IF(E253="Equity",VLOOKUP(IF(LOWER(K253)="index","Equity Index","Equity Single Name"),Parameters!$M$4:$N$11,2,FALSE),IF(E253="Commodity",VLOOKUP(IF(F253="Electricity","Commodity Electricity","Commodity Other"),Parameters!$M$4:$N$11,2,FALSE),1))))</x:f>
        <x:v>1</x:v>
      </x:c>
      <x:c r="AU253" s="27" t="n">
        <x:f>IF(W253="B",1,-1)</x:f>
        <x:v>1</x:v>
      </x:c>
      <x:c r="AV253" s="27" t="n">
        <x:f>IF(OR(AA253="",M253=""),MAX(AE253,1/365),MAX((AA253-M253)/365,1/365))</x:f>
        <x:v>1.5753424657534247</x:v>
      </x:c>
      <x:c r="AW253" s="41" t="str">
        <x:f>IF(OR(Z253&lt;=0,Y253&lt;=0,AT253&lt;=0,AV253&lt;=0),"",(LN(Z253/Y253)+0.5*AT253^2*AV253)/(AT253*SQRT(AV253)))</x:f>
      </x:c>
      <x:c r="AX253" s="41" t="n">
        <x:f>IF(AND(X253&lt;&gt;"C",X253&lt;&gt;"P"),AU253,IF(AW253="",AU253,IF(X253="C",AU253*0.5*(1+ERF(AW253/SQRT(2))),-AU253*0.5*(1+ERF(-AW253/SQRT(2))))))</x:f>
        <x:v>1</x:v>
      </x:c>
      <x:c r="AY253" s="41" t="n">
        <x:f>IF(AJ253="M",1.5*SQRT(MAX(IF(U253="Y",5,10),IF(V253="",10,V253))/Parameters!$B$6),SQRT(MIN(MAX(AE253,10/Parameters!$B$6),1)))</x:f>
        <x:v>1</x:v>
      </x:c>
      <x:c r="AZ253" s="40" t="n">
        <x:f>AS253*AX253*AY253</x:f>
        <x:v>102104075.48203689</x:v>
      </x:c>
      <x:c r="BA253" s="40" t="n">
        <x:f>'Python_Trade_Output'!AZ253</x:f>
        <x:v>102104075.48203689</x:v>
      </x:c>
      <x:c r="BB253" s="43" t="n">
        <x:f>AZ253-BA253</x:f>
        <x:v>0</x:v>
      </x:c>
    </x:row>
    <x:row r="254">
      <x:c r="A254" s="27" t="str">
        <x:f>'Inputs_Trades'!D254</x:f>
        <x:v>IND-000251</x:v>
      </x:c>
      <x:c r="B254" s="27" t="str">
        <x:f>'Inputs_Trades'!B254</x:f>
        <x:v>IND_BANK_002</x:v>
      </x:c>
      <x:c r="C254" s="27" t="n">
        <x:f>'Inputs_Trades'!C254</x:f>
        <x:v>3341</x:v>
      </x:c>
      <x:c r="D254" s="27" t="str">
        <x:f>'Inputs_Trades'!E254</x:f>
        <x:v>Credit TRS</x:v>
      </x:c>
      <x:c r="E254" s="27" t="str">
        <x:f>'Inputs_Trades'!F254</x:f>
        <x:v>Credit</x:v>
      </x:c>
      <x:c r="F254" s="27" t="n">
        <x:f>'Inputs_Trades'!G254</x:f>
        <x:v>0</x:v>
      </x:c>
      <x:c r="G254" s="27" t="str">
        <x:f>'Inputs_Trades'!J254</x:f>
        <x:v>USD</x:v>
      </x:c>
      <x:c r="H254" s="27" t="str">
        <x:f>'Inputs_Trades'!H254</x:f>
        <x:v>USD</x:v>
      </x:c>
      <x:c r="I254" s="27" t="n">
        <x:f>'Inputs_Trades'!I254</x:f>
        <x:v>0</x:v>
      </x:c>
      <x:c r="J254" s="27" t="str">
        <x:f>'Inputs_Trades'!M254</x:f>
        <x:v>CREDIT_INDEX_13</x:v>
      </x:c>
      <x:c r="K254" s="27" t="str">
        <x:f>'Inputs_Trades'!N254</x:f>
        <x:v>Singleton</x:v>
      </x:c>
      <x:c r="L254" s="27" t="str">
        <x:f>'Inputs_Trades'!O254</x:f>
        <x:v>AA</x:v>
      </x:c>
      <x:c r="M254" s="39" t="n">
        <x:f>'Inputs_Trades'!A254</x:f>
        <x:v>45702</x:v>
      </x:c>
      <x:c r="N254" s="39" t="n">
        <x:f>'Inputs_Trades'!P254</x:f>
        <x:v>46000</x:v>
      </x:c>
      <x:c r="O254" s="39" t="n">
        <x:f>'Inputs_Trades'!Q254</x:f>
        <x:v>45007</x:v>
      </x:c>
      <x:c r="P254" s="39" t="n">
        <x:f>'Inputs_Trades'!R254</x:f>
        <x:v>46000</x:v>
      </x:c>
      <x:c r="Q254" s="40" t="n">
        <x:f>'Inputs_Trades'!U254</x:f>
        <x:v>25500000</x:v>
      </x:c>
      <x:c r="R254" s="40" t="n">
        <x:f>'Inputs_Trades'!S254</x:f>
        <x:v>25500000</x:v>
      </x:c>
      <x:c r="S254" s="40" t="n">
        <x:f>'Inputs_Trades'!T254</x:f>
        <x:v>0</x:v>
      </x:c>
      <x:c r="T254" s="27" t="str">
        <x:f>'Inputs_Trades'!V254</x:f>
        <x:v>M</x:v>
      </x:c>
      <x:c r="U254" s="27" t="str">
        <x:f>'Inputs_Trades'!W254</x:f>
        <x:v>N</x:v>
      </x:c>
      <x:c r="V254" s="27" t="n">
        <x:f>'Inputs_Trades'!X254</x:f>
        <x:v>10</x:v>
      </x:c>
      <x:c r="W254" s="27" t="str">
        <x:f>'Inputs_Trades'!Y254</x:f>
        <x:v>S</x:v>
      </x:c>
      <x:c r="X254" s="27" t="n">
        <x:f>'Inputs_Trades'!AA254</x:f>
        <x:v>0</x:v>
      </x:c>
      <x:c r="Y254" s="27" t="n">
        <x:f>'Inputs_Trades'!AB254</x:f>
        <x:v>0</x:v>
      </x:c>
      <x:c r="Z254" s="27" t="n">
        <x:f>'Inputs_Trades'!AC254</x:f>
        <x:v>0</x:v>
      </x:c>
      <x:c r="AA254" s="39" t="n">
        <x:f>'Inputs_Trades'!Z254</x:f>
        <x:v>0</x:v>
      </x:c>
      <x:c r="AB254" s="40" t="n">
        <x:f>'Inputs_Trades'!AD254</x:f>
        <x:v>299370</x:v>
      </x:c>
      <x:c r="AC254" s="27" t="n">
        <x:f>'Inputs_Trades'!K254</x:f>
        <x:v>0</x:v>
      </x:c>
      <x:c r="AD254" s="27" t="n">
        <x:f>N254-M254</x:f>
        <x:v>298</x:v>
      </x:c>
      <x:c r="AE254" s="41" t="n">
        <x:f>AD254/365</x:f>
        <x:v>0.8164383561643835</x:v>
      </x:c>
      <x:c r="AF254" s="27" t="str">
        <x:f>IF(AE254&lt;1,"&lt;1Y",IF(AE254&lt;=5,"1Y-5Y","&gt;5Y"))</x:f>
        <x:v>&lt;1Y</x:v>
      </x:c>
      <x:c r="AG254" s="27" t="str">
        <x:f>IF(E254="Commodity",IFERROR(VLOOKUP(F254,Parameters!$P$4:$Q$12,2,FALSE),"Other"),"")</x:f>
      </x:c>
      <x:c r="AH254" s="27" t="str">
        <x:f>IF(F254="","Unknown",F254)</x:f>
        <x:v>Unknown</x:v>
      </x:c>
      <x:c r="AI254" s="27" t="str">
        <x:f>IF(E254="Interest Rate",G254&amp;IF(OR(LOWER(AC254)="basis",LOWER(AC254)="volatility"),"_"&amp;AC254,""),IF(E254="FX",IF(H254&lt;I254,H254&amp;"/"&amp;I254,I254&amp;"/"&amp;H254)&amp;IF(OR(LOWER(AC254)="basis",LOWER(AC254)="volatility"),"_"&amp;AC254,""),IF(OR(E254="Credit",E254="Equity"),J254&amp;IF(OR(LOWER(AC254)="basis",LOWER(AC254)="volatility"),"_"&amp;AC254,""),IF(E254="Commodity",AG254&amp;IF(OR(LOWER(AC254)="basis",LOWER(AC254)="volatility"),"_"&amp;AC254,""),"UNKNOWN"))))</x:f>
        <x:v>CREDIT_INDEX_13</x:v>
      </x:c>
      <x:c r="AJ254" s="27" t="str">
        <x:f>T254</x:f>
        <x:v>M</x:v>
      </x:c>
      <x:c r="AK254" s="41" t="n">
        <x:f>IF(E254="Interest Rate",VLOOKUP("Interest Rate",Parameters!$D$4:$E$12,2,FALSE),IF(E254="FX",VLOOKUP("FX",Parameters!$D$4:$E$12,2,FALSE),IF(E254="Credit",IFERROR(VLOOKUP(L254,Parameters!$G$4:$H$12,2,FALSE),VLOOKUP("BBB",Parameters!$G$4:$H$12,2,FALSE)),IF(E254="Equity",VLOOKUP(IF(LOWER(K254)="index","Equity Index","Equity Single Name"),Parameters!$D$4:$E$12,2,FALSE),IF(E254="Commodity",VLOOKUP(IFERROR(VLOOKUP(F254,Parameters!$S$4:$T$12,2,FALSE),"Commodity Other"),Parameters!$D$4:$E$12,2,FALSE),0)))))</x:f>
        <x:v>0.0038</x:v>
      </x:c>
      <x:c r="AL254" s="42" t="n">
        <x:f>IF(LOWER(AC254)="basis",Parameters!$B$8,IF(LOWER(AC254)="volatility",Parameters!$B$9,1))</x:f>
        <x:v>1</x:v>
      </x:c>
      <x:c r="AM254" s="41" t="n">
        <x:f>AK254*AL254</x:f>
        <x:v>0.0038</x:v>
      </x:c>
      <x:c r="AN254" s="42" t="n">
        <x:f>IF(E254="Credit",VLOOKUP(IF(LOWER(K254)="index","Credit Index","Credit Single Name"),Parameters!$J$4:$K$8,2,FALSE),IF(E254="Equity",VLOOKUP(IF(LOWER(K254)="index","Equity Index","Equity Single Name"),Parameters!$J$4:$K$8,2,FALSE),IF(E254="Commodity",VLOOKUP("Commodity",Parameters!$J$4:$K$8,2,FALSE),"")))</x:f>
        <x:v>0.5</x:v>
      </x:c>
      <x:c r="AO254" s="27" t="n">
        <x:f>MAX((O254-M254)/365,0)</x:f>
        <x:v>0</x:v>
      </x:c>
      <x:c r="AP254" s="27" t="n">
        <x:f>MAX((P254-M254)/365,10/Parameters!$B$6)</x:f>
        <x:v>0.8164383561643835</x:v>
      </x:c>
      <x:c r="AQ254" s="27" t="n">
        <x:f>IF(AP254&lt;=AO254,AO254+10/Parameters!$B$6,AP254)</x:f>
        <x:v>0.8164383561643835</x:v>
      </x:c>
      <x:c r="AR254" s="41" t="n">
        <x:f>IF(OR(E254="Interest Rate",E254="Credit"),(EXP(-Parameters!$B$7*AO254)-EXP(-Parameters!$B$7*AQ254))/Parameters!$B$7,1)</x:f>
        <x:v>0.7999985271288534</x:v>
      </x:c>
      <x:c r="AS254" s="40" t="n">
        <x:f>IF(OR(E254="Interest Rate",E254="Credit"),ABS(Q254)*AR254,IF(E254="FX",IF(Q254&gt;0,Q254,MAX(ABS(R254),ABS(S254),ABS(Q254))),ABS(Q254)))</x:f>
        <x:v>20399962.441785764</x:v>
      </x:c>
      <x:c r="AT254" s="42" t="n">
        <x:f>IF(OR(E254="Interest Rate",E254="FX"),VLOOKUP(E254,Parameters!$M$4:$N$11,2,FALSE),IF(E254="Credit",VLOOKUP(IF(LOWER(K254)="index","Credit Index","Credit Single Name"),Parameters!$M$4:$N$11,2,FALSE),IF(E254="Equity",VLOOKUP(IF(LOWER(K254)="index","Equity Index","Equity Single Name"),Parameters!$M$4:$N$11,2,FALSE),IF(E254="Commodity",VLOOKUP(IF(F254="Electricity","Commodity Electricity","Commodity Other"),Parameters!$M$4:$N$11,2,FALSE),1))))</x:f>
        <x:v>1</x:v>
      </x:c>
      <x:c r="AU254" s="27" t="n">
        <x:f>IF(W254="B",1,-1)</x:f>
        <x:v>-1</x:v>
      </x:c>
      <x:c r="AV254" s="27" t="n">
        <x:f>IF(OR(AA254="",M254=""),MAX(AE254,1/365),MAX((AA254-M254)/365,1/365))</x:f>
        <x:v>0.8164383561643835</x:v>
      </x:c>
      <x:c r="AW254" s="41" t="str">
        <x:f>IF(OR(Z254&lt;=0,Y254&lt;=0,AT254&lt;=0,AV254&lt;=0),"",(LN(Z254/Y254)+0.5*AT254^2*AV254)/(AT254*SQRT(AV254)))</x:f>
      </x:c>
      <x:c r="AX254" s="41" t="n">
        <x:f>IF(AND(X254&lt;&gt;"C",X254&lt;&gt;"P"),AU254,IF(AW254="",AU254,IF(X254="C",AU254*0.5*(1+ERF(AW254/SQRT(2))),-AU254*0.5*(1+ERF(-AW254/SQRT(2))))))</x:f>
        <x:v>-1</x:v>
      </x:c>
      <x:c r="AY254" s="41" t="n">
        <x:f>IF(AJ254="M",1.5*SQRT(MAX(IF(U254="Y",5,10),IF(V254="",10,V254))/Parameters!$B$6),SQRT(MIN(MAX(AE254,10/Parameters!$B$6),1)))</x:f>
        <x:v>0.30000000000000004</x:v>
      </x:c>
      <x:c r="AZ254" s="40" t="n">
        <x:f>AS254*AX254*AY254</x:f>
        <x:v>-6119988.73253573</x:v>
      </x:c>
      <x:c r="BA254" s="40" t="n">
        <x:f>'Python_Trade_Output'!AZ254</x:f>
        <x:v>-6119988.73253573</x:v>
      </x:c>
      <x:c r="BB254" s="43" t="n">
        <x:f>AZ254-BA254</x:f>
        <x:v>0</x:v>
      </x:c>
    </x:row>
    <x:row r="255">
      <x:c r="A255" s="27" t="str">
        <x:f>'Inputs_Trades'!D255</x:f>
        <x:v>IND-000252</x:v>
      </x:c>
      <x:c r="B255" s="27" t="str">
        <x:f>'Inputs_Trades'!B255</x:f>
        <x:v>IND_CORPORATE_001</x:v>
      </x:c>
      <x:c r="C255" s="27" t="n">
        <x:f>'Inputs_Trades'!C255</x:f>
        <x:v>3015</x:v>
      </x:c>
      <x:c r="D255" s="27" t="str">
        <x:f>'Inputs_Trades'!E255</x:f>
        <x:v>Credit TRS</x:v>
      </x:c>
      <x:c r="E255" s="27" t="str">
        <x:f>'Inputs_Trades'!F255</x:f>
        <x:v>Credit</x:v>
      </x:c>
      <x:c r="F255" s="27" t="n">
        <x:f>'Inputs_Trades'!G255</x:f>
        <x:v>0</x:v>
      </x:c>
      <x:c r="G255" s="27" t="str">
        <x:f>'Inputs_Trades'!J255</x:f>
        <x:v>USD</x:v>
      </x:c>
      <x:c r="H255" s="27" t="str">
        <x:f>'Inputs_Trades'!H255</x:f>
        <x:v>USD</x:v>
      </x:c>
      <x:c r="I255" s="27" t="n">
        <x:f>'Inputs_Trades'!I255</x:f>
        <x:v>0</x:v>
      </x:c>
      <x:c r="J255" s="27" t="str">
        <x:f>'Inputs_Trades'!M255</x:f>
        <x:v>CREDIT_INDEX_17</x:v>
      </x:c>
      <x:c r="K255" s="27" t="str">
        <x:f>'Inputs_Trades'!N255</x:f>
        <x:v>Singleton</x:v>
      </x:c>
      <x:c r="L255" s="27" t="str">
        <x:f>'Inputs_Trades'!O255</x:f>
        <x:v>B</x:v>
      </x:c>
      <x:c r="M255" s="39" t="n">
        <x:f>'Inputs_Trades'!A255</x:f>
        <x:v>45702</x:v>
      </x:c>
      <x:c r="N255" s="39" t="n">
        <x:f>'Inputs_Trades'!P255</x:f>
        <x:v>45828</x:v>
      </x:c>
      <x:c r="O255" s="39" t="n">
        <x:f>'Inputs_Trades'!Q255</x:f>
        <x:v>45027</x:v>
      </x:c>
      <x:c r="P255" s="39" t="n">
        <x:f>'Inputs_Trades'!R255</x:f>
        <x:v>45828</x:v>
      </x:c>
      <x:c r="Q255" s="40" t="n">
        <x:f>'Inputs_Trades'!U255</x:f>
        <x:v>49600000</x:v>
      </x:c>
      <x:c r="R255" s="40" t="n">
        <x:f>'Inputs_Trades'!S255</x:f>
        <x:v>49600000</x:v>
      </x:c>
      <x:c r="S255" s="40" t="n">
        <x:f>'Inputs_Trades'!T255</x:f>
        <x:v>0</x:v>
      </x:c>
      <x:c r="T255" s="27" t="str">
        <x:f>'Inputs_Trades'!V255</x:f>
        <x:v>U</x:v>
      </x:c>
      <x:c r="U255" s="27" t="str">
        <x:f>'Inputs_Trades'!W255</x:f>
        <x:v>N</x:v>
      </x:c>
      <x:c r="V255" s="27" t="n">
        <x:f>'Inputs_Trades'!X255</x:f>
        <x:v>0</x:v>
      </x:c>
      <x:c r="W255" s="27" t="str">
        <x:f>'Inputs_Trades'!Y255</x:f>
        <x:v>S</x:v>
      </x:c>
      <x:c r="X255" s="27" t="n">
        <x:f>'Inputs_Trades'!AA255</x:f>
        <x:v>0</x:v>
      </x:c>
      <x:c r="Y255" s="27" t="n">
        <x:f>'Inputs_Trades'!AB255</x:f>
        <x:v>0</x:v>
      </x:c>
      <x:c r="Z255" s="27" t="n">
        <x:f>'Inputs_Trades'!AC255</x:f>
        <x:v>0</x:v>
      </x:c>
      <x:c r="AA255" s="39" t="n">
        <x:f>'Inputs_Trades'!Z255</x:f>
        <x:v>0</x:v>
      </x:c>
      <x:c r="AB255" s="40" t="n">
        <x:f>'Inputs_Trades'!AD255</x:f>
        <x:v>354144</x:v>
      </x:c>
      <x:c r="AC255" s="27" t="n">
        <x:f>'Inputs_Trades'!K255</x:f>
        <x:v>0</x:v>
      </x:c>
      <x:c r="AD255" s="27" t="n">
        <x:f>N255-M255</x:f>
        <x:v>126</x:v>
      </x:c>
      <x:c r="AE255" s="41" t="n">
        <x:f>AD255/365</x:f>
        <x:v>0.3452054794520548</x:v>
      </x:c>
      <x:c r="AF255" s="27" t="str">
        <x:f>IF(AE255&lt;1,"&lt;1Y",IF(AE255&lt;=5,"1Y-5Y","&gt;5Y"))</x:f>
        <x:v>&lt;1Y</x:v>
      </x:c>
      <x:c r="AG255" s="27" t="str">
        <x:f>IF(E255="Commodity",IFERROR(VLOOKUP(F255,Parameters!$P$4:$Q$12,2,FALSE),"Other"),"")</x:f>
      </x:c>
      <x:c r="AH255" s="27" t="str">
        <x:f>IF(F255="","Unknown",F255)</x:f>
        <x:v>Unknown</x:v>
      </x:c>
      <x:c r="AI255" s="27" t="str">
        <x:f>IF(E255="Interest Rate",G255&amp;IF(OR(LOWER(AC255)="basis",LOWER(AC255)="volatility"),"_"&amp;AC255,""),IF(E255="FX",IF(H255&lt;I255,H255&amp;"/"&amp;I255,I255&amp;"/"&amp;H255)&amp;IF(OR(LOWER(AC255)="basis",LOWER(AC255)="volatility"),"_"&amp;AC255,""),IF(OR(E255="Credit",E255="Equity"),J255&amp;IF(OR(LOWER(AC255)="basis",LOWER(AC255)="volatility"),"_"&amp;AC255,""),IF(E255="Commodity",AG255&amp;IF(OR(LOWER(AC255)="basis",LOWER(AC255)="volatility"),"_"&amp;AC255,""),"UNKNOWN"))))</x:f>
        <x:v>CREDIT_INDEX_17</x:v>
      </x:c>
      <x:c r="AJ255" s="27" t="str">
        <x:f>T255</x:f>
        <x:v>U</x:v>
      </x:c>
      <x:c r="AK255" s="41" t="n">
        <x:f>IF(E255="Interest Rate",VLOOKUP("Interest Rate",Parameters!$D$4:$E$12,2,FALSE),IF(E255="FX",VLOOKUP("FX",Parameters!$D$4:$E$12,2,FALSE),IF(E255="Credit",IFERROR(VLOOKUP(L255,Parameters!$G$4:$H$12,2,FALSE),VLOOKUP("BBB",Parameters!$G$4:$H$12,2,FALSE)),IF(E255="Equity",VLOOKUP(IF(LOWER(K255)="index","Equity Index","Equity Single Name"),Parameters!$D$4:$E$12,2,FALSE),IF(E255="Commodity",VLOOKUP(IFERROR(VLOOKUP(F255,Parameters!$S$4:$T$12,2,FALSE),"Commodity Other"),Parameters!$D$4:$E$12,2,FALSE),0)))))</x:f>
        <x:v>0.016</x:v>
      </x:c>
      <x:c r="AL255" s="42" t="n">
        <x:f>IF(LOWER(AC255)="basis",Parameters!$B$8,IF(LOWER(AC255)="volatility",Parameters!$B$9,1))</x:f>
        <x:v>1</x:v>
      </x:c>
      <x:c r="AM255" s="41" t="n">
        <x:f>AK255*AL255</x:f>
        <x:v>0.016</x:v>
      </x:c>
      <x:c r="AN255" s="42" t="n">
        <x:f>IF(E255="Credit",VLOOKUP(IF(LOWER(K255)="index","Credit Index","Credit Single Name"),Parameters!$J$4:$K$8,2,FALSE),IF(E255="Equity",VLOOKUP(IF(LOWER(K255)="index","Equity Index","Equity Single Name"),Parameters!$J$4:$K$8,2,FALSE),IF(E255="Commodity",VLOOKUP("Commodity",Parameters!$J$4:$K$8,2,FALSE),"")))</x:f>
        <x:v>0.5</x:v>
      </x:c>
      <x:c r="AO255" s="27" t="n">
        <x:f>MAX((O255-M255)/365,0)</x:f>
        <x:v>0</x:v>
      </x:c>
      <x:c r="AP255" s="27" t="n">
        <x:f>MAX((P255-M255)/365,10/Parameters!$B$6)</x:f>
        <x:v>0.3452054794520548</x:v>
      </x:c>
      <x:c r="AQ255" s="27" t="n">
        <x:f>IF(AP255&lt;=AO255,AO255+10/Parameters!$B$6,AP255)</x:f>
        <x:v>0.3452054794520548</x:v>
      </x:c>
      <x:c r="AR255" s="41" t="n">
        <x:f>IF(OR(E255="Interest Rate",E255="Credit"),(EXP(-Parameters!$B$7*AO255)-EXP(-Parameters!$B$7*AQ255))/Parameters!$B$7,1)</x:f>
        <x:v>0.34224337560185836</x:v>
      </x:c>
      <x:c r="AS255" s="40" t="n">
        <x:f>IF(OR(E255="Interest Rate",E255="Credit"),ABS(Q255)*AR255,IF(E255="FX",IF(Q255&gt;0,Q255,MAX(ABS(R255),ABS(S255),ABS(Q255))),ABS(Q255)))</x:f>
        <x:v>16975271.429852173</x:v>
      </x:c>
      <x:c r="AT255" s="42" t="n">
        <x:f>IF(OR(E255="Interest Rate",E255="FX"),VLOOKUP(E255,Parameters!$M$4:$N$11,2,FALSE),IF(E255="Credit",VLOOKUP(IF(LOWER(K255)="index","Credit Index","Credit Single Name"),Parameters!$M$4:$N$11,2,FALSE),IF(E255="Equity",VLOOKUP(IF(LOWER(K255)="index","Equity Index","Equity Single Name"),Parameters!$M$4:$N$11,2,FALSE),IF(E255="Commodity",VLOOKUP(IF(F255="Electricity","Commodity Electricity","Commodity Other"),Parameters!$M$4:$N$11,2,FALSE),1))))</x:f>
        <x:v>1</x:v>
      </x:c>
      <x:c r="AU255" s="27" t="n">
        <x:f>IF(W255="B",1,-1)</x:f>
        <x:v>-1</x:v>
      </x:c>
      <x:c r="AV255" s="27" t="n">
        <x:f>IF(OR(AA255="",M255=""),MAX(AE255,1/365),MAX((AA255-M255)/365,1/365))</x:f>
        <x:v>0.3452054794520548</x:v>
      </x:c>
      <x:c r="AW255" s="41" t="str">
        <x:f>IF(OR(Z255&lt;=0,Y255&lt;=0,AT255&lt;=0,AV255&lt;=0),"",(LN(Z255/Y255)+0.5*AT255^2*AV255)/(AT255*SQRT(AV255)))</x:f>
      </x:c>
      <x:c r="AX255" s="41" t="n">
        <x:f>IF(AND(X255&lt;&gt;"C",X255&lt;&gt;"P"),AU255,IF(AW255="",AU255,IF(X255="C",AU255*0.5*(1+ERF(AW255/SQRT(2))),-AU255*0.5*(1+ERF(-AW255/SQRT(2))))))</x:f>
        <x:v>-1</x:v>
      </x:c>
      <x:c r="AY255" s="41" t="n">
        <x:f>IF(AJ255="M",1.5*SQRT(MAX(IF(U255="Y",5,10),IF(V255="",10,V255))/Parameters!$B$6),SQRT(MIN(MAX(AE255,10/Parameters!$B$6),1)))</x:f>
        <x:v>0.5875418959121594</x:v>
      </x:c>
      <x:c r="AZ255" s="40" t="n">
        <x:f>AS255*AX255*AY255</x:f>
        <x:v>-9973683.159518858</x:v>
      </x:c>
      <x:c r="BA255" s="40" t="n">
        <x:f>'Python_Trade_Output'!AZ255</x:f>
        <x:v>-9973683.159518858</x:v>
      </x:c>
      <x:c r="BB255" s="43" t="n">
        <x:f>AZ255-BA255</x:f>
        <x:v>0</x:v>
      </x:c>
    </x:row>
    <x:row r="256">
      <x:c r="A256" s="27" t="str">
        <x:f>'Inputs_Trades'!D256</x:f>
        <x:v>IND-000253</x:v>
      </x:c>
      <x:c r="B256" s="27" t="str">
        <x:f>'Inputs_Trades'!B256</x:f>
        <x:v>IND_PENSION_001</x:v>
      </x:c>
      <x:c r="C256" s="27" t="n">
        <x:f>'Inputs_Trades'!C256</x:f>
        <x:v>3036</x:v>
      </x:c>
      <x:c r="D256" s="27" t="str">
        <x:f>'Inputs_Trades'!E256</x:f>
        <x:v>Credit Single Name CDS</x:v>
      </x:c>
      <x:c r="E256" s="27" t="str">
        <x:f>'Inputs_Trades'!F256</x:f>
        <x:v>Credit</x:v>
      </x:c>
      <x:c r="F256" s="27" t="n">
        <x:f>'Inputs_Trades'!G256</x:f>
        <x:v>0</x:v>
      </x:c>
      <x:c r="G256" s="27" t="str">
        <x:f>'Inputs_Trades'!J256</x:f>
        <x:v>USD</x:v>
      </x:c>
      <x:c r="H256" s="27" t="str">
        <x:f>'Inputs_Trades'!H256</x:f>
        <x:v>USD</x:v>
      </x:c>
      <x:c r="I256" s="27" t="n">
        <x:f>'Inputs_Trades'!I256</x:f>
        <x:v>0</x:v>
      </x:c>
      <x:c r="J256" s="27" t="str">
        <x:f>'Inputs_Trades'!M256</x:f>
        <x:v>CREDIT_NAME_27</x:v>
      </x:c>
      <x:c r="K256" s="27" t="str">
        <x:f>'Inputs_Trades'!N256</x:f>
        <x:v>Singleton</x:v>
      </x:c>
      <x:c r="L256" s="27" t="str">
        <x:f>'Inputs_Trades'!O256</x:f>
        <x:v>BBB</x:v>
      </x:c>
      <x:c r="M256" s="39" t="n">
        <x:f>'Inputs_Trades'!A256</x:f>
        <x:v>45702</x:v>
      </x:c>
      <x:c r="N256" s="39" t="n">
        <x:f>'Inputs_Trades'!P256</x:f>
        <x:v>46136</x:v>
      </x:c>
      <x:c r="O256" s="39" t="n">
        <x:f>'Inputs_Trades'!Q256</x:f>
        <x:v>44883</x:v>
      </x:c>
      <x:c r="P256" s="39" t="n">
        <x:f>'Inputs_Trades'!R256</x:f>
        <x:v>46136</x:v>
      </x:c>
      <x:c r="Q256" s="40" t="n">
        <x:f>'Inputs_Trades'!U256</x:f>
        <x:v>13100000</x:v>
      </x:c>
      <x:c r="R256" s="40" t="n">
        <x:f>'Inputs_Trades'!S256</x:f>
        <x:v>13100000</x:v>
      </x:c>
      <x:c r="S256" s="40" t="n">
        <x:f>'Inputs_Trades'!T256</x:f>
        <x:v>0</x:v>
      </x:c>
      <x:c r="T256" s="27" t="str">
        <x:f>'Inputs_Trades'!V256</x:f>
        <x:v>U</x:v>
      </x:c>
      <x:c r="U256" s="27" t="str">
        <x:f>'Inputs_Trades'!W256</x:f>
        <x:v>N</x:v>
      </x:c>
      <x:c r="V256" s="27" t="n">
        <x:f>'Inputs_Trades'!X256</x:f>
        <x:v>0</x:v>
      </x:c>
      <x:c r="W256" s="27" t="str">
        <x:f>'Inputs_Trades'!Y256</x:f>
        <x:v>B</x:v>
      </x:c>
      <x:c r="X256" s="27" t="n">
        <x:f>'Inputs_Trades'!AA256</x:f>
        <x:v>0</x:v>
      </x:c>
      <x:c r="Y256" s="27" t="n">
        <x:f>'Inputs_Trades'!AB256</x:f>
        <x:v>0</x:v>
      </x:c>
      <x:c r="Z256" s="27" t="n">
        <x:f>'Inputs_Trades'!AC256</x:f>
        <x:v>0</x:v>
      </x:c>
      <x:c r="AA256" s="39" t="n">
        <x:f>'Inputs_Trades'!Z256</x:f>
        <x:v>0</x:v>
      </x:c>
      <x:c r="AB256" s="40" t="n">
        <x:f>'Inputs_Trades'!AD256</x:f>
        <x:v>-122878</x:v>
      </x:c>
      <x:c r="AC256" s="27" t="n">
        <x:f>'Inputs_Trades'!K256</x:f>
        <x:v>0</x:v>
      </x:c>
      <x:c r="AD256" s="27" t="n">
        <x:f>N256-M256</x:f>
        <x:v>434</x:v>
      </x:c>
      <x:c r="AE256" s="41" t="n">
        <x:f>AD256/365</x:f>
        <x:v>1.189041095890411</x:v>
      </x:c>
      <x:c r="AF256" s="27" t="str">
        <x:f>IF(AE256&lt;1,"&lt;1Y",IF(AE256&lt;=5,"1Y-5Y","&gt;5Y"))</x:f>
        <x:v>1Y-5Y</x:v>
      </x:c>
      <x:c r="AG256" s="27" t="str">
        <x:f>IF(E256="Commodity",IFERROR(VLOOKUP(F256,Parameters!$P$4:$Q$12,2,FALSE),"Other"),"")</x:f>
      </x:c>
      <x:c r="AH256" s="27" t="str">
        <x:f>IF(F256="","Unknown",F256)</x:f>
        <x:v>Unknown</x:v>
      </x:c>
      <x:c r="AI256" s="27" t="str">
        <x:f>IF(E256="Interest Rate",G256&amp;IF(OR(LOWER(AC256)="basis",LOWER(AC256)="volatility"),"_"&amp;AC256,""),IF(E256="FX",IF(H256&lt;I256,H256&amp;"/"&amp;I256,I256&amp;"/"&amp;H256)&amp;IF(OR(LOWER(AC256)="basis",LOWER(AC256)="volatility"),"_"&amp;AC256,""),IF(OR(E256="Credit",E256="Equity"),J256&amp;IF(OR(LOWER(AC256)="basis",LOWER(AC256)="volatility"),"_"&amp;AC256,""),IF(E256="Commodity",AG256&amp;IF(OR(LOWER(AC256)="basis",LOWER(AC256)="volatility"),"_"&amp;AC256,""),"UNKNOWN"))))</x:f>
        <x:v>CREDIT_NAME_27</x:v>
      </x:c>
      <x:c r="AJ256" s="27" t="str">
        <x:f>T256</x:f>
        <x:v>U</x:v>
      </x:c>
      <x:c r="AK256" s="41" t="n">
        <x:f>IF(E256="Interest Rate",VLOOKUP("Interest Rate",Parameters!$D$4:$E$12,2,FALSE),IF(E256="FX",VLOOKUP("FX",Parameters!$D$4:$E$12,2,FALSE),IF(E256="Credit",IFERROR(VLOOKUP(L256,Parameters!$G$4:$H$12,2,FALSE),VLOOKUP("BBB",Parameters!$G$4:$H$12,2,FALSE)),IF(E256="Equity",VLOOKUP(IF(LOWER(K256)="index","Equity Index","Equity Single Name"),Parameters!$D$4:$E$12,2,FALSE),IF(E256="Commodity",VLOOKUP(IFERROR(VLOOKUP(F256,Parameters!$S$4:$T$12,2,FALSE),"Commodity Other"),Parameters!$D$4:$E$12,2,FALSE),0)))))</x:f>
        <x:v>0.0054</x:v>
      </x:c>
      <x:c r="AL256" s="42" t="n">
        <x:f>IF(LOWER(AC256)="basis",Parameters!$B$8,IF(LOWER(AC256)="volatility",Parameters!$B$9,1))</x:f>
        <x:v>1</x:v>
      </x:c>
      <x:c r="AM256" s="41" t="n">
        <x:f>AK256*AL256</x:f>
        <x:v>0.0054</x:v>
      </x:c>
      <x:c r="AN256" s="42" t="n">
        <x:f>IF(E256="Credit",VLOOKUP(IF(LOWER(K256)="index","Credit Index","Credit Single Name"),Parameters!$J$4:$K$8,2,FALSE),IF(E256="Equity",VLOOKUP(IF(LOWER(K256)="index","Equity Index","Equity Single Name"),Parameters!$J$4:$K$8,2,FALSE),IF(E256="Commodity",VLOOKUP("Commodity",Parameters!$J$4:$K$8,2,FALSE),"")))</x:f>
        <x:v>0.5</x:v>
      </x:c>
      <x:c r="AO256" s="27" t="n">
        <x:f>MAX((O256-M256)/365,0)</x:f>
        <x:v>0</x:v>
      </x:c>
      <x:c r="AP256" s="27" t="n">
        <x:f>MAX((P256-M256)/365,10/Parameters!$B$6)</x:f>
        <x:v>1.189041095890411</x:v>
      </x:c>
      <x:c r="AQ256" s="27" t="n">
        <x:f>IF(AP256&lt;=AO256,AO256+10/Parameters!$B$6,AP256)</x:f>
        <x:v>1.189041095890411</x:v>
      </x:c>
      <x:c r="AR256" s="41" t="n">
        <x:f>IF(OR(E256="Interest Rate",E256="Credit"),(EXP(-Parameters!$B$7*AO256)-EXP(-Parameters!$B$7*AQ256))/Parameters!$B$7,1)</x:f>
        <x:v>1.1543857929901202</x:v>
      </x:c>
      <x:c r="AS256" s="40" t="n">
        <x:f>IF(OR(E256="Interest Rate",E256="Credit"),ABS(Q256)*AR256,IF(E256="FX",IF(Q256&gt;0,Q256,MAX(ABS(R256),ABS(S256),ABS(Q256))),ABS(Q256)))</x:f>
        <x:v>15122453.888170576</x:v>
      </x:c>
      <x:c r="AT256" s="42" t="n">
        <x:f>IF(OR(E256="Interest Rate",E256="FX"),VLOOKUP(E256,Parameters!$M$4:$N$11,2,FALSE),IF(E256="Credit",VLOOKUP(IF(LOWER(K256)="index","Credit Index","Credit Single Name"),Parameters!$M$4:$N$11,2,FALSE),IF(E256="Equity",VLOOKUP(IF(LOWER(K256)="index","Equity Index","Equity Single Name"),Parameters!$M$4:$N$11,2,FALSE),IF(E256="Commodity",VLOOKUP(IF(F256="Electricity","Commodity Electricity","Commodity Other"),Parameters!$M$4:$N$11,2,FALSE),1))))</x:f>
        <x:v>1</x:v>
      </x:c>
      <x:c r="AU256" s="27" t="n">
        <x:f>IF(W256="B",1,-1)</x:f>
        <x:v>1</x:v>
      </x:c>
      <x:c r="AV256" s="27" t="n">
        <x:f>IF(OR(AA256="",M256=""),MAX(AE256,1/365),MAX((AA256-M256)/365,1/365))</x:f>
        <x:v>1.189041095890411</x:v>
      </x:c>
      <x:c r="AW256" s="41" t="str">
        <x:f>IF(OR(Z256&lt;=0,Y256&lt;=0,AT256&lt;=0,AV256&lt;=0),"",(LN(Z256/Y256)+0.5*AT256^2*AV256)/(AT256*SQRT(AV256)))</x:f>
      </x:c>
      <x:c r="AX256" s="41" t="n">
        <x:f>IF(AND(X256&lt;&gt;"C",X256&lt;&gt;"P"),AU256,IF(AW256="",AU256,IF(X256="C",AU256*0.5*(1+ERF(AW256/SQRT(2))),-AU256*0.5*(1+ERF(-AW256/SQRT(2))))))</x:f>
        <x:v>1</x:v>
      </x:c>
      <x:c r="AY256" s="41" t="n">
        <x:f>IF(AJ256="M",1.5*SQRT(MAX(IF(U256="Y",5,10),IF(V256="",10,V256))/Parameters!$B$6),SQRT(MIN(MAX(AE256,10/Parameters!$B$6),1)))</x:f>
        <x:v>1</x:v>
      </x:c>
      <x:c r="AZ256" s="40" t="n">
        <x:f>AS256*AX256*AY256</x:f>
        <x:v>15122453.888170576</x:v>
      </x:c>
      <x:c r="BA256" s="40" t="n">
        <x:f>'Python_Trade_Output'!AZ256</x:f>
        <x:v>15122453.888170576</x:v>
      </x:c>
      <x:c r="BB256" s="43" t="n">
        <x:f>AZ256-BA256</x:f>
        <x:v>0</x:v>
      </x:c>
    </x:row>
    <x:row r="257">
      <x:c r="A257" s="27" t="str">
        <x:f>'Inputs_Trades'!D257</x:f>
        <x:v>IND-000254</x:v>
      </x:c>
      <x:c r="B257" s="27" t="str">
        <x:f>'Inputs_Trades'!B257</x:f>
        <x:v>IND_CORPORATE_001</x:v>
      </x:c>
      <x:c r="C257" s="27" t="n">
        <x:f>'Inputs_Trades'!C257</x:f>
        <x:v>3041</x:v>
      </x:c>
      <x:c r="D257" s="27" t="str">
        <x:f>'Inputs_Trades'!E257</x:f>
        <x:v>Credit Single Name CDS</x:v>
      </x:c>
      <x:c r="E257" s="27" t="str">
        <x:f>'Inputs_Trades'!F257</x:f>
        <x:v>Credit</x:v>
      </x:c>
      <x:c r="F257" s="27" t="n">
        <x:f>'Inputs_Trades'!G257</x:f>
        <x:v>0</x:v>
      </x:c>
      <x:c r="G257" s="27" t="str">
        <x:f>'Inputs_Trades'!J257</x:f>
        <x:v>USD</x:v>
      </x:c>
      <x:c r="H257" s="27" t="str">
        <x:f>'Inputs_Trades'!H257</x:f>
        <x:v>USD</x:v>
      </x:c>
      <x:c r="I257" s="27" t="n">
        <x:f>'Inputs_Trades'!I257</x:f>
        <x:v>0</x:v>
      </x:c>
      <x:c r="J257" s="27" t="str">
        <x:f>'Inputs_Trades'!M257</x:f>
        <x:v>CREDIT_NAME_29</x:v>
      </x:c>
      <x:c r="K257" s="27" t="str">
        <x:f>'Inputs_Trades'!N257</x:f>
        <x:v>Singleton</x:v>
      </x:c>
      <x:c r="L257" s="27" t="str">
        <x:f>'Inputs_Trades'!O257</x:f>
        <x:v>B</x:v>
      </x:c>
      <x:c r="M257" s="39" t="n">
        <x:f>'Inputs_Trades'!A257</x:f>
        <x:v>45702</x:v>
      </x:c>
      <x:c r="N257" s="39" t="n">
        <x:f>'Inputs_Trades'!P257</x:f>
        <x:v>47056</x:v>
      </x:c>
      <x:c r="O257" s="39" t="n">
        <x:f>'Inputs_Trades'!Q257</x:f>
        <x:v>45302</x:v>
      </x:c>
      <x:c r="P257" s="39" t="n">
        <x:f>'Inputs_Trades'!R257</x:f>
        <x:v>47056</x:v>
      </x:c>
      <x:c r="Q257" s="40" t="n">
        <x:f>'Inputs_Trades'!U257</x:f>
        <x:v>9100000</x:v>
      </x:c>
      <x:c r="R257" s="40" t="n">
        <x:f>'Inputs_Trades'!S257</x:f>
        <x:v>9100000</x:v>
      </x:c>
      <x:c r="S257" s="40" t="n">
        <x:f>'Inputs_Trades'!T257</x:f>
        <x:v>0</x:v>
      </x:c>
      <x:c r="T257" s="27" t="str">
        <x:f>'Inputs_Trades'!V257</x:f>
        <x:v>M</x:v>
      </x:c>
      <x:c r="U257" s="27" t="str">
        <x:f>'Inputs_Trades'!W257</x:f>
        <x:v>N</x:v>
      </x:c>
      <x:c r="V257" s="27" t="n">
        <x:f>'Inputs_Trades'!X257</x:f>
        <x:v>10</x:v>
      </x:c>
      <x:c r="W257" s="27" t="str">
        <x:f>'Inputs_Trades'!Y257</x:f>
        <x:v>B</x:v>
      </x:c>
      <x:c r="X257" s="27" t="n">
        <x:f>'Inputs_Trades'!AA257</x:f>
        <x:v>0</x:v>
      </x:c>
      <x:c r="Y257" s="27" t="n">
        <x:f>'Inputs_Trades'!AB257</x:f>
        <x:v>0</x:v>
      </x:c>
      <x:c r="Z257" s="27" t="n">
        <x:f>'Inputs_Trades'!AC257</x:f>
        <x:v>0</x:v>
      </x:c>
      <x:c r="AA257" s="39" t="n">
        <x:f>'Inputs_Trades'!Z257</x:f>
        <x:v>0</x:v>
      </x:c>
      <x:c r="AB257" s="40" t="n">
        <x:f>'Inputs_Trades'!AD257</x:f>
        <x:v>84266</x:v>
      </x:c>
      <x:c r="AC257" s="27" t="n">
        <x:f>'Inputs_Trades'!K257</x:f>
        <x:v>0</x:v>
      </x:c>
      <x:c r="AD257" s="27" t="n">
        <x:f>N257-M257</x:f>
        <x:v>1354</x:v>
      </x:c>
      <x:c r="AE257" s="41" t="n">
        <x:f>AD257/365</x:f>
        <x:v>3.7095890410958905</x:v>
      </x:c>
      <x:c r="AF257" s="27" t="str">
        <x:f>IF(AE257&lt;1,"&lt;1Y",IF(AE257&lt;=5,"1Y-5Y","&gt;5Y"))</x:f>
        <x:v>1Y-5Y</x:v>
      </x:c>
      <x:c r="AG257" s="27" t="str">
        <x:f>IF(E257="Commodity",IFERROR(VLOOKUP(F257,Parameters!$P$4:$Q$12,2,FALSE),"Other"),"")</x:f>
      </x:c>
      <x:c r="AH257" s="27" t="str">
        <x:f>IF(F257="","Unknown",F257)</x:f>
        <x:v>Unknown</x:v>
      </x:c>
      <x:c r="AI257" s="27" t="str">
        <x:f>IF(E257="Interest Rate",G257&amp;IF(OR(LOWER(AC257)="basis",LOWER(AC257)="volatility"),"_"&amp;AC257,""),IF(E257="FX",IF(H257&lt;I257,H257&amp;"/"&amp;I257,I257&amp;"/"&amp;H257)&amp;IF(OR(LOWER(AC257)="basis",LOWER(AC257)="volatility"),"_"&amp;AC257,""),IF(OR(E257="Credit",E257="Equity"),J257&amp;IF(OR(LOWER(AC257)="basis",LOWER(AC257)="volatility"),"_"&amp;AC257,""),IF(E257="Commodity",AG257&amp;IF(OR(LOWER(AC257)="basis",LOWER(AC257)="volatility"),"_"&amp;AC257,""),"UNKNOWN"))))</x:f>
        <x:v>CREDIT_NAME_29</x:v>
      </x:c>
      <x:c r="AJ257" s="27" t="str">
        <x:f>T257</x:f>
        <x:v>M</x:v>
      </x:c>
      <x:c r="AK257" s="41" t="n">
        <x:f>IF(E257="Interest Rate",VLOOKUP("Interest Rate",Parameters!$D$4:$E$12,2,FALSE),IF(E257="FX",VLOOKUP("FX",Parameters!$D$4:$E$12,2,FALSE),IF(E257="Credit",IFERROR(VLOOKUP(L257,Parameters!$G$4:$H$12,2,FALSE),VLOOKUP("BBB",Parameters!$G$4:$H$12,2,FALSE)),IF(E257="Equity",VLOOKUP(IF(LOWER(K257)="index","Equity Index","Equity Single Name"),Parameters!$D$4:$E$12,2,FALSE),IF(E257="Commodity",VLOOKUP(IFERROR(VLOOKUP(F257,Parameters!$S$4:$T$12,2,FALSE),"Commodity Other"),Parameters!$D$4:$E$12,2,FALSE),0)))))</x:f>
        <x:v>0.016</x:v>
      </x:c>
      <x:c r="AL257" s="42" t="n">
        <x:f>IF(LOWER(AC257)="basis",Parameters!$B$8,IF(LOWER(AC257)="volatility",Parameters!$B$9,1))</x:f>
        <x:v>1</x:v>
      </x:c>
      <x:c r="AM257" s="41" t="n">
        <x:f>AK257*AL257</x:f>
        <x:v>0.016</x:v>
      </x:c>
      <x:c r="AN257" s="42" t="n">
        <x:f>IF(E257="Credit",VLOOKUP(IF(LOWER(K257)="index","Credit Index","Credit Single Name"),Parameters!$J$4:$K$8,2,FALSE),IF(E257="Equity",VLOOKUP(IF(LOWER(K257)="index","Equity Index","Equity Single Name"),Parameters!$J$4:$K$8,2,FALSE),IF(E257="Commodity",VLOOKUP("Commodity",Parameters!$J$4:$K$8,2,FALSE),"")))</x:f>
        <x:v>0.5</x:v>
      </x:c>
      <x:c r="AO257" s="27" t="n">
        <x:f>MAX((O257-M257)/365,0)</x:f>
        <x:v>0</x:v>
      </x:c>
      <x:c r="AP257" s="27" t="n">
        <x:f>MAX((P257-M257)/365,10/Parameters!$B$6)</x:f>
        <x:v>3.7095890410958905</x:v>
      </x:c>
      <x:c r="AQ257" s="27" t="n">
        <x:f>IF(AP257&lt;=AO257,AO257+10/Parameters!$B$6,AP257)</x:f>
        <x:v>3.7095890410958905</x:v>
      </x:c>
      <x:c r="AR257" s="41" t="n">
        <x:f>IF(OR(E257="Interest Rate",E257="Credit"),(EXP(-Parameters!$B$7*AO257)-EXP(-Parameters!$B$7*AQ257))/Parameters!$B$7,1)</x:f>
        <x:v>3.3858819059006806</x:v>
      </x:c>
      <x:c r="AS257" s="40" t="n">
        <x:f>IF(OR(E257="Interest Rate",E257="Credit"),ABS(Q257)*AR257,IF(E257="FX",IF(Q257&gt;0,Q257,MAX(ABS(R257),ABS(S257),ABS(Q257))),ABS(Q257)))</x:f>
        <x:v>30811525.343696192</x:v>
      </x:c>
      <x:c r="AT257" s="42" t="n">
        <x:f>IF(OR(E257="Interest Rate",E257="FX"),VLOOKUP(E257,Parameters!$M$4:$N$11,2,FALSE),IF(E257="Credit",VLOOKUP(IF(LOWER(K257)="index","Credit Index","Credit Single Name"),Parameters!$M$4:$N$11,2,FALSE),IF(E257="Equity",VLOOKUP(IF(LOWER(K257)="index","Equity Index","Equity Single Name"),Parameters!$M$4:$N$11,2,FALSE),IF(E257="Commodity",VLOOKUP(IF(F257="Electricity","Commodity Electricity","Commodity Other"),Parameters!$M$4:$N$11,2,FALSE),1))))</x:f>
        <x:v>1</x:v>
      </x:c>
      <x:c r="AU257" s="27" t="n">
        <x:f>IF(W257="B",1,-1)</x:f>
        <x:v>1</x:v>
      </x:c>
      <x:c r="AV257" s="27" t="n">
        <x:f>IF(OR(AA257="",M257=""),MAX(AE257,1/365),MAX((AA257-M257)/365,1/365))</x:f>
        <x:v>3.7095890410958905</x:v>
      </x:c>
      <x:c r="AW257" s="41" t="str">
        <x:f>IF(OR(Z257&lt;=0,Y257&lt;=0,AT257&lt;=0,AV257&lt;=0),"",(LN(Z257/Y257)+0.5*AT257^2*AV257)/(AT257*SQRT(AV257)))</x:f>
      </x:c>
      <x:c r="AX257" s="41" t="n">
        <x:f>IF(AND(X257&lt;&gt;"C",X257&lt;&gt;"P"),AU257,IF(AW257="",AU257,IF(X257="C",AU257*0.5*(1+ERF(AW257/SQRT(2))),-AU257*0.5*(1+ERF(-AW257/SQRT(2))))))</x:f>
        <x:v>1</x:v>
      </x:c>
      <x:c r="AY257" s="41" t="n">
        <x:f>IF(AJ257="M",1.5*SQRT(MAX(IF(U257="Y",5,10),IF(V257="",10,V257))/Parameters!$B$6),SQRT(MIN(MAX(AE257,10/Parameters!$B$6),1)))</x:f>
        <x:v>0.30000000000000004</x:v>
      </x:c>
      <x:c r="AZ257" s="40" t="n">
        <x:f>AS257*AX257*AY257</x:f>
        <x:v>9243457.603108859</x:v>
      </x:c>
      <x:c r="BA257" s="40" t="n">
        <x:f>'Python_Trade_Output'!AZ257</x:f>
        <x:v>9243457.603108859</x:v>
      </x:c>
      <x:c r="BB257" s="43" t="n">
        <x:f>AZ257-BA257</x:f>
        <x:v>0</x:v>
      </x:c>
    </x:row>
    <x:row r="258">
      <x:c r="A258" s="27" t="str">
        <x:f>'Inputs_Trades'!D258</x:f>
        <x:v>IND-000255</x:v>
      </x:c>
      <x:c r="B258" s="27" t="str">
        <x:f>'Inputs_Trades'!B258</x:f>
        <x:v>IND_REGIONAL_BANK_001</x:v>
      </x:c>
      <x:c r="C258" s="27" t="n">
        <x:f>'Inputs_Trades'!C258</x:f>
        <x:v>3161</x:v>
      </x:c>
      <x:c r="D258" s="27" t="str">
        <x:f>'Inputs_Trades'!E258</x:f>
        <x:v>Credit Single Name CDS</x:v>
      </x:c>
      <x:c r="E258" s="27" t="str">
        <x:f>'Inputs_Trades'!F258</x:f>
        <x:v>Credit</x:v>
      </x:c>
      <x:c r="F258" s="27" t="n">
        <x:f>'Inputs_Trades'!G258</x:f>
        <x:v>0</x:v>
      </x:c>
      <x:c r="G258" s="27" t="str">
        <x:f>'Inputs_Trades'!J258</x:f>
        <x:v>USD</x:v>
      </x:c>
      <x:c r="H258" s="27" t="str">
        <x:f>'Inputs_Trades'!H258</x:f>
        <x:v>USD</x:v>
      </x:c>
      <x:c r="I258" s="27" t="n">
        <x:f>'Inputs_Trades'!I258</x:f>
        <x:v>0</x:v>
      </x:c>
      <x:c r="J258" s="27" t="str">
        <x:f>'Inputs_Trades'!M258</x:f>
        <x:v>CREDIT_NAME_29</x:v>
      </x:c>
      <x:c r="K258" s="27" t="str">
        <x:f>'Inputs_Trades'!N258</x:f>
        <x:v>Singleton</x:v>
      </x:c>
      <x:c r="L258" s="27" t="str">
        <x:f>'Inputs_Trades'!O258</x:f>
        <x:v>B</x:v>
      </x:c>
      <x:c r="M258" s="39" t="n">
        <x:f>'Inputs_Trades'!A258</x:f>
        <x:v>45702</x:v>
      </x:c>
      <x:c r="N258" s="39" t="n">
        <x:f>'Inputs_Trades'!P258</x:f>
        <x:v>46074</x:v>
      </x:c>
      <x:c r="O258" s="39" t="n">
        <x:f>'Inputs_Trades'!Q258</x:f>
        <x:v>45108</x:v>
      </x:c>
      <x:c r="P258" s="39" t="n">
        <x:f>'Inputs_Trades'!R258</x:f>
        <x:v>46074</x:v>
      </x:c>
      <x:c r="Q258" s="40" t="n">
        <x:f>'Inputs_Trades'!U258</x:f>
        <x:v>92400000</x:v>
      </x:c>
      <x:c r="R258" s="40" t="n">
        <x:f>'Inputs_Trades'!S258</x:f>
        <x:v>92400000</x:v>
      </x:c>
      <x:c r="S258" s="40" t="n">
        <x:f>'Inputs_Trades'!T258</x:f>
        <x:v>0</x:v>
      </x:c>
      <x:c r="T258" s="27" t="str">
        <x:f>'Inputs_Trades'!V258</x:f>
        <x:v>U</x:v>
      </x:c>
      <x:c r="U258" s="27" t="str">
        <x:f>'Inputs_Trades'!W258</x:f>
        <x:v>N</x:v>
      </x:c>
      <x:c r="V258" s="27" t="n">
        <x:f>'Inputs_Trades'!X258</x:f>
        <x:v>0</x:v>
      </x:c>
      <x:c r="W258" s="27" t="str">
        <x:f>'Inputs_Trades'!Y258</x:f>
        <x:v>S</x:v>
      </x:c>
      <x:c r="X258" s="27" t="n">
        <x:f>'Inputs_Trades'!AA258</x:f>
        <x:v>0</x:v>
      </x:c>
      <x:c r="Y258" s="27" t="n">
        <x:f>'Inputs_Trades'!AB258</x:f>
        <x:v>0</x:v>
      </x:c>
      <x:c r="Z258" s="27" t="n">
        <x:f>'Inputs_Trades'!AC258</x:f>
        <x:v>0</x:v>
      </x:c>
      <x:c r="AA258" s="39" t="n">
        <x:f>'Inputs_Trades'!Z258</x:f>
        <x:v>0</x:v>
      </x:c>
      <x:c r="AB258" s="40" t="n">
        <x:f>'Inputs_Trades'!AD258</x:f>
        <x:v>1500576</x:v>
      </x:c>
      <x:c r="AC258" s="27" t="n">
        <x:f>'Inputs_Trades'!K258</x:f>
        <x:v>0</x:v>
      </x:c>
      <x:c r="AD258" s="27" t="n">
        <x:f>N258-M258</x:f>
        <x:v>372</x:v>
      </x:c>
      <x:c r="AE258" s="41" t="n">
        <x:f>AD258/365</x:f>
        <x:v>1.0191780821917809</x:v>
      </x:c>
      <x:c r="AF258" s="27" t="str">
        <x:f>IF(AE258&lt;1,"&lt;1Y",IF(AE258&lt;=5,"1Y-5Y","&gt;5Y"))</x:f>
        <x:v>1Y-5Y</x:v>
      </x:c>
      <x:c r="AG258" s="27" t="str">
        <x:f>IF(E258="Commodity",IFERROR(VLOOKUP(F258,Parameters!$P$4:$Q$12,2,FALSE),"Other"),"")</x:f>
      </x:c>
      <x:c r="AH258" s="27" t="str">
        <x:f>IF(F258="","Unknown",F258)</x:f>
        <x:v>Unknown</x:v>
      </x:c>
      <x:c r="AI258" s="27" t="str">
        <x:f>IF(E258="Interest Rate",G258&amp;IF(OR(LOWER(AC258)="basis",LOWER(AC258)="volatility"),"_"&amp;AC258,""),IF(E258="FX",IF(H258&lt;I258,H258&amp;"/"&amp;I258,I258&amp;"/"&amp;H258)&amp;IF(OR(LOWER(AC258)="basis",LOWER(AC258)="volatility"),"_"&amp;AC258,""),IF(OR(E258="Credit",E258="Equity"),J258&amp;IF(OR(LOWER(AC258)="basis",LOWER(AC258)="volatility"),"_"&amp;AC258,""),IF(E258="Commodity",AG258&amp;IF(OR(LOWER(AC258)="basis",LOWER(AC258)="volatility"),"_"&amp;AC258,""),"UNKNOWN"))))</x:f>
        <x:v>CREDIT_NAME_29</x:v>
      </x:c>
      <x:c r="AJ258" s="27" t="str">
        <x:f>T258</x:f>
        <x:v>U</x:v>
      </x:c>
      <x:c r="AK258" s="41" t="n">
        <x:f>IF(E258="Interest Rate",VLOOKUP("Interest Rate",Parameters!$D$4:$E$12,2,FALSE),IF(E258="FX",VLOOKUP("FX",Parameters!$D$4:$E$12,2,FALSE),IF(E258="Credit",IFERROR(VLOOKUP(L258,Parameters!$G$4:$H$12,2,FALSE),VLOOKUP("BBB",Parameters!$G$4:$H$12,2,FALSE)),IF(E258="Equity",VLOOKUP(IF(LOWER(K258)="index","Equity Index","Equity Single Name"),Parameters!$D$4:$E$12,2,FALSE),IF(E258="Commodity",VLOOKUP(IFERROR(VLOOKUP(F258,Parameters!$S$4:$T$12,2,FALSE),"Commodity Other"),Parameters!$D$4:$E$12,2,FALSE),0)))))</x:f>
        <x:v>0.016</x:v>
      </x:c>
      <x:c r="AL258" s="42" t="n">
        <x:f>IF(LOWER(AC258)="basis",Parameters!$B$8,IF(LOWER(AC258)="volatility",Parameters!$B$9,1))</x:f>
        <x:v>1</x:v>
      </x:c>
      <x:c r="AM258" s="41" t="n">
        <x:f>AK258*AL258</x:f>
        <x:v>0.016</x:v>
      </x:c>
      <x:c r="AN258" s="42" t="n">
        <x:f>IF(E258="Credit",VLOOKUP(IF(LOWER(K258)="index","Credit Index","Credit Single Name"),Parameters!$J$4:$K$8,2,FALSE),IF(E258="Equity",VLOOKUP(IF(LOWER(K258)="index","Equity Index","Equity Single Name"),Parameters!$J$4:$K$8,2,FALSE),IF(E258="Commodity",VLOOKUP("Commodity",Parameters!$J$4:$K$8,2,FALSE),"")))</x:f>
        <x:v>0.5</x:v>
      </x:c>
      <x:c r="AO258" s="27" t="n">
        <x:f>MAX((O258-M258)/365,0)</x:f>
        <x:v>0</x:v>
      </x:c>
      <x:c r="AP258" s="27" t="n">
        <x:f>MAX((P258-M258)/365,10/Parameters!$B$6)</x:f>
        <x:v>1.0191780821917809</x:v>
      </x:c>
      <x:c r="AQ258" s="27" t="n">
        <x:f>IF(AP258&lt;=AO258,AO258+10/Parameters!$B$6,AP258)</x:f>
        <x:v>1.0191780821917809</x:v>
      </x:c>
      <x:c r="AR258" s="41" t="n">
        <x:f>IF(OR(E258="Interest Rate",E258="Credit"),(EXP(-Parameters!$B$7*AO258)-EXP(-Parameters!$B$7*AQ258))/Parameters!$B$7,1)</x:f>
        <x:v>0.9936455223401675</x:v>
      </x:c>
      <x:c r="AS258" s="40" t="n">
        <x:f>IF(OR(E258="Interest Rate",E258="Credit"),ABS(Q258)*AR258,IF(E258="FX",IF(Q258&gt;0,Q258,MAX(ABS(R258),ABS(S258),ABS(Q258))),ABS(Q258)))</x:f>
        <x:v>91812846.26423147</x:v>
      </x:c>
      <x:c r="AT258" s="42" t="n">
        <x:f>IF(OR(E258="Interest Rate",E258="FX"),VLOOKUP(E258,Parameters!$M$4:$N$11,2,FALSE),IF(E258="Credit",VLOOKUP(IF(LOWER(K258)="index","Credit Index","Credit Single Name"),Parameters!$M$4:$N$11,2,FALSE),IF(E258="Equity",VLOOKUP(IF(LOWER(K258)="index","Equity Index","Equity Single Name"),Parameters!$M$4:$N$11,2,FALSE),IF(E258="Commodity",VLOOKUP(IF(F258="Electricity","Commodity Electricity","Commodity Other"),Parameters!$M$4:$N$11,2,FALSE),1))))</x:f>
        <x:v>1</x:v>
      </x:c>
      <x:c r="AU258" s="27" t="n">
        <x:f>IF(W258="B",1,-1)</x:f>
        <x:v>-1</x:v>
      </x:c>
      <x:c r="AV258" s="27" t="n">
        <x:f>IF(OR(AA258="",M258=""),MAX(AE258,1/365),MAX((AA258-M258)/365,1/365))</x:f>
        <x:v>1.0191780821917809</x:v>
      </x:c>
      <x:c r="AW258" s="41" t="str">
        <x:f>IF(OR(Z258&lt;=0,Y258&lt;=0,AT258&lt;=0,AV258&lt;=0),"",(LN(Z258/Y258)+0.5*AT258^2*AV258)/(AT258*SQRT(AV258)))</x:f>
      </x:c>
      <x:c r="AX258" s="41" t="n">
        <x:f>IF(AND(X258&lt;&gt;"C",X258&lt;&gt;"P"),AU258,IF(AW258="",AU258,IF(X258="C",AU258*0.5*(1+ERF(AW258/SQRT(2))),-AU258*0.5*(1+ERF(-AW258/SQRT(2))))))</x:f>
        <x:v>-1</x:v>
      </x:c>
      <x:c r="AY258" s="41" t="n">
        <x:f>IF(AJ258="M",1.5*SQRT(MAX(IF(U258="Y",5,10),IF(V258="",10,V258))/Parameters!$B$6),SQRT(MIN(MAX(AE258,10/Parameters!$B$6),1)))</x:f>
        <x:v>1</x:v>
      </x:c>
      <x:c r="AZ258" s="40" t="n">
        <x:f>AS258*AX258*AY258</x:f>
        <x:v>-91812846.26423147</x:v>
      </x:c>
      <x:c r="BA258" s="40" t="n">
        <x:f>'Python_Trade_Output'!AZ258</x:f>
        <x:v>-91812846.26423147</x:v>
      </x:c>
      <x:c r="BB258" s="43" t="n">
        <x:f>AZ258-BA258</x:f>
        <x:v>0</x:v>
      </x:c>
    </x:row>
    <x:row r="259">
      <x:c r="A259" s="27" t="str">
        <x:f>'Inputs_Trades'!D259</x:f>
        <x:v>IND-000256</x:v>
      </x:c>
      <x:c r="B259" s="27" t="str">
        <x:f>'Inputs_Trades'!B259</x:f>
        <x:v>IND_SOVEREIGN_001</x:v>
      </x:c>
      <x:c r="C259" s="27" t="n">
        <x:f>'Inputs_Trades'!C259</x:f>
        <x:v>3281</x:v>
      </x:c>
      <x:c r="D259" s="27" t="str">
        <x:f>'Inputs_Trades'!E259</x:f>
        <x:v>Credit Single Name CDS</x:v>
      </x:c>
      <x:c r="E259" s="27" t="str">
        <x:f>'Inputs_Trades'!F259</x:f>
        <x:v>Credit</x:v>
      </x:c>
      <x:c r="F259" s="27" t="n">
        <x:f>'Inputs_Trades'!G259</x:f>
        <x:v>0</x:v>
      </x:c>
      <x:c r="G259" s="27" t="str">
        <x:f>'Inputs_Trades'!J259</x:f>
        <x:v>USD</x:v>
      </x:c>
      <x:c r="H259" s="27" t="str">
        <x:f>'Inputs_Trades'!H259</x:f>
        <x:v>USD</x:v>
      </x:c>
      <x:c r="I259" s="27" t="n">
        <x:f>'Inputs_Trades'!I259</x:f>
        <x:v>0</x:v>
      </x:c>
      <x:c r="J259" s="27" t="str">
        <x:f>'Inputs_Trades'!M259</x:f>
        <x:v>CREDIT_NAME_14</x:v>
      </x:c>
      <x:c r="K259" s="27" t="str">
        <x:f>'Inputs_Trades'!N259</x:f>
        <x:v>Singleton</x:v>
      </x:c>
      <x:c r="L259" s="27" t="str">
        <x:f>'Inputs_Trades'!O259</x:f>
        <x:v>A</x:v>
      </x:c>
      <x:c r="M259" s="39" t="n">
        <x:f>'Inputs_Trades'!A259</x:f>
        <x:v>45702</x:v>
      </x:c>
      <x:c r="N259" s="39" t="n">
        <x:f>'Inputs_Trades'!P259</x:f>
        <x:v>47157</x:v>
      </x:c>
      <x:c r="O259" s="39" t="n">
        <x:f>'Inputs_Trades'!Q259</x:f>
        <x:v>45315</x:v>
      </x:c>
      <x:c r="P259" s="39" t="n">
        <x:f>'Inputs_Trades'!R259</x:f>
        <x:v>47157</x:v>
      </x:c>
      <x:c r="Q259" s="40" t="n">
        <x:f>'Inputs_Trades'!U259</x:f>
        <x:v>104000000</x:v>
      </x:c>
      <x:c r="R259" s="40" t="n">
        <x:f>'Inputs_Trades'!S259</x:f>
        <x:v>104000000</x:v>
      </x:c>
      <x:c r="S259" s="40" t="n">
        <x:f>'Inputs_Trades'!T259</x:f>
        <x:v>0</x:v>
      </x:c>
      <x:c r="T259" s="27" t="str">
        <x:f>'Inputs_Trades'!V259</x:f>
        <x:v>U</x:v>
      </x:c>
      <x:c r="U259" s="27" t="str">
        <x:f>'Inputs_Trades'!W259</x:f>
        <x:v>N</x:v>
      </x:c>
      <x:c r="V259" s="27" t="n">
        <x:f>'Inputs_Trades'!X259</x:f>
        <x:v>0</x:v>
      </x:c>
      <x:c r="W259" s="27" t="str">
        <x:f>'Inputs_Trades'!Y259</x:f>
        <x:v>S</x:v>
      </x:c>
      <x:c r="X259" s="27" t="n">
        <x:f>'Inputs_Trades'!AA259</x:f>
        <x:v>0</x:v>
      </x:c>
      <x:c r="Y259" s="27" t="n">
        <x:f>'Inputs_Trades'!AB259</x:f>
        <x:v>0</x:v>
      </x:c>
      <x:c r="Z259" s="27" t="n">
        <x:f>'Inputs_Trades'!AC259</x:f>
        <x:v>0</x:v>
      </x:c>
      <x:c r="AA259" s="39" t="n">
        <x:f>'Inputs_Trades'!Z259</x:f>
        <x:v>0</x:v>
      </x:c>
      <x:c r="AB259" s="40" t="n">
        <x:f>'Inputs_Trades'!AD259</x:f>
        <x:v>-2044640</x:v>
      </x:c>
      <x:c r="AC259" s="27" t="n">
        <x:f>'Inputs_Trades'!K259</x:f>
        <x:v>0</x:v>
      </x:c>
      <x:c r="AD259" s="27" t="n">
        <x:f>N259-M259</x:f>
        <x:v>1455</x:v>
      </x:c>
      <x:c r="AE259" s="41" t="n">
        <x:f>AD259/365</x:f>
        <x:v>3.9863013698630136</x:v>
      </x:c>
      <x:c r="AF259" s="27" t="str">
        <x:f>IF(AE259&lt;1,"&lt;1Y",IF(AE259&lt;=5,"1Y-5Y","&gt;5Y"))</x:f>
        <x:v>1Y-5Y</x:v>
      </x:c>
      <x:c r="AG259" s="27" t="str">
        <x:f>IF(E259="Commodity",IFERROR(VLOOKUP(F259,Parameters!$P$4:$Q$12,2,FALSE),"Other"),"")</x:f>
      </x:c>
      <x:c r="AH259" s="27" t="str">
        <x:f>IF(F259="","Unknown",F259)</x:f>
        <x:v>Unknown</x:v>
      </x:c>
      <x:c r="AI259" s="27" t="str">
        <x:f>IF(E259="Interest Rate",G259&amp;IF(OR(LOWER(AC259)="basis",LOWER(AC259)="volatility"),"_"&amp;AC259,""),IF(E259="FX",IF(H259&lt;I259,H259&amp;"/"&amp;I259,I259&amp;"/"&amp;H259)&amp;IF(OR(LOWER(AC259)="basis",LOWER(AC259)="volatility"),"_"&amp;AC259,""),IF(OR(E259="Credit",E259="Equity"),J259&amp;IF(OR(LOWER(AC259)="basis",LOWER(AC259)="volatility"),"_"&amp;AC259,""),IF(E259="Commodity",AG259&amp;IF(OR(LOWER(AC259)="basis",LOWER(AC259)="volatility"),"_"&amp;AC259,""),"UNKNOWN"))))</x:f>
        <x:v>CREDIT_NAME_14</x:v>
      </x:c>
      <x:c r="AJ259" s="27" t="str">
        <x:f>T259</x:f>
        <x:v>U</x:v>
      </x:c>
      <x:c r="AK259" s="41" t="n">
        <x:f>IF(E259="Interest Rate",VLOOKUP("Interest Rate",Parameters!$D$4:$E$12,2,FALSE),IF(E259="FX",VLOOKUP("FX",Parameters!$D$4:$E$12,2,FALSE),IF(E259="Credit",IFERROR(VLOOKUP(L259,Parameters!$G$4:$H$12,2,FALSE),VLOOKUP("BBB",Parameters!$G$4:$H$12,2,FALSE)),IF(E259="Equity",VLOOKUP(IF(LOWER(K259)="index","Equity Index","Equity Single Name"),Parameters!$D$4:$E$12,2,FALSE),IF(E259="Commodity",VLOOKUP(IFERROR(VLOOKUP(F259,Parameters!$S$4:$T$12,2,FALSE),"Commodity Other"),Parameters!$D$4:$E$12,2,FALSE),0)))))</x:f>
        <x:v>0.0042</x:v>
      </x:c>
      <x:c r="AL259" s="42" t="n">
        <x:f>IF(LOWER(AC259)="basis",Parameters!$B$8,IF(LOWER(AC259)="volatility",Parameters!$B$9,1))</x:f>
        <x:v>1</x:v>
      </x:c>
      <x:c r="AM259" s="41" t="n">
        <x:f>AK259*AL259</x:f>
        <x:v>0.0042</x:v>
      </x:c>
      <x:c r="AN259" s="42" t="n">
        <x:f>IF(E259="Credit",VLOOKUP(IF(LOWER(K259)="index","Credit Index","Credit Single Name"),Parameters!$J$4:$K$8,2,FALSE),IF(E259="Equity",VLOOKUP(IF(LOWER(K259)="index","Equity Index","Equity Single Name"),Parameters!$J$4:$K$8,2,FALSE),IF(E259="Commodity",VLOOKUP("Commodity",Parameters!$J$4:$K$8,2,FALSE),"")))</x:f>
        <x:v>0.5</x:v>
      </x:c>
      <x:c r="AO259" s="27" t="n">
        <x:f>MAX((O259-M259)/365,0)</x:f>
        <x:v>0</x:v>
      </x:c>
      <x:c r="AP259" s="27" t="n">
        <x:f>MAX((P259-M259)/365,10/Parameters!$B$6)</x:f>
        <x:v>3.9863013698630136</x:v>
      </x:c>
      <x:c r="AQ259" s="27" t="n">
        <x:f>IF(AP259&lt;=AO259,AO259+10/Parameters!$B$6,AP259)</x:f>
        <x:v>3.9863013698630136</x:v>
      </x:c>
      <x:c r="AR259" s="41" t="n">
        <x:f>IF(OR(E259="Interest Rate",E259="Credit"),(EXP(-Parameters!$B$7*AO259)-EXP(-Parameters!$B$7*AQ259))/Parameters!$B$7,1)</x:f>
        <x:v>3.6141656068739447</x:v>
      </x:c>
      <x:c r="AS259" s="40" t="n">
        <x:f>IF(OR(E259="Interest Rate",E259="Credit"),ABS(Q259)*AR259,IF(E259="FX",IF(Q259&gt;0,Q259,MAX(ABS(R259),ABS(S259),ABS(Q259))),ABS(Q259)))</x:f>
        <x:v>375873223.1148903</x:v>
      </x:c>
      <x:c r="AT259" s="42" t="n">
        <x:f>IF(OR(E259="Interest Rate",E259="FX"),VLOOKUP(E259,Parameters!$M$4:$N$11,2,FALSE),IF(E259="Credit",VLOOKUP(IF(LOWER(K259)="index","Credit Index","Credit Single Name"),Parameters!$M$4:$N$11,2,FALSE),IF(E259="Equity",VLOOKUP(IF(LOWER(K259)="index","Equity Index","Equity Single Name"),Parameters!$M$4:$N$11,2,FALSE),IF(E259="Commodity",VLOOKUP(IF(F259="Electricity","Commodity Electricity","Commodity Other"),Parameters!$M$4:$N$11,2,FALSE),1))))</x:f>
        <x:v>1</x:v>
      </x:c>
      <x:c r="AU259" s="27" t="n">
        <x:f>IF(W259="B",1,-1)</x:f>
        <x:v>-1</x:v>
      </x:c>
      <x:c r="AV259" s="27" t="n">
        <x:f>IF(OR(AA259="",M259=""),MAX(AE259,1/365),MAX((AA259-M259)/365,1/365))</x:f>
        <x:v>3.9863013698630136</x:v>
      </x:c>
      <x:c r="AW259" s="41" t="str">
        <x:f>IF(OR(Z259&lt;=0,Y259&lt;=0,AT259&lt;=0,AV259&lt;=0),"",(LN(Z259/Y259)+0.5*AT259^2*AV259)/(AT259*SQRT(AV259)))</x:f>
      </x:c>
      <x:c r="AX259" s="41" t="n">
        <x:f>IF(AND(X259&lt;&gt;"C",X259&lt;&gt;"P"),AU259,IF(AW259="",AU259,IF(X259="C",AU259*0.5*(1+ERF(AW259/SQRT(2))),-AU259*0.5*(1+ERF(-AW259/SQRT(2))))))</x:f>
        <x:v>-1</x:v>
      </x:c>
      <x:c r="AY259" s="41" t="n">
        <x:f>IF(AJ259="M",1.5*SQRT(MAX(IF(U259="Y",5,10),IF(V259="",10,V259))/Parameters!$B$6),SQRT(MIN(MAX(AE259,10/Parameters!$B$6),1)))</x:f>
        <x:v>1</x:v>
      </x:c>
      <x:c r="AZ259" s="40" t="n">
        <x:f>AS259*AX259*AY259</x:f>
        <x:v>-375873223.1148903</x:v>
      </x:c>
      <x:c r="BA259" s="40" t="n">
        <x:f>'Python_Trade_Output'!AZ259</x:f>
        <x:v>-375873223.1148903</x:v>
      </x:c>
      <x:c r="BB259" s="43" t="n">
        <x:f>AZ259-BA259</x:f>
        <x:v>0</x:v>
      </x:c>
    </x:row>
    <x:row r="260">
      <x:c r="A260" s="27" t="str">
        <x:f>'Inputs_Trades'!D260</x:f>
        <x:v>IND-000257</x:v>
      </x:c>
      <x:c r="B260" s="27" t="str">
        <x:f>'Inputs_Trades'!B260</x:f>
        <x:v>IND_REGIONAL_BANK_001</x:v>
      </x:c>
      <x:c r="C260" s="27" t="n">
        <x:f>'Inputs_Trades'!C260</x:f>
        <x:v>3237</x:v>
      </x:c>
      <x:c r="D260" s="27" t="str">
        <x:f>'Inputs_Trades'!E260</x:f>
        <x:v>Credit Single Name CDS</x:v>
      </x:c>
      <x:c r="E260" s="27" t="str">
        <x:f>'Inputs_Trades'!F260</x:f>
        <x:v>Credit</x:v>
      </x:c>
      <x:c r="F260" s="27" t="n">
        <x:f>'Inputs_Trades'!G260</x:f>
        <x:v>0</x:v>
      </x:c>
      <x:c r="G260" s="27" t="str">
        <x:f>'Inputs_Trades'!J260</x:f>
        <x:v>USD</x:v>
      </x:c>
      <x:c r="H260" s="27" t="str">
        <x:f>'Inputs_Trades'!H260</x:f>
        <x:v>USD</x:v>
      </x:c>
      <x:c r="I260" s="27" t="n">
        <x:f>'Inputs_Trades'!I260</x:f>
        <x:v>0</x:v>
      </x:c>
      <x:c r="J260" s="27" t="str">
        <x:f>'Inputs_Trades'!M260</x:f>
        <x:v>CREDIT_NAME_11</x:v>
      </x:c>
      <x:c r="K260" s="27" t="str">
        <x:f>'Inputs_Trades'!N260</x:f>
        <x:v>Singleton</x:v>
      </x:c>
      <x:c r="L260" s="27" t="str">
        <x:f>'Inputs_Trades'!O260</x:f>
        <x:v>B</x:v>
      </x:c>
      <x:c r="M260" s="39" t="n">
        <x:f>'Inputs_Trades'!A260</x:f>
        <x:v>45702</x:v>
      </x:c>
      <x:c r="N260" s="39" t="n">
        <x:f>'Inputs_Trades'!P260</x:f>
        <x:v>46094</x:v>
      </x:c>
      <x:c r="O260" s="39" t="n">
        <x:f>'Inputs_Trades'!Q260</x:f>
        <x:v>45141</x:v>
      </x:c>
      <x:c r="P260" s="39" t="n">
        <x:f>'Inputs_Trades'!R260</x:f>
        <x:v>46094</x:v>
      </x:c>
      <x:c r="Q260" s="40" t="n">
        <x:f>'Inputs_Trades'!U260</x:f>
        <x:v>5800000</x:v>
      </x:c>
      <x:c r="R260" s="40" t="n">
        <x:f>'Inputs_Trades'!S260</x:f>
        <x:v>5800000</x:v>
      </x:c>
      <x:c r="S260" s="40" t="n">
        <x:f>'Inputs_Trades'!T260</x:f>
        <x:v>0</x:v>
      </x:c>
      <x:c r="T260" s="27" t="str">
        <x:f>'Inputs_Trades'!V260</x:f>
        <x:v>M</x:v>
      </x:c>
      <x:c r="U260" s="27" t="str">
        <x:f>'Inputs_Trades'!W260</x:f>
        <x:v>N</x:v>
      </x:c>
      <x:c r="V260" s="27" t="n">
        <x:f>'Inputs_Trades'!X260</x:f>
        <x:v>10</x:v>
      </x:c>
      <x:c r="W260" s="27" t="str">
        <x:f>'Inputs_Trades'!Y260</x:f>
        <x:v>S</x:v>
      </x:c>
      <x:c r="X260" s="27" t="n">
        <x:f>'Inputs_Trades'!AA260</x:f>
        <x:v>0</x:v>
      </x:c>
      <x:c r="Y260" s="27" t="n">
        <x:f>'Inputs_Trades'!AB260</x:f>
        <x:v>0</x:v>
      </x:c>
      <x:c r="Z260" s="27" t="n">
        <x:f>'Inputs_Trades'!AC260</x:f>
        <x:v>0</x:v>
      </x:c>
      <x:c r="AA260" s="39" t="n">
        <x:f>'Inputs_Trades'!Z260</x:f>
        <x:v>0</x:v>
      </x:c>
      <x:c r="AB260" s="40" t="n">
        <x:f>'Inputs_Trades'!AD260</x:f>
        <x:v>8816</x:v>
      </x:c>
      <x:c r="AC260" s="27" t="n">
        <x:f>'Inputs_Trades'!K260</x:f>
        <x:v>0</x:v>
      </x:c>
      <x:c r="AD260" s="27" t="n">
        <x:f>N260-M260</x:f>
        <x:v>392</x:v>
      </x:c>
      <x:c r="AE260" s="41" t="n">
        <x:f>AD260/365</x:f>
        <x:v>1.073972602739726</x:v>
      </x:c>
      <x:c r="AF260" s="27" t="str">
        <x:f>IF(AE260&lt;1,"&lt;1Y",IF(AE260&lt;=5,"1Y-5Y","&gt;5Y"))</x:f>
        <x:v>1Y-5Y</x:v>
      </x:c>
      <x:c r="AG260" s="27" t="str">
        <x:f>IF(E260="Commodity",IFERROR(VLOOKUP(F260,Parameters!$P$4:$Q$12,2,FALSE),"Other"),"")</x:f>
      </x:c>
      <x:c r="AH260" s="27" t="str">
        <x:f>IF(F260="","Unknown",F260)</x:f>
        <x:v>Unknown</x:v>
      </x:c>
      <x:c r="AI260" s="27" t="str">
        <x:f>IF(E260="Interest Rate",G260&amp;IF(OR(LOWER(AC260)="basis",LOWER(AC260)="volatility"),"_"&amp;AC260,""),IF(E260="FX",IF(H260&lt;I260,H260&amp;"/"&amp;I260,I260&amp;"/"&amp;H260)&amp;IF(OR(LOWER(AC260)="basis",LOWER(AC260)="volatility"),"_"&amp;AC260,""),IF(OR(E260="Credit",E260="Equity"),J260&amp;IF(OR(LOWER(AC260)="basis",LOWER(AC260)="volatility"),"_"&amp;AC260,""),IF(E260="Commodity",AG260&amp;IF(OR(LOWER(AC260)="basis",LOWER(AC260)="volatility"),"_"&amp;AC260,""),"UNKNOWN"))))</x:f>
        <x:v>CREDIT_NAME_11</x:v>
      </x:c>
      <x:c r="AJ260" s="27" t="str">
        <x:f>T260</x:f>
        <x:v>M</x:v>
      </x:c>
      <x:c r="AK260" s="41" t="n">
        <x:f>IF(E260="Interest Rate",VLOOKUP("Interest Rate",Parameters!$D$4:$E$12,2,FALSE),IF(E260="FX",VLOOKUP("FX",Parameters!$D$4:$E$12,2,FALSE),IF(E260="Credit",IFERROR(VLOOKUP(L260,Parameters!$G$4:$H$12,2,FALSE),VLOOKUP("BBB",Parameters!$G$4:$H$12,2,FALSE)),IF(E260="Equity",VLOOKUP(IF(LOWER(K260)="index","Equity Index","Equity Single Name"),Parameters!$D$4:$E$12,2,FALSE),IF(E260="Commodity",VLOOKUP(IFERROR(VLOOKUP(F260,Parameters!$S$4:$T$12,2,FALSE),"Commodity Other"),Parameters!$D$4:$E$12,2,FALSE),0)))))</x:f>
        <x:v>0.016</x:v>
      </x:c>
      <x:c r="AL260" s="42" t="n">
        <x:f>IF(LOWER(AC260)="basis",Parameters!$B$8,IF(LOWER(AC260)="volatility",Parameters!$B$9,1))</x:f>
        <x:v>1</x:v>
      </x:c>
      <x:c r="AM260" s="41" t="n">
        <x:f>AK260*AL260</x:f>
        <x:v>0.016</x:v>
      </x:c>
      <x:c r="AN260" s="42" t="n">
        <x:f>IF(E260="Credit",VLOOKUP(IF(LOWER(K260)="index","Credit Index","Credit Single Name"),Parameters!$J$4:$K$8,2,FALSE),IF(E260="Equity",VLOOKUP(IF(LOWER(K260)="index","Equity Index","Equity Single Name"),Parameters!$J$4:$K$8,2,FALSE),IF(E260="Commodity",VLOOKUP("Commodity",Parameters!$J$4:$K$8,2,FALSE),"")))</x:f>
        <x:v>0.5</x:v>
      </x:c>
      <x:c r="AO260" s="27" t="n">
        <x:f>MAX((O260-M260)/365,0)</x:f>
        <x:v>0</x:v>
      </x:c>
      <x:c r="AP260" s="27" t="n">
        <x:f>MAX((P260-M260)/365,10/Parameters!$B$6)</x:f>
        <x:v>1.073972602739726</x:v>
      </x:c>
      <x:c r="AQ260" s="27" t="n">
        <x:f>IF(AP260&lt;=AO260,AO260+10/Parameters!$B$6,AP260)</x:f>
        <x:v>1.073972602739726</x:v>
      </x:c>
      <x:c r="AR260" s="41" t="n">
        <x:f>IF(OR(E260="Interest Rate",E260="Credit"),(EXP(-Parameters!$B$7*AO260)-EXP(-Parameters!$B$7*AQ260))/Parameters!$B$7,1)</x:f>
        <x:v>1.045646459700773</x:v>
      </x:c>
      <x:c r="AS260" s="40" t="n">
        <x:f>IF(OR(E260="Interest Rate",E260="Credit"),ABS(Q260)*AR260,IF(E260="FX",IF(Q260&gt;0,Q260,MAX(ABS(R260),ABS(S260),ABS(Q260))),ABS(Q260)))</x:f>
        <x:v>6064749.4662644835</x:v>
      </x:c>
      <x:c r="AT260" s="42" t="n">
        <x:f>IF(OR(E260="Interest Rate",E260="FX"),VLOOKUP(E260,Parameters!$M$4:$N$11,2,FALSE),IF(E260="Credit",VLOOKUP(IF(LOWER(K260)="index","Credit Index","Credit Single Name"),Parameters!$M$4:$N$11,2,FALSE),IF(E260="Equity",VLOOKUP(IF(LOWER(K260)="index","Equity Index","Equity Single Name"),Parameters!$M$4:$N$11,2,FALSE),IF(E260="Commodity",VLOOKUP(IF(F260="Electricity","Commodity Electricity","Commodity Other"),Parameters!$M$4:$N$11,2,FALSE),1))))</x:f>
        <x:v>1</x:v>
      </x:c>
      <x:c r="AU260" s="27" t="n">
        <x:f>IF(W260="B",1,-1)</x:f>
        <x:v>-1</x:v>
      </x:c>
      <x:c r="AV260" s="27" t="n">
        <x:f>IF(OR(AA260="",M260=""),MAX(AE260,1/365),MAX((AA260-M260)/365,1/365))</x:f>
        <x:v>1.073972602739726</x:v>
      </x:c>
      <x:c r="AW260" s="41" t="str">
        <x:f>IF(OR(Z260&lt;=0,Y260&lt;=0,AT260&lt;=0,AV260&lt;=0),"",(LN(Z260/Y260)+0.5*AT260^2*AV260)/(AT260*SQRT(AV260)))</x:f>
      </x:c>
      <x:c r="AX260" s="41" t="n">
        <x:f>IF(AND(X260&lt;&gt;"C",X260&lt;&gt;"P"),AU260,IF(AW260="",AU260,IF(X260="C",AU260*0.5*(1+ERF(AW260/SQRT(2))),-AU260*0.5*(1+ERF(-AW260/SQRT(2))))))</x:f>
        <x:v>-1</x:v>
      </x:c>
      <x:c r="AY260" s="41" t="n">
        <x:f>IF(AJ260="M",1.5*SQRT(MAX(IF(U260="Y",5,10),IF(V260="",10,V260))/Parameters!$B$6),SQRT(MIN(MAX(AE260,10/Parameters!$B$6),1)))</x:f>
        <x:v>0.30000000000000004</x:v>
      </x:c>
      <x:c r="AZ260" s="40" t="n">
        <x:f>AS260*AX260*AY260</x:f>
        <x:v>-1819424.8398793454</x:v>
      </x:c>
      <x:c r="BA260" s="40" t="n">
        <x:f>'Python_Trade_Output'!AZ260</x:f>
        <x:v>-1819424.8398793454</x:v>
      </x:c>
      <x:c r="BB260" s="43" t="n">
        <x:f>AZ260-BA260</x:f>
        <x:v>0</x:v>
      </x:c>
    </x:row>
    <x:row r="261">
      <x:c r="A261" s="27" t="str">
        <x:f>'Inputs_Trades'!D261</x:f>
        <x:v>IND-000258</x:v>
      </x:c>
      <x:c r="B261" s="27" t="str">
        <x:f>'Inputs_Trades'!B261</x:f>
        <x:v>IND_CORPORATE_001</x:v>
      </x:c>
      <x:c r="C261" s="27" t="n">
        <x:f>'Inputs_Trades'!C261</x:f>
        <x:v>3041</x:v>
      </x:c>
      <x:c r="D261" s="27" t="str">
        <x:f>'Inputs_Trades'!E261</x:f>
        <x:v>Credit Single Name CDS</x:v>
      </x:c>
      <x:c r="E261" s="27" t="str">
        <x:f>'Inputs_Trades'!F261</x:f>
        <x:v>Credit</x:v>
      </x:c>
      <x:c r="F261" s="27" t="n">
        <x:f>'Inputs_Trades'!G261</x:f>
        <x:v>0</x:v>
      </x:c>
      <x:c r="G261" s="27" t="str">
        <x:f>'Inputs_Trades'!J261</x:f>
        <x:v>USD</x:v>
      </x:c>
      <x:c r="H261" s="27" t="str">
        <x:f>'Inputs_Trades'!H261</x:f>
        <x:v>USD</x:v>
      </x:c>
      <x:c r="I261" s="27" t="n">
        <x:f>'Inputs_Trades'!I261</x:f>
        <x:v>0</x:v>
      </x:c>
      <x:c r="J261" s="27" t="str">
        <x:f>'Inputs_Trades'!M261</x:f>
        <x:v>CREDIT_NAME_11</x:v>
      </x:c>
      <x:c r="K261" s="27" t="str">
        <x:f>'Inputs_Trades'!N261</x:f>
        <x:v>Singleton</x:v>
      </x:c>
      <x:c r="L261" s="27" t="str">
        <x:f>'Inputs_Trades'!O261</x:f>
        <x:v>B</x:v>
      </x:c>
      <x:c r="M261" s="39" t="n">
        <x:f>'Inputs_Trades'!A261</x:f>
        <x:v>45702</x:v>
      </x:c>
      <x:c r="N261" s="39" t="n">
        <x:f>'Inputs_Trades'!P261</x:f>
        <x:v>46296</x:v>
      </x:c>
      <x:c r="O261" s="39" t="n">
        <x:f>'Inputs_Trades'!Q261</x:f>
        <x:v>45661</x:v>
      </x:c>
      <x:c r="P261" s="39" t="n">
        <x:f>'Inputs_Trades'!R261</x:f>
        <x:v>46296</x:v>
      </x:c>
      <x:c r="Q261" s="40" t="n">
        <x:f>'Inputs_Trades'!U261</x:f>
        <x:v>5800000</x:v>
      </x:c>
      <x:c r="R261" s="40" t="n">
        <x:f>'Inputs_Trades'!S261</x:f>
        <x:v>5800000</x:v>
      </x:c>
      <x:c r="S261" s="40" t="n">
        <x:f>'Inputs_Trades'!T261</x:f>
        <x:v>0</x:v>
      </x:c>
      <x:c r="T261" s="27" t="str">
        <x:f>'Inputs_Trades'!V261</x:f>
        <x:v>M</x:v>
      </x:c>
      <x:c r="U261" s="27" t="str">
        <x:f>'Inputs_Trades'!W261</x:f>
        <x:v>N</x:v>
      </x:c>
      <x:c r="V261" s="27" t="n">
        <x:f>'Inputs_Trades'!X261</x:f>
        <x:v>10</x:v>
      </x:c>
      <x:c r="W261" s="27" t="str">
        <x:f>'Inputs_Trades'!Y261</x:f>
        <x:v>B</x:v>
      </x:c>
      <x:c r="X261" s="27" t="n">
        <x:f>'Inputs_Trades'!AA261</x:f>
        <x:v>0</x:v>
      </x:c>
      <x:c r="Y261" s="27" t="n">
        <x:f>'Inputs_Trades'!AB261</x:f>
        <x:v>0</x:v>
      </x:c>
      <x:c r="Z261" s="27" t="n">
        <x:f>'Inputs_Trades'!AC261</x:f>
        <x:v>0</x:v>
      </x:c>
      <x:c r="AA261" s="39" t="n">
        <x:f>'Inputs_Trades'!Z261</x:f>
        <x:v>0</x:v>
      </x:c>
      <x:c r="AB261" s="40" t="n">
        <x:f>'Inputs_Trades'!AD261</x:f>
        <x:v>13224</x:v>
      </x:c>
      <x:c r="AC261" s="27" t="n">
        <x:f>'Inputs_Trades'!K261</x:f>
        <x:v>0</x:v>
      </x:c>
      <x:c r="AD261" s="27" t="n">
        <x:f>N261-M261</x:f>
        <x:v>594</x:v>
      </x:c>
      <x:c r="AE261" s="41" t="n">
        <x:f>AD261/365</x:f>
        <x:v>1.6273972602739726</x:v>
      </x:c>
      <x:c r="AF261" s="27" t="str">
        <x:f>IF(AE261&lt;1,"&lt;1Y",IF(AE261&lt;=5,"1Y-5Y","&gt;5Y"))</x:f>
        <x:v>1Y-5Y</x:v>
      </x:c>
      <x:c r="AG261" s="27" t="str">
        <x:f>IF(E261="Commodity",IFERROR(VLOOKUP(F261,Parameters!$P$4:$Q$12,2,FALSE),"Other"),"")</x:f>
      </x:c>
      <x:c r="AH261" s="27" t="str">
        <x:f>IF(F261="","Unknown",F261)</x:f>
        <x:v>Unknown</x:v>
      </x:c>
      <x:c r="AI261" s="27" t="str">
        <x:f>IF(E261="Interest Rate",G261&amp;IF(OR(LOWER(AC261)="basis",LOWER(AC261)="volatility"),"_"&amp;AC261,""),IF(E261="FX",IF(H261&lt;I261,H261&amp;"/"&amp;I261,I261&amp;"/"&amp;H261)&amp;IF(OR(LOWER(AC261)="basis",LOWER(AC261)="volatility"),"_"&amp;AC261,""),IF(OR(E261="Credit",E261="Equity"),J261&amp;IF(OR(LOWER(AC261)="basis",LOWER(AC261)="volatility"),"_"&amp;AC261,""),IF(E261="Commodity",AG261&amp;IF(OR(LOWER(AC261)="basis",LOWER(AC261)="volatility"),"_"&amp;AC261,""),"UNKNOWN"))))</x:f>
        <x:v>CREDIT_NAME_11</x:v>
      </x:c>
      <x:c r="AJ261" s="27" t="str">
        <x:f>T261</x:f>
        <x:v>M</x:v>
      </x:c>
      <x:c r="AK261" s="41" t="n">
        <x:f>IF(E261="Interest Rate",VLOOKUP("Interest Rate",Parameters!$D$4:$E$12,2,FALSE),IF(E261="FX",VLOOKUP("FX",Parameters!$D$4:$E$12,2,FALSE),IF(E261="Credit",IFERROR(VLOOKUP(L261,Parameters!$G$4:$H$12,2,FALSE),VLOOKUP("BBB",Parameters!$G$4:$H$12,2,FALSE)),IF(E261="Equity",VLOOKUP(IF(LOWER(K261)="index","Equity Index","Equity Single Name"),Parameters!$D$4:$E$12,2,FALSE),IF(E261="Commodity",VLOOKUP(IFERROR(VLOOKUP(F261,Parameters!$S$4:$T$12,2,FALSE),"Commodity Other"),Parameters!$D$4:$E$12,2,FALSE),0)))))</x:f>
        <x:v>0.016</x:v>
      </x:c>
      <x:c r="AL261" s="42" t="n">
        <x:f>IF(LOWER(AC261)="basis",Parameters!$B$8,IF(LOWER(AC261)="volatility",Parameters!$B$9,1))</x:f>
        <x:v>1</x:v>
      </x:c>
      <x:c r="AM261" s="41" t="n">
        <x:f>AK261*AL261</x:f>
        <x:v>0.016</x:v>
      </x:c>
      <x:c r="AN261" s="42" t="n">
        <x:f>IF(E261="Credit",VLOOKUP(IF(LOWER(K261)="index","Credit Index","Credit Single Name"),Parameters!$J$4:$K$8,2,FALSE),IF(E261="Equity",VLOOKUP(IF(LOWER(K261)="index","Equity Index","Equity Single Name"),Parameters!$J$4:$K$8,2,FALSE),IF(E261="Commodity",VLOOKUP("Commodity",Parameters!$J$4:$K$8,2,FALSE),"")))</x:f>
        <x:v>0.5</x:v>
      </x:c>
      <x:c r="AO261" s="27" t="n">
        <x:f>MAX((O261-M261)/365,0)</x:f>
        <x:v>0</x:v>
      </x:c>
      <x:c r="AP261" s="27" t="n">
        <x:f>MAX((P261-M261)/365,10/Parameters!$B$6)</x:f>
        <x:v>1.6273972602739726</x:v>
      </x:c>
      <x:c r="AQ261" s="27" t="n">
        <x:f>IF(AP261&lt;=AO261,AO261+10/Parameters!$B$6,AP261)</x:f>
        <x:v>1.6273972602739726</x:v>
      </x:c>
      <x:c r="AR261" s="41" t="n">
        <x:f>IF(OR(E261="Interest Rate",E261="Credit"),(EXP(-Parameters!$B$7*AO261)-EXP(-Parameters!$B$7*AQ261))/Parameters!$B$7,1)</x:f>
        <x:v>1.5629466164734795</x:v>
      </x:c>
      <x:c r="AS261" s="40" t="n">
        <x:f>IF(OR(E261="Interest Rate",E261="Credit"),ABS(Q261)*AR261,IF(E261="FX",IF(Q261&gt;0,Q261,MAX(ABS(R261),ABS(S261),ABS(Q261))),ABS(Q261)))</x:f>
        <x:v>9065090.375546182</x:v>
      </x:c>
      <x:c r="AT261" s="42" t="n">
        <x:f>IF(OR(E261="Interest Rate",E261="FX"),VLOOKUP(E261,Parameters!$M$4:$N$11,2,FALSE),IF(E261="Credit",VLOOKUP(IF(LOWER(K261)="index","Credit Index","Credit Single Name"),Parameters!$M$4:$N$11,2,FALSE),IF(E261="Equity",VLOOKUP(IF(LOWER(K261)="index","Equity Index","Equity Single Name"),Parameters!$M$4:$N$11,2,FALSE),IF(E261="Commodity",VLOOKUP(IF(F261="Electricity","Commodity Electricity","Commodity Other"),Parameters!$M$4:$N$11,2,FALSE),1))))</x:f>
        <x:v>1</x:v>
      </x:c>
      <x:c r="AU261" s="27" t="n">
        <x:f>IF(W261="B",1,-1)</x:f>
        <x:v>1</x:v>
      </x:c>
      <x:c r="AV261" s="27" t="n">
        <x:f>IF(OR(AA261="",M261=""),MAX(AE261,1/365),MAX((AA261-M261)/365,1/365))</x:f>
        <x:v>1.6273972602739726</x:v>
      </x:c>
      <x:c r="AW261" s="41" t="str">
        <x:f>IF(OR(Z261&lt;=0,Y261&lt;=0,AT261&lt;=0,AV261&lt;=0),"",(LN(Z261/Y261)+0.5*AT261^2*AV261)/(AT261*SQRT(AV261)))</x:f>
      </x:c>
      <x:c r="AX261" s="41" t="n">
        <x:f>IF(AND(X261&lt;&gt;"C",X261&lt;&gt;"P"),AU261,IF(AW261="",AU261,IF(X261="C",AU261*0.5*(1+ERF(AW261/SQRT(2))),-AU261*0.5*(1+ERF(-AW261/SQRT(2))))))</x:f>
        <x:v>1</x:v>
      </x:c>
      <x:c r="AY261" s="41" t="n">
        <x:f>IF(AJ261="M",1.5*SQRT(MAX(IF(U261="Y",5,10),IF(V261="",10,V261))/Parameters!$B$6),SQRT(MIN(MAX(AE261,10/Parameters!$B$6),1)))</x:f>
        <x:v>0.30000000000000004</x:v>
      </x:c>
      <x:c r="AZ261" s="40" t="n">
        <x:f>AS261*AX261*AY261</x:f>
        <x:v>2719527.112663855</x:v>
      </x:c>
      <x:c r="BA261" s="40" t="n">
        <x:f>'Python_Trade_Output'!AZ261</x:f>
        <x:v>2719527.112663855</x:v>
      </x:c>
      <x:c r="BB261" s="43" t="n">
        <x:f>AZ261-BA261</x:f>
        <x:v>0</x:v>
      </x:c>
    </x:row>
    <x:row r="262">
      <x:c r="A262" s="27" t="str">
        <x:f>'Inputs_Trades'!D262</x:f>
        <x:v>IND-000259</x:v>
      </x:c>
      <x:c r="B262" s="27" t="str">
        <x:f>'Inputs_Trades'!B262</x:f>
        <x:v>IND_CORPORATE_001</x:v>
      </x:c>
      <x:c r="C262" s="27" t="n">
        <x:f>'Inputs_Trades'!C262</x:f>
        <x:v>3041</x:v>
      </x:c>
      <x:c r="D262" s="27" t="str">
        <x:f>'Inputs_Trades'!E262</x:f>
        <x:v>Credit Single Name CDS</x:v>
      </x:c>
      <x:c r="E262" s="27" t="str">
        <x:f>'Inputs_Trades'!F262</x:f>
        <x:v>Credit</x:v>
      </x:c>
      <x:c r="F262" s="27" t="n">
        <x:f>'Inputs_Trades'!G262</x:f>
        <x:v>0</x:v>
      </x:c>
      <x:c r="G262" s="27" t="str">
        <x:f>'Inputs_Trades'!J262</x:f>
        <x:v>USD</x:v>
      </x:c>
      <x:c r="H262" s="27" t="str">
        <x:f>'Inputs_Trades'!H262</x:f>
        <x:v>USD</x:v>
      </x:c>
      <x:c r="I262" s="27" t="n">
        <x:f>'Inputs_Trades'!I262</x:f>
        <x:v>0</x:v>
      </x:c>
      <x:c r="J262" s="27" t="str">
        <x:f>'Inputs_Trades'!M262</x:f>
        <x:v>CREDIT_NAME_05</x:v>
      </x:c>
      <x:c r="K262" s="27" t="str">
        <x:f>'Inputs_Trades'!N262</x:f>
        <x:v>Singleton</x:v>
      </x:c>
      <x:c r="L262" s="27" t="str">
        <x:f>'Inputs_Trades'!O262</x:f>
        <x:v>B</x:v>
      </x:c>
      <x:c r="M262" s="39" t="n">
        <x:f>'Inputs_Trades'!A262</x:f>
        <x:v>45702</x:v>
      </x:c>
      <x:c r="N262" s="39" t="n">
        <x:f>'Inputs_Trades'!P262</x:f>
        <x:v>47129</x:v>
      </x:c>
      <x:c r="O262" s="39" t="n">
        <x:f>'Inputs_Trades'!Q262</x:f>
        <x:v>45032</x:v>
      </x:c>
      <x:c r="P262" s="39" t="n">
        <x:f>'Inputs_Trades'!R262</x:f>
        <x:v>47129</x:v>
      </x:c>
      <x:c r="Q262" s="40" t="n">
        <x:f>'Inputs_Trades'!U262</x:f>
        <x:v>31400000</x:v>
      </x:c>
      <x:c r="R262" s="40" t="n">
        <x:f>'Inputs_Trades'!S262</x:f>
        <x:v>31400000</x:v>
      </x:c>
      <x:c r="S262" s="40" t="n">
        <x:f>'Inputs_Trades'!T262</x:f>
        <x:v>0</x:v>
      </x:c>
      <x:c r="T262" s="27" t="str">
        <x:f>'Inputs_Trades'!V262</x:f>
        <x:v>M</x:v>
      </x:c>
      <x:c r="U262" s="27" t="str">
        <x:f>'Inputs_Trades'!W262</x:f>
        <x:v>N</x:v>
      </x:c>
      <x:c r="V262" s="27" t="n">
        <x:f>'Inputs_Trades'!X262</x:f>
        <x:v>10</x:v>
      </x:c>
      <x:c r="W262" s="27" t="str">
        <x:f>'Inputs_Trades'!Y262</x:f>
        <x:v>S</x:v>
      </x:c>
      <x:c r="X262" s="27" t="n">
        <x:f>'Inputs_Trades'!AA262</x:f>
        <x:v>0</x:v>
      </x:c>
      <x:c r="Y262" s="27" t="n">
        <x:f>'Inputs_Trades'!AB262</x:f>
        <x:v>0</x:v>
      </x:c>
      <x:c r="Z262" s="27" t="n">
        <x:f>'Inputs_Trades'!AC262</x:f>
        <x:v>0</x:v>
      </x:c>
      <x:c r="AA262" s="39" t="n">
        <x:f>'Inputs_Trades'!Z262</x:f>
        <x:v>0</x:v>
      </x:c>
      <x:c r="AB262" s="40" t="n">
        <x:f>'Inputs_Trades'!AD262</x:f>
        <x:v>-411968</x:v>
      </x:c>
      <x:c r="AC262" s="27" t="n">
        <x:f>'Inputs_Trades'!K262</x:f>
        <x:v>0</x:v>
      </x:c>
      <x:c r="AD262" s="27" t="n">
        <x:f>N262-M262</x:f>
        <x:v>1427</x:v>
      </x:c>
      <x:c r="AE262" s="41" t="n">
        <x:f>AD262/365</x:f>
        <x:v>3.9095890410958902</x:v>
      </x:c>
      <x:c r="AF262" s="27" t="str">
        <x:f>IF(AE262&lt;1,"&lt;1Y",IF(AE262&lt;=5,"1Y-5Y","&gt;5Y"))</x:f>
        <x:v>1Y-5Y</x:v>
      </x:c>
      <x:c r="AG262" s="27" t="str">
        <x:f>IF(E262="Commodity",IFERROR(VLOOKUP(F262,Parameters!$P$4:$Q$12,2,FALSE),"Other"),"")</x:f>
      </x:c>
      <x:c r="AH262" s="27" t="str">
        <x:f>IF(F262="","Unknown",F262)</x:f>
        <x:v>Unknown</x:v>
      </x:c>
      <x:c r="AI262" s="27" t="str">
        <x:f>IF(E262="Interest Rate",G262&amp;IF(OR(LOWER(AC262)="basis",LOWER(AC262)="volatility"),"_"&amp;AC262,""),IF(E262="FX",IF(H262&lt;I262,H262&amp;"/"&amp;I262,I262&amp;"/"&amp;H262)&amp;IF(OR(LOWER(AC262)="basis",LOWER(AC262)="volatility"),"_"&amp;AC262,""),IF(OR(E262="Credit",E262="Equity"),J262&amp;IF(OR(LOWER(AC262)="basis",LOWER(AC262)="volatility"),"_"&amp;AC262,""),IF(E262="Commodity",AG262&amp;IF(OR(LOWER(AC262)="basis",LOWER(AC262)="volatility"),"_"&amp;AC262,""),"UNKNOWN"))))</x:f>
        <x:v>CREDIT_NAME_05</x:v>
      </x:c>
      <x:c r="AJ262" s="27" t="str">
        <x:f>T262</x:f>
        <x:v>M</x:v>
      </x:c>
      <x:c r="AK262" s="41" t="n">
        <x:f>IF(E262="Interest Rate",VLOOKUP("Interest Rate",Parameters!$D$4:$E$12,2,FALSE),IF(E262="FX",VLOOKUP("FX",Parameters!$D$4:$E$12,2,FALSE),IF(E262="Credit",IFERROR(VLOOKUP(L262,Parameters!$G$4:$H$12,2,FALSE),VLOOKUP("BBB",Parameters!$G$4:$H$12,2,FALSE)),IF(E262="Equity",VLOOKUP(IF(LOWER(K262)="index","Equity Index","Equity Single Name"),Parameters!$D$4:$E$12,2,FALSE),IF(E262="Commodity",VLOOKUP(IFERROR(VLOOKUP(F262,Parameters!$S$4:$T$12,2,FALSE),"Commodity Other"),Parameters!$D$4:$E$12,2,FALSE),0)))))</x:f>
        <x:v>0.016</x:v>
      </x:c>
      <x:c r="AL262" s="42" t="n">
        <x:f>IF(LOWER(AC262)="basis",Parameters!$B$8,IF(LOWER(AC262)="volatility",Parameters!$B$9,1))</x:f>
        <x:v>1</x:v>
      </x:c>
      <x:c r="AM262" s="41" t="n">
        <x:f>AK262*AL262</x:f>
        <x:v>0.016</x:v>
      </x:c>
      <x:c r="AN262" s="42" t="n">
        <x:f>IF(E262="Credit",VLOOKUP(IF(LOWER(K262)="index","Credit Index","Credit Single Name"),Parameters!$J$4:$K$8,2,FALSE),IF(E262="Equity",VLOOKUP(IF(LOWER(K262)="index","Equity Index","Equity Single Name"),Parameters!$J$4:$K$8,2,FALSE),IF(E262="Commodity",VLOOKUP("Commodity",Parameters!$J$4:$K$8,2,FALSE),"")))</x:f>
        <x:v>0.5</x:v>
      </x:c>
      <x:c r="AO262" s="27" t="n">
        <x:f>MAX((O262-M262)/365,0)</x:f>
        <x:v>0</x:v>
      </x:c>
      <x:c r="AP262" s="27" t="n">
        <x:f>MAX((P262-M262)/365,10/Parameters!$B$6)</x:f>
        <x:v>3.9095890410958902</x:v>
      </x:c>
      <x:c r="AQ262" s="27" t="n">
        <x:f>IF(AP262&lt;=AO262,AO262+10/Parameters!$B$6,AP262)</x:f>
        <x:v>3.9095890410958902</x:v>
      </x:c>
      <x:c r="AR262" s="41" t="n">
        <x:f>IF(OR(E262="Interest Rate",E262="Credit"),(EXP(-Parameters!$B$7*AO262)-EXP(-Parameters!$B$7*AQ262))/Parameters!$B$7,1)</x:f>
        <x:v>3.5511951430479227</x:v>
      </x:c>
      <x:c r="AS262" s="40" t="n">
        <x:f>IF(OR(E262="Interest Rate",E262="Credit"),ABS(Q262)*AR262,IF(E262="FX",IF(Q262&gt;0,Q262,MAX(ABS(R262),ABS(S262),ABS(Q262))),ABS(Q262)))</x:f>
        <x:v>111507527.49170478</x:v>
      </x:c>
      <x:c r="AT262" s="42" t="n">
        <x:f>IF(OR(E262="Interest Rate",E262="FX"),VLOOKUP(E262,Parameters!$M$4:$N$11,2,FALSE),IF(E262="Credit",VLOOKUP(IF(LOWER(K262)="index","Credit Index","Credit Single Name"),Parameters!$M$4:$N$11,2,FALSE),IF(E262="Equity",VLOOKUP(IF(LOWER(K262)="index","Equity Index","Equity Single Name"),Parameters!$M$4:$N$11,2,FALSE),IF(E262="Commodity",VLOOKUP(IF(F262="Electricity","Commodity Electricity","Commodity Other"),Parameters!$M$4:$N$11,2,FALSE),1))))</x:f>
        <x:v>1</x:v>
      </x:c>
      <x:c r="AU262" s="27" t="n">
        <x:f>IF(W262="B",1,-1)</x:f>
        <x:v>-1</x:v>
      </x:c>
      <x:c r="AV262" s="27" t="n">
        <x:f>IF(OR(AA262="",M262=""),MAX(AE262,1/365),MAX((AA262-M262)/365,1/365))</x:f>
        <x:v>3.9095890410958902</x:v>
      </x:c>
      <x:c r="AW262" s="41" t="str">
        <x:f>IF(OR(Z262&lt;=0,Y262&lt;=0,AT262&lt;=0,AV262&lt;=0),"",(LN(Z262/Y262)+0.5*AT262^2*AV262)/(AT262*SQRT(AV262)))</x:f>
      </x:c>
      <x:c r="AX262" s="41" t="n">
        <x:f>IF(AND(X262&lt;&gt;"C",X262&lt;&gt;"P"),AU262,IF(AW262="",AU262,IF(X262="C",AU262*0.5*(1+ERF(AW262/SQRT(2))),-AU262*0.5*(1+ERF(-AW262/SQRT(2))))))</x:f>
        <x:v>-1</x:v>
      </x:c>
      <x:c r="AY262" s="41" t="n">
        <x:f>IF(AJ262="M",1.5*SQRT(MAX(IF(U262="Y",5,10),IF(V262="",10,V262))/Parameters!$B$6),SQRT(MIN(MAX(AE262,10/Parameters!$B$6),1)))</x:f>
        <x:v>0.30000000000000004</x:v>
      </x:c>
      <x:c r="AZ262" s="40" t="n">
        <x:f>AS262*AX262*AY262</x:f>
        <x:v>-33452258.24751144</x:v>
      </x:c>
      <x:c r="BA262" s="40" t="n">
        <x:f>'Python_Trade_Output'!AZ262</x:f>
        <x:v>-33452258.24751144</x:v>
      </x:c>
      <x:c r="BB262" s="43" t="n">
        <x:f>AZ262-BA262</x:f>
        <x:v>0</x:v>
      </x:c>
    </x:row>
    <x:row r="263">
      <x:c r="A263" s="27" t="str">
        <x:f>'Inputs_Trades'!D263</x:f>
        <x:v>IND-000260</x:v>
      </x:c>
      <x:c r="B263" s="27" t="str">
        <x:f>'Inputs_Trades'!B263</x:f>
        <x:v>IND_HEDGE_FUND_001</x:v>
      </x:c>
      <x:c r="C263" s="27" t="n">
        <x:f>'Inputs_Trades'!C263</x:f>
        <x:v>3338</x:v>
      </x:c>
      <x:c r="D263" s="27" t="str">
        <x:f>'Inputs_Trades'!E263</x:f>
        <x:v>Credit Single Name CDS</x:v>
      </x:c>
      <x:c r="E263" s="27" t="str">
        <x:f>'Inputs_Trades'!F263</x:f>
        <x:v>Credit</x:v>
      </x:c>
      <x:c r="F263" s="27" t="n">
        <x:f>'Inputs_Trades'!G263</x:f>
        <x:v>0</x:v>
      </x:c>
      <x:c r="G263" s="27" t="str">
        <x:f>'Inputs_Trades'!J263</x:f>
        <x:v>USD</x:v>
      </x:c>
      <x:c r="H263" s="27" t="str">
        <x:f>'Inputs_Trades'!H263</x:f>
        <x:v>USD</x:v>
      </x:c>
      <x:c r="I263" s="27" t="n">
        <x:f>'Inputs_Trades'!I263</x:f>
        <x:v>0</x:v>
      </x:c>
      <x:c r="J263" s="27" t="str">
        <x:f>'Inputs_Trades'!M263</x:f>
        <x:v>CREDIT_NAME_10</x:v>
      </x:c>
      <x:c r="K263" s="27" t="str">
        <x:f>'Inputs_Trades'!N263</x:f>
        <x:v>Singleton</x:v>
      </x:c>
      <x:c r="L263" s="27" t="str">
        <x:f>'Inputs_Trades'!O263</x:f>
        <x:v>BB</x:v>
      </x:c>
      <x:c r="M263" s="39" t="n">
        <x:f>'Inputs_Trades'!A263</x:f>
        <x:v>45702</x:v>
      </x:c>
      <x:c r="N263" s="39" t="n">
        <x:f>'Inputs_Trades'!P263</x:f>
        <x:v>47225</x:v>
      </x:c>
      <x:c r="O263" s="39" t="n">
        <x:f>'Inputs_Trades'!Q263</x:f>
        <x:v>45100</x:v>
      </x:c>
      <x:c r="P263" s="39" t="n">
        <x:f>'Inputs_Trades'!R263</x:f>
        <x:v>47225</x:v>
      </x:c>
      <x:c r="Q263" s="40" t="n">
        <x:f>'Inputs_Trades'!U263</x:f>
        <x:v>26800000</x:v>
      </x:c>
      <x:c r="R263" s="40" t="n">
        <x:f>'Inputs_Trades'!S263</x:f>
        <x:v>26800000</x:v>
      </x:c>
      <x:c r="S263" s="40" t="n">
        <x:f>'Inputs_Trades'!T263</x:f>
        <x:v>0</x:v>
      </x:c>
      <x:c r="T263" s="27" t="str">
        <x:f>'Inputs_Trades'!V263</x:f>
        <x:v>U</x:v>
      </x:c>
      <x:c r="U263" s="27" t="str">
        <x:f>'Inputs_Trades'!W263</x:f>
        <x:v>N</x:v>
      </x:c>
      <x:c r="V263" s="27" t="n">
        <x:f>'Inputs_Trades'!X263</x:f>
        <x:v>0</x:v>
      </x:c>
      <x:c r="W263" s="27" t="str">
        <x:f>'Inputs_Trades'!Y263</x:f>
        <x:v>S</x:v>
      </x:c>
      <x:c r="X263" s="27" t="n">
        <x:f>'Inputs_Trades'!AA263</x:f>
        <x:v>0</x:v>
      </x:c>
      <x:c r="Y263" s="27" t="n">
        <x:f>'Inputs_Trades'!AB263</x:f>
        <x:v>0</x:v>
      </x:c>
      <x:c r="Z263" s="27" t="n">
        <x:f>'Inputs_Trades'!AC263</x:f>
        <x:v>0</x:v>
      </x:c>
      <x:c r="AA263" s="39" t="n">
        <x:f>'Inputs_Trades'!Z263</x:f>
        <x:v>0</x:v>
      </x:c>
      <x:c r="AB263" s="40" t="n">
        <x:f>'Inputs_Trades'!AD263</x:f>
        <x:v>40736</x:v>
      </x:c>
      <x:c r="AC263" s="27" t="n">
        <x:f>'Inputs_Trades'!K263</x:f>
        <x:v>0</x:v>
      </x:c>
      <x:c r="AD263" s="27" t="n">
        <x:f>N263-M263</x:f>
        <x:v>1523</x:v>
      </x:c>
      <x:c r="AE263" s="41" t="n">
        <x:f>AD263/365</x:f>
        <x:v>4.1726027397260275</x:v>
      </x:c>
      <x:c r="AF263" s="27" t="str">
        <x:f>IF(AE263&lt;1,"&lt;1Y",IF(AE263&lt;=5,"1Y-5Y","&gt;5Y"))</x:f>
        <x:v>1Y-5Y</x:v>
      </x:c>
      <x:c r="AG263" s="27" t="str">
        <x:f>IF(E263="Commodity",IFERROR(VLOOKUP(F263,Parameters!$P$4:$Q$12,2,FALSE),"Other"),"")</x:f>
      </x:c>
      <x:c r="AH263" s="27" t="str">
        <x:f>IF(F263="","Unknown",F263)</x:f>
        <x:v>Unknown</x:v>
      </x:c>
      <x:c r="AI263" s="27" t="str">
        <x:f>IF(E263="Interest Rate",G263&amp;IF(OR(LOWER(AC263)="basis",LOWER(AC263)="volatility"),"_"&amp;AC263,""),IF(E263="FX",IF(H263&lt;I263,H263&amp;"/"&amp;I263,I263&amp;"/"&amp;H263)&amp;IF(OR(LOWER(AC263)="basis",LOWER(AC263)="volatility"),"_"&amp;AC263,""),IF(OR(E263="Credit",E263="Equity"),J263&amp;IF(OR(LOWER(AC263)="basis",LOWER(AC263)="volatility"),"_"&amp;AC263,""),IF(E263="Commodity",AG263&amp;IF(OR(LOWER(AC263)="basis",LOWER(AC263)="volatility"),"_"&amp;AC263,""),"UNKNOWN"))))</x:f>
        <x:v>CREDIT_NAME_10</x:v>
      </x:c>
      <x:c r="AJ263" s="27" t="str">
        <x:f>T263</x:f>
        <x:v>U</x:v>
      </x:c>
      <x:c r="AK263" s="41" t="n">
        <x:f>IF(E263="Interest Rate",VLOOKUP("Interest Rate",Parameters!$D$4:$E$12,2,FALSE),IF(E263="FX",VLOOKUP("FX",Parameters!$D$4:$E$12,2,FALSE),IF(E263="Credit",IFERROR(VLOOKUP(L263,Parameters!$G$4:$H$12,2,FALSE),VLOOKUP("BBB",Parameters!$G$4:$H$12,2,FALSE)),IF(E263="Equity",VLOOKUP(IF(LOWER(K263)="index","Equity Index","Equity Single Name"),Parameters!$D$4:$E$12,2,FALSE),IF(E263="Commodity",VLOOKUP(IFERROR(VLOOKUP(F263,Parameters!$S$4:$T$12,2,FALSE),"Commodity Other"),Parameters!$D$4:$E$12,2,FALSE),0)))))</x:f>
        <x:v>0.0106</x:v>
      </x:c>
      <x:c r="AL263" s="42" t="n">
        <x:f>IF(LOWER(AC263)="basis",Parameters!$B$8,IF(LOWER(AC263)="volatility",Parameters!$B$9,1))</x:f>
        <x:v>1</x:v>
      </x:c>
      <x:c r="AM263" s="41" t="n">
        <x:f>AK263*AL263</x:f>
        <x:v>0.0106</x:v>
      </x:c>
      <x:c r="AN263" s="42" t="n">
        <x:f>IF(E263="Credit",VLOOKUP(IF(LOWER(K263)="index","Credit Index","Credit Single Name"),Parameters!$J$4:$K$8,2,FALSE),IF(E263="Equity",VLOOKUP(IF(LOWER(K263)="index","Equity Index","Equity Single Name"),Parameters!$J$4:$K$8,2,FALSE),IF(E263="Commodity",VLOOKUP("Commodity",Parameters!$J$4:$K$8,2,FALSE),"")))</x:f>
        <x:v>0.5</x:v>
      </x:c>
      <x:c r="AO263" s="27" t="n">
        <x:f>MAX((O263-M263)/365,0)</x:f>
        <x:v>0</x:v>
      </x:c>
      <x:c r="AP263" s="27" t="n">
        <x:f>MAX((P263-M263)/365,10/Parameters!$B$6)</x:f>
        <x:v>4.1726027397260275</x:v>
      </x:c>
      <x:c r="AQ263" s="27" t="n">
        <x:f>IF(AP263&lt;=AO263,AO263+10/Parameters!$B$6,AP263)</x:f>
        <x:v>4.1726027397260275</x:v>
      </x:c>
      <x:c r="AR263" s="41" t="n">
        <x:f>IF(OR(E263="Interest Rate",E263="Credit"),(EXP(-Parameters!$B$7*AO263)-EXP(-Parameters!$B$7*AQ263))/Parameters!$B$7,1)</x:f>
        <x:v>3.7660920752740767</x:v>
      </x:c>
      <x:c r="AS263" s="40" t="n">
        <x:f>IF(OR(E263="Interest Rate",E263="Credit"),ABS(Q263)*AR263,IF(E263="FX",IF(Q263&gt;0,Q263,MAX(ABS(R263),ABS(S263),ABS(Q263))),ABS(Q263)))</x:f>
        <x:v>100931267.61734526</x:v>
      </x:c>
      <x:c r="AT263" s="42" t="n">
        <x:f>IF(OR(E263="Interest Rate",E263="FX"),VLOOKUP(E263,Parameters!$M$4:$N$11,2,FALSE),IF(E263="Credit",VLOOKUP(IF(LOWER(K263)="index","Credit Index","Credit Single Name"),Parameters!$M$4:$N$11,2,FALSE),IF(E263="Equity",VLOOKUP(IF(LOWER(K263)="index","Equity Index","Equity Single Name"),Parameters!$M$4:$N$11,2,FALSE),IF(E263="Commodity",VLOOKUP(IF(F263="Electricity","Commodity Electricity","Commodity Other"),Parameters!$M$4:$N$11,2,FALSE),1))))</x:f>
        <x:v>1</x:v>
      </x:c>
      <x:c r="AU263" s="27" t="n">
        <x:f>IF(W263="B",1,-1)</x:f>
        <x:v>-1</x:v>
      </x:c>
      <x:c r="AV263" s="27" t="n">
        <x:f>IF(OR(AA263="",M263=""),MAX(AE263,1/365),MAX((AA263-M263)/365,1/365))</x:f>
        <x:v>4.1726027397260275</x:v>
      </x:c>
      <x:c r="AW263" s="41" t="str">
        <x:f>IF(OR(Z263&lt;=0,Y263&lt;=0,AT263&lt;=0,AV263&lt;=0),"",(LN(Z263/Y263)+0.5*AT263^2*AV263)/(AT263*SQRT(AV263)))</x:f>
      </x:c>
      <x:c r="AX263" s="41" t="n">
        <x:f>IF(AND(X263&lt;&gt;"C",X263&lt;&gt;"P"),AU263,IF(AW263="",AU263,IF(X263="C",AU263*0.5*(1+ERF(AW263/SQRT(2))),-AU263*0.5*(1+ERF(-AW263/SQRT(2))))))</x:f>
        <x:v>-1</x:v>
      </x:c>
      <x:c r="AY263" s="41" t="n">
        <x:f>IF(AJ263="M",1.5*SQRT(MAX(IF(U263="Y",5,10),IF(V263="",10,V263))/Parameters!$B$6),SQRT(MIN(MAX(AE263,10/Parameters!$B$6),1)))</x:f>
        <x:v>1</x:v>
      </x:c>
      <x:c r="AZ263" s="40" t="n">
        <x:f>AS263*AX263*AY263</x:f>
        <x:v>-100931267.61734526</x:v>
      </x:c>
      <x:c r="BA263" s="40" t="n">
        <x:f>'Python_Trade_Output'!AZ263</x:f>
        <x:v>-100931267.61734526</x:v>
      </x:c>
      <x:c r="BB263" s="43" t="n">
        <x:f>AZ263-BA263</x:f>
        <x:v>0</x:v>
      </x:c>
    </x:row>
    <x:row r="264">
      <x:c r="A264" s="27" t="str">
        <x:f>'Inputs_Trades'!D264</x:f>
        <x:v>IND-000261</x:v>
      </x:c>
      <x:c r="B264" s="27" t="str">
        <x:f>'Inputs_Trades'!B264</x:f>
        <x:v>IND_REGIONAL_BANK_001</x:v>
      </x:c>
      <x:c r="C264" s="27" t="n">
        <x:f>'Inputs_Trades'!C264</x:f>
        <x:v>3161</x:v>
      </x:c>
      <x:c r="D264" s="27" t="str">
        <x:f>'Inputs_Trades'!E264</x:f>
        <x:v>Credit Single Name CDS</x:v>
      </x:c>
      <x:c r="E264" s="27" t="str">
        <x:f>'Inputs_Trades'!F264</x:f>
        <x:v>Credit</x:v>
      </x:c>
      <x:c r="F264" s="27" t="n">
        <x:f>'Inputs_Trades'!G264</x:f>
        <x:v>0</x:v>
      </x:c>
      <x:c r="G264" s="27" t="str">
        <x:f>'Inputs_Trades'!J264</x:f>
        <x:v>USD</x:v>
      </x:c>
      <x:c r="H264" s="27" t="str">
        <x:f>'Inputs_Trades'!H264</x:f>
        <x:v>USD</x:v>
      </x:c>
      <x:c r="I264" s="27" t="n">
        <x:f>'Inputs_Trades'!I264</x:f>
        <x:v>0</x:v>
      </x:c>
      <x:c r="J264" s="27" t="str">
        <x:f>'Inputs_Trades'!M264</x:f>
        <x:v>CREDIT_NAME_17</x:v>
      </x:c>
      <x:c r="K264" s="27" t="str">
        <x:f>'Inputs_Trades'!N264</x:f>
        <x:v>Singleton</x:v>
      </x:c>
      <x:c r="L264" s="27" t="str">
        <x:f>'Inputs_Trades'!O264</x:f>
        <x:v>B</x:v>
      </x:c>
      <x:c r="M264" s="39" t="n">
        <x:f>'Inputs_Trades'!A264</x:f>
        <x:v>45702</x:v>
      </x:c>
      <x:c r="N264" s="39" t="n">
        <x:f>'Inputs_Trades'!P264</x:f>
        <x:v>47675</x:v>
      </x:c>
      <x:c r="O264" s="39" t="n">
        <x:f>'Inputs_Trades'!Q264</x:f>
        <x:v>45501</x:v>
      </x:c>
      <x:c r="P264" s="39" t="n">
        <x:f>'Inputs_Trades'!R264</x:f>
        <x:v>47675</x:v>
      </x:c>
      <x:c r="Q264" s="40" t="n">
        <x:f>'Inputs_Trades'!U264</x:f>
        <x:v>70700000</x:v>
      </x:c>
      <x:c r="R264" s="40" t="n">
        <x:f>'Inputs_Trades'!S264</x:f>
        <x:v>70700000</x:v>
      </x:c>
      <x:c r="S264" s="40" t="n">
        <x:f>'Inputs_Trades'!T264</x:f>
        <x:v>0</x:v>
      </x:c>
      <x:c r="T264" s="27" t="str">
        <x:f>'Inputs_Trades'!V264</x:f>
        <x:v>U</x:v>
      </x:c>
      <x:c r="U264" s="27" t="str">
        <x:f>'Inputs_Trades'!W264</x:f>
        <x:v>N</x:v>
      </x:c>
      <x:c r="V264" s="27" t="n">
        <x:f>'Inputs_Trades'!X264</x:f>
        <x:v>0</x:v>
      </x:c>
      <x:c r="W264" s="27" t="str">
        <x:f>'Inputs_Trades'!Y264</x:f>
        <x:v>S</x:v>
      </x:c>
      <x:c r="X264" s="27" t="n">
        <x:f>'Inputs_Trades'!AA264</x:f>
        <x:v>0</x:v>
      </x:c>
      <x:c r="Y264" s="27" t="n">
        <x:f>'Inputs_Trades'!AB264</x:f>
        <x:v>0</x:v>
      </x:c>
      <x:c r="Z264" s="27" t="n">
        <x:f>'Inputs_Trades'!AC264</x:f>
        <x:v>0</x:v>
      </x:c>
      <x:c r="AA264" s="39" t="n">
        <x:f>'Inputs_Trades'!Z264</x:f>
        <x:v>0</x:v>
      </x:c>
      <x:c r="AB264" s="40" t="n">
        <x:f>'Inputs_Trades'!AD264</x:f>
        <x:v>279972</x:v>
      </x:c>
      <x:c r="AC264" s="27" t="n">
        <x:f>'Inputs_Trades'!K264</x:f>
        <x:v>0</x:v>
      </x:c>
      <x:c r="AD264" s="27" t="n">
        <x:f>N264-M264</x:f>
        <x:v>1973</x:v>
      </x:c>
      <x:c r="AE264" s="41" t="n">
        <x:f>AD264/365</x:f>
        <x:v>5.405479452054794</x:v>
      </x:c>
      <x:c r="AF264" s="27" t="str">
        <x:f>IF(AE264&lt;1,"&lt;1Y",IF(AE264&lt;=5,"1Y-5Y","&gt;5Y"))</x:f>
        <x:v>&gt;5Y</x:v>
      </x:c>
      <x:c r="AG264" s="27" t="str">
        <x:f>IF(E264="Commodity",IFERROR(VLOOKUP(F264,Parameters!$P$4:$Q$12,2,FALSE),"Other"),"")</x:f>
      </x:c>
      <x:c r="AH264" s="27" t="str">
        <x:f>IF(F264="","Unknown",F264)</x:f>
        <x:v>Unknown</x:v>
      </x:c>
      <x:c r="AI264" s="27" t="str">
        <x:f>IF(E264="Interest Rate",G264&amp;IF(OR(LOWER(AC264)="basis",LOWER(AC264)="volatility"),"_"&amp;AC264,""),IF(E264="FX",IF(H264&lt;I264,H264&amp;"/"&amp;I264,I264&amp;"/"&amp;H264)&amp;IF(OR(LOWER(AC264)="basis",LOWER(AC264)="volatility"),"_"&amp;AC264,""),IF(OR(E264="Credit",E264="Equity"),J264&amp;IF(OR(LOWER(AC264)="basis",LOWER(AC264)="volatility"),"_"&amp;AC264,""),IF(E264="Commodity",AG264&amp;IF(OR(LOWER(AC264)="basis",LOWER(AC264)="volatility"),"_"&amp;AC264,""),"UNKNOWN"))))</x:f>
        <x:v>CREDIT_NAME_17</x:v>
      </x:c>
      <x:c r="AJ264" s="27" t="str">
        <x:f>T264</x:f>
        <x:v>U</x:v>
      </x:c>
      <x:c r="AK264" s="41" t="n">
        <x:f>IF(E264="Interest Rate",VLOOKUP("Interest Rate",Parameters!$D$4:$E$12,2,FALSE),IF(E264="FX",VLOOKUP("FX",Parameters!$D$4:$E$12,2,FALSE),IF(E264="Credit",IFERROR(VLOOKUP(L264,Parameters!$G$4:$H$12,2,FALSE),VLOOKUP("BBB",Parameters!$G$4:$H$12,2,FALSE)),IF(E264="Equity",VLOOKUP(IF(LOWER(K264)="index","Equity Index","Equity Single Name"),Parameters!$D$4:$E$12,2,FALSE),IF(E264="Commodity",VLOOKUP(IFERROR(VLOOKUP(F264,Parameters!$S$4:$T$12,2,FALSE),"Commodity Other"),Parameters!$D$4:$E$12,2,FALSE),0)))))</x:f>
        <x:v>0.016</x:v>
      </x:c>
      <x:c r="AL264" s="42" t="n">
        <x:f>IF(LOWER(AC264)="basis",Parameters!$B$8,IF(LOWER(AC264)="volatility",Parameters!$B$9,1))</x:f>
        <x:v>1</x:v>
      </x:c>
      <x:c r="AM264" s="41" t="n">
        <x:f>AK264*AL264</x:f>
        <x:v>0.016</x:v>
      </x:c>
      <x:c r="AN264" s="42" t="n">
        <x:f>IF(E264="Credit",VLOOKUP(IF(LOWER(K264)="index","Credit Index","Credit Single Name"),Parameters!$J$4:$K$8,2,FALSE),IF(E264="Equity",VLOOKUP(IF(LOWER(K264)="index","Equity Index","Equity Single Name"),Parameters!$J$4:$K$8,2,FALSE),IF(E264="Commodity",VLOOKUP("Commodity",Parameters!$J$4:$K$8,2,FALSE),"")))</x:f>
        <x:v>0.5</x:v>
      </x:c>
      <x:c r="AO264" s="27" t="n">
        <x:f>MAX((O264-M264)/365,0)</x:f>
        <x:v>0</x:v>
      </x:c>
      <x:c r="AP264" s="27" t="n">
        <x:f>MAX((P264-M264)/365,10/Parameters!$B$6)</x:f>
        <x:v>5.405479452054794</x:v>
      </x:c>
      <x:c r="AQ264" s="27" t="n">
        <x:f>IF(AP264&lt;=AO264,AO264+10/Parameters!$B$6,AP264)</x:f>
        <x:v>5.405479452054794</x:v>
      </x:c>
      <x:c r="AR264" s="41" t="n">
        <x:f>IF(OR(E264="Interest Rate",E264="Credit"),(EXP(-Parameters!$B$7*AO264)-EXP(-Parameters!$B$7*AQ264))/Parameters!$B$7,1)</x:f>
        <x:v>4.736592441653911</x:v>
      </x:c>
      <x:c r="AS264" s="40" t="n">
        <x:f>IF(OR(E264="Interest Rate",E264="Credit"),ABS(Q264)*AR264,IF(E264="FX",IF(Q264&gt;0,Q264,MAX(ABS(R264),ABS(S264),ABS(Q264))),ABS(Q264)))</x:f>
        <x:v>334877085.6249315</x:v>
      </x:c>
      <x:c r="AT264" s="42" t="n">
        <x:f>IF(OR(E264="Interest Rate",E264="FX"),VLOOKUP(E264,Parameters!$M$4:$N$11,2,FALSE),IF(E264="Credit",VLOOKUP(IF(LOWER(K264)="index","Credit Index","Credit Single Name"),Parameters!$M$4:$N$11,2,FALSE),IF(E264="Equity",VLOOKUP(IF(LOWER(K264)="index","Equity Index","Equity Single Name"),Parameters!$M$4:$N$11,2,FALSE),IF(E264="Commodity",VLOOKUP(IF(F264="Electricity","Commodity Electricity","Commodity Other"),Parameters!$M$4:$N$11,2,FALSE),1))))</x:f>
        <x:v>1</x:v>
      </x:c>
      <x:c r="AU264" s="27" t="n">
        <x:f>IF(W264="B",1,-1)</x:f>
        <x:v>-1</x:v>
      </x:c>
      <x:c r="AV264" s="27" t="n">
        <x:f>IF(OR(AA264="",M264=""),MAX(AE264,1/365),MAX((AA264-M264)/365,1/365))</x:f>
        <x:v>5.405479452054794</x:v>
      </x:c>
      <x:c r="AW264" s="41" t="str">
        <x:f>IF(OR(Z264&lt;=0,Y264&lt;=0,AT264&lt;=0,AV264&lt;=0),"",(LN(Z264/Y264)+0.5*AT264^2*AV264)/(AT264*SQRT(AV264)))</x:f>
      </x:c>
      <x:c r="AX264" s="41" t="n">
        <x:f>IF(AND(X264&lt;&gt;"C",X264&lt;&gt;"P"),AU264,IF(AW264="",AU264,IF(X264="C",AU264*0.5*(1+ERF(AW264/SQRT(2))),-AU264*0.5*(1+ERF(-AW264/SQRT(2))))))</x:f>
        <x:v>-1</x:v>
      </x:c>
      <x:c r="AY264" s="41" t="n">
        <x:f>IF(AJ264="M",1.5*SQRT(MAX(IF(U264="Y",5,10),IF(V264="",10,V264))/Parameters!$B$6),SQRT(MIN(MAX(AE264,10/Parameters!$B$6),1)))</x:f>
        <x:v>1</x:v>
      </x:c>
      <x:c r="AZ264" s="40" t="n">
        <x:f>AS264*AX264*AY264</x:f>
        <x:v>-334877085.6249315</x:v>
      </x:c>
      <x:c r="BA264" s="40" t="n">
        <x:f>'Python_Trade_Output'!AZ264</x:f>
        <x:v>-334877085.6249315</x:v>
      </x:c>
      <x:c r="BB264" s="43" t="n">
        <x:f>AZ264-BA264</x:f>
        <x:v>0</x:v>
      </x:c>
    </x:row>
    <x:row r="265">
      <x:c r="A265" s="27" t="str">
        <x:f>'Inputs_Trades'!D265</x:f>
        <x:v>IND-000262</x:v>
      </x:c>
      <x:c r="B265" s="27" t="str">
        <x:f>'Inputs_Trades'!B265</x:f>
        <x:v>IND_SOVEREIGN_001</x:v>
      </x:c>
      <x:c r="C265" s="27" t="n">
        <x:f>'Inputs_Trades'!C265</x:f>
        <x:v>3042</x:v>
      </x:c>
      <x:c r="D265" s="27" t="str">
        <x:f>'Inputs_Trades'!E265</x:f>
        <x:v>Credit Single Name CDS</x:v>
      </x:c>
      <x:c r="E265" s="27" t="str">
        <x:f>'Inputs_Trades'!F265</x:f>
        <x:v>Credit</x:v>
      </x:c>
      <x:c r="F265" s="27" t="n">
        <x:f>'Inputs_Trades'!G265</x:f>
        <x:v>0</x:v>
      </x:c>
      <x:c r="G265" s="27" t="str">
        <x:f>'Inputs_Trades'!J265</x:f>
        <x:v>USD</x:v>
      </x:c>
      <x:c r="H265" s="27" t="str">
        <x:f>'Inputs_Trades'!H265</x:f>
        <x:v>USD</x:v>
      </x:c>
      <x:c r="I265" s="27" t="n">
        <x:f>'Inputs_Trades'!I265</x:f>
        <x:v>0</x:v>
      </x:c>
      <x:c r="J265" s="27" t="str">
        <x:f>'Inputs_Trades'!M265</x:f>
        <x:v>CREDIT_NAME_08</x:v>
      </x:c>
      <x:c r="K265" s="27" t="str">
        <x:f>'Inputs_Trades'!N265</x:f>
        <x:v>Singleton</x:v>
      </x:c>
      <x:c r="L265" s="27" t="str">
        <x:f>'Inputs_Trades'!O265</x:f>
        <x:v>A</x:v>
      </x:c>
      <x:c r="M265" s="39" t="n">
        <x:f>'Inputs_Trades'!A265</x:f>
        <x:v>45702</x:v>
      </x:c>
      <x:c r="N265" s="39" t="n">
        <x:f>'Inputs_Trades'!P265</x:f>
        <x:v>47093</x:v>
      </x:c>
      <x:c r="O265" s="39" t="n">
        <x:f>'Inputs_Trades'!Q265</x:f>
        <x:v>45220</x:v>
      </x:c>
      <x:c r="P265" s="39" t="n">
        <x:f>'Inputs_Trades'!R265</x:f>
        <x:v>47093</x:v>
      </x:c>
      <x:c r="Q265" s="40" t="n">
        <x:f>'Inputs_Trades'!U265</x:f>
        <x:v>103000000</x:v>
      </x:c>
      <x:c r="R265" s="40" t="n">
        <x:f>'Inputs_Trades'!S265</x:f>
        <x:v>103000000</x:v>
      </x:c>
      <x:c r="S265" s="40" t="n">
        <x:f>'Inputs_Trades'!T265</x:f>
        <x:v>0</x:v>
      </x:c>
      <x:c r="T265" s="27" t="str">
        <x:f>'Inputs_Trades'!V265</x:f>
        <x:v>M</x:v>
      </x:c>
      <x:c r="U265" s="27" t="str">
        <x:f>'Inputs_Trades'!W265</x:f>
        <x:v>N</x:v>
      </x:c>
      <x:c r="V265" s="27" t="n">
        <x:f>'Inputs_Trades'!X265</x:f>
        <x:v>10</x:v>
      </x:c>
      <x:c r="W265" s="27" t="str">
        <x:f>'Inputs_Trades'!Y265</x:f>
        <x:v>B</x:v>
      </x:c>
      <x:c r="X265" s="27" t="n">
        <x:f>'Inputs_Trades'!AA265</x:f>
        <x:v>0</x:v>
      </x:c>
      <x:c r="Y265" s="27" t="n">
        <x:f>'Inputs_Trades'!AB265</x:f>
        <x:v>0</x:v>
      </x:c>
      <x:c r="Z265" s="27" t="n">
        <x:f>'Inputs_Trades'!AC265</x:f>
        <x:v>0</x:v>
      </x:c>
      <x:c r="AA265" s="39" t="n">
        <x:f>'Inputs_Trades'!Z265</x:f>
        <x:v>0</x:v>
      </x:c>
      <x:c r="AB265" s="40" t="n">
        <x:f>'Inputs_Trades'!AD265</x:f>
        <x:v>517060</x:v>
      </x:c>
      <x:c r="AC265" s="27" t="n">
        <x:f>'Inputs_Trades'!K265</x:f>
        <x:v>0</x:v>
      </x:c>
      <x:c r="AD265" s="27" t="n">
        <x:f>N265-M265</x:f>
        <x:v>1391</x:v>
      </x:c>
      <x:c r="AE265" s="41" t="n">
        <x:f>AD265/365</x:f>
        <x:v>3.8109589041095893</x:v>
      </x:c>
      <x:c r="AF265" s="27" t="str">
        <x:f>IF(AE265&lt;1,"&lt;1Y",IF(AE265&lt;=5,"1Y-5Y","&gt;5Y"))</x:f>
        <x:v>1Y-5Y</x:v>
      </x:c>
      <x:c r="AG265" s="27" t="str">
        <x:f>IF(E265="Commodity",IFERROR(VLOOKUP(F265,Parameters!$P$4:$Q$12,2,FALSE),"Other"),"")</x:f>
      </x:c>
      <x:c r="AH265" s="27" t="str">
        <x:f>IF(F265="","Unknown",F265)</x:f>
        <x:v>Unknown</x:v>
      </x:c>
      <x:c r="AI265" s="27" t="str">
        <x:f>IF(E265="Interest Rate",G265&amp;IF(OR(LOWER(AC265)="basis",LOWER(AC265)="volatility"),"_"&amp;AC265,""),IF(E265="FX",IF(H265&lt;I265,H265&amp;"/"&amp;I265,I265&amp;"/"&amp;H265)&amp;IF(OR(LOWER(AC265)="basis",LOWER(AC265)="volatility"),"_"&amp;AC265,""),IF(OR(E265="Credit",E265="Equity"),J265&amp;IF(OR(LOWER(AC265)="basis",LOWER(AC265)="volatility"),"_"&amp;AC265,""),IF(E265="Commodity",AG265&amp;IF(OR(LOWER(AC265)="basis",LOWER(AC265)="volatility"),"_"&amp;AC265,""),"UNKNOWN"))))</x:f>
        <x:v>CREDIT_NAME_08</x:v>
      </x:c>
      <x:c r="AJ265" s="27" t="str">
        <x:f>T265</x:f>
        <x:v>M</x:v>
      </x:c>
      <x:c r="AK265" s="41" t="n">
        <x:f>IF(E265="Interest Rate",VLOOKUP("Interest Rate",Parameters!$D$4:$E$12,2,FALSE),IF(E265="FX",VLOOKUP("FX",Parameters!$D$4:$E$12,2,FALSE),IF(E265="Credit",IFERROR(VLOOKUP(L265,Parameters!$G$4:$H$12,2,FALSE),VLOOKUP("BBB",Parameters!$G$4:$H$12,2,FALSE)),IF(E265="Equity",VLOOKUP(IF(LOWER(K265)="index","Equity Index","Equity Single Name"),Parameters!$D$4:$E$12,2,FALSE),IF(E265="Commodity",VLOOKUP(IFERROR(VLOOKUP(F265,Parameters!$S$4:$T$12,2,FALSE),"Commodity Other"),Parameters!$D$4:$E$12,2,FALSE),0)))))</x:f>
        <x:v>0.0042</x:v>
      </x:c>
      <x:c r="AL265" s="42" t="n">
        <x:f>IF(LOWER(AC265)="basis",Parameters!$B$8,IF(LOWER(AC265)="volatility",Parameters!$B$9,1))</x:f>
        <x:v>1</x:v>
      </x:c>
      <x:c r="AM265" s="41" t="n">
        <x:f>AK265*AL265</x:f>
        <x:v>0.0042</x:v>
      </x:c>
      <x:c r="AN265" s="42" t="n">
        <x:f>IF(E265="Credit",VLOOKUP(IF(LOWER(K265)="index","Credit Index","Credit Single Name"),Parameters!$J$4:$K$8,2,FALSE),IF(E265="Equity",VLOOKUP(IF(LOWER(K265)="index","Equity Index","Equity Single Name"),Parameters!$J$4:$K$8,2,FALSE),IF(E265="Commodity",VLOOKUP("Commodity",Parameters!$J$4:$K$8,2,FALSE),"")))</x:f>
        <x:v>0.5</x:v>
      </x:c>
      <x:c r="AO265" s="27" t="n">
        <x:f>MAX((O265-M265)/365,0)</x:f>
        <x:v>0</x:v>
      </x:c>
      <x:c r="AP265" s="27" t="n">
        <x:f>MAX((P265-M265)/365,10/Parameters!$B$6)</x:f>
        <x:v>3.8109589041095893</x:v>
      </x:c>
      <x:c r="AQ265" s="27" t="n">
        <x:f>IF(AP265&lt;=AO265,AO265+10/Parameters!$B$6,AP265)</x:f>
        <x:v>3.8109589041095893</x:v>
      </x:c>
      <x:c r="AR265" s="41" t="n">
        <x:f>IF(OR(E265="Interest Rate",E265="Credit"),(EXP(-Parameters!$B$7*AO265)-EXP(-Parameters!$B$7*AQ265))/Parameters!$B$7,1)</x:f>
        <x:v>3.4698774045428693</x:v>
      </x:c>
      <x:c r="AS265" s="40" t="n">
        <x:f>IF(OR(E265="Interest Rate",E265="Credit"),ABS(Q265)*AR265,IF(E265="FX",IF(Q265&gt;0,Q265,MAX(ABS(R265),ABS(S265),ABS(Q265))),ABS(Q265)))</x:f>
        <x:v>357397372.6679155</x:v>
      </x:c>
      <x:c r="AT265" s="42" t="n">
        <x:f>IF(OR(E265="Interest Rate",E265="FX"),VLOOKUP(E265,Parameters!$M$4:$N$11,2,FALSE),IF(E265="Credit",VLOOKUP(IF(LOWER(K265)="index","Credit Index","Credit Single Name"),Parameters!$M$4:$N$11,2,FALSE),IF(E265="Equity",VLOOKUP(IF(LOWER(K265)="index","Equity Index","Equity Single Name"),Parameters!$M$4:$N$11,2,FALSE),IF(E265="Commodity",VLOOKUP(IF(F265="Electricity","Commodity Electricity","Commodity Other"),Parameters!$M$4:$N$11,2,FALSE),1))))</x:f>
        <x:v>1</x:v>
      </x:c>
      <x:c r="AU265" s="27" t="n">
        <x:f>IF(W265="B",1,-1)</x:f>
        <x:v>1</x:v>
      </x:c>
      <x:c r="AV265" s="27" t="n">
        <x:f>IF(OR(AA265="",M265=""),MAX(AE265,1/365),MAX((AA265-M265)/365,1/365))</x:f>
        <x:v>3.8109589041095893</x:v>
      </x:c>
      <x:c r="AW265" s="41" t="str">
        <x:f>IF(OR(Z265&lt;=0,Y265&lt;=0,AT265&lt;=0,AV265&lt;=0),"",(LN(Z265/Y265)+0.5*AT265^2*AV265)/(AT265*SQRT(AV265)))</x:f>
      </x:c>
      <x:c r="AX265" s="41" t="n">
        <x:f>IF(AND(X265&lt;&gt;"C",X265&lt;&gt;"P"),AU265,IF(AW265="",AU265,IF(X265="C",AU265*0.5*(1+ERF(AW265/SQRT(2))),-AU265*0.5*(1+ERF(-AW265/SQRT(2))))))</x:f>
        <x:v>1</x:v>
      </x:c>
      <x:c r="AY265" s="41" t="n">
        <x:f>IF(AJ265="M",1.5*SQRT(MAX(IF(U265="Y",5,10),IF(V265="",10,V265))/Parameters!$B$6),SQRT(MIN(MAX(AE265,10/Parameters!$B$6),1)))</x:f>
        <x:v>0.30000000000000004</x:v>
      </x:c>
      <x:c r="AZ265" s="40" t="n">
        <x:f>AS265*AX265*AY265</x:f>
        <x:v>107219211.80037467</x:v>
      </x:c>
      <x:c r="BA265" s="40" t="n">
        <x:f>'Python_Trade_Output'!AZ265</x:f>
        <x:v>107219211.80037467</x:v>
      </x:c>
      <x:c r="BB265" s="43" t="n">
        <x:f>AZ265-BA265</x:f>
        <x:v>0</x:v>
      </x:c>
    </x:row>
    <x:row r="266">
      <x:c r="A266" s="27" t="str">
        <x:f>'Inputs_Trades'!D266</x:f>
        <x:v>IND-000263</x:v>
      </x:c>
      <x:c r="B266" s="27" t="str">
        <x:f>'Inputs_Trades'!B266</x:f>
        <x:v>IND_CORPORATE_001</x:v>
      </x:c>
      <x:c r="C266" s="27" t="n">
        <x:f>'Inputs_Trades'!C266</x:f>
        <x:v>3041</x:v>
      </x:c>
      <x:c r="D266" s="27" t="str">
        <x:f>'Inputs_Trades'!E266</x:f>
        <x:v>Credit Index CDS</x:v>
      </x:c>
      <x:c r="E266" s="27" t="str">
        <x:f>'Inputs_Trades'!F266</x:f>
        <x:v>Credit</x:v>
      </x:c>
      <x:c r="F266" s="27" t="n">
        <x:f>'Inputs_Trades'!G266</x:f>
        <x:v>0</x:v>
      </x:c>
      <x:c r="G266" s="27" t="str">
        <x:f>'Inputs_Trades'!J266</x:f>
        <x:v>USD</x:v>
      </x:c>
      <x:c r="H266" s="27" t="str">
        <x:f>'Inputs_Trades'!H266</x:f>
        <x:v>USD</x:v>
      </x:c>
      <x:c r="I266" s="27" t="n">
        <x:f>'Inputs_Trades'!I266</x:f>
        <x:v>0</x:v>
      </x:c>
      <x:c r="J266" s="27" t="str">
        <x:f>'Inputs_Trades'!M266</x:f>
        <x:v>CREDIT_INDEX_29</x:v>
      </x:c>
      <x:c r="K266" s="27" t="str">
        <x:f>'Inputs_Trades'!N266</x:f>
        <x:v>Index</x:v>
      </x:c>
      <x:c r="L266" s="27" t="str">
        <x:f>'Inputs_Trades'!O266</x:f>
        <x:v>B</x:v>
      </x:c>
      <x:c r="M266" s="39" t="n">
        <x:f>'Inputs_Trades'!A266</x:f>
        <x:v>45702</x:v>
      </x:c>
      <x:c r="N266" s="39" t="n">
        <x:f>'Inputs_Trades'!P266</x:f>
        <x:v>46220</x:v>
      </x:c>
      <x:c r="O266" s="39" t="n">
        <x:f>'Inputs_Trades'!Q266</x:f>
        <x:v>45674</x:v>
      </x:c>
      <x:c r="P266" s="39" t="n">
        <x:f>'Inputs_Trades'!R266</x:f>
        <x:v>46220</x:v>
      </x:c>
      <x:c r="Q266" s="40" t="n">
        <x:f>'Inputs_Trades'!U266</x:f>
        <x:v>73800000</x:v>
      </x:c>
      <x:c r="R266" s="40" t="n">
        <x:f>'Inputs_Trades'!S266</x:f>
        <x:v>73800000</x:v>
      </x:c>
      <x:c r="S266" s="40" t="n">
        <x:f>'Inputs_Trades'!T266</x:f>
        <x:v>0</x:v>
      </x:c>
      <x:c r="T266" s="27" t="str">
        <x:f>'Inputs_Trades'!V266</x:f>
        <x:v>M</x:v>
      </x:c>
      <x:c r="U266" s="27" t="str">
        <x:f>'Inputs_Trades'!W266</x:f>
        <x:v>N</x:v>
      </x:c>
      <x:c r="V266" s="27" t="n">
        <x:f>'Inputs_Trades'!X266</x:f>
        <x:v>10</x:v>
      </x:c>
      <x:c r="W266" s="27" t="str">
        <x:f>'Inputs_Trades'!Y266</x:f>
        <x:v>S</x:v>
      </x:c>
      <x:c r="X266" s="27" t="n">
        <x:f>'Inputs_Trades'!AA266</x:f>
        <x:v>0</x:v>
      </x:c>
      <x:c r="Y266" s="27" t="n">
        <x:f>'Inputs_Trades'!AB266</x:f>
        <x:v>0</x:v>
      </x:c>
      <x:c r="Z266" s="27" t="n">
        <x:f>'Inputs_Trades'!AC266</x:f>
        <x:v>0</x:v>
      </x:c>
      <x:c r="AA266" s="39" t="n">
        <x:f>'Inputs_Trades'!Z266</x:f>
        <x:v>0</x:v>
      </x:c>
      <x:c r="AB266" s="40" t="n">
        <x:f>'Inputs_Trades'!AD266</x:f>
        <x:v>-307008</x:v>
      </x:c>
      <x:c r="AC266" s="27" t="n">
        <x:f>'Inputs_Trades'!K266</x:f>
        <x:v>0</x:v>
      </x:c>
      <x:c r="AD266" s="27" t="n">
        <x:f>N266-M266</x:f>
        <x:v>518</x:v>
      </x:c>
      <x:c r="AE266" s="41" t="n">
        <x:f>AD266/365</x:f>
        <x:v>1.4191780821917808</x:v>
      </x:c>
      <x:c r="AF266" s="27" t="str">
        <x:f>IF(AE266&lt;1,"&lt;1Y",IF(AE266&lt;=5,"1Y-5Y","&gt;5Y"))</x:f>
        <x:v>1Y-5Y</x:v>
      </x:c>
      <x:c r="AG266" s="27" t="str">
        <x:f>IF(E266="Commodity",IFERROR(VLOOKUP(F266,Parameters!$P$4:$Q$12,2,FALSE),"Other"),"")</x:f>
      </x:c>
      <x:c r="AH266" s="27" t="str">
        <x:f>IF(F266="","Unknown",F266)</x:f>
        <x:v>Unknown</x:v>
      </x:c>
      <x:c r="AI266" s="27" t="str">
        <x:f>IF(E266="Interest Rate",G266&amp;IF(OR(LOWER(AC266)="basis",LOWER(AC266)="volatility"),"_"&amp;AC266,""),IF(E266="FX",IF(H266&lt;I266,H266&amp;"/"&amp;I266,I266&amp;"/"&amp;H266)&amp;IF(OR(LOWER(AC266)="basis",LOWER(AC266)="volatility"),"_"&amp;AC266,""),IF(OR(E266="Credit",E266="Equity"),J266&amp;IF(OR(LOWER(AC266)="basis",LOWER(AC266)="volatility"),"_"&amp;AC266,""),IF(E266="Commodity",AG266&amp;IF(OR(LOWER(AC266)="basis",LOWER(AC266)="volatility"),"_"&amp;AC266,""),"UNKNOWN"))))</x:f>
        <x:v>CREDIT_INDEX_29</x:v>
      </x:c>
      <x:c r="AJ266" s="27" t="str">
        <x:f>T266</x:f>
        <x:v>M</x:v>
      </x:c>
      <x:c r="AK266" s="41" t="n">
        <x:f>IF(E266="Interest Rate",VLOOKUP("Interest Rate",Parameters!$D$4:$E$12,2,FALSE),IF(E266="FX",VLOOKUP("FX",Parameters!$D$4:$E$12,2,FALSE),IF(E266="Credit",IFERROR(VLOOKUP(L266,Parameters!$G$4:$H$12,2,FALSE),VLOOKUP("BBB",Parameters!$G$4:$H$12,2,FALSE)),IF(E266="Equity",VLOOKUP(IF(LOWER(K266)="index","Equity Index","Equity Single Name"),Parameters!$D$4:$E$12,2,FALSE),IF(E266="Commodity",VLOOKUP(IFERROR(VLOOKUP(F266,Parameters!$S$4:$T$12,2,FALSE),"Commodity Other"),Parameters!$D$4:$E$12,2,FALSE),0)))))</x:f>
        <x:v>0.016</x:v>
      </x:c>
      <x:c r="AL266" s="42" t="n">
        <x:f>IF(LOWER(AC266)="basis",Parameters!$B$8,IF(LOWER(AC266)="volatility",Parameters!$B$9,1))</x:f>
        <x:v>1</x:v>
      </x:c>
      <x:c r="AM266" s="41" t="n">
        <x:f>AK266*AL266</x:f>
        <x:v>0.016</x:v>
      </x:c>
      <x:c r="AN266" s="42" t="n">
        <x:f>IF(E266="Credit",VLOOKUP(IF(LOWER(K266)="index","Credit Index","Credit Single Name"),Parameters!$J$4:$K$8,2,FALSE),IF(E266="Equity",VLOOKUP(IF(LOWER(K266)="index","Equity Index","Equity Single Name"),Parameters!$J$4:$K$8,2,FALSE),IF(E266="Commodity",VLOOKUP("Commodity",Parameters!$J$4:$K$8,2,FALSE),"")))</x:f>
        <x:v>0.8</x:v>
      </x:c>
      <x:c r="AO266" s="27" t="n">
        <x:f>MAX((O266-M266)/365,0)</x:f>
        <x:v>0</x:v>
      </x:c>
      <x:c r="AP266" s="27" t="n">
        <x:f>MAX((P266-M266)/365,10/Parameters!$B$6)</x:f>
        <x:v>1.4191780821917808</x:v>
      </x:c>
      <x:c r="AQ266" s="27" t="n">
        <x:f>IF(AP266&lt;=AO266,AO266+10/Parameters!$B$6,AP266)</x:f>
        <x:v>1.4191780821917808</x:v>
      </x:c>
      <x:c r="AR266" s="41" t="n">
        <x:f>IF(OR(E266="Interest Rate",E266="Credit"),(EXP(-Parameters!$B$7*AO266)-EXP(-Parameters!$B$7*AQ266))/Parameters!$B$7,1)</x:f>
        <x:v>1.369996556599924</x:v>
      </x:c>
      <x:c r="AS266" s="40" t="n">
        <x:f>IF(OR(E266="Interest Rate",E266="Credit"),ABS(Q266)*AR266,IF(E266="FX",IF(Q266&gt;0,Q266,MAX(ABS(R266),ABS(S266),ABS(Q266))),ABS(Q266)))</x:f>
        <x:v>101105745.87707439</x:v>
      </x:c>
      <x:c r="AT266" s="42" t="n">
        <x:f>IF(OR(E266="Interest Rate",E266="FX"),VLOOKUP(E266,Parameters!$M$4:$N$11,2,FALSE),IF(E266="Credit",VLOOKUP(IF(LOWER(K266)="index","Credit Index","Credit Single Name"),Parameters!$M$4:$N$11,2,FALSE),IF(E266="Equity",VLOOKUP(IF(LOWER(K266)="index","Equity Index","Equity Single Name"),Parameters!$M$4:$N$11,2,FALSE),IF(E266="Commodity",VLOOKUP(IF(F266="Electricity","Commodity Electricity","Commodity Other"),Parameters!$M$4:$N$11,2,FALSE),1))))</x:f>
        <x:v>0.8</x:v>
      </x:c>
      <x:c r="AU266" s="27" t="n">
        <x:f>IF(W266="B",1,-1)</x:f>
        <x:v>-1</x:v>
      </x:c>
      <x:c r="AV266" s="27" t="n">
        <x:f>IF(OR(AA266="",M266=""),MAX(AE266,1/365),MAX((AA266-M266)/365,1/365))</x:f>
        <x:v>1.4191780821917808</x:v>
      </x:c>
      <x:c r="AW266" s="41" t="str">
        <x:f>IF(OR(Z266&lt;=0,Y266&lt;=0,AT266&lt;=0,AV266&lt;=0),"",(LN(Z266/Y266)+0.5*AT266^2*AV266)/(AT266*SQRT(AV266)))</x:f>
      </x:c>
      <x:c r="AX266" s="41" t="n">
        <x:f>IF(AND(X266&lt;&gt;"C",X266&lt;&gt;"P"),AU266,IF(AW266="",AU266,IF(X266="C",AU266*0.5*(1+ERF(AW266/SQRT(2))),-AU266*0.5*(1+ERF(-AW266/SQRT(2))))))</x:f>
        <x:v>-1</x:v>
      </x:c>
      <x:c r="AY266" s="41" t="n">
        <x:f>IF(AJ266="M",1.5*SQRT(MAX(IF(U266="Y",5,10),IF(V266="",10,V266))/Parameters!$B$6),SQRT(MIN(MAX(AE266,10/Parameters!$B$6),1)))</x:f>
        <x:v>0.30000000000000004</x:v>
      </x:c>
      <x:c r="AZ266" s="40" t="n">
        <x:f>AS266*AX266*AY266</x:f>
        <x:v>-30331723.76312232</x:v>
      </x:c>
      <x:c r="BA266" s="40" t="n">
        <x:f>'Python_Trade_Output'!AZ266</x:f>
        <x:v>-30331723.76312232</x:v>
      </x:c>
      <x:c r="BB266" s="43" t="n">
        <x:f>AZ266-BA266</x:f>
        <x:v>0</x:v>
      </x:c>
    </x:row>
    <x:row r="267">
      <x:c r="A267" s="27" t="str">
        <x:f>'Inputs_Trades'!D267</x:f>
        <x:v>IND-000264</x:v>
      </x:c>
      <x:c r="B267" s="27" t="str">
        <x:f>'Inputs_Trades'!B267</x:f>
        <x:v>IND_PENSION_001</x:v>
      </x:c>
      <x:c r="C267" s="27" t="n">
        <x:f>'Inputs_Trades'!C267</x:f>
        <x:v>3036</x:v>
      </x:c>
      <x:c r="D267" s="27" t="str">
        <x:f>'Inputs_Trades'!E267</x:f>
        <x:v>Credit Index CDS</x:v>
      </x:c>
      <x:c r="E267" s="27" t="str">
        <x:f>'Inputs_Trades'!F267</x:f>
        <x:v>Credit</x:v>
      </x:c>
      <x:c r="F267" s="27" t="n">
        <x:f>'Inputs_Trades'!G267</x:f>
        <x:v>0</x:v>
      </x:c>
      <x:c r="G267" s="27" t="str">
        <x:f>'Inputs_Trades'!J267</x:f>
        <x:v>USD</x:v>
      </x:c>
      <x:c r="H267" s="27" t="str">
        <x:f>'Inputs_Trades'!H267</x:f>
        <x:v>USD</x:v>
      </x:c>
      <x:c r="I267" s="27" t="n">
        <x:f>'Inputs_Trades'!I267</x:f>
        <x:v>0</x:v>
      </x:c>
      <x:c r="J267" s="27" t="str">
        <x:f>'Inputs_Trades'!M267</x:f>
        <x:v>CREDIT_INDEX_21</x:v>
      </x:c>
      <x:c r="K267" s="27" t="str">
        <x:f>'Inputs_Trades'!N267</x:f>
        <x:v>Index</x:v>
      </x:c>
      <x:c r="L267" s="27" t="str">
        <x:f>'Inputs_Trades'!O267</x:f>
        <x:v>BBB</x:v>
      </x:c>
      <x:c r="M267" s="39" t="n">
        <x:f>'Inputs_Trades'!A267</x:f>
        <x:v>45702</x:v>
      </x:c>
      <x:c r="N267" s="39" t="n">
        <x:f>'Inputs_Trades'!P267</x:f>
        <x:v>46908</x:v>
      </x:c>
      <x:c r="O267" s="39" t="n">
        <x:f>'Inputs_Trades'!Q267</x:f>
        <x:v>45620</x:v>
      </x:c>
      <x:c r="P267" s="39" t="n">
        <x:f>'Inputs_Trades'!R267</x:f>
        <x:v>46908</x:v>
      </x:c>
      <x:c r="Q267" s="40" t="n">
        <x:f>'Inputs_Trades'!U267</x:f>
        <x:v>98600000</x:v>
      </x:c>
      <x:c r="R267" s="40" t="n">
        <x:f>'Inputs_Trades'!S267</x:f>
        <x:v>98600000</x:v>
      </x:c>
      <x:c r="S267" s="40" t="n">
        <x:f>'Inputs_Trades'!T267</x:f>
        <x:v>0</x:v>
      </x:c>
      <x:c r="T267" s="27" t="str">
        <x:f>'Inputs_Trades'!V267</x:f>
        <x:v>U</x:v>
      </x:c>
      <x:c r="U267" s="27" t="str">
        <x:f>'Inputs_Trades'!W267</x:f>
        <x:v>N</x:v>
      </x:c>
      <x:c r="V267" s="27" t="n">
        <x:f>'Inputs_Trades'!X267</x:f>
        <x:v>0</x:v>
      </x:c>
      <x:c r="W267" s="27" t="str">
        <x:f>'Inputs_Trades'!Y267</x:f>
        <x:v>S</x:v>
      </x:c>
      <x:c r="X267" s="27" t="n">
        <x:f>'Inputs_Trades'!AA267</x:f>
        <x:v>0</x:v>
      </x:c>
      <x:c r="Y267" s="27" t="n">
        <x:f>'Inputs_Trades'!AB267</x:f>
        <x:v>0</x:v>
      </x:c>
      <x:c r="Z267" s="27" t="n">
        <x:f>'Inputs_Trades'!AC267</x:f>
        <x:v>0</x:v>
      </x:c>
      <x:c r="AA267" s="39" t="n">
        <x:f>'Inputs_Trades'!Z267</x:f>
        <x:v>0</x:v>
      </x:c>
      <x:c r="AB267" s="40" t="n">
        <x:f>'Inputs_Trades'!AD267</x:f>
        <x:v>-1382372</x:v>
      </x:c>
      <x:c r="AC267" s="27" t="n">
        <x:f>'Inputs_Trades'!K267</x:f>
        <x:v>0</x:v>
      </x:c>
      <x:c r="AD267" s="27" t="n">
        <x:f>N267-M267</x:f>
        <x:v>1206</x:v>
      </x:c>
      <x:c r="AE267" s="41" t="n">
        <x:f>AD267/365</x:f>
        <x:v>3.304109589041096</x:v>
      </x:c>
      <x:c r="AF267" s="27" t="str">
        <x:f>IF(AE267&lt;1,"&lt;1Y",IF(AE267&lt;=5,"1Y-5Y","&gt;5Y"))</x:f>
        <x:v>1Y-5Y</x:v>
      </x:c>
      <x:c r="AG267" s="27" t="str">
        <x:f>IF(E267="Commodity",IFERROR(VLOOKUP(F267,Parameters!$P$4:$Q$12,2,FALSE),"Other"),"")</x:f>
      </x:c>
      <x:c r="AH267" s="27" t="str">
        <x:f>IF(F267="","Unknown",F267)</x:f>
        <x:v>Unknown</x:v>
      </x:c>
      <x:c r="AI267" s="27" t="str">
        <x:f>IF(E267="Interest Rate",G267&amp;IF(OR(LOWER(AC267)="basis",LOWER(AC267)="volatility"),"_"&amp;AC267,""),IF(E267="FX",IF(H267&lt;I267,H267&amp;"/"&amp;I267,I267&amp;"/"&amp;H267)&amp;IF(OR(LOWER(AC267)="basis",LOWER(AC267)="volatility"),"_"&amp;AC267,""),IF(OR(E267="Credit",E267="Equity"),J267&amp;IF(OR(LOWER(AC267)="basis",LOWER(AC267)="volatility"),"_"&amp;AC267,""),IF(E267="Commodity",AG267&amp;IF(OR(LOWER(AC267)="basis",LOWER(AC267)="volatility"),"_"&amp;AC267,""),"UNKNOWN"))))</x:f>
        <x:v>CREDIT_INDEX_21</x:v>
      </x:c>
      <x:c r="AJ267" s="27" t="str">
        <x:f>T267</x:f>
        <x:v>U</x:v>
      </x:c>
      <x:c r="AK267" s="41" t="n">
        <x:f>IF(E267="Interest Rate",VLOOKUP("Interest Rate",Parameters!$D$4:$E$12,2,FALSE),IF(E267="FX",VLOOKUP("FX",Parameters!$D$4:$E$12,2,FALSE),IF(E267="Credit",IFERROR(VLOOKUP(L267,Parameters!$G$4:$H$12,2,FALSE),VLOOKUP("BBB",Parameters!$G$4:$H$12,2,FALSE)),IF(E267="Equity",VLOOKUP(IF(LOWER(K267)="index","Equity Index","Equity Single Name"),Parameters!$D$4:$E$12,2,FALSE),IF(E267="Commodity",VLOOKUP(IFERROR(VLOOKUP(F267,Parameters!$S$4:$T$12,2,FALSE),"Commodity Other"),Parameters!$D$4:$E$12,2,FALSE),0)))))</x:f>
        <x:v>0.0054</x:v>
      </x:c>
      <x:c r="AL267" s="42" t="n">
        <x:f>IF(LOWER(AC267)="basis",Parameters!$B$8,IF(LOWER(AC267)="volatility",Parameters!$B$9,1))</x:f>
        <x:v>1</x:v>
      </x:c>
      <x:c r="AM267" s="41" t="n">
        <x:f>AK267*AL267</x:f>
        <x:v>0.0054</x:v>
      </x:c>
      <x:c r="AN267" s="42" t="n">
        <x:f>IF(E267="Credit",VLOOKUP(IF(LOWER(K267)="index","Credit Index","Credit Single Name"),Parameters!$J$4:$K$8,2,FALSE),IF(E267="Equity",VLOOKUP(IF(LOWER(K267)="index","Equity Index","Equity Single Name"),Parameters!$J$4:$K$8,2,FALSE),IF(E267="Commodity",VLOOKUP("Commodity",Parameters!$J$4:$K$8,2,FALSE),"")))</x:f>
        <x:v>0.8</x:v>
      </x:c>
      <x:c r="AO267" s="27" t="n">
        <x:f>MAX((O267-M267)/365,0)</x:f>
        <x:v>0</x:v>
      </x:c>
      <x:c r="AP267" s="27" t="n">
        <x:f>MAX((P267-M267)/365,10/Parameters!$B$6)</x:f>
        <x:v>3.304109589041096</x:v>
      </x:c>
      <x:c r="AQ267" s="27" t="n">
        <x:f>IF(AP267&lt;=AO267,AO267+10/Parameters!$B$6,AP267)</x:f>
        <x:v>3.304109589041096</x:v>
      </x:c>
      <x:c r="AR267" s="41" t="n">
        <x:f>IF(OR(E267="Interest Rate",E267="Credit"),(EXP(-Parameters!$B$7*AO267)-EXP(-Parameters!$B$7*AQ267))/Parameters!$B$7,1)</x:f>
        <x:v>3.0456100549445075</x:v>
      </x:c>
      <x:c r="AS267" s="40" t="n">
        <x:f>IF(OR(E267="Interest Rate",E267="Credit"),ABS(Q267)*AR267,IF(E267="FX",IF(Q267&gt;0,Q267,MAX(ABS(R267),ABS(S267),ABS(Q267))),ABS(Q267)))</x:f>
        <x:v>300297151.41752845</x:v>
      </x:c>
      <x:c r="AT267" s="42" t="n">
        <x:f>IF(OR(E267="Interest Rate",E267="FX"),VLOOKUP(E267,Parameters!$M$4:$N$11,2,FALSE),IF(E267="Credit",VLOOKUP(IF(LOWER(K267)="index","Credit Index","Credit Single Name"),Parameters!$M$4:$N$11,2,FALSE),IF(E267="Equity",VLOOKUP(IF(LOWER(K267)="index","Equity Index","Equity Single Name"),Parameters!$M$4:$N$11,2,FALSE),IF(E267="Commodity",VLOOKUP(IF(F267="Electricity","Commodity Electricity","Commodity Other"),Parameters!$M$4:$N$11,2,FALSE),1))))</x:f>
        <x:v>0.8</x:v>
      </x:c>
      <x:c r="AU267" s="27" t="n">
        <x:f>IF(W267="B",1,-1)</x:f>
        <x:v>-1</x:v>
      </x:c>
      <x:c r="AV267" s="27" t="n">
        <x:f>IF(OR(AA267="",M267=""),MAX(AE267,1/365),MAX((AA267-M267)/365,1/365))</x:f>
        <x:v>3.304109589041096</x:v>
      </x:c>
      <x:c r="AW267" s="41" t="str">
        <x:f>IF(OR(Z267&lt;=0,Y267&lt;=0,AT267&lt;=0,AV267&lt;=0),"",(LN(Z267/Y267)+0.5*AT267^2*AV267)/(AT267*SQRT(AV267)))</x:f>
      </x:c>
      <x:c r="AX267" s="41" t="n">
        <x:f>IF(AND(X267&lt;&gt;"C",X267&lt;&gt;"P"),AU267,IF(AW267="",AU267,IF(X267="C",AU267*0.5*(1+ERF(AW267/SQRT(2))),-AU267*0.5*(1+ERF(-AW267/SQRT(2))))))</x:f>
        <x:v>-1</x:v>
      </x:c>
      <x:c r="AY267" s="41" t="n">
        <x:f>IF(AJ267="M",1.5*SQRT(MAX(IF(U267="Y",5,10),IF(V267="",10,V267))/Parameters!$B$6),SQRT(MIN(MAX(AE267,10/Parameters!$B$6),1)))</x:f>
        <x:v>1</x:v>
      </x:c>
      <x:c r="AZ267" s="40" t="n">
        <x:f>AS267*AX267*AY267</x:f>
        <x:v>-300297151.41752845</x:v>
      </x:c>
      <x:c r="BA267" s="40" t="n">
        <x:f>'Python_Trade_Output'!AZ267</x:f>
        <x:v>-300297151.41752845</x:v>
      </x:c>
      <x:c r="BB267" s="43" t="n">
        <x:f>AZ267-BA267</x:f>
        <x:v>0</x:v>
      </x:c>
    </x:row>
    <x:row r="268">
      <x:c r="A268" s="27" t="str">
        <x:f>'Inputs_Trades'!D268</x:f>
        <x:v>IND-000265</x:v>
      </x:c>
      <x:c r="B268" s="27" t="str">
        <x:f>'Inputs_Trades'!B268</x:f>
        <x:v>IND_REGIONAL_BANK_001</x:v>
      </x:c>
      <x:c r="C268" s="27" t="n">
        <x:f>'Inputs_Trades'!C268</x:f>
        <x:v>3161</x:v>
      </x:c>
      <x:c r="D268" s="27" t="str">
        <x:f>'Inputs_Trades'!E268</x:f>
        <x:v>Credit Index CDS</x:v>
      </x:c>
      <x:c r="E268" s="27" t="str">
        <x:f>'Inputs_Trades'!F268</x:f>
        <x:v>Credit</x:v>
      </x:c>
      <x:c r="F268" s="27" t="n">
        <x:f>'Inputs_Trades'!G268</x:f>
        <x:v>0</x:v>
      </x:c>
      <x:c r="G268" s="27" t="str">
        <x:f>'Inputs_Trades'!J268</x:f>
        <x:v>USD</x:v>
      </x:c>
      <x:c r="H268" s="27" t="str">
        <x:f>'Inputs_Trades'!H268</x:f>
        <x:v>USD</x:v>
      </x:c>
      <x:c r="I268" s="27" t="n">
        <x:f>'Inputs_Trades'!I268</x:f>
        <x:v>0</x:v>
      </x:c>
      <x:c r="J268" s="27" t="str">
        <x:f>'Inputs_Trades'!M268</x:f>
        <x:v>CREDIT_INDEX_29</x:v>
      </x:c>
      <x:c r="K268" s="27" t="str">
        <x:f>'Inputs_Trades'!N268</x:f>
        <x:v>Index</x:v>
      </x:c>
      <x:c r="L268" s="27" t="str">
        <x:f>'Inputs_Trades'!O268</x:f>
        <x:v>B</x:v>
      </x:c>
      <x:c r="M268" s="39" t="n">
        <x:f>'Inputs_Trades'!A268</x:f>
        <x:v>45702</x:v>
      </x:c>
      <x:c r="N268" s="39" t="n">
        <x:f>'Inputs_Trades'!P268</x:f>
        <x:v>47781</x:v>
      </x:c>
      <x:c r="O268" s="39" t="n">
        <x:f>'Inputs_Trades'!Q268</x:f>
        <x:v>44832</x:v>
      </x:c>
      <x:c r="P268" s="39" t="n">
        <x:f>'Inputs_Trades'!R268</x:f>
        <x:v>47781</x:v>
      </x:c>
      <x:c r="Q268" s="40" t="n">
        <x:f>'Inputs_Trades'!U268</x:f>
        <x:v>58900000</x:v>
      </x:c>
      <x:c r="R268" s="40" t="n">
        <x:f>'Inputs_Trades'!S268</x:f>
        <x:v>58900000</x:v>
      </x:c>
      <x:c r="S268" s="40" t="n">
        <x:f>'Inputs_Trades'!T268</x:f>
        <x:v>0</x:v>
      </x:c>
      <x:c r="T268" s="27" t="str">
        <x:f>'Inputs_Trades'!V268</x:f>
        <x:v>U</x:v>
      </x:c>
      <x:c r="U268" s="27" t="str">
        <x:f>'Inputs_Trades'!W268</x:f>
        <x:v>N</x:v>
      </x:c>
      <x:c r="V268" s="27" t="n">
        <x:f>'Inputs_Trades'!X268</x:f>
        <x:v>0</x:v>
      </x:c>
      <x:c r="W268" s="27" t="str">
        <x:f>'Inputs_Trades'!Y268</x:f>
        <x:v>B</x:v>
      </x:c>
      <x:c r="X268" s="27" t="n">
        <x:f>'Inputs_Trades'!AA268</x:f>
        <x:v>0</x:v>
      </x:c>
      <x:c r="Y268" s="27" t="n">
        <x:f>'Inputs_Trades'!AB268</x:f>
        <x:v>0</x:v>
      </x:c>
      <x:c r="Z268" s="27" t="n">
        <x:f>'Inputs_Trades'!AC268</x:f>
        <x:v>0</x:v>
      </x:c>
      <x:c r="AA268" s="39" t="n">
        <x:f>'Inputs_Trades'!Z268</x:f>
        <x:v>0</x:v>
      </x:c>
      <x:c r="AB268" s="40" t="n">
        <x:f>'Inputs_Trades'!AD268</x:f>
        <x:v>581932</x:v>
      </x:c>
      <x:c r="AC268" s="27" t="n">
        <x:f>'Inputs_Trades'!K268</x:f>
        <x:v>0</x:v>
      </x:c>
      <x:c r="AD268" s="27" t="n">
        <x:f>N268-M268</x:f>
        <x:v>2079</x:v>
      </x:c>
      <x:c r="AE268" s="41" t="n">
        <x:f>AD268/365</x:f>
        <x:v>5.695890410958904</x:v>
      </x:c>
      <x:c r="AF268" s="27" t="str">
        <x:f>IF(AE268&lt;1,"&lt;1Y",IF(AE268&lt;=5,"1Y-5Y","&gt;5Y"))</x:f>
        <x:v>&gt;5Y</x:v>
      </x:c>
      <x:c r="AG268" s="27" t="str">
        <x:f>IF(E268="Commodity",IFERROR(VLOOKUP(F268,Parameters!$P$4:$Q$12,2,FALSE),"Other"),"")</x:f>
      </x:c>
      <x:c r="AH268" s="27" t="str">
        <x:f>IF(F268="","Unknown",F268)</x:f>
        <x:v>Unknown</x:v>
      </x:c>
      <x:c r="AI268" s="27" t="str">
        <x:f>IF(E268="Interest Rate",G268&amp;IF(OR(LOWER(AC268)="basis",LOWER(AC268)="volatility"),"_"&amp;AC268,""),IF(E268="FX",IF(H268&lt;I268,H268&amp;"/"&amp;I268,I268&amp;"/"&amp;H268)&amp;IF(OR(LOWER(AC268)="basis",LOWER(AC268)="volatility"),"_"&amp;AC268,""),IF(OR(E268="Credit",E268="Equity"),J268&amp;IF(OR(LOWER(AC268)="basis",LOWER(AC268)="volatility"),"_"&amp;AC268,""),IF(E268="Commodity",AG268&amp;IF(OR(LOWER(AC268)="basis",LOWER(AC268)="volatility"),"_"&amp;AC268,""),"UNKNOWN"))))</x:f>
        <x:v>CREDIT_INDEX_29</x:v>
      </x:c>
      <x:c r="AJ268" s="27" t="str">
        <x:f>T268</x:f>
        <x:v>U</x:v>
      </x:c>
      <x:c r="AK268" s="41" t="n">
        <x:f>IF(E268="Interest Rate",VLOOKUP("Interest Rate",Parameters!$D$4:$E$12,2,FALSE),IF(E268="FX",VLOOKUP("FX",Parameters!$D$4:$E$12,2,FALSE),IF(E268="Credit",IFERROR(VLOOKUP(L268,Parameters!$G$4:$H$12,2,FALSE),VLOOKUP("BBB",Parameters!$G$4:$H$12,2,FALSE)),IF(E268="Equity",VLOOKUP(IF(LOWER(K268)="index","Equity Index","Equity Single Name"),Parameters!$D$4:$E$12,2,FALSE),IF(E268="Commodity",VLOOKUP(IFERROR(VLOOKUP(F268,Parameters!$S$4:$T$12,2,FALSE),"Commodity Other"),Parameters!$D$4:$E$12,2,FALSE),0)))))</x:f>
        <x:v>0.016</x:v>
      </x:c>
      <x:c r="AL268" s="42" t="n">
        <x:f>IF(LOWER(AC268)="basis",Parameters!$B$8,IF(LOWER(AC268)="volatility",Parameters!$B$9,1))</x:f>
        <x:v>1</x:v>
      </x:c>
      <x:c r="AM268" s="41" t="n">
        <x:f>AK268*AL268</x:f>
        <x:v>0.016</x:v>
      </x:c>
      <x:c r="AN268" s="42" t="n">
        <x:f>IF(E268="Credit",VLOOKUP(IF(LOWER(K268)="index","Credit Index","Credit Single Name"),Parameters!$J$4:$K$8,2,FALSE),IF(E268="Equity",VLOOKUP(IF(LOWER(K268)="index","Equity Index","Equity Single Name"),Parameters!$J$4:$K$8,2,FALSE),IF(E268="Commodity",VLOOKUP("Commodity",Parameters!$J$4:$K$8,2,FALSE),"")))</x:f>
        <x:v>0.8</x:v>
      </x:c>
      <x:c r="AO268" s="27" t="n">
        <x:f>MAX((O268-M268)/365,0)</x:f>
        <x:v>0</x:v>
      </x:c>
      <x:c r="AP268" s="27" t="n">
        <x:f>MAX((P268-M268)/365,10/Parameters!$B$6)</x:f>
        <x:v>5.695890410958904</x:v>
      </x:c>
      <x:c r="AQ268" s="27" t="n">
        <x:f>IF(AP268&lt;=AO268,AO268+10/Parameters!$B$6,AP268)</x:f>
        <x:v>5.695890410958904</x:v>
      </x:c>
      <x:c r="AR268" s="41" t="n">
        <x:f>IF(OR(E268="Interest Rate",E268="Credit"),(EXP(-Parameters!$B$7*AO268)-EXP(-Parameters!$B$7*AQ268))/Parameters!$B$7,1)</x:f>
        <x:v>4.956624126538305</x:v>
      </x:c>
      <x:c r="AS268" s="40" t="n">
        <x:f>IF(OR(E268="Interest Rate",E268="Credit"),ABS(Q268)*AR268,IF(E268="FX",IF(Q268&gt;0,Q268,MAX(ABS(R268),ABS(S268),ABS(Q268))),ABS(Q268)))</x:f>
        <x:v>291945161.0531061</x:v>
      </x:c>
      <x:c r="AT268" s="42" t="n">
        <x:f>IF(OR(E268="Interest Rate",E268="FX"),VLOOKUP(E268,Parameters!$M$4:$N$11,2,FALSE),IF(E268="Credit",VLOOKUP(IF(LOWER(K268)="index","Credit Index","Credit Single Name"),Parameters!$M$4:$N$11,2,FALSE),IF(E268="Equity",VLOOKUP(IF(LOWER(K268)="index","Equity Index","Equity Single Name"),Parameters!$M$4:$N$11,2,FALSE),IF(E268="Commodity",VLOOKUP(IF(F268="Electricity","Commodity Electricity","Commodity Other"),Parameters!$M$4:$N$11,2,FALSE),1))))</x:f>
        <x:v>0.8</x:v>
      </x:c>
      <x:c r="AU268" s="27" t="n">
        <x:f>IF(W268="B",1,-1)</x:f>
        <x:v>1</x:v>
      </x:c>
      <x:c r="AV268" s="27" t="n">
        <x:f>IF(OR(AA268="",M268=""),MAX(AE268,1/365),MAX((AA268-M268)/365,1/365))</x:f>
        <x:v>5.695890410958904</x:v>
      </x:c>
      <x:c r="AW268" s="41" t="str">
        <x:f>IF(OR(Z268&lt;=0,Y268&lt;=0,AT268&lt;=0,AV268&lt;=0),"",(LN(Z268/Y268)+0.5*AT268^2*AV268)/(AT268*SQRT(AV268)))</x:f>
      </x:c>
      <x:c r="AX268" s="41" t="n">
        <x:f>IF(AND(X268&lt;&gt;"C",X268&lt;&gt;"P"),AU268,IF(AW268="",AU268,IF(X268="C",AU268*0.5*(1+ERF(AW268/SQRT(2))),-AU268*0.5*(1+ERF(-AW268/SQRT(2))))))</x:f>
        <x:v>1</x:v>
      </x:c>
      <x:c r="AY268" s="41" t="n">
        <x:f>IF(AJ268="M",1.5*SQRT(MAX(IF(U268="Y",5,10),IF(V268="",10,V268))/Parameters!$B$6),SQRT(MIN(MAX(AE268,10/Parameters!$B$6),1)))</x:f>
        <x:v>1</x:v>
      </x:c>
      <x:c r="AZ268" s="40" t="n">
        <x:f>AS268*AX268*AY268</x:f>
        <x:v>291945161.0531061</x:v>
      </x:c>
      <x:c r="BA268" s="40" t="n">
        <x:f>'Python_Trade_Output'!AZ268</x:f>
        <x:v>291945161.0531061</x:v>
      </x:c>
      <x:c r="BB268" s="43" t="n">
        <x:f>AZ268-BA268</x:f>
        <x:v>0</x:v>
      </x:c>
    </x:row>
    <x:row r="269">
      <x:c r="A269" s="27" t="str">
        <x:f>'Inputs_Trades'!D269</x:f>
        <x:v>IND-000266</x:v>
      </x:c>
      <x:c r="B269" s="27" t="str">
        <x:f>'Inputs_Trades'!B269</x:f>
        <x:v>IND_REGIONAL_BANK_001</x:v>
      </x:c>
      <x:c r="C269" s="27" t="n">
        <x:f>'Inputs_Trades'!C269</x:f>
        <x:v>3237</x:v>
      </x:c>
      <x:c r="D269" s="27" t="str">
        <x:f>'Inputs_Trades'!E269</x:f>
        <x:v>Credit Index CDS</x:v>
      </x:c>
      <x:c r="E269" s="27" t="str">
        <x:f>'Inputs_Trades'!F269</x:f>
        <x:v>Credit</x:v>
      </x:c>
      <x:c r="F269" s="27" t="n">
        <x:f>'Inputs_Trades'!G269</x:f>
        <x:v>0</x:v>
      </x:c>
      <x:c r="G269" s="27" t="str">
        <x:f>'Inputs_Trades'!J269</x:f>
        <x:v>USD</x:v>
      </x:c>
      <x:c r="H269" s="27" t="str">
        <x:f>'Inputs_Trades'!H269</x:f>
        <x:v>USD</x:v>
      </x:c>
      <x:c r="I269" s="27" t="n">
        <x:f>'Inputs_Trades'!I269</x:f>
        <x:v>0</x:v>
      </x:c>
      <x:c r="J269" s="27" t="str">
        <x:f>'Inputs_Trades'!M269</x:f>
        <x:v>CREDIT_INDEX_29</x:v>
      </x:c>
      <x:c r="K269" s="27" t="str">
        <x:f>'Inputs_Trades'!N269</x:f>
        <x:v>Index</x:v>
      </x:c>
      <x:c r="L269" s="27" t="str">
        <x:f>'Inputs_Trades'!O269</x:f>
        <x:v>B</x:v>
      </x:c>
      <x:c r="M269" s="39" t="n">
        <x:f>'Inputs_Trades'!A269</x:f>
        <x:v>45702</x:v>
      </x:c>
      <x:c r="N269" s="39" t="n">
        <x:f>'Inputs_Trades'!P269</x:f>
        <x:v>47576</x:v>
      </x:c>
      <x:c r="O269" s="39" t="n">
        <x:f>'Inputs_Trades'!Q269</x:f>
        <x:v>45684</x:v>
      </x:c>
      <x:c r="P269" s="39" t="n">
        <x:f>'Inputs_Trades'!R269</x:f>
        <x:v>47576</x:v>
      </x:c>
      <x:c r="Q269" s="40" t="n">
        <x:f>'Inputs_Trades'!U269</x:f>
        <x:v>180000000</x:v>
      </x:c>
      <x:c r="R269" s="40" t="n">
        <x:f>'Inputs_Trades'!S269</x:f>
        <x:v>180000000</x:v>
      </x:c>
      <x:c r="S269" s="40" t="n">
        <x:f>'Inputs_Trades'!T269</x:f>
        <x:v>0</x:v>
      </x:c>
      <x:c r="T269" s="27" t="str">
        <x:f>'Inputs_Trades'!V269</x:f>
        <x:v>M</x:v>
      </x:c>
      <x:c r="U269" s="27" t="str">
        <x:f>'Inputs_Trades'!W269</x:f>
        <x:v>N</x:v>
      </x:c>
      <x:c r="V269" s="27" t="n">
        <x:f>'Inputs_Trades'!X269</x:f>
        <x:v>10</x:v>
      </x:c>
      <x:c r="W269" s="27" t="str">
        <x:f>'Inputs_Trades'!Y269</x:f>
        <x:v>S</x:v>
      </x:c>
      <x:c r="X269" s="27" t="n">
        <x:f>'Inputs_Trades'!AA269</x:f>
        <x:v>0</x:v>
      </x:c>
      <x:c r="Y269" s="27" t="n">
        <x:f>'Inputs_Trades'!AB269</x:f>
        <x:v>0</x:v>
      </x:c>
      <x:c r="Z269" s="27" t="n">
        <x:f>'Inputs_Trades'!AC269</x:f>
        <x:v>0</x:v>
      </x:c>
      <x:c r="AA269" s="39" t="n">
        <x:f>'Inputs_Trades'!Z269</x:f>
        <x:v>0</x:v>
      </x:c>
      <x:c r="AB269" s="40" t="n">
        <x:f>'Inputs_Trades'!AD269</x:f>
        <x:v>-3114000</x:v>
      </x:c>
      <x:c r="AC269" s="27" t="n">
        <x:f>'Inputs_Trades'!K269</x:f>
        <x:v>0</x:v>
      </x:c>
      <x:c r="AD269" s="27" t="n">
        <x:f>N269-M269</x:f>
        <x:v>1874</x:v>
      </x:c>
      <x:c r="AE269" s="41" t="n">
        <x:f>AD269/365</x:f>
        <x:v>5.134246575342465</x:v>
      </x:c>
      <x:c r="AF269" s="27" t="str">
        <x:f>IF(AE269&lt;1,"&lt;1Y",IF(AE269&lt;=5,"1Y-5Y","&gt;5Y"))</x:f>
        <x:v>&gt;5Y</x:v>
      </x:c>
      <x:c r="AG269" s="27" t="str">
        <x:f>IF(E269="Commodity",IFERROR(VLOOKUP(F269,Parameters!$P$4:$Q$12,2,FALSE),"Other"),"")</x:f>
      </x:c>
      <x:c r="AH269" s="27" t="str">
        <x:f>IF(F269="","Unknown",F269)</x:f>
        <x:v>Unknown</x:v>
      </x:c>
      <x:c r="AI269" s="27" t="str">
        <x:f>IF(E269="Interest Rate",G269&amp;IF(OR(LOWER(AC269)="basis",LOWER(AC269)="volatility"),"_"&amp;AC269,""),IF(E269="FX",IF(H269&lt;I269,H269&amp;"/"&amp;I269,I269&amp;"/"&amp;H269)&amp;IF(OR(LOWER(AC269)="basis",LOWER(AC269)="volatility"),"_"&amp;AC269,""),IF(OR(E269="Credit",E269="Equity"),J269&amp;IF(OR(LOWER(AC269)="basis",LOWER(AC269)="volatility"),"_"&amp;AC269,""),IF(E269="Commodity",AG269&amp;IF(OR(LOWER(AC269)="basis",LOWER(AC269)="volatility"),"_"&amp;AC269,""),"UNKNOWN"))))</x:f>
        <x:v>CREDIT_INDEX_29</x:v>
      </x:c>
      <x:c r="AJ269" s="27" t="str">
        <x:f>T269</x:f>
        <x:v>M</x:v>
      </x:c>
      <x:c r="AK269" s="41" t="n">
        <x:f>IF(E269="Interest Rate",VLOOKUP("Interest Rate",Parameters!$D$4:$E$12,2,FALSE),IF(E269="FX",VLOOKUP("FX",Parameters!$D$4:$E$12,2,FALSE),IF(E269="Credit",IFERROR(VLOOKUP(L269,Parameters!$G$4:$H$12,2,FALSE),VLOOKUP("BBB",Parameters!$G$4:$H$12,2,FALSE)),IF(E269="Equity",VLOOKUP(IF(LOWER(K269)="index","Equity Index","Equity Single Name"),Parameters!$D$4:$E$12,2,FALSE),IF(E269="Commodity",VLOOKUP(IFERROR(VLOOKUP(F269,Parameters!$S$4:$T$12,2,FALSE),"Commodity Other"),Parameters!$D$4:$E$12,2,FALSE),0)))))</x:f>
        <x:v>0.016</x:v>
      </x:c>
      <x:c r="AL269" s="42" t="n">
        <x:f>IF(LOWER(AC269)="basis",Parameters!$B$8,IF(LOWER(AC269)="volatility",Parameters!$B$9,1))</x:f>
        <x:v>1</x:v>
      </x:c>
      <x:c r="AM269" s="41" t="n">
        <x:f>AK269*AL269</x:f>
        <x:v>0.016</x:v>
      </x:c>
      <x:c r="AN269" s="42" t="n">
        <x:f>IF(E269="Credit",VLOOKUP(IF(LOWER(K269)="index","Credit Index","Credit Single Name"),Parameters!$J$4:$K$8,2,FALSE),IF(E269="Equity",VLOOKUP(IF(LOWER(K269)="index","Equity Index","Equity Single Name"),Parameters!$J$4:$K$8,2,FALSE),IF(E269="Commodity",VLOOKUP("Commodity",Parameters!$J$4:$K$8,2,FALSE),"")))</x:f>
        <x:v>0.8</x:v>
      </x:c>
      <x:c r="AO269" s="27" t="n">
        <x:f>MAX((O269-M269)/365,0)</x:f>
        <x:v>0</x:v>
      </x:c>
      <x:c r="AP269" s="27" t="n">
        <x:f>MAX((P269-M269)/365,10/Parameters!$B$6)</x:f>
        <x:v>5.134246575342465</x:v>
      </x:c>
      <x:c r="AQ269" s="27" t="n">
        <x:f>IF(AP269&lt;=AO269,AO269+10/Parameters!$B$6,AP269)</x:f>
        <x:v>5.134246575342465</x:v>
      </x:c>
      <x:c r="AR269" s="41" t="n">
        <x:f>IF(OR(E269="Interest Rate",E269="Credit"),(EXP(-Parameters!$B$7*AO269)-EXP(-Parameters!$B$7*AQ269))/Parameters!$B$7,1)</x:f>
        <x:v>4.528185568880372</x:v>
      </x:c>
      <x:c r="AS269" s="40" t="n">
        <x:f>IF(OR(E269="Interest Rate",E269="Credit"),ABS(Q269)*AR269,IF(E269="FX",IF(Q269&gt;0,Q269,MAX(ABS(R269),ABS(S269),ABS(Q269))),ABS(Q269)))</x:f>
        <x:v>815073402.398467</x:v>
      </x:c>
      <x:c r="AT269" s="42" t="n">
        <x:f>IF(OR(E269="Interest Rate",E269="FX"),VLOOKUP(E269,Parameters!$M$4:$N$11,2,FALSE),IF(E269="Credit",VLOOKUP(IF(LOWER(K269)="index","Credit Index","Credit Single Name"),Parameters!$M$4:$N$11,2,FALSE),IF(E269="Equity",VLOOKUP(IF(LOWER(K269)="index","Equity Index","Equity Single Name"),Parameters!$M$4:$N$11,2,FALSE),IF(E269="Commodity",VLOOKUP(IF(F269="Electricity","Commodity Electricity","Commodity Other"),Parameters!$M$4:$N$11,2,FALSE),1))))</x:f>
        <x:v>0.8</x:v>
      </x:c>
      <x:c r="AU269" s="27" t="n">
        <x:f>IF(W269="B",1,-1)</x:f>
        <x:v>-1</x:v>
      </x:c>
      <x:c r="AV269" s="27" t="n">
        <x:f>IF(OR(AA269="",M269=""),MAX(AE269,1/365),MAX((AA269-M269)/365,1/365))</x:f>
        <x:v>5.134246575342465</x:v>
      </x:c>
      <x:c r="AW269" s="41" t="str">
        <x:f>IF(OR(Z269&lt;=0,Y269&lt;=0,AT269&lt;=0,AV269&lt;=0),"",(LN(Z269/Y269)+0.5*AT269^2*AV269)/(AT269*SQRT(AV269)))</x:f>
      </x:c>
      <x:c r="AX269" s="41" t="n">
        <x:f>IF(AND(X269&lt;&gt;"C",X269&lt;&gt;"P"),AU269,IF(AW269="",AU269,IF(X269="C",AU269*0.5*(1+ERF(AW269/SQRT(2))),-AU269*0.5*(1+ERF(-AW269/SQRT(2))))))</x:f>
        <x:v>-1</x:v>
      </x:c>
      <x:c r="AY269" s="41" t="n">
        <x:f>IF(AJ269="M",1.5*SQRT(MAX(IF(U269="Y",5,10),IF(V269="",10,V269))/Parameters!$B$6),SQRT(MIN(MAX(AE269,10/Parameters!$B$6),1)))</x:f>
        <x:v>0.30000000000000004</x:v>
      </x:c>
      <x:c r="AZ269" s="40" t="n">
        <x:f>AS269*AX269*AY269</x:f>
        <x:v>-244522020.71954012</x:v>
      </x:c>
      <x:c r="BA269" s="40" t="n">
        <x:f>'Python_Trade_Output'!AZ269</x:f>
        <x:v>-244522020.71954012</x:v>
      </x:c>
      <x:c r="BB269" s="43" t="n">
        <x:f>AZ269-BA269</x:f>
        <x:v>0</x:v>
      </x:c>
    </x:row>
    <x:row r="270">
      <x:c r="A270" s="27" t="str">
        <x:f>'Inputs_Trades'!D270</x:f>
        <x:v>IND-000267</x:v>
      </x:c>
      <x:c r="B270" s="27" t="str">
        <x:f>'Inputs_Trades'!B270</x:f>
        <x:v>IND_INSURER_001</x:v>
      </x:c>
      <x:c r="C270" s="27" t="n">
        <x:f>'Inputs_Trades'!C270</x:f>
        <x:v>3338</x:v>
      </x:c>
      <x:c r="D270" s="27" t="str">
        <x:f>'Inputs_Trades'!E270</x:f>
        <x:v>Credit Index CDS</x:v>
      </x:c>
      <x:c r="E270" s="27" t="str">
        <x:f>'Inputs_Trades'!F270</x:f>
        <x:v>Credit</x:v>
      </x:c>
      <x:c r="F270" s="27" t="n">
        <x:f>'Inputs_Trades'!G270</x:f>
        <x:v>0</x:v>
      </x:c>
      <x:c r="G270" s="27" t="str">
        <x:f>'Inputs_Trades'!J270</x:f>
        <x:v>USD</x:v>
      </x:c>
      <x:c r="H270" s="27" t="str">
        <x:f>'Inputs_Trades'!H270</x:f>
        <x:v>USD</x:v>
      </x:c>
      <x:c r="I270" s="27" t="n">
        <x:f>'Inputs_Trades'!I270</x:f>
        <x:v>0</x:v>
      </x:c>
      <x:c r="J270" s="27" t="str">
        <x:f>'Inputs_Trades'!M270</x:f>
        <x:v>CREDIT_INDEX_07</x:v>
      </x:c>
      <x:c r="K270" s="27" t="str">
        <x:f>'Inputs_Trades'!N270</x:f>
        <x:v>Index</x:v>
      </x:c>
      <x:c r="L270" s="27" t="str">
        <x:f>'Inputs_Trades'!O270</x:f>
        <x:v>AA</x:v>
      </x:c>
      <x:c r="M270" s="39" t="n">
        <x:f>'Inputs_Trades'!A270</x:f>
        <x:v>45702</x:v>
      </x:c>
      <x:c r="N270" s="39" t="n">
        <x:f>'Inputs_Trades'!P270</x:f>
        <x:v>47589</x:v>
      </x:c>
      <x:c r="O270" s="39" t="n">
        <x:f>'Inputs_Trades'!Q270</x:f>
        <x:v>45696</x:v>
      </x:c>
      <x:c r="P270" s="39" t="n">
        <x:f>'Inputs_Trades'!R270</x:f>
        <x:v>47589</x:v>
      </x:c>
      <x:c r="Q270" s="40" t="n">
        <x:f>'Inputs_Trades'!U270</x:f>
        <x:v>38800000</x:v>
      </x:c>
      <x:c r="R270" s="40" t="n">
        <x:f>'Inputs_Trades'!S270</x:f>
        <x:v>38800000</x:v>
      </x:c>
      <x:c r="S270" s="40" t="n">
        <x:f>'Inputs_Trades'!T270</x:f>
        <x:v>0</x:v>
      </x:c>
      <x:c r="T270" s="27" t="str">
        <x:f>'Inputs_Trades'!V270</x:f>
        <x:v>U</x:v>
      </x:c>
      <x:c r="U270" s="27" t="str">
        <x:f>'Inputs_Trades'!W270</x:f>
        <x:v>N</x:v>
      </x:c>
      <x:c r="V270" s="27" t="n">
        <x:f>'Inputs_Trades'!X270</x:f>
        <x:v>0</x:v>
      </x:c>
      <x:c r="W270" s="27" t="str">
        <x:f>'Inputs_Trades'!Y270</x:f>
        <x:v>S</x:v>
      </x:c>
      <x:c r="X270" s="27" t="n">
        <x:f>'Inputs_Trades'!AA270</x:f>
        <x:v>0</x:v>
      </x:c>
      <x:c r="Y270" s="27" t="n">
        <x:f>'Inputs_Trades'!AB270</x:f>
        <x:v>0</x:v>
      </x:c>
      <x:c r="Z270" s="27" t="n">
        <x:f>'Inputs_Trades'!AC270</x:f>
        <x:v>0</x:v>
      </x:c>
      <x:c r="AA270" s="39" t="n">
        <x:f>'Inputs_Trades'!Z270</x:f>
        <x:v>0</x:v>
      </x:c>
      <x:c r="AB270" s="40" t="n">
        <x:f>'Inputs_Trades'!AD270</x:f>
        <x:v>262288</x:v>
      </x:c>
      <x:c r="AC270" s="27" t="n">
        <x:f>'Inputs_Trades'!K270</x:f>
        <x:v>0</x:v>
      </x:c>
      <x:c r="AD270" s="27" t="n">
        <x:f>N270-M270</x:f>
        <x:v>1887</x:v>
      </x:c>
      <x:c r="AE270" s="41" t="n">
        <x:f>AD270/365</x:f>
        <x:v>5.16986301369863</x:v>
      </x:c>
      <x:c r="AF270" s="27" t="str">
        <x:f>IF(AE270&lt;1,"&lt;1Y",IF(AE270&lt;=5,"1Y-5Y","&gt;5Y"))</x:f>
        <x:v>&gt;5Y</x:v>
      </x:c>
      <x:c r="AG270" s="27" t="str">
        <x:f>IF(E270="Commodity",IFERROR(VLOOKUP(F270,Parameters!$P$4:$Q$12,2,FALSE),"Other"),"")</x:f>
      </x:c>
      <x:c r="AH270" s="27" t="str">
        <x:f>IF(F270="","Unknown",F270)</x:f>
        <x:v>Unknown</x:v>
      </x:c>
      <x:c r="AI270" s="27" t="str">
        <x:f>IF(E270="Interest Rate",G270&amp;IF(OR(LOWER(AC270)="basis",LOWER(AC270)="volatility"),"_"&amp;AC270,""),IF(E270="FX",IF(H270&lt;I270,H270&amp;"/"&amp;I270,I270&amp;"/"&amp;H270)&amp;IF(OR(LOWER(AC270)="basis",LOWER(AC270)="volatility"),"_"&amp;AC270,""),IF(OR(E270="Credit",E270="Equity"),J270&amp;IF(OR(LOWER(AC270)="basis",LOWER(AC270)="volatility"),"_"&amp;AC270,""),IF(E270="Commodity",AG270&amp;IF(OR(LOWER(AC270)="basis",LOWER(AC270)="volatility"),"_"&amp;AC270,""),"UNKNOWN"))))</x:f>
        <x:v>CREDIT_INDEX_07</x:v>
      </x:c>
      <x:c r="AJ270" s="27" t="str">
        <x:f>T270</x:f>
        <x:v>U</x:v>
      </x:c>
      <x:c r="AK270" s="41" t="n">
        <x:f>IF(E270="Interest Rate",VLOOKUP("Interest Rate",Parameters!$D$4:$E$12,2,FALSE),IF(E270="FX",VLOOKUP("FX",Parameters!$D$4:$E$12,2,FALSE),IF(E270="Credit",IFERROR(VLOOKUP(L270,Parameters!$G$4:$H$12,2,FALSE),VLOOKUP("BBB",Parameters!$G$4:$H$12,2,FALSE)),IF(E270="Equity",VLOOKUP(IF(LOWER(K270)="index","Equity Index","Equity Single Name"),Parameters!$D$4:$E$12,2,FALSE),IF(E270="Commodity",VLOOKUP(IFERROR(VLOOKUP(F270,Parameters!$S$4:$T$12,2,FALSE),"Commodity Other"),Parameters!$D$4:$E$12,2,FALSE),0)))))</x:f>
        <x:v>0.0038</x:v>
      </x:c>
      <x:c r="AL270" s="42" t="n">
        <x:f>IF(LOWER(AC270)="basis",Parameters!$B$8,IF(LOWER(AC270)="volatility",Parameters!$B$9,1))</x:f>
        <x:v>1</x:v>
      </x:c>
      <x:c r="AM270" s="41" t="n">
        <x:f>AK270*AL270</x:f>
        <x:v>0.0038</x:v>
      </x:c>
      <x:c r="AN270" s="42" t="n">
        <x:f>IF(E270="Credit",VLOOKUP(IF(LOWER(K270)="index","Credit Index","Credit Single Name"),Parameters!$J$4:$K$8,2,FALSE),IF(E270="Equity",VLOOKUP(IF(LOWER(K270)="index","Equity Index","Equity Single Name"),Parameters!$J$4:$K$8,2,FALSE),IF(E270="Commodity",VLOOKUP("Commodity",Parameters!$J$4:$K$8,2,FALSE),"")))</x:f>
        <x:v>0.8</x:v>
      </x:c>
      <x:c r="AO270" s="27" t="n">
        <x:f>MAX((O270-M270)/365,0)</x:f>
        <x:v>0</x:v>
      </x:c>
      <x:c r="AP270" s="27" t="n">
        <x:f>MAX((P270-M270)/365,10/Parameters!$B$6)</x:f>
        <x:v>5.16986301369863</x:v>
      </x:c>
      <x:c r="AQ270" s="27" t="n">
        <x:f>IF(AP270&lt;=AO270,AO270+10/Parameters!$B$6,AP270)</x:f>
        <x:v>5.16986301369863</x:v>
      </x:c>
      <x:c r="AR270" s="41" t="n">
        <x:f>IF(OR(E270="Interest Rate",E270="Credit"),(EXP(-Parameters!$B$7*AO270)-EXP(-Parameters!$B$7*AQ270))/Parameters!$B$7,1)</x:f>
        <x:v>4.555713596594986</x:v>
      </x:c>
      <x:c r="AS270" s="40" t="n">
        <x:f>IF(OR(E270="Interest Rate",E270="Credit"),ABS(Q270)*AR270,IF(E270="FX",IF(Q270&gt;0,Q270,MAX(ABS(R270),ABS(S270),ABS(Q270))),ABS(Q270)))</x:f>
        <x:v>176761687.54788545</x:v>
      </x:c>
      <x:c r="AT270" s="42" t="n">
        <x:f>IF(OR(E270="Interest Rate",E270="FX"),VLOOKUP(E270,Parameters!$M$4:$N$11,2,FALSE),IF(E270="Credit",VLOOKUP(IF(LOWER(K270)="index","Credit Index","Credit Single Name"),Parameters!$M$4:$N$11,2,FALSE),IF(E270="Equity",VLOOKUP(IF(LOWER(K270)="index","Equity Index","Equity Single Name"),Parameters!$M$4:$N$11,2,FALSE),IF(E270="Commodity",VLOOKUP(IF(F270="Electricity","Commodity Electricity","Commodity Other"),Parameters!$M$4:$N$11,2,FALSE),1))))</x:f>
        <x:v>0.8</x:v>
      </x:c>
      <x:c r="AU270" s="27" t="n">
        <x:f>IF(W270="B",1,-1)</x:f>
        <x:v>-1</x:v>
      </x:c>
      <x:c r="AV270" s="27" t="n">
        <x:f>IF(OR(AA270="",M270=""),MAX(AE270,1/365),MAX((AA270-M270)/365,1/365))</x:f>
        <x:v>5.16986301369863</x:v>
      </x:c>
      <x:c r="AW270" s="41" t="str">
        <x:f>IF(OR(Z270&lt;=0,Y270&lt;=0,AT270&lt;=0,AV270&lt;=0),"",(LN(Z270/Y270)+0.5*AT270^2*AV270)/(AT270*SQRT(AV270)))</x:f>
      </x:c>
      <x:c r="AX270" s="41" t="n">
        <x:f>IF(AND(X270&lt;&gt;"C",X270&lt;&gt;"P"),AU270,IF(AW270="",AU270,IF(X270="C",AU270*0.5*(1+ERF(AW270/SQRT(2))),-AU270*0.5*(1+ERF(-AW270/SQRT(2))))))</x:f>
        <x:v>-1</x:v>
      </x:c>
      <x:c r="AY270" s="41" t="n">
        <x:f>IF(AJ270="M",1.5*SQRT(MAX(IF(U270="Y",5,10),IF(V270="",10,V270))/Parameters!$B$6),SQRT(MIN(MAX(AE270,10/Parameters!$B$6),1)))</x:f>
        <x:v>1</x:v>
      </x:c>
      <x:c r="AZ270" s="40" t="n">
        <x:f>AS270*AX270*AY270</x:f>
        <x:v>-176761687.54788545</x:v>
      </x:c>
      <x:c r="BA270" s="40" t="n">
        <x:f>'Python_Trade_Output'!AZ270</x:f>
        <x:v>-176761687.54788545</x:v>
      </x:c>
      <x:c r="BB270" s="43" t="n">
        <x:f>AZ270-BA270</x:f>
        <x:v>0</x:v>
      </x:c>
    </x:row>
    <x:row r="271">
      <x:c r="A271" s="27" t="str">
        <x:f>'Inputs_Trades'!D271</x:f>
        <x:v>IND-000268</x:v>
      </x:c>
      <x:c r="B271" s="27" t="str">
        <x:f>'Inputs_Trades'!B271</x:f>
        <x:v>IND_CORPORATE_002</x:v>
      </x:c>
      <x:c r="C271" s="27" t="n">
        <x:f>'Inputs_Trades'!C271</x:f>
        <x:v>3389</x:v>
      </x:c>
      <x:c r="D271" s="27" t="str">
        <x:f>'Inputs_Trades'!E271</x:f>
        <x:v>Credit Index CDS</x:v>
      </x:c>
      <x:c r="E271" s="27" t="str">
        <x:f>'Inputs_Trades'!F271</x:f>
        <x:v>Credit</x:v>
      </x:c>
      <x:c r="F271" s="27" t="n">
        <x:f>'Inputs_Trades'!G271</x:f>
        <x:v>0</x:v>
      </x:c>
      <x:c r="G271" s="27" t="str">
        <x:f>'Inputs_Trades'!J271</x:f>
        <x:v>USD</x:v>
      </x:c>
      <x:c r="H271" s="27" t="str">
        <x:f>'Inputs_Trades'!H271</x:f>
        <x:v>USD</x:v>
      </x:c>
      <x:c r="I271" s="27" t="n">
        <x:f>'Inputs_Trades'!I271</x:f>
        <x:v>0</x:v>
      </x:c>
      <x:c r="J271" s="27" t="str">
        <x:f>'Inputs_Trades'!M271</x:f>
        <x:v>CREDIT_INDEX_24</x:v>
      </x:c>
      <x:c r="K271" s="27" t="str">
        <x:f>'Inputs_Trades'!N271</x:f>
        <x:v>Index</x:v>
      </x:c>
      <x:c r="L271" s="27" t="str">
        <x:f>'Inputs_Trades'!O271</x:f>
        <x:v>AAA</x:v>
      </x:c>
      <x:c r="M271" s="39" t="n">
        <x:f>'Inputs_Trades'!A271</x:f>
        <x:v>45702</x:v>
      </x:c>
      <x:c r="N271" s="39" t="n">
        <x:f>'Inputs_Trades'!P271</x:f>
        <x:v>46331</x:v>
      </x:c>
      <x:c r="O271" s="39" t="n">
        <x:f>'Inputs_Trades'!Q271</x:f>
        <x:v>45410</x:v>
      </x:c>
      <x:c r="P271" s="39" t="n">
        <x:f>'Inputs_Trades'!R271</x:f>
        <x:v>46331</x:v>
      </x:c>
      <x:c r="Q271" s="40" t="n">
        <x:f>'Inputs_Trades'!U271</x:f>
        <x:v>210000000</x:v>
      </x:c>
      <x:c r="R271" s="40" t="n">
        <x:f>'Inputs_Trades'!S271</x:f>
        <x:v>210000000</x:v>
      </x:c>
      <x:c r="S271" s="40" t="n">
        <x:f>'Inputs_Trades'!T271</x:f>
        <x:v>0</x:v>
      </x:c>
      <x:c r="T271" s="27" t="str">
        <x:f>'Inputs_Trades'!V271</x:f>
        <x:v>M</x:v>
      </x:c>
      <x:c r="U271" s="27" t="str">
        <x:f>'Inputs_Trades'!W271</x:f>
        <x:v>N</x:v>
      </x:c>
      <x:c r="V271" s="27" t="n">
        <x:f>'Inputs_Trades'!X271</x:f>
        <x:v>10</x:v>
      </x:c>
      <x:c r="W271" s="27" t="str">
        <x:f>'Inputs_Trades'!Y271</x:f>
        <x:v>B</x:v>
      </x:c>
      <x:c r="X271" s="27" t="n">
        <x:f>'Inputs_Trades'!AA271</x:f>
        <x:v>0</x:v>
      </x:c>
      <x:c r="Y271" s="27" t="n">
        <x:f>'Inputs_Trades'!AB271</x:f>
        <x:v>0</x:v>
      </x:c>
      <x:c r="Z271" s="27" t="n">
        <x:f>'Inputs_Trades'!AC271</x:f>
        <x:v>0</x:v>
      </x:c>
      <x:c r="AA271" s="39" t="n">
        <x:f>'Inputs_Trades'!Z271</x:f>
        <x:v>0</x:v>
      </x:c>
      <x:c r="AB271" s="40" t="n">
        <x:f>'Inputs_Trades'!AD271</x:f>
        <x:v>-1831200</x:v>
      </x:c>
      <x:c r="AC271" s="27" t="n">
        <x:f>'Inputs_Trades'!K271</x:f>
        <x:v>0</x:v>
      </x:c>
      <x:c r="AD271" s="27" t="n">
        <x:f>N271-M271</x:f>
        <x:v>629</x:v>
      </x:c>
      <x:c r="AE271" s="41" t="n">
        <x:f>AD271/365</x:f>
        <x:v>1.7232876712328766</x:v>
      </x:c>
      <x:c r="AF271" s="27" t="str">
        <x:f>IF(AE271&lt;1,"&lt;1Y",IF(AE271&lt;=5,"1Y-5Y","&gt;5Y"))</x:f>
        <x:v>1Y-5Y</x:v>
      </x:c>
      <x:c r="AG271" s="27" t="str">
        <x:f>IF(E271="Commodity",IFERROR(VLOOKUP(F271,Parameters!$P$4:$Q$12,2,FALSE),"Other"),"")</x:f>
      </x:c>
      <x:c r="AH271" s="27" t="str">
        <x:f>IF(F271="","Unknown",F271)</x:f>
        <x:v>Unknown</x:v>
      </x:c>
      <x:c r="AI271" s="27" t="str">
        <x:f>IF(E271="Interest Rate",G271&amp;IF(OR(LOWER(AC271)="basis",LOWER(AC271)="volatility"),"_"&amp;AC271,""),IF(E271="FX",IF(H271&lt;I271,H271&amp;"/"&amp;I271,I271&amp;"/"&amp;H271)&amp;IF(OR(LOWER(AC271)="basis",LOWER(AC271)="volatility"),"_"&amp;AC271,""),IF(OR(E271="Credit",E271="Equity"),J271&amp;IF(OR(LOWER(AC271)="basis",LOWER(AC271)="volatility"),"_"&amp;AC271,""),IF(E271="Commodity",AG271&amp;IF(OR(LOWER(AC271)="basis",LOWER(AC271)="volatility"),"_"&amp;AC271,""),"UNKNOWN"))))</x:f>
        <x:v>CREDIT_INDEX_24</x:v>
      </x:c>
      <x:c r="AJ271" s="27" t="str">
        <x:f>T271</x:f>
        <x:v>M</x:v>
      </x:c>
      <x:c r="AK271" s="41" t="n">
        <x:f>IF(E271="Interest Rate",VLOOKUP("Interest Rate",Parameters!$D$4:$E$12,2,FALSE),IF(E271="FX",VLOOKUP("FX",Parameters!$D$4:$E$12,2,FALSE),IF(E271="Credit",IFERROR(VLOOKUP(L271,Parameters!$G$4:$H$12,2,FALSE),VLOOKUP("BBB",Parameters!$G$4:$H$12,2,FALSE)),IF(E271="Equity",VLOOKUP(IF(LOWER(K271)="index","Equity Index","Equity Single Name"),Parameters!$D$4:$E$12,2,FALSE),IF(E271="Commodity",VLOOKUP(IFERROR(VLOOKUP(F271,Parameters!$S$4:$T$12,2,FALSE),"Commodity Other"),Parameters!$D$4:$E$12,2,FALSE),0)))))</x:f>
        <x:v>0.0038</x:v>
      </x:c>
      <x:c r="AL271" s="42" t="n">
        <x:f>IF(LOWER(AC271)="basis",Parameters!$B$8,IF(LOWER(AC271)="volatility",Parameters!$B$9,1))</x:f>
        <x:v>1</x:v>
      </x:c>
      <x:c r="AM271" s="41" t="n">
        <x:f>AK271*AL271</x:f>
        <x:v>0.0038</x:v>
      </x:c>
      <x:c r="AN271" s="42" t="n">
        <x:f>IF(E271="Credit",VLOOKUP(IF(LOWER(K271)="index","Credit Index","Credit Single Name"),Parameters!$J$4:$K$8,2,FALSE),IF(E271="Equity",VLOOKUP(IF(LOWER(K271)="index","Equity Index","Equity Single Name"),Parameters!$J$4:$K$8,2,FALSE),IF(E271="Commodity",VLOOKUP("Commodity",Parameters!$J$4:$K$8,2,FALSE),"")))</x:f>
        <x:v>0.8</x:v>
      </x:c>
      <x:c r="AO271" s="27" t="n">
        <x:f>MAX((O271-M271)/365,0)</x:f>
        <x:v>0</x:v>
      </x:c>
      <x:c r="AP271" s="27" t="n">
        <x:f>MAX((P271-M271)/365,10/Parameters!$B$6)</x:f>
        <x:v>1.7232876712328766</x:v>
      </x:c>
      <x:c r="AQ271" s="27" t="n">
        <x:f>IF(AP271&lt;=AO271,AO271+10/Parameters!$B$6,AP271)</x:f>
        <x:v>1.7232876712328766</x:v>
      </x:c>
      <x:c r="AR271" s="41" t="n">
        <x:f>IF(OR(E271="Interest Rate",E271="Credit"),(EXP(-Parameters!$B$7*AO271)-EXP(-Parameters!$B$7*AQ271))/Parameters!$B$7,1)</x:f>
        <x:v>1.6511318758160987</x:v>
      </x:c>
      <x:c r="AS271" s="40" t="n">
        <x:f>IF(OR(E271="Interest Rate",E271="Credit"),ABS(Q271)*AR271,IF(E271="FX",IF(Q271&gt;0,Q271,MAX(ABS(R271),ABS(S271),ABS(Q271))),ABS(Q271)))</x:f>
        <x:v>346737693.9213807</x:v>
      </x:c>
      <x:c r="AT271" s="42" t="n">
        <x:f>IF(OR(E271="Interest Rate",E271="FX"),VLOOKUP(E271,Parameters!$M$4:$N$11,2,FALSE),IF(E271="Credit",VLOOKUP(IF(LOWER(K271)="index","Credit Index","Credit Single Name"),Parameters!$M$4:$N$11,2,FALSE),IF(E271="Equity",VLOOKUP(IF(LOWER(K271)="index","Equity Index","Equity Single Name"),Parameters!$M$4:$N$11,2,FALSE),IF(E271="Commodity",VLOOKUP(IF(F271="Electricity","Commodity Electricity","Commodity Other"),Parameters!$M$4:$N$11,2,FALSE),1))))</x:f>
        <x:v>0.8</x:v>
      </x:c>
      <x:c r="AU271" s="27" t="n">
        <x:f>IF(W271="B",1,-1)</x:f>
        <x:v>1</x:v>
      </x:c>
      <x:c r="AV271" s="27" t="n">
        <x:f>IF(OR(AA271="",M271=""),MAX(AE271,1/365),MAX((AA271-M271)/365,1/365))</x:f>
        <x:v>1.7232876712328766</x:v>
      </x:c>
      <x:c r="AW271" s="41" t="str">
        <x:f>IF(OR(Z271&lt;=0,Y271&lt;=0,AT271&lt;=0,AV271&lt;=0),"",(LN(Z271/Y271)+0.5*AT271^2*AV271)/(AT271*SQRT(AV271)))</x:f>
      </x:c>
      <x:c r="AX271" s="41" t="n">
        <x:f>IF(AND(X271&lt;&gt;"C",X271&lt;&gt;"P"),AU271,IF(AW271="",AU271,IF(X271="C",AU271*0.5*(1+ERF(AW271/SQRT(2))),-AU271*0.5*(1+ERF(-AW271/SQRT(2))))))</x:f>
        <x:v>1</x:v>
      </x:c>
      <x:c r="AY271" s="41" t="n">
        <x:f>IF(AJ271="M",1.5*SQRT(MAX(IF(U271="Y",5,10),IF(V271="",10,V271))/Parameters!$B$6),SQRT(MIN(MAX(AE271,10/Parameters!$B$6),1)))</x:f>
        <x:v>0.30000000000000004</x:v>
      </x:c>
      <x:c r="AZ271" s="40" t="n">
        <x:f>AS271*AX271*AY271</x:f>
        <x:v>104021308.17641422</x:v>
      </x:c>
      <x:c r="BA271" s="40" t="n">
        <x:f>'Python_Trade_Output'!AZ271</x:f>
        <x:v>104021308.17641422</x:v>
      </x:c>
      <x:c r="BB271" s="43" t="n">
        <x:f>AZ271-BA271</x:f>
        <x:v>0</x:v>
      </x:c>
    </x:row>
    <x:row r="272">
      <x:c r="A272" s="27" t="str">
        <x:f>'Inputs_Trades'!D272</x:f>
        <x:v>IND-000269</x:v>
      </x:c>
      <x:c r="B272" s="27" t="str">
        <x:f>'Inputs_Trades'!B272</x:f>
        <x:v>IND_BANK_002</x:v>
      </x:c>
      <x:c r="C272" s="27" t="n">
        <x:f>'Inputs_Trades'!C272</x:f>
        <x:v>3341</x:v>
      </x:c>
      <x:c r="D272" s="27" t="str">
        <x:f>'Inputs_Trades'!E272</x:f>
        <x:v>Credit Index CDS</x:v>
      </x:c>
      <x:c r="E272" s="27" t="str">
        <x:f>'Inputs_Trades'!F272</x:f>
        <x:v>Credit</x:v>
      </x:c>
      <x:c r="F272" s="27" t="n">
        <x:f>'Inputs_Trades'!G272</x:f>
        <x:v>0</x:v>
      </x:c>
      <x:c r="G272" s="27" t="str">
        <x:f>'Inputs_Trades'!J272</x:f>
        <x:v>USD</x:v>
      </x:c>
      <x:c r="H272" s="27" t="str">
        <x:f>'Inputs_Trades'!H272</x:f>
        <x:v>USD</x:v>
      </x:c>
      <x:c r="I272" s="27" t="n">
        <x:f>'Inputs_Trades'!I272</x:f>
        <x:v>0</x:v>
      </x:c>
      <x:c r="J272" s="27" t="str">
        <x:f>'Inputs_Trades'!M272</x:f>
        <x:v>CREDIT_INDEX_25</x:v>
      </x:c>
      <x:c r="K272" s="27" t="str">
        <x:f>'Inputs_Trades'!N272</x:f>
        <x:v>Index</x:v>
      </x:c>
      <x:c r="L272" s="27" t="str">
        <x:f>'Inputs_Trades'!O272</x:f>
        <x:v>AA</x:v>
      </x:c>
      <x:c r="M272" s="39" t="n">
        <x:f>'Inputs_Trades'!A272</x:f>
        <x:v>45702</x:v>
      </x:c>
      <x:c r="N272" s="39" t="n">
        <x:f>'Inputs_Trades'!P272</x:f>
        <x:v>45757</x:v>
      </x:c>
      <x:c r="O272" s="39" t="n">
        <x:f>'Inputs_Trades'!Q272</x:f>
        <x:v>45353</x:v>
      </x:c>
      <x:c r="P272" s="39" t="n">
        <x:f>'Inputs_Trades'!R272</x:f>
        <x:v>45757</x:v>
      </x:c>
      <x:c r="Q272" s="40" t="n">
        <x:f>'Inputs_Trades'!U272</x:f>
        <x:v>184000000</x:v>
      </x:c>
      <x:c r="R272" s="40" t="n">
        <x:f>'Inputs_Trades'!S272</x:f>
        <x:v>184000000</x:v>
      </x:c>
      <x:c r="S272" s="40" t="n">
        <x:f>'Inputs_Trades'!T272</x:f>
        <x:v>0</x:v>
      </x:c>
      <x:c r="T272" s="27" t="str">
        <x:f>'Inputs_Trades'!V272</x:f>
        <x:v>M</x:v>
      </x:c>
      <x:c r="U272" s="27" t="str">
        <x:f>'Inputs_Trades'!W272</x:f>
        <x:v>N</x:v>
      </x:c>
      <x:c r="V272" s="27" t="n">
        <x:f>'Inputs_Trades'!X272</x:f>
        <x:v>10</x:v>
      </x:c>
      <x:c r="W272" s="27" t="str">
        <x:f>'Inputs_Trades'!Y272</x:f>
        <x:v>S</x:v>
      </x:c>
      <x:c r="X272" s="27" t="n">
        <x:f>'Inputs_Trades'!AA272</x:f>
        <x:v>0</x:v>
      </x:c>
      <x:c r="Y272" s="27" t="n">
        <x:f>'Inputs_Trades'!AB272</x:f>
        <x:v>0</x:v>
      </x:c>
      <x:c r="Z272" s="27" t="n">
        <x:f>'Inputs_Trades'!AC272</x:f>
        <x:v>0</x:v>
      </x:c>
      <x:c r="AA272" s="39" t="n">
        <x:f>'Inputs_Trades'!Z272</x:f>
        <x:v>0</x:v>
      </x:c>
      <x:c r="AB272" s="40" t="n">
        <x:f>'Inputs_Trades'!AD272</x:f>
        <x:v>-301760</x:v>
      </x:c>
      <x:c r="AC272" s="27" t="n">
        <x:f>'Inputs_Trades'!K272</x:f>
        <x:v>0</x:v>
      </x:c>
      <x:c r="AD272" s="27" t="n">
        <x:f>N272-M272</x:f>
        <x:v>55</x:v>
      </x:c>
      <x:c r="AE272" s="41" t="n">
        <x:f>AD272/365</x:f>
        <x:v>0.1506849315068493</x:v>
      </x:c>
      <x:c r="AF272" s="27" t="str">
        <x:f>IF(AE272&lt;1,"&lt;1Y",IF(AE272&lt;=5,"1Y-5Y","&gt;5Y"))</x:f>
        <x:v>&lt;1Y</x:v>
      </x:c>
      <x:c r="AG272" s="27" t="str">
        <x:f>IF(E272="Commodity",IFERROR(VLOOKUP(F272,Parameters!$P$4:$Q$12,2,FALSE),"Other"),"")</x:f>
      </x:c>
      <x:c r="AH272" s="27" t="str">
        <x:f>IF(F272="","Unknown",F272)</x:f>
        <x:v>Unknown</x:v>
      </x:c>
      <x:c r="AI272" s="27" t="str">
        <x:f>IF(E272="Interest Rate",G272&amp;IF(OR(LOWER(AC272)="basis",LOWER(AC272)="volatility"),"_"&amp;AC272,""),IF(E272="FX",IF(H272&lt;I272,H272&amp;"/"&amp;I272,I272&amp;"/"&amp;H272)&amp;IF(OR(LOWER(AC272)="basis",LOWER(AC272)="volatility"),"_"&amp;AC272,""),IF(OR(E272="Credit",E272="Equity"),J272&amp;IF(OR(LOWER(AC272)="basis",LOWER(AC272)="volatility"),"_"&amp;AC272,""),IF(E272="Commodity",AG272&amp;IF(OR(LOWER(AC272)="basis",LOWER(AC272)="volatility"),"_"&amp;AC272,""),"UNKNOWN"))))</x:f>
        <x:v>CREDIT_INDEX_25</x:v>
      </x:c>
      <x:c r="AJ272" s="27" t="str">
        <x:f>T272</x:f>
        <x:v>M</x:v>
      </x:c>
      <x:c r="AK272" s="41" t="n">
        <x:f>IF(E272="Interest Rate",VLOOKUP("Interest Rate",Parameters!$D$4:$E$12,2,FALSE),IF(E272="FX",VLOOKUP("FX",Parameters!$D$4:$E$12,2,FALSE),IF(E272="Credit",IFERROR(VLOOKUP(L272,Parameters!$G$4:$H$12,2,FALSE),VLOOKUP("BBB",Parameters!$G$4:$H$12,2,FALSE)),IF(E272="Equity",VLOOKUP(IF(LOWER(K272)="index","Equity Index","Equity Single Name"),Parameters!$D$4:$E$12,2,FALSE),IF(E272="Commodity",VLOOKUP(IFERROR(VLOOKUP(F272,Parameters!$S$4:$T$12,2,FALSE),"Commodity Other"),Parameters!$D$4:$E$12,2,FALSE),0)))))</x:f>
        <x:v>0.0038</x:v>
      </x:c>
      <x:c r="AL272" s="42" t="n">
        <x:f>IF(LOWER(AC272)="basis",Parameters!$B$8,IF(LOWER(AC272)="volatility",Parameters!$B$9,1))</x:f>
        <x:v>1</x:v>
      </x:c>
      <x:c r="AM272" s="41" t="n">
        <x:f>AK272*AL272</x:f>
        <x:v>0.0038</x:v>
      </x:c>
      <x:c r="AN272" s="42" t="n">
        <x:f>IF(E272="Credit",VLOOKUP(IF(LOWER(K272)="index","Credit Index","Credit Single Name"),Parameters!$J$4:$K$8,2,FALSE),IF(E272="Equity",VLOOKUP(IF(LOWER(K272)="index","Equity Index","Equity Single Name"),Parameters!$J$4:$K$8,2,FALSE),IF(E272="Commodity",VLOOKUP("Commodity",Parameters!$J$4:$K$8,2,FALSE),"")))</x:f>
        <x:v>0.8</x:v>
      </x:c>
      <x:c r="AO272" s="27" t="n">
        <x:f>MAX((O272-M272)/365,0)</x:f>
        <x:v>0</x:v>
      </x:c>
      <x:c r="AP272" s="27" t="n">
        <x:f>MAX((P272-M272)/365,10/Parameters!$B$6)</x:f>
        <x:v>0.1506849315068493</x:v>
      </x:c>
      <x:c r="AQ272" s="27" t="n">
        <x:f>IF(AP272&lt;=AO272,AO272+10/Parameters!$B$6,AP272)</x:f>
        <x:v>0.1506849315068493</x:v>
      </x:c>
      <x:c r="AR272" s="41" t="n">
        <x:f>IF(OR(E272="Interest Rate",E272="Credit"),(EXP(-Parameters!$B$7*AO272)-EXP(-Parameters!$B$7*AQ272))/Parameters!$B$7,1)</x:f>
        <x:v>0.1501187057128961</x:v>
      </x:c>
      <x:c r="AS272" s="40" t="n">
        <x:f>IF(OR(E272="Interest Rate",E272="Credit"),ABS(Q272)*AR272,IF(E272="FX",IF(Q272&gt;0,Q272,MAX(ABS(R272),ABS(S272),ABS(Q272))),ABS(Q272)))</x:f>
        <x:v>27621841.851172883</x:v>
      </x:c>
      <x:c r="AT272" s="42" t="n">
        <x:f>IF(OR(E272="Interest Rate",E272="FX"),VLOOKUP(E272,Parameters!$M$4:$N$11,2,FALSE),IF(E272="Credit",VLOOKUP(IF(LOWER(K272)="index","Credit Index","Credit Single Name"),Parameters!$M$4:$N$11,2,FALSE),IF(E272="Equity",VLOOKUP(IF(LOWER(K272)="index","Equity Index","Equity Single Name"),Parameters!$M$4:$N$11,2,FALSE),IF(E272="Commodity",VLOOKUP(IF(F272="Electricity","Commodity Electricity","Commodity Other"),Parameters!$M$4:$N$11,2,FALSE),1))))</x:f>
        <x:v>0.8</x:v>
      </x:c>
      <x:c r="AU272" s="27" t="n">
        <x:f>IF(W272="B",1,-1)</x:f>
        <x:v>-1</x:v>
      </x:c>
      <x:c r="AV272" s="27" t="n">
        <x:f>IF(OR(AA272="",M272=""),MAX(AE272,1/365),MAX((AA272-M272)/365,1/365))</x:f>
        <x:v>0.1506849315068493</x:v>
      </x:c>
      <x:c r="AW272" s="41" t="str">
        <x:f>IF(OR(Z272&lt;=0,Y272&lt;=0,AT272&lt;=0,AV272&lt;=0),"",(LN(Z272/Y272)+0.5*AT272^2*AV272)/(AT272*SQRT(AV272)))</x:f>
      </x:c>
      <x:c r="AX272" s="41" t="n">
        <x:f>IF(AND(X272&lt;&gt;"C",X272&lt;&gt;"P"),AU272,IF(AW272="",AU272,IF(X272="C",AU272*0.5*(1+ERF(AW272/SQRT(2))),-AU272*0.5*(1+ERF(-AW272/SQRT(2))))))</x:f>
        <x:v>-1</x:v>
      </x:c>
      <x:c r="AY272" s="41" t="n">
        <x:f>IF(AJ272="M",1.5*SQRT(MAX(IF(U272="Y",5,10),IF(V272="",10,V272))/Parameters!$B$6),SQRT(MIN(MAX(AE272,10/Parameters!$B$6),1)))</x:f>
        <x:v>0.30000000000000004</x:v>
      </x:c>
      <x:c r="AZ272" s="40" t="n">
        <x:f>AS272*AX272*AY272</x:f>
        <x:v>-8286552.555351866</x:v>
      </x:c>
      <x:c r="BA272" s="40" t="n">
        <x:f>'Python_Trade_Output'!AZ272</x:f>
        <x:v>-8286552.555351866</x:v>
      </x:c>
      <x:c r="BB272" s="43" t="n">
        <x:f>AZ272-BA272</x:f>
        <x:v>0</x:v>
      </x:c>
    </x:row>
    <x:row r="273">
      <x:c r="A273" s="27" t="str">
        <x:f>'Inputs_Trades'!D273</x:f>
        <x:v>IND-000270</x:v>
      </x:c>
      <x:c r="B273" s="27" t="str">
        <x:f>'Inputs_Trades'!B273</x:f>
        <x:v>IND_CORPORATE_001</x:v>
      </x:c>
      <x:c r="C273" s="27" t="n">
        <x:f>'Inputs_Trades'!C273</x:f>
        <x:v>3041</x:v>
      </x:c>
      <x:c r="D273" s="27" t="str">
        <x:f>'Inputs_Trades'!E273</x:f>
        <x:v>Credit Index CDS</x:v>
      </x:c>
      <x:c r="E273" s="27" t="str">
        <x:f>'Inputs_Trades'!F273</x:f>
        <x:v>Credit</x:v>
      </x:c>
      <x:c r="F273" s="27" t="n">
        <x:f>'Inputs_Trades'!G273</x:f>
        <x:v>0</x:v>
      </x:c>
      <x:c r="G273" s="27" t="str">
        <x:f>'Inputs_Trades'!J273</x:f>
        <x:v>USD</x:v>
      </x:c>
      <x:c r="H273" s="27" t="str">
        <x:f>'Inputs_Trades'!H273</x:f>
        <x:v>USD</x:v>
      </x:c>
      <x:c r="I273" s="27" t="n">
        <x:f>'Inputs_Trades'!I273</x:f>
        <x:v>0</x:v>
      </x:c>
      <x:c r="J273" s="27" t="str">
        <x:f>'Inputs_Trades'!M273</x:f>
        <x:v>CREDIT_INDEX_29</x:v>
      </x:c>
      <x:c r="K273" s="27" t="str">
        <x:f>'Inputs_Trades'!N273</x:f>
        <x:v>Index</x:v>
      </x:c>
      <x:c r="L273" s="27" t="str">
        <x:f>'Inputs_Trades'!O273</x:f>
        <x:v>B</x:v>
      </x:c>
      <x:c r="M273" s="39" t="n">
        <x:f>'Inputs_Trades'!A273</x:f>
        <x:v>45702</x:v>
      </x:c>
      <x:c r="N273" s="39" t="n">
        <x:f>'Inputs_Trades'!P273</x:f>
        <x:v>46868</x:v>
      </x:c>
      <x:c r="O273" s="39" t="n">
        <x:f>'Inputs_Trades'!Q273</x:f>
        <x:v>45702</x:v>
      </x:c>
      <x:c r="P273" s="39" t="n">
        <x:f>'Inputs_Trades'!R273</x:f>
        <x:v>46868</x:v>
      </x:c>
      <x:c r="Q273" s="40" t="n">
        <x:f>'Inputs_Trades'!U273</x:f>
        <x:v>187000000</x:v>
      </x:c>
      <x:c r="R273" s="40" t="n">
        <x:f>'Inputs_Trades'!S273</x:f>
        <x:v>187000000</x:v>
      </x:c>
      <x:c r="S273" s="40" t="n">
        <x:f>'Inputs_Trades'!T273</x:f>
        <x:v>0</x:v>
      </x:c>
      <x:c r="T273" s="27" t="str">
        <x:f>'Inputs_Trades'!V273</x:f>
        <x:v>M</x:v>
      </x:c>
      <x:c r="U273" s="27" t="str">
        <x:f>'Inputs_Trades'!W273</x:f>
        <x:v>N</x:v>
      </x:c>
      <x:c r="V273" s="27" t="n">
        <x:f>'Inputs_Trades'!X273</x:f>
        <x:v>10</x:v>
      </x:c>
      <x:c r="W273" s="27" t="str">
        <x:f>'Inputs_Trades'!Y273</x:f>
        <x:v>S</x:v>
      </x:c>
      <x:c r="X273" s="27" t="n">
        <x:f>'Inputs_Trades'!AA273</x:f>
        <x:v>0</x:v>
      </x:c>
      <x:c r="Y273" s="27" t="n">
        <x:f>'Inputs_Trades'!AB273</x:f>
        <x:v>0</x:v>
      </x:c>
      <x:c r="Z273" s="27" t="n">
        <x:f>'Inputs_Trades'!AC273</x:f>
        <x:v>0</x:v>
      </x:c>
      <x:c r="AA273" s="39" t="n">
        <x:f>'Inputs_Trades'!Z273</x:f>
        <x:v>0</x:v>
      </x:c>
      <x:c r="AB273" s="40" t="n">
        <x:f>'Inputs_Trades'!AD273</x:f>
        <x:v>1858780</x:v>
      </x:c>
      <x:c r="AC273" s="27" t="n">
        <x:f>'Inputs_Trades'!K273</x:f>
        <x:v>0</x:v>
      </x:c>
      <x:c r="AD273" s="27" t="n">
        <x:f>N273-M273</x:f>
        <x:v>1166</x:v>
      </x:c>
      <x:c r="AE273" s="41" t="n">
        <x:f>AD273/365</x:f>
        <x:v>3.1945205479452055</x:v>
      </x:c>
      <x:c r="AF273" s="27" t="str">
        <x:f>IF(AE273&lt;1,"&lt;1Y",IF(AE273&lt;=5,"1Y-5Y","&gt;5Y"))</x:f>
        <x:v>1Y-5Y</x:v>
      </x:c>
      <x:c r="AG273" s="27" t="str">
        <x:f>IF(E273="Commodity",IFERROR(VLOOKUP(F273,Parameters!$P$4:$Q$12,2,FALSE),"Other"),"")</x:f>
      </x:c>
      <x:c r="AH273" s="27" t="str">
        <x:f>IF(F273="","Unknown",F273)</x:f>
        <x:v>Unknown</x:v>
      </x:c>
      <x:c r="AI273" s="27" t="str">
        <x:f>IF(E273="Interest Rate",G273&amp;IF(OR(LOWER(AC273)="basis",LOWER(AC273)="volatility"),"_"&amp;AC273,""),IF(E273="FX",IF(H273&lt;I273,H273&amp;"/"&amp;I273,I273&amp;"/"&amp;H273)&amp;IF(OR(LOWER(AC273)="basis",LOWER(AC273)="volatility"),"_"&amp;AC273,""),IF(OR(E273="Credit",E273="Equity"),J273&amp;IF(OR(LOWER(AC273)="basis",LOWER(AC273)="volatility"),"_"&amp;AC273,""),IF(E273="Commodity",AG273&amp;IF(OR(LOWER(AC273)="basis",LOWER(AC273)="volatility"),"_"&amp;AC273,""),"UNKNOWN"))))</x:f>
        <x:v>CREDIT_INDEX_29</x:v>
      </x:c>
      <x:c r="AJ273" s="27" t="str">
        <x:f>T273</x:f>
        <x:v>M</x:v>
      </x:c>
      <x:c r="AK273" s="41" t="n">
        <x:f>IF(E273="Interest Rate",VLOOKUP("Interest Rate",Parameters!$D$4:$E$12,2,FALSE),IF(E273="FX",VLOOKUP("FX",Parameters!$D$4:$E$12,2,FALSE),IF(E273="Credit",IFERROR(VLOOKUP(L273,Parameters!$G$4:$H$12,2,FALSE),VLOOKUP("BBB",Parameters!$G$4:$H$12,2,FALSE)),IF(E273="Equity",VLOOKUP(IF(LOWER(K273)="index","Equity Index","Equity Single Name"),Parameters!$D$4:$E$12,2,FALSE),IF(E273="Commodity",VLOOKUP(IFERROR(VLOOKUP(F273,Parameters!$S$4:$T$12,2,FALSE),"Commodity Other"),Parameters!$D$4:$E$12,2,FALSE),0)))))</x:f>
        <x:v>0.016</x:v>
      </x:c>
      <x:c r="AL273" s="42" t="n">
        <x:f>IF(LOWER(AC273)="basis",Parameters!$B$8,IF(LOWER(AC273)="volatility",Parameters!$B$9,1))</x:f>
        <x:v>1</x:v>
      </x:c>
      <x:c r="AM273" s="41" t="n">
        <x:f>AK273*AL273</x:f>
        <x:v>0.016</x:v>
      </x:c>
      <x:c r="AN273" s="42" t="n">
        <x:f>IF(E273="Credit",VLOOKUP(IF(LOWER(K273)="index","Credit Index","Credit Single Name"),Parameters!$J$4:$K$8,2,FALSE),IF(E273="Equity",VLOOKUP(IF(LOWER(K273)="index","Equity Index","Equity Single Name"),Parameters!$J$4:$K$8,2,FALSE),IF(E273="Commodity",VLOOKUP("Commodity",Parameters!$J$4:$K$8,2,FALSE),"")))</x:f>
        <x:v>0.8</x:v>
      </x:c>
      <x:c r="AO273" s="27" t="n">
        <x:f>MAX((O273-M273)/365,0)</x:f>
        <x:v>0</x:v>
      </x:c>
      <x:c r="AP273" s="27" t="n">
        <x:f>MAX((P273-M273)/365,10/Parameters!$B$6)</x:f>
        <x:v>3.1945205479452055</x:v>
      </x:c>
      <x:c r="AQ273" s="27" t="n">
        <x:f>IF(AP273&lt;=AO273,AO273+10/Parameters!$B$6,AP273)</x:f>
        <x:v>3.1945205479452055</x:v>
      </x:c>
      <x:c r="AR273" s="41" t="n">
        <x:f>IF(OR(E273="Interest Rate",E273="Credit"),(EXP(-Parameters!$B$7*AO273)-EXP(-Parameters!$B$7*AQ273))/Parameters!$B$7,1)</x:f>
        <x:v>2.9524542999543857</x:v>
      </x:c>
      <x:c r="AS273" s="40" t="n">
        <x:f>IF(OR(E273="Interest Rate",E273="Credit"),ABS(Q273)*AR273,IF(E273="FX",IF(Q273&gt;0,Q273,MAX(ABS(R273),ABS(S273),ABS(Q273))),ABS(Q273)))</x:f>
        <x:v>552108954.0914701</x:v>
      </x:c>
      <x:c r="AT273" s="42" t="n">
        <x:f>IF(OR(E273="Interest Rate",E273="FX"),VLOOKUP(E273,Parameters!$M$4:$N$11,2,FALSE),IF(E273="Credit",VLOOKUP(IF(LOWER(K273)="index","Credit Index","Credit Single Name"),Parameters!$M$4:$N$11,2,FALSE),IF(E273="Equity",VLOOKUP(IF(LOWER(K273)="index","Equity Index","Equity Single Name"),Parameters!$M$4:$N$11,2,FALSE),IF(E273="Commodity",VLOOKUP(IF(F273="Electricity","Commodity Electricity","Commodity Other"),Parameters!$M$4:$N$11,2,FALSE),1))))</x:f>
        <x:v>0.8</x:v>
      </x:c>
      <x:c r="AU273" s="27" t="n">
        <x:f>IF(W273="B",1,-1)</x:f>
        <x:v>-1</x:v>
      </x:c>
      <x:c r="AV273" s="27" t="n">
        <x:f>IF(OR(AA273="",M273=""),MAX(AE273,1/365),MAX((AA273-M273)/365,1/365))</x:f>
        <x:v>3.1945205479452055</x:v>
      </x:c>
      <x:c r="AW273" s="41" t="str">
        <x:f>IF(OR(Z273&lt;=0,Y273&lt;=0,AT273&lt;=0,AV273&lt;=0),"",(LN(Z273/Y273)+0.5*AT273^2*AV273)/(AT273*SQRT(AV273)))</x:f>
      </x:c>
      <x:c r="AX273" s="41" t="n">
        <x:f>IF(AND(X273&lt;&gt;"C",X273&lt;&gt;"P"),AU273,IF(AW273="",AU273,IF(X273="C",AU273*0.5*(1+ERF(AW273/SQRT(2))),-AU273*0.5*(1+ERF(-AW273/SQRT(2))))))</x:f>
        <x:v>-1</x:v>
      </x:c>
      <x:c r="AY273" s="41" t="n">
        <x:f>IF(AJ273="M",1.5*SQRT(MAX(IF(U273="Y",5,10),IF(V273="",10,V273))/Parameters!$B$6),SQRT(MIN(MAX(AE273,10/Parameters!$B$6),1)))</x:f>
        <x:v>0.30000000000000004</x:v>
      </x:c>
      <x:c r="AZ273" s="40" t="n">
        <x:f>AS273*AX273*AY273</x:f>
        <x:v>-165632686.22744107</x:v>
      </x:c>
      <x:c r="BA273" s="40" t="n">
        <x:f>'Python_Trade_Output'!AZ273</x:f>
        <x:v>-165632686.22744107</x:v>
      </x:c>
      <x:c r="BB273" s="43" t="n">
        <x:f>AZ273-BA273</x:f>
        <x:v>0</x:v>
      </x:c>
    </x:row>
    <x:row r="274">
      <x:c r="A274" s="27" t="str">
        <x:f>'Inputs_Trades'!D274</x:f>
        <x:v>IND-000271</x:v>
      </x:c>
      <x:c r="B274" s="27" t="str">
        <x:f>'Inputs_Trades'!B274</x:f>
        <x:v>IND_CORPORATE_002</x:v>
      </x:c>
      <x:c r="C274" s="27" t="n">
        <x:f>'Inputs_Trades'!C274</x:f>
        <x:v>3389</x:v>
      </x:c>
      <x:c r="D274" s="27" t="str">
        <x:f>'Inputs_Trades'!E274</x:f>
        <x:v>Credit Index CDS</x:v>
      </x:c>
      <x:c r="E274" s="27" t="str">
        <x:f>'Inputs_Trades'!F274</x:f>
        <x:v>Credit</x:v>
      </x:c>
      <x:c r="F274" s="27" t="n">
        <x:f>'Inputs_Trades'!G274</x:f>
        <x:v>0</x:v>
      </x:c>
      <x:c r="G274" s="27" t="str">
        <x:f>'Inputs_Trades'!J274</x:f>
        <x:v>USD</x:v>
      </x:c>
      <x:c r="H274" s="27" t="str">
        <x:f>'Inputs_Trades'!H274</x:f>
        <x:v>USD</x:v>
      </x:c>
      <x:c r="I274" s="27" t="n">
        <x:f>'Inputs_Trades'!I274</x:f>
        <x:v>0</x:v>
      </x:c>
      <x:c r="J274" s="27" t="str">
        <x:f>'Inputs_Trades'!M274</x:f>
        <x:v>CREDIT_INDEX_12</x:v>
      </x:c>
      <x:c r="K274" s="27" t="str">
        <x:f>'Inputs_Trades'!N274</x:f>
        <x:v>Index</x:v>
      </x:c>
      <x:c r="L274" s="27" t="str">
        <x:f>'Inputs_Trades'!O274</x:f>
        <x:v>AAA</x:v>
      </x:c>
      <x:c r="M274" s="39" t="n">
        <x:f>'Inputs_Trades'!A274</x:f>
        <x:v>45702</x:v>
      </x:c>
      <x:c r="N274" s="39" t="n">
        <x:f>'Inputs_Trades'!P274</x:f>
        <x:v>46529</x:v>
      </x:c>
      <x:c r="O274" s="39" t="n">
        <x:f>'Inputs_Trades'!Q274</x:f>
        <x:v>45255</x:v>
      </x:c>
      <x:c r="P274" s="39" t="n">
        <x:f>'Inputs_Trades'!R274</x:f>
        <x:v>46529</x:v>
      </x:c>
      <x:c r="Q274" s="40" t="n">
        <x:f>'Inputs_Trades'!U274</x:f>
        <x:v>165000000</x:v>
      </x:c>
      <x:c r="R274" s="40" t="n">
        <x:f>'Inputs_Trades'!S274</x:f>
        <x:v>165000000</x:v>
      </x:c>
      <x:c r="S274" s="40" t="n">
        <x:f>'Inputs_Trades'!T274</x:f>
        <x:v>0</x:v>
      </x:c>
      <x:c r="T274" s="27" t="str">
        <x:f>'Inputs_Trades'!V274</x:f>
        <x:v>M</x:v>
      </x:c>
      <x:c r="U274" s="27" t="str">
        <x:f>'Inputs_Trades'!W274</x:f>
        <x:v>N</x:v>
      </x:c>
      <x:c r="V274" s="27" t="n">
        <x:f>'Inputs_Trades'!X274</x:f>
        <x:v>10</x:v>
      </x:c>
      <x:c r="W274" s="27" t="str">
        <x:f>'Inputs_Trades'!Y274</x:f>
        <x:v>B</x:v>
      </x:c>
      <x:c r="X274" s="27" t="n">
        <x:f>'Inputs_Trades'!AA274</x:f>
        <x:v>0</x:v>
      </x:c>
      <x:c r="Y274" s="27" t="n">
        <x:f>'Inputs_Trades'!AB274</x:f>
        <x:v>0</x:v>
      </x:c>
      <x:c r="Z274" s="27" t="n">
        <x:f>'Inputs_Trades'!AC274</x:f>
        <x:v>0</x:v>
      </x:c>
      <x:c r="AA274" s="39" t="n">
        <x:f>'Inputs_Trades'!Z274</x:f>
        <x:v>0</x:v>
      </x:c>
      <x:c r="AB274" s="40" t="n">
        <x:f>'Inputs_Trades'!AD274</x:f>
        <x:v>1848000</x:v>
      </x:c>
      <x:c r="AC274" s="27" t="n">
        <x:f>'Inputs_Trades'!K274</x:f>
        <x:v>0</x:v>
      </x:c>
      <x:c r="AD274" s="27" t="n">
        <x:f>N274-M274</x:f>
        <x:v>827</x:v>
      </x:c>
      <x:c r="AE274" s="41" t="n">
        <x:f>AD274/365</x:f>
        <x:v>2.265753424657534</x:v>
      </x:c>
      <x:c r="AF274" s="27" t="str">
        <x:f>IF(AE274&lt;1,"&lt;1Y",IF(AE274&lt;=5,"1Y-5Y","&gt;5Y"))</x:f>
        <x:v>1Y-5Y</x:v>
      </x:c>
      <x:c r="AG274" s="27" t="str">
        <x:f>IF(E274="Commodity",IFERROR(VLOOKUP(F274,Parameters!$P$4:$Q$12,2,FALSE),"Other"),"")</x:f>
      </x:c>
      <x:c r="AH274" s="27" t="str">
        <x:f>IF(F274="","Unknown",F274)</x:f>
        <x:v>Unknown</x:v>
      </x:c>
      <x:c r="AI274" s="27" t="str">
        <x:f>IF(E274="Interest Rate",G274&amp;IF(OR(LOWER(AC274)="basis",LOWER(AC274)="volatility"),"_"&amp;AC274,""),IF(E274="FX",IF(H274&lt;I274,H274&amp;"/"&amp;I274,I274&amp;"/"&amp;H274)&amp;IF(OR(LOWER(AC274)="basis",LOWER(AC274)="volatility"),"_"&amp;AC274,""),IF(OR(E274="Credit",E274="Equity"),J274&amp;IF(OR(LOWER(AC274)="basis",LOWER(AC274)="volatility"),"_"&amp;AC274,""),IF(E274="Commodity",AG274&amp;IF(OR(LOWER(AC274)="basis",LOWER(AC274)="volatility"),"_"&amp;AC274,""),"UNKNOWN"))))</x:f>
        <x:v>CREDIT_INDEX_12</x:v>
      </x:c>
      <x:c r="AJ274" s="27" t="str">
        <x:f>T274</x:f>
        <x:v>M</x:v>
      </x:c>
      <x:c r="AK274" s="41" t="n">
        <x:f>IF(E274="Interest Rate",VLOOKUP("Interest Rate",Parameters!$D$4:$E$12,2,FALSE),IF(E274="FX",VLOOKUP("FX",Parameters!$D$4:$E$12,2,FALSE),IF(E274="Credit",IFERROR(VLOOKUP(L274,Parameters!$G$4:$H$12,2,FALSE),VLOOKUP("BBB",Parameters!$G$4:$H$12,2,FALSE)),IF(E274="Equity",VLOOKUP(IF(LOWER(K274)="index","Equity Index","Equity Single Name"),Parameters!$D$4:$E$12,2,FALSE),IF(E274="Commodity",VLOOKUP(IFERROR(VLOOKUP(F274,Parameters!$S$4:$T$12,2,FALSE),"Commodity Other"),Parameters!$D$4:$E$12,2,FALSE),0)))))</x:f>
        <x:v>0.0038</x:v>
      </x:c>
      <x:c r="AL274" s="42" t="n">
        <x:f>IF(LOWER(AC274)="basis",Parameters!$B$8,IF(LOWER(AC274)="volatility",Parameters!$B$9,1))</x:f>
        <x:v>1</x:v>
      </x:c>
      <x:c r="AM274" s="41" t="n">
        <x:f>AK274*AL274</x:f>
        <x:v>0.0038</x:v>
      </x:c>
      <x:c r="AN274" s="42" t="n">
        <x:f>IF(E274="Credit",VLOOKUP(IF(LOWER(K274)="index","Credit Index","Credit Single Name"),Parameters!$J$4:$K$8,2,FALSE),IF(E274="Equity",VLOOKUP(IF(LOWER(K274)="index","Equity Index","Equity Single Name"),Parameters!$J$4:$K$8,2,FALSE),IF(E274="Commodity",VLOOKUP("Commodity",Parameters!$J$4:$K$8,2,FALSE),"")))</x:f>
        <x:v>0.8</x:v>
      </x:c>
      <x:c r="AO274" s="27" t="n">
        <x:f>MAX((O274-M274)/365,0)</x:f>
        <x:v>0</x:v>
      </x:c>
      <x:c r="AP274" s="27" t="n">
        <x:f>MAX((P274-M274)/365,10/Parameters!$B$6)</x:f>
        <x:v>2.265753424657534</x:v>
      </x:c>
      <x:c r="AQ274" s="27" t="n">
        <x:f>IF(AP274&lt;=AO274,AO274+10/Parameters!$B$6,AP274)</x:f>
        <x:v>2.265753424657534</x:v>
      </x:c>
      <x:c r="AR274" s="41" t="n">
        <x:f>IF(OR(E274="Interest Rate",E274="Credit"),(EXP(-Parameters!$B$7*AO274)-EXP(-Parameters!$B$7*AQ274))/Parameters!$B$7,1)</x:f>
        <x:v>2.142124733656874</x:v>
      </x:c>
      <x:c r="AS274" s="40" t="n">
        <x:f>IF(OR(E274="Interest Rate",E274="Credit"),ABS(Q274)*AR274,IF(E274="FX",IF(Q274&gt;0,Q274,MAX(ABS(R274),ABS(S274),ABS(Q274))),ABS(Q274)))</x:f>
        <x:v>353450581.0533842</x:v>
      </x:c>
      <x:c r="AT274" s="42" t="n">
        <x:f>IF(OR(E274="Interest Rate",E274="FX"),VLOOKUP(E274,Parameters!$M$4:$N$11,2,FALSE),IF(E274="Credit",VLOOKUP(IF(LOWER(K274)="index","Credit Index","Credit Single Name"),Parameters!$M$4:$N$11,2,FALSE),IF(E274="Equity",VLOOKUP(IF(LOWER(K274)="index","Equity Index","Equity Single Name"),Parameters!$M$4:$N$11,2,FALSE),IF(E274="Commodity",VLOOKUP(IF(F274="Electricity","Commodity Electricity","Commodity Other"),Parameters!$M$4:$N$11,2,FALSE),1))))</x:f>
        <x:v>0.8</x:v>
      </x:c>
      <x:c r="AU274" s="27" t="n">
        <x:f>IF(W274="B",1,-1)</x:f>
        <x:v>1</x:v>
      </x:c>
      <x:c r="AV274" s="27" t="n">
        <x:f>IF(OR(AA274="",M274=""),MAX(AE274,1/365),MAX((AA274-M274)/365,1/365))</x:f>
        <x:v>2.265753424657534</x:v>
      </x:c>
      <x:c r="AW274" s="41" t="str">
        <x:f>IF(OR(Z274&lt;=0,Y274&lt;=0,AT274&lt;=0,AV274&lt;=0),"",(LN(Z274/Y274)+0.5*AT274^2*AV274)/(AT274*SQRT(AV274)))</x:f>
      </x:c>
      <x:c r="AX274" s="41" t="n">
        <x:f>IF(AND(X274&lt;&gt;"C",X274&lt;&gt;"P"),AU274,IF(AW274="",AU274,IF(X274="C",AU274*0.5*(1+ERF(AW274/SQRT(2))),-AU274*0.5*(1+ERF(-AW274/SQRT(2))))))</x:f>
        <x:v>1</x:v>
      </x:c>
      <x:c r="AY274" s="41" t="n">
        <x:f>IF(AJ274="M",1.5*SQRT(MAX(IF(U274="Y",5,10),IF(V274="",10,V274))/Parameters!$B$6),SQRT(MIN(MAX(AE274,10/Parameters!$B$6),1)))</x:f>
        <x:v>0.30000000000000004</x:v>
      </x:c>
      <x:c r="AZ274" s="40" t="n">
        <x:f>AS274*AX274*AY274</x:f>
        <x:v>106035174.31601527</x:v>
      </x:c>
      <x:c r="BA274" s="40" t="n">
        <x:f>'Python_Trade_Output'!AZ274</x:f>
        <x:v>106035174.31601527</x:v>
      </x:c>
      <x:c r="BB274" s="43" t="n">
        <x:f>AZ274-BA274</x:f>
        <x:v>0</x:v>
      </x:c>
    </x:row>
    <x:row r="275">
      <x:c r="A275" s="27" t="str">
        <x:f>'Inputs_Trades'!D275</x:f>
        <x:v>IND-000272</x:v>
      </x:c>
      <x:c r="B275" s="27" t="str">
        <x:f>'Inputs_Trades'!B275</x:f>
        <x:v>IND_HEDGE_FUND_001</x:v>
      </x:c>
      <x:c r="C275" s="27" t="n">
        <x:f>'Inputs_Trades'!C275</x:f>
        <x:v>3289</x:v>
      </x:c>
      <x:c r="D275" s="27" t="str">
        <x:f>'Inputs_Trades'!E275</x:f>
        <x:v>Credit Index CDS</x:v>
      </x:c>
      <x:c r="E275" s="27" t="str">
        <x:f>'Inputs_Trades'!F275</x:f>
        <x:v>Credit</x:v>
      </x:c>
      <x:c r="F275" s="27" t="n">
        <x:f>'Inputs_Trades'!G275</x:f>
        <x:v>0</x:v>
      </x:c>
      <x:c r="G275" s="27" t="str">
        <x:f>'Inputs_Trades'!J275</x:f>
        <x:v>USD</x:v>
      </x:c>
      <x:c r="H275" s="27" t="str">
        <x:f>'Inputs_Trades'!H275</x:f>
        <x:v>USD</x:v>
      </x:c>
      <x:c r="I275" s="27" t="n">
        <x:f>'Inputs_Trades'!I275</x:f>
        <x:v>0</x:v>
      </x:c>
      <x:c r="J275" s="27" t="str">
        <x:f>'Inputs_Trades'!M275</x:f>
        <x:v>CREDIT_INDEX_28</x:v>
      </x:c>
      <x:c r="K275" s="27" t="str">
        <x:f>'Inputs_Trades'!N275</x:f>
        <x:v>Index</x:v>
      </x:c>
      <x:c r="L275" s="27" t="str">
        <x:f>'Inputs_Trades'!O275</x:f>
        <x:v>BB</x:v>
      </x:c>
      <x:c r="M275" s="39" t="n">
        <x:f>'Inputs_Trades'!A275</x:f>
        <x:v>45702</x:v>
      </x:c>
      <x:c r="N275" s="39" t="n">
        <x:f>'Inputs_Trades'!P275</x:f>
        <x:v>46599</x:v>
      </x:c>
      <x:c r="O275" s="39" t="n">
        <x:f>'Inputs_Trades'!Q275</x:f>
        <x:v>44987</x:v>
      </x:c>
      <x:c r="P275" s="39" t="n">
        <x:f>'Inputs_Trades'!R275</x:f>
        <x:v>46599</x:v>
      </x:c>
      <x:c r="Q275" s="40" t="n">
        <x:f>'Inputs_Trades'!U275</x:f>
        <x:v>168000000</x:v>
      </x:c>
      <x:c r="R275" s="40" t="n">
        <x:f>'Inputs_Trades'!S275</x:f>
        <x:v>168000000</x:v>
      </x:c>
      <x:c r="S275" s="40" t="n">
        <x:f>'Inputs_Trades'!T275</x:f>
        <x:v>0</x:v>
      </x:c>
      <x:c r="T275" s="27" t="str">
        <x:f>'Inputs_Trades'!V275</x:f>
        <x:v>M</x:v>
      </x:c>
      <x:c r="U275" s="27" t="str">
        <x:f>'Inputs_Trades'!W275</x:f>
        <x:v>N</x:v>
      </x:c>
      <x:c r="V275" s="27" t="n">
        <x:f>'Inputs_Trades'!X275</x:f>
        <x:v>10</x:v>
      </x:c>
      <x:c r="W275" s="27" t="str">
        <x:f>'Inputs_Trades'!Y275</x:f>
        <x:v>B</x:v>
      </x:c>
      <x:c r="X275" s="27" t="n">
        <x:f>'Inputs_Trades'!AA275</x:f>
        <x:v>0</x:v>
      </x:c>
      <x:c r="Y275" s="27" t="n">
        <x:f>'Inputs_Trades'!AB275</x:f>
        <x:v>0</x:v>
      </x:c>
      <x:c r="Z275" s="27" t="n">
        <x:f>'Inputs_Trades'!AC275</x:f>
        <x:v>0</x:v>
      </x:c>
      <x:c r="AA275" s="39" t="n">
        <x:f>'Inputs_Trades'!Z275</x:f>
        <x:v>0</x:v>
      </x:c>
      <x:c r="AB275" s="40" t="n">
        <x:f>'Inputs_Trades'!AD275</x:f>
        <x:v>-493920</x:v>
      </x:c>
      <x:c r="AC275" s="27" t="n">
        <x:f>'Inputs_Trades'!K275</x:f>
        <x:v>0</x:v>
      </x:c>
      <x:c r="AD275" s="27" t="n">
        <x:f>N275-M275</x:f>
        <x:v>897</x:v>
      </x:c>
      <x:c r="AE275" s="41" t="n">
        <x:f>AD275/365</x:f>
        <x:v>2.4575342465753423</x:v>
      </x:c>
      <x:c r="AF275" s="27" t="str">
        <x:f>IF(AE275&lt;1,"&lt;1Y",IF(AE275&lt;=5,"1Y-5Y","&gt;5Y"))</x:f>
        <x:v>1Y-5Y</x:v>
      </x:c>
      <x:c r="AG275" s="27" t="str">
        <x:f>IF(E275="Commodity",IFERROR(VLOOKUP(F275,Parameters!$P$4:$Q$12,2,FALSE),"Other"),"")</x:f>
      </x:c>
      <x:c r="AH275" s="27" t="str">
        <x:f>IF(F275="","Unknown",F275)</x:f>
        <x:v>Unknown</x:v>
      </x:c>
      <x:c r="AI275" s="27" t="str">
        <x:f>IF(E275="Interest Rate",G275&amp;IF(OR(LOWER(AC275)="basis",LOWER(AC275)="volatility"),"_"&amp;AC275,""),IF(E275="FX",IF(H275&lt;I275,H275&amp;"/"&amp;I275,I275&amp;"/"&amp;H275)&amp;IF(OR(LOWER(AC275)="basis",LOWER(AC275)="volatility"),"_"&amp;AC275,""),IF(OR(E275="Credit",E275="Equity"),J275&amp;IF(OR(LOWER(AC275)="basis",LOWER(AC275)="volatility"),"_"&amp;AC275,""),IF(E275="Commodity",AG275&amp;IF(OR(LOWER(AC275)="basis",LOWER(AC275)="volatility"),"_"&amp;AC275,""),"UNKNOWN"))))</x:f>
        <x:v>CREDIT_INDEX_28</x:v>
      </x:c>
      <x:c r="AJ275" s="27" t="str">
        <x:f>T275</x:f>
        <x:v>M</x:v>
      </x:c>
      <x:c r="AK275" s="41" t="n">
        <x:f>IF(E275="Interest Rate",VLOOKUP("Interest Rate",Parameters!$D$4:$E$12,2,FALSE),IF(E275="FX",VLOOKUP("FX",Parameters!$D$4:$E$12,2,FALSE),IF(E275="Credit",IFERROR(VLOOKUP(L275,Parameters!$G$4:$H$12,2,FALSE),VLOOKUP("BBB",Parameters!$G$4:$H$12,2,FALSE)),IF(E275="Equity",VLOOKUP(IF(LOWER(K275)="index","Equity Index","Equity Single Name"),Parameters!$D$4:$E$12,2,FALSE),IF(E275="Commodity",VLOOKUP(IFERROR(VLOOKUP(F275,Parameters!$S$4:$T$12,2,FALSE),"Commodity Other"),Parameters!$D$4:$E$12,2,FALSE),0)))))</x:f>
        <x:v>0.0106</x:v>
      </x:c>
      <x:c r="AL275" s="42" t="n">
        <x:f>IF(LOWER(AC275)="basis",Parameters!$B$8,IF(LOWER(AC275)="volatility",Parameters!$B$9,1))</x:f>
        <x:v>1</x:v>
      </x:c>
      <x:c r="AM275" s="41" t="n">
        <x:f>AK275*AL275</x:f>
        <x:v>0.0106</x:v>
      </x:c>
      <x:c r="AN275" s="42" t="n">
        <x:f>IF(E275="Credit",VLOOKUP(IF(LOWER(K275)="index","Credit Index","Credit Single Name"),Parameters!$J$4:$K$8,2,FALSE),IF(E275="Equity",VLOOKUP(IF(LOWER(K275)="index","Equity Index","Equity Single Name"),Parameters!$J$4:$K$8,2,FALSE),IF(E275="Commodity",VLOOKUP("Commodity",Parameters!$J$4:$K$8,2,FALSE),"")))</x:f>
        <x:v>0.8</x:v>
      </x:c>
      <x:c r="AO275" s="27" t="n">
        <x:f>MAX((O275-M275)/365,0)</x:f>
        <x:v>0</x:v>
      </x:c>
      <x:c r="AP275" s="27" t="n">
        <x:f>MAX((P275-M275)/365,10/Parameters!$B$6)</x:f>
        <x:v>2.4575342465753423</x:v>
      </x:c>
      <x:c r="AQ275" s="27" t="n">
        <x:f>IF(AP275&lt;=AO275,AO275+10/Parameters!$B$6,AP275)</x:f>
        <x:v>2.4575342465753423</x:v>
      </x:c>
      <x:c r="AR275" s="41" t="n">
        <x:f>IF(OR(E275="Interest Rate",E275="Credit"),(EXP(-Parameters!$B$7*AO275)-EXP(-Parameters!$B$7*AQ275))/Parameters!$B$7,1)</x:f>
        <x:v>2.3125462382170503</x:v>
      </x:c>
      <x:c r="AS275" s="40" t="n">
        <x:f>IF(OR(E275="Interest Rate",E275="Credit"),ABS(Q275)*AR275,IF(E275="FX",IF(Q275&gt;0,Q275,MAX(ABS(R275),ABS(S275),ABS(Q275))),ABS(Q275)))</x:f>
        <x:v>388507768.0204645</x:v>
      </x:c>
      <x:c r="AT275" s="42" t="n">
        <x:f>IF(OR(E275="Interest Rate",E275="FX"),VLOOKUP(E275,Parameters!$M$4:$N$11,2,FALSE),IF(E275="Credit",VLOOKUP(IF(LOWER(K275)="index","Credit Index","Credit Single Name"),Parameters!$M$4:$N$11,2,FALSE),IF(E275="Equity",VLOOKUP(IF(LOWER(K275)="index","Equity Index","Equity Single Name"),Parameters!$M$4:$N$11,2,FALSE),IF(E275="Commodity",VLOOKUP(IF(F275="Electricity","Commodity Electricity","Commodity Other"),Parameters!$M$4:$N$11,2,FALSE),1))))</x:f>
        <x:v>0.8</x:v>
      </x:c>
      <x:c r="AU275" s="27" t="n">
        <x:f>IF(W275="B",1,-1)</x:f>
        <x:v>1</x:v>
      </x:c>
      <x:c r="AV275" s="27" t="n">
        <x:f>IF(OR(AA275="",M275=""),MAX(AE275,1/365),MAX((AA275-M275)/365,1/365))</x:f>
        <x:v>2.4575342465753423</x:v>
      </x:c>
      <x:c r="AW275" s="41" t="str">
        <x:f>IF(OR(Z275&lt;=0,Y275&lt;=0,AT275&lt;=0,AV275&lt;=0),"",(LN(Z275/Y275)+0.5*AT275^2*AV275)/(AT275*SQRT(AV275)))</x:f>
      </x:c>
      <x:c r="AX275" s="41" t="n">
        <x:f>IF(AND(X275&lt;&gt;"C",X275&lt;&gt;"P"),AU275,IF(AW275="",AU275,IF(X275="C",AU275*0.5*(1+ERF(AW275/SQRT(2))),-AU275*0.5*(1+ERF(-AW275/SQRT(2))))))</x:f>
        <x:v>1</x:v>
      </x:c>
      <x:c r="AY275" s="41" t="n">
        <x:f>IF(AJ275="M",1.5*SQRT(MAX(IF(U275="Y",5,10),IF(V275="",10,V275))/Parameters!$B$6),SQRT(MIN(MAX(AE275,10/Parameters!$B$6),1)))</x:f>
        <x:v>0.30000000000000004</x:v>
      </x:c>
      <x:c r="AZ275" s="40" t="n">
        <x:f>AS275*AX275*AY275</x:f>
        <x:v>116552330.40613936</x:v>
      </x:c>
      <x:c r="BA275" s="40" t="n">
        <x:f>'Python_Trade_Output'!AZ275</x:f>
        <x:v>116552330.40613936</x:v>
      </x:c>
      <x:c r="BB275" s="43" t="n">
        <x:f>AZ275-BA275</x:f>
        <x:v>0</x:v>
      </x:c>
    </x:row>
    <x:row r="276">
      <x:c r="A276" s="27" t="str">
        <x:f>'Inputs_Trades'!D276</x:f>
        <x:v>IND-000273</x:v>
      </x:c>
      <x:c r="B276" s="27" t="str">
        <x:f>'Inputs_Trades'!B276</x:f>
        <x:v>IND_CORPORATE_001</x:v>
      </x:c>
      <x:c r="C276" s="27" t="n">
        <x:f>'Inputs_Trades'!C276</x:f>
        <x:v>3015</x:v>
      </x:c>
      <x:c r="D276" s="27" t="str">
        <x:f>'Inputs_Trades'!E276</x:f>
        <x:v>Credit Index CDS</x:v>
      </x:c>
      <x:c r="E276" s="27" t="str">
        <x:f>'Inputs_Trades'!F276</x:f>
        <x:v>Credit</x:v>
      </x:c>
      <x:c r="F276" s="27" t="n">
        <x:f>'Inputs_Trades'!G276</x:f>
        <x:v>0</x:v>
      </x:c>
      <x:c r="G276" s="27" t="str">
        <x:f>'Inputs_Trades'!J276</x:f>
        <x:v>USD</x:v>
      </x:c>
      <x:c r="H276" s="27" t="str">
        <x:f>'Inputs_Trades'!H276</x:f>
        <x:v>USD</x:v>
      </x:c>
      <x:c r="I276" s="27" t="n">
        <x:f>'Inputs_Trades'!I276</x:f>
        <x:v>0</x:v>
      </x:c>
      <x:c r="J276" s="27" t="str">
        <x:f>'Inputs_Trades'!M276</x:f>
        <x:v>CREDIT_INDEX_17</x:v>
      </x:c>
      <x:c r="K276" s="27" t="str">
        <x:f>'Inputs_Trades'!N276</x:f>
        <x:v>Index</x:v>
      </x:c>
      <x:c r="L276" s="27" t="str">
        <x:f>'Inputs_Trades'!O276</x:f>
        <x:v>B</x:v>
      </x:c>
      <x:c r="M276" s="39" t="n">
        <x:f>'Inputs_Trades'!A276</x:f>
        <x:v>45702</x:v>
      </x:c>
      <x:c r="N276" s="39" t="n">
        <x:f>'Inputs_Trades'!P276</x:f>
        <x:v>46306</x:v>
      </x:c>
      <x:c r="O276" s="39" t="n">
        <x:f>'Inputs_Trades'!Q276</x:f>
        <x:v>44816</x:v>
      </x:c>
      <x:c r="P276" s="39" t="n">
        <x:f>'Inputs_Trades'!R276</x:f>
        <x:v>46306</x:v>
      </x:c>
      <x:c r="Q276" s="40" t="n">
        <x:f>'Inputs_Trades'!U276</x:f>
        <x:v>26000000</x:v>
      </x:c>
      <x:c r="R276" s="40" t="n">
        <x:f>'Inputs_Trades'!S276</x:f>
        <x:v>26000000</x:v>
      </x:c>
      <x:c r="S276" s="40" t="n">
        <x:f>'Inputs_Trades'!T276</x:f>
        <x:v>0</x:v>
      </x:c>
      <x:c r="T276" s="27" t="str">
        <x:f>'Inputs_Trades'!V276</x:f>
        <x:v>U</x:v>
      </x:c>
      <x:c r="U276" s="27" t="str">
        <x:f>'Inputs_Trades'!W276</x:f>
        <x:v>N</x:v>
      </x:c>
      <x:c r="V276" s="27" t="n">
        <x:f>'Inputs_Trades'!X276</x:f>
        <x:v>0</x:v>
      </x:c>
      <x:c r="W276" s="27" t="str">
        <x:f>'Inputs_Trades'!Y276</x:f>
        <x:v>B</x:v>
      </x:c>
      <x:c r="X276" s="27" t="n">
        <x:f>'Inputs_Trades'!AA276</x:f>
        <x:v>0</x:v>
      </x:c>
      <x:c r="Y276" s="27" t="n">
        <x:f>'Inputs_Trades'!AB276</x:f>
        <x:v>0</x:v>
      </x:c>
      <x:c r="Z276" s="27" t="n">
        <x:f>'Inputs_Trades'!AC276</x:f>
        <x:v>0</x:v>
      </x:c>
      <x:c r="AA276" s="39" t="n">
        <x:f>'Inputs_Trades'!Z276</x:f>
        <x:v>0</x:v>
      </x:c>
      <x:c r="AB276" s="40" t="n">
        <x:f>'Inputs_Trades'!AD276</x:f>
        <x:v>332800</x:v>
      </x:c>
      <x:c r="AC276" s="27" t="n">
        <x:f>'Inputs_Trades'!K276</x:f>
        <x:v>0</x:v>
      </x:c>
      <x:c r="AD276" s="27" t="n">
        <x:f>N276-M276</x:f>
        <x:v>604</x:v>
      </x:c>
      <x:c r="AE276" s="41" t="n">
        <x:f>AD276/365</x:f>
        <x:v>1.6547945205479453</x:v>
      </x:c>
      <x:c r="AF276" s="27" t="str">
        <x:f>IF(AE276&lt;1,"&lt;1Y",IF(AE276&lt;=5,"1Y-5Y","&gt;5Y"))</x:f>
        <x:v>1Y-5Y</x:v>
      </x:c>
      <x:c r="AG276" s="27" t="str">
        <x:f>IF(E276="Commodity",IFERROR(VLOOKUP(F276,Parameters!$P$4:$Q$12,2,FALSE),"Other"),"")</x:f>
      </x:c>
      <x:c r="AH276" s="27" t="str">
        <x:f>IF(F276="","Unknown",F276)</x:f>
        <x:v>Unknown</x:v>
      </x:c>
      <x:c r="AI276" s="27" t="str">
        <x:f>IF(E276="Interest Rate",G276&amp;IF(OR(LOWER(AC276)="basis",LOWER(AC276)="volatility"),"_"&amp;AC276,""),IF(E276="FX",IF(H276&lt;I276,H276&amp;"/"&amp;I276,I276&amp;"/"&amp;H276)&amp;IF(OR(LOWER(AC276)="basis",LOWER(AC276)="volatility"),"_"&amp;AC276,""),IF(OR(E276="Credit",E276="Equity"),J276&amp;IF(OR(LOWER(AC276)="basis",LOWER(AC276)="volatility"),"_"&amp;AC276,""),IF(E276="Commodity",AG276&amp;IF(OR(LOWER(AC276)="basis",LOWER(AC276)="volatility"),"_"&amp;AC276,""),"UNKNOWN"))))</x:f>
        <x:v>CREDIT_INDEX_17</x:v>
      </x:c>
      <x:c r="AJ276" s="27" t="str">
        <x:f>T276</x:f>
        <x:v>U</x:v>
      </x:c>
      <x:c r="AK276" s="41" t="n">
        <x:f>IF(E276="Interest Rate",VLOOKUP("Interest Rate",Parameters!$D$4:$E$12,2,FALSE),IF(E276="FX",VLOOKUP("FX",Parameters!$D$4:$E$12,2,FALSE),IF(E276="Credit",IFERROR(VLOOKUP(L276,Parameters!$G$4:$H$12,2,FALSE),VLOOKUP("BBB",Parameters!$G$4:$H$12,2,FALSE)),IF(E276="Equity",VLOOKUP(IF(LOWER(K276)="index","Equity Index","Equity Single Name"),Parameters!$D$4:$E$12,2,FALSE),IF(E276="Commodity",VLOOKUP(IFERROR(VLOOKUP(F276,Parameters!$S$4:$T$12,2,FALSE),"Commodity Other"),Parameters!$D$4:$E$12,2,FALSE),0)))))</x:f>
        <x:v>0.016</x:v>
      </x:c>
      <x:c r="AL276" s="42" t="n">
        <x:f>IF(LOWER(AC276)="basis",Parameters!$B$8,IF(LOWER(AC276)="volatility",Parameters!$B$9,1))</x:f>
        <x:v>1</x:v>
      </x:c>
      <x:c r="AM276" s="41" t="n">
        <x:f>AK276*AL276</x:f>
        <x:v>0.016</x:v>
      </x:c>
      <x:c r="AN276" s="42" t="n">
        <x:f>IF(E276="Credit",VLOOKUP(IF(LOWER(K276)="index","Credit Index","Credit Single Name"),Parameters!$J$4:$K$8,2,FALSE),IF(E276="Equity",VLOOKUP(IF(LOWER(K276)="index","Equity Index","Equity Single Name"),Parameters!$J$4:$K$8,2,FALSE),IF(E276="Commodity",VLOOKUP("Commodity",Parameters!$J$4:$K$8,2,FALSE),"")))</x:f>
        <x:v>0.8</x:v>
      </x:c>
      <x:c r="AO276" s="27" t="n">
        <x:f>MAX((O276-M276)/365,0)</x:f>
        <x:v>0</x:v>
      </x:c>
      <x:c r="AP276" s="27" t="n">
        <x:f>MAX((P276-M276)/365,10/Parameters!$B$6)</x:f>
        <x:v>1.6547945205479453</x:v>
      </x:c>
      <x:c r="AQ276" s="27" t="n">
        <x:f>IF(AP276&lt;=AO276,AO276+10/Parameters!$B$6,AP276)</x:f>
        <x:v>1.6547945205479453</x:v>
      </x:c>
      <x:c r="AR276" s="41" t="n">
        <x:f>IF(OR(E276="Interest Rate",E276="Credit"),(EXP(-Parameters!$B$7*AO276)-EXP(-Parameters!$B$7*AQ276))/Parameters!$B$7,1)</x:f>
        <x:v>1.588185563088631</x:v>
      </x:c>
      <x:c r="AS276" s="40" t="n">
        <x:f>IF(OR(E276="Interest Rate",E276="Credit"),ABS(Q276)*AR276,IF(E276="FX",IF(Q276&gt;0,Q276,MAX(ABS(R276),ABS(S276),ABS(Q276))),ABS(Q276)))</x:f>
        <x:v>41292824.64030441</x:v>
      </x:c>
      <x:c r="AT276" s="42" t="n">
        <x:f>IF(OR(E276="Interest Rate",E276="FX"),VLOOKUP(E276,Parameters!$M$4:$N$11,2,FALSE),IF(E276="Credit",VLOOKUP(IF(LOWER(K276)="index","Credit Index","Credit Single Name"),Parameters!$M$4:$N$11,2,FALSE),IF(E276="Equity",VLOOKUP(IF(LOWER(K276)="index","Equity Index","Equity Single Name"),Parameters!$M$4:$N$11,2,FALSE),IF(E276="Commodity",VLOOKUP(IF(F276="Electricity","Commodity Electricity","Commodity Other"),Parameters!$M$4:$N$11,2,FALSE),1))))</x:f>
        <x:v>0.8</x:v>
      </x:c>
      <x:c r="AU276" s="27" t="n">
        <x:f>IF(W276="B",1,-1)</x:f>
        <x:v>1</x:v>
      </x:c>
      <x:c r="AV276" s="27" t="n">
        <x:f>IF(OR(AA276="",M276=""),MAX(AE276,1/365),MAX((AA276-M276)/365,1/365))</x:f>
        <x:v>1.6547945205479453</x:v>
      </x:c>
      <x:c r="AW276" s="41" t="str">
        <x:f>IF(OR(Z276&lt;=0,Y276&lt;=0,AT276&lt;=0,AV276&lt;=0),"",(LN(Z276/Y276)+0.5*AT276^2*AV276)/(AT276*SQRT(AV276)))</x:f>
      </x:c>
      <x:c r="AX276" s="41" t="n">
        <x:f>IF(AND(X276&lt;&gt;"C",X276&lt;&gt;"P"),AU276,IF(AW276="",AU276,IF(X276="C",AU276*0.5*(1+ERF(AW276/SQRT(2))),-AU276*0.5*(1+ERF(-AW276/SQRT(2))))))</x:f>
        <x:v>1</x:v>
      </x:c>
      <x:c r="AY276" s="41" t="n">
        <x:f>IF(AJ276="M",1.5*SQRT(MAX(IF(U276="Y",5,10),IF(V276="",10,V276))/Parameters!$B$6),SQRT(MIN(MAX(AE276,10/Parameters!$B$6),1)))</x:f>
        <x:v>1</x:v>
      </x:c>
      <x:c r="AZ276" s="40" t="n">
        <x:f>AS276*AX276*AY276</x:f>
        <x:v>41292824.64030441</x:v>
      </x:c>
      <x:c r="BA276" s="40" t="n">
        <x:f>'Python_Trade_Output'!AZ276</x:f>
        <x:v>41292824.64030441</x:v>
      </x:c>
      <x:c r="BB276" s="43" t="n">
        <x:f>AZ276-BA276</x:f>
        <x:v>0</x:v>
      </x:c>
    </x:row>
    <x:row r="277">
      <x:c r="A277" s="27" t="str">
        <x:f>'Inputs_Trades'!D277</x:f>
        <x:v>IND-000274</x:v>
      </x:c>
      <x:c r="B277" s="27" t="str">
        <x:f>'Inputs_Trades'!B277</x:f>
        <x:v>IND_HEDGE_FUND_001</x:v>
      </x:c>
      <x:c r="C277" s="27" t="n">
        <x:f>'Inputs_Trades'!C277</x:f>
        <x:v>3289</x:v>
      </x:c>
      <x:c r="D277" s="27" t="str">
        <x:f>'Inputs_Trades'!E277</x:f>
        <x:v>Credit Index CDS</x:v>
      </x:c>
      <x:c r="E277" s="27" t="str">
        <x:f>'Inputs_Trades'!F277</x:f>
        <x:v>Credit</x:v>
      </x:c>
      <x:c r="F277" s="27" t="n">
        <x:f>'Inputs_Trades'!G277</x:f>
        <x:v>0</x:v>
      </x:c>
      <x:c r="G277" s="27" t="str">
        <x:f>'Inputs_Trades'!J277</x:f>
        <x:v>USD</x:v>
      </x:c>
      <x:c r="H277" s="27" t="str">
        <x:f>'Inputs_Trades'!H277</x:f>
        <x:v>USD</x:v>
      </x:c>
      <x:c r="I277" s="27" t="n">
        <x:f>'Inputs_Trades'!I277</x:f>
        <x:v>0</x:v>
      </x:c>
      <x:c r="J277" s="27" t="str">
        <x:f>'Inputs_Trades'!M277</x:f>
        <x:v>CREDIT_INDEX_04</x:v>
      </x:c>
      <x:c r="K277" s="27" t="str">
        <x:f>'Inputs_Trades'!N277</x:f>
        <x:v>Index</x:v>
      </x:c>
      <x:c r="L277" s="27" t="str">
        <x:f>'Inputs_Trades'!O277</x:f>
        <x:v>BB</x:v>
      </x:c>
      <x:c r="M277" s="39" t="n">
        <x:f>'Inputs_Trades'!A277</x:f>
        <x:v>45702</x:v>
      </x:c>
      <x:c r="N277" s="39" t="n">
        <x:f>'Inputs_Trades'!P277</x:f>
        <x:v>45774</x:v>
      </x:c>
      <x:c r="O277" s="39" t="n">
        <x:f>'Inputs_Trades'!Q277</x:f>
        <x:v>45477</x:v>
      </x:c>
      <x:c r="P277" s="39" t="n">
        <x:f>'Inputs_Trades'!R277</x:f>
        <x:v>45774</x:v>
      </x:c>
      <x:c r="Q277" s="40" t="n">
        <x:f>'Inputs_Trades'!U277</x:f>
        <x:v>45500000</x:v>
      </x:c>
      <x:c r="R277" s="40" t="n">
        <x:f>'Inputs_Trades'!S277</x:f>
        <x:v>45500000</x:v>
      </x:c>
      <x:c r="S277" s="40" t="n">
        <x:f>'Inputs_Trades'!T277</x:f>
        <x:v>0</x:v>
      </x:c>
      <x:c r="T277" s="27" t="str">
        <x:f>'Inputs_Trades'!V277</x:f>
        <x:v>M</x:v>
      </x:c>
      <x:c r="U277" s="27" t="str">
        <x:f>'Inputs_Trades'!W277</x:f>
        <x:v>N</x:v>
      </x:c>
      <x:c r="V277" s="27" t="n">
        <x:f>'Inputs_Trades'!X277</x:f>
        <x:v>10</x:v>
      </x:c>
      <x:c r="W277" s="27" t="str">
        <x:f>'Inputs_Trades'!Y277</x:f>
        <x:v>B</x:v>
      </x:c>
      <x:c r="X277" s="27" t="n">
        <x:f>'Inputs_Trades'!AA277</x:f>
        <x:v>0</x:v>
      </x:c>
      <x:c r="Y277" s="27" t="n">
        <x:f>'Inputs_Trades'!AB277</x:f>
        <x:v>0</x:v>
      </x:c>
      <x:c r="Z277" s="27" t="n">
        <x:f>'Inputs_Trades'!AC277</x:f>
        <x:v>0</x:v>
      </x:c>
      <x:c r="AA277" s="39" t="n">
        <x:f>'Inputs_Trades'!Z277</x:f>
        <x:v>0</x:v>
      </x:c>
      <x:c r="AB277" s="40" t="n">
        <x:f>'Inputs_Trades'!AD277</x:f>
        <x:v>869960</x:v>
      </x:c>
      <x:c r="AC277" s="27" t="n">
        <x:f>'Inputs_Trades'!K277</x:f>
        <x:v>0</x:v>
      </x:c>
      <x:c r="AD277" s="27" t="n">
        <x:f>N277-M277</x:f>
        <x:v>72</x:v>
      </x:c>
      <x:c r="AE277" s="41" t="n">
        <x:f>AD277/365</x:f>
        <x:v>0.19726027397260273</x:v>
      </x:c>
      <x:c r="AF277" s="27" t="str">
        <x:f>IF(AE277&lt;1,"&lt;1Y",IF(AE277&lt;=5,"1Y-5Y","&gt;5Y"))</x:f>
        <x:v>&lt;1Y</x:v>
      </x:c>
      <x:c r="AG277" s="27" t="str">
        <x:f>IF(E277="Commodity",IFERROR(VLOOKUP(F277,Parameters!$P$4:$Q$12,2,FALSE),"Other"),"")</x:f>
      </x:c>
      <x:c r="AH277" s="27" t="str">
        <x:f>IF(F277="","Unknown",F277)</x:f>
        <x:v>Unknown</x:v>
      </x:c>
      <x:c r="AI277" s="27" t="str">
        <x:f>IF(E277="Interest Rate",G277&amp;IF(OR(LOWER(AC277)="basis",LOWER(AC277)="volatility"),"_"&amp;AC277,""),IF(E277="FX",IF(H277&lt;I277,H277&amp;"/"&amp;I277,I277&amp;"/"&amp;H277)&amp;IF(OR(LOWER(AC277)="basis",LOWER(AC277)="volatility"),"_"&amp;AC277,""),IF(OR(E277="Credit",E277="Equity"),J277&amp;IF(OR(LOWER(AC277)="basis",LOWER(AC277)="volatility"),"_"&amp;AC277,""),IF(E277="Commodity",AG277&amp;IF(OR(LOWER(AC277)="basis",LOWER(AC277)="volatility"),"_"&amp;AC277,""),"UNKNOWN"))))</x:f>
        <x:v>CREDIT_INDEX_04</x:v>
      </x:c>
      <x:c r="AJ277" s="27" t="str">
        <x:f>T277</x:f>
        <x:v>M</x:v>
      </x:c>
      <x:c r="AK277" s="41" t="n">
        <x:f>IF(E277="Interest Rate",VLOOKUP("Interest Rate",Parameters!$D$4:$E$12,2,FALSE),IF(E277="FX",VLOOKUP("FX",Parameters!$D$4:$E$12,2,FALSE),IF(E277="Credit",IFERROR(VLOOKUP(L277,Parameters!$G$4:$H$12,2,FALSE),VLOOKUP("BBB",Parameters!$G$4:$H$12,2,FALSE)),IF(E277="Equity",VLOOKUP(IF(LOWER(K277)="index","Equity Index","Equity Single Name"),Parameters!$D$4:$E$12,2,FALSE),IF(E277="Commodity",VLOOKUP(IFERROR(VLOOKUP(F277,Parameters!$S$4:$T$12,2,FALSE),"Commodity Other"),Parameters!$D$4:$E$12,2,FALSE),0)))))</x:f>
        <x:v>0.0106</x:v>
      </x:c>
      <x:c r="AL277" s="42" t="n">
        <x:f>IF(LOWER(AC277)="basis",Parameters!$B$8,IF(LOWER(AC277)="volatility",Parameters!$B$9,1))</x:f>
        <x:v>1</x:v>
      </x:c>
      <x:c r="AM277" s="41" t="n">
        <x:f>AK277*AL277</x:f>
        <x:v>0.0106</x:v>
      </x:c>
      <x:c r="AN277" s="42" t="n">
        <x:f>IF(E277="Credit",VLOOKUP(IF(LOWER(K277)="index","Credit Index","Credit Single Name"),Parameters!$J$4:$K$8,2,FALSE),IF(E277="Equity",VLOOKUP(IF(LOWER(K277)="index","Equity Index","Equity Single Name"),Parameters!$J$4:$K$8,2,FALSE),IF(E277="Commodity",VLOOKUP("Commodity",Parameters!$J$4:$K$8,2,FALSE),"")))</x:f>
        <x:v>0.8</x:v>
      </x:c>
      <x:c r="AO277" s="27" t="n">
        <x:f>MAX((O277-M277)/365,0)</x:f>
        <x:v>0</x:v>
      </x:c>
      <x:c r="AP277" s="27" t="n">
        <x:f>MAX((P277-M277)/365,10/Parameters!$B$6)</x:f>
        <x:v>0.19726027397260273</x:v>
      </x:c>
      <x:c r="AQ277" s="27" t="n">
        <x:f>IF(AP277&lt;=AO277,AO277+10/Parameters!$B$6,AP277)</x:f>
        <x:v>0.19726027397260273</x:v>
      </x:c>
      <x:c r="AR277" s="41" t="n">
        <x:f>IF(OR(E277="Interest Rate",E277="Credit"),(EXP(-Parameters!$B$7*AO277)-EXP(-Parameters!$B$7*AQ277))/Parameters!$B$7,1)</x:f>
        <x:v>0.19629067392491706</x:v>
      </x:c>
      <x:c r="AS277" s="40" t="n">
        <x:f>IF(OR(E277="Interest Rate",E277="Credit"),ABS(Q277)*AR277,IF(E277="FX",IF(Q277&gt;0,Q277,MAX(ABS(R277),ABS(S277),ABS(Q277))),ABS(Q277)))</x:f>
        <x:v>8931225.663583726</x:v>
      </x:c>
      <x:c r="AT277" s="42" t="n">
        <x:f>IF(OR(E277="Interest Rate",E277="FX"),VLOOKUP(E277,Parameters!$M$4:$N$11,2,FALSE),IF(E277="Credit",VLOOKUP(IF(LOWER(K277)="index","Credit Index","Credit Single Name"),Parameters!$M$4:$N$11,2,FALSE),IF(E277="Equity",VLOOKUP(IF(LOWER(K277)="index","Equity Index","Equity Single Name"),Parameters!$M$4:$N$11,2,FALSE),IF(E277="Commodity",VLOOKUP(IF(F277="Electricity","Commodity Electricity","Commodity Other"),Parameters!$M$4:$N$11,2,FALSE),1))))</x:f>
        <x:v>0.8</x:v>
      </x:c>
      <x:c r="AU277" s="27" t="n">
        <x:f>IF(W277="B",1,-1)</x:f>
        <x:v>1</x:v>
      </x:c>
      <x:c r="AV277" s="27" t="n">
        <x:f>IF(OR(AA277="",M277=""),MAX(AE277,1/365),MAX((AA277-M277)/365,1/365))</x:f>
        <x:v>0.19726027397260273</x:v>
      </x:c>
      <x:c r="AW277" s="41" t="str">
        <x:f>IF(OR(Z277&lt;=0,Y277&lt;=0,AT277&lt;=0,AV277&lt;=0),"",(LN(Z277/Y277)+0.5*AT277^2*AV277)/(AT277*SQRT(AV277)))</x:f>
      </x:c>
      <x:c r="AX277" s="41" t="n">
        <x:f>IF(AND(X277&lt;&gt;"C",X277&lt;&gt;"P"),AU277,IF(AW277="",AU277,IF(X277="C",AU277*0.5*(1+ERF(AW277/SQRT(2))),-AU277*0.5*(1+ERF(-AW277/SQRT(2))))))</x:f>
        <x:v>1</x:v>
      </x:c>
      <x:c r="AY277" s="41" t="n">
        <x:f>IF(AJ277="M",1.5*SQRT(MAX(IF(U277="Y",5,10),IF(V277="",10,V277))/Parameters!$B$6),SQRT(MIN(MAX(AE277,10/Parameters!$B$6),1)))</x:f>
        <x:v>0.30000000000000004</x:v>
      </x:c>
      <x:c r="AZ277" s="40" t="n">
        <x:f>AS277*AX277*AY277</x:f>
        <x:v>2679367.699075118</x:v>
      </x:c>
      <x:c r="BA277" s="40" t="n">
        <x:f>'Python_Trade_Output'!AZ277</x:f>
        <x:v>2679367.699075118</x:v>
      </x:c>
      <x:c r="BB277" s="43" t="n">
        <x:f>AZ277-BA277</x:f>
        <x:v>0</x:v>
      </x:c>
    </x:row>
    <x:row r="278">
      <x:c r="A278" s="27" t="str">
        <x:f>'Inputs_Trades'!D278</x:f>
        <x:v>IND-000275</x:v>
      </x:c>
      <x:c r="B278" s="27" t="str">
        <x:f>'Inputs_Trades'!B278</x:f>
        <x:v>IND_CLEARING_MEMBER_001</x:v>
      </x:c>
      <x:c r="C278" s="27" t="n">
        <x:f>'Inputs_Trades'!C278</x:f>
        <x:v>3108</x:v>
      </x:c>
      <x:c r="D278" s="27" t="str">
        <x:f>'Inputs_Trades'!E278</x:f>
        <x:v>Equity TRS</x:v>
      </x:c>
      <x:c r="E278" s="27" t="str">
        <x:f>'Inputs_Trades'!F278</x:f>
        <x:v>Equity</x:v>
      </x:c>
      <x:c r="F278" s="27" t="str">
        <x:f>'Inputs_Trades'!G278</x:f>
        <x:v>Single Stock</x:v>
      </x:c>
      <x:c r="G278" s="27" t="str">
        <x:f>'Inputs_Trades'!J278</x:f>
        <x:v>USD</x:v>
      </x:c>
      <x:c r="H278" s="27" t="str">
        <x:f>'Inputs_Trades'!H278</x:f>
        <x:v>USD</x:v>
      </x:c>
      <x:c r="I278" s="27" t="n">
        <x:f>'Inputs_Trades'!I278</x:f>
        <x:v>0</x:v>
      </x:c>
      <x:c r="J278" s="27" t="str">
        <x:f>'Inputs_Trades'!M278</x:f>
        <x:v>EQUITY_NAME_04</x:v>
      </x:c>
      <x:c r="K278" s="27" t="str">
        <x:f>'Inputs_Trades'!N278</x:f>
        <x:v>Singleton</x:v>
      </x:c>
      <x:c r="L278" s="27" t="n">
        <x:f>'Inputs_Trades'!O278</x:f>
        <x:v>0</x:v>
      </x:c>
      <x:c r="M278" s="39" t="n">
        <x:f>'Inputs_Trades'!A278</x:f>
        <x:v>45702</x:v>
      </x:c>
      <x:c r="N278" s="39" t="n">
        <x:f>'Inputs_Trades'!P278</x:f>
        <x:v>46611</x:v>
      </x:c>
      <x:c r="O278" s="39" t="n">
        <x:f>'Inputs_Trades'!Q278</x:f>
        <x:v>45645</x:v>
      </x:c>
      <x:c r="P278" s="39" t="n">
        <x:f>'Inputs_Trades'!R278</x:f>
        <x:v>46611</x:v>
      </x:c>
      <x:c r="Q278" s="40" t="n">
        <x:f>'Inputs_Trades'!U278</x:f>
        <x:v>65200000</x:v>
      </x:c>
      <x:c r="R278" s="40" t="n">
        <x:f>'Inputs_Trades'!S278</x:f>
        <x:v>65200000</x:v>
      </x:c>
      <x:c r="S278" s="40" t="n">
        <x:f>'Inputs_Trades'!T278</x:f>
        <x:v>0</x:v>
      </x:c>
      <x:c r="T278" s="27" t="str">
        <x:f>'Inputs_Trades'!V278</x:f>
        <x:v>M</x:v>
      </x:c>
      <x:c r="U278" s="27" t="str">
        <x:f>'Inputs_Trades'!W278</x:f>
        <x:v>N</x:v>
      </x:c>
      <x:c r="V278" s="27" t="n">
        <x:f>'Inputs_Trades'!X278</x:f>
        <x:v>10</x:v>
      </x:c>
      <x:c r="W278" s="27" t="str">
        <x:f>'Inputs_Trades'!Y278</x:f>
        <x:v>B</x:v>
      </x:c>
      <x:c r="X278" s="27" t="n">
        <x:f>'Inputs_Trades'!AA278</x:f>
        <x:v>0</x:v>
      </x:c>
      <x:c r="Y278" s="27" t="n">
        <x:f>'Inputs_Trades'!AB278</x:f>
        <x:v>0</x:v>
      </x:c>
      <x:c r="Z278" s="27" t="n">
        <x:f>'Inputs_Trades'!AC278</x:f>
        <x:v>0</x:v>
      </x:c>
      <x:c r="AA278" s="39" t="n">
        <x:f>'Inputs_Trades'!Z278</x:f>
        <x:v>0</x:v>
      </x:c>
      <x:c r="AB278" s="40" t="n">
        <x:f>'Inputs_Trades'!AD278</x:f>
        <x:v>-487044</x:v>
      </x:c>
      <x:c r="AC278" s="27" t="n">
        <x:f>'Inputs_Trades'!K278</x:f>
        <x:v>0</x:v>
      </x:c>
      <x:c r="AD278" s="27" t="n">
        <x:f>N278-M278</x:f>
        <x:v>909</x:v>
      </x:c>
      <x:c r="AE278" s="41" t="n">
        <x:f>AD278/365</x:f>
        <x:v>2.4904109589041097</x:v>
      </x:c>
      <x:c r="AF278" s="27" t="str">
        <x:f>IF(AE278&lt;1,"&lt;1Y",IF(AE278&lt;=5,"1Y-5Y","&gt;5Y"))</x:f>
        <x:v>1Y-5Y</x:v>
      </x:c>
      <x:c r="AG278" s="27" t="str">
        <x:f>IF(E278="Commodity",IFERROR(VLOOKUP(F278,Parameters!$P$4:$Q$12,2,FALSE),"Other"),"")</x:f>
      </x:c>
      <x:c r="AH278" s="27" t="str">
        <x:f>IF(F278="","Unknown",F278)</x:f>
        <x:v>Single Stock</x:v>
      </x:c>
      <x:c r="AI278" s="27" t="str">
        <x:f>IF(E278="Interest Rate",G278&amp;IF(OR(LOWER(AC278)="basis",LOWER(AC278)="volatility"),"_"&amp;AC278,""),IF(E278="FX",IF(H278&lt;I278,H278&amp;"/"&amp;I278,I278&amp;"/"&amp;H278)&amp;IF(OR(LOWER(AC278)="basis",LOWER(AC278)="volatility"),"_"&amp;AC278,""),IF(OR(E278="Credit",E278="Equity"),J278&amp;IF(OR(LOWER(AC278)="basis",LOWER(AC278)="volatility"),"_"&amp;AC278,""),IF(E278="Commodity",AG278&amp;IF(OR(LOWER(AC278)="basis",LOWER(AC278)="volatility"),"_"&amp;AC278,""),"UNKNOWN"))))</x:f>
        <x:v>EQUITY_NAME_04</x:v>
      </x:c>
      <x:c r="AJ278" s="27" t="str">
        <x:f>T278</x:f>
        <x:v>M</x:v>
      </x:c>
      <x:c r="AK278" s="41" t="n">
        <x:f>IF(E278="Interest Rate",VLOOKUP("Interest Rate",Parameters!$D$4:$E$12,2,FALSE),IF(E278="FX",VLOOKUP("FX",Parameters!$D$4:$E$12,2,FALSE),IF(E278="Credit",IFERROR(VLOOKUP(L278,Parameters!$G$4:$H$12,2,FALSE),VLOOKUP("BBB",Parameters!$G$4:$H$12,2,FALSE)),IF(E278="Equity",VLOOKUP(IF(LOWER(K278)="index","Equity Index","Equity Single Name"),Parameters!$D$4:$E$12,2,FALSE),IF(E278="Commodity",VLOOKUP(IFERROR(VLOOKUP(F278,Parameters!$S$4:$T$12,2,FALSE),"Commodity Other"),Parameters!$D$4:$E$12,2,FALSE),0)))))</x:f>
        <x:v>0.32</x:v>
      </x:c>
      <x:c r="AL278" s="42" t="n">
        <x:f>IF(LOWER(AC278)="basis",Parameters!$B$8,IF(LOWER(AC278)="volatility",Parameters!$B$9,1))</x:f>
        <x:v>1</x:v>
      </x:c>
      <x:c r="AM278" s="41" t="n">
        <x:f>AK278*AL278</x:f>
        <x:v>0.32</x:v>
      </x:c>
      <x:c r="AN278" s="42" t="n">
        <x:f>IF(E278="Credit",VLOOKUP(IF(LOWER(K278)="index","Credit Index","Credit Single Name"),Parameters!$J$4:$K$8,2,FALSE),IF(E278="Equity",VLOOKUP(IF(LOWER(K278)="index","Equity Index","Equity Single Name"),Parameters!$J$4:$K$8,2,FALSE),IF(E278="Commodity",VLOOKUP("Commodity",Parameters!$J$4:$K$8,2,FALSE),"")))</x:f>
        <x:v>0.5</x:v>
      </x:c>
      <x:c r="AO278" s="27" t="n">
        <x:f>MAX((O278-M278)/365,0)</x:f>
        <x:v>0</x:v>
      </x:c>
      <x:c r="AP278" s="27" t="n">
        <x:f>MAX((P278-M278)/365,10/Parameters!$B$6)</x:f>
        <x:v>2.4904109589041097</x:v>
      </x:c>
      <x:c r="AQ278" s="27" t="n">
        <x:f>IF(AP278&lt;=AO278,AO278+10/Parameters!$B$6,AP278)</x:f>
        <x:v>2.4904109589041097</x:v>
      </x:c>
      <x:c r="AR278" s="41" t="n">
        <x:f>IF(OR(E278="Interest Rate",E278="Credit"),(EXP(-Parameters!$B$7*AO278)-EXP(-Parameters!$B$7*AQ278))/Parameters!$B$7,1)</x:f>
        <x:v>1</x:v>
      </x:c>
      <x:c r="AS278" s="40" t="n">
        <x:f>IF(OR(E278="Interest Rate",E278="Credit"),ABS(Q278)*AR278,IF(E278="FX",IF(Q278&gt;0,Q278,MAX(ABS(R278),ABS(S278),ABS(Q278))),ABS(Q278)))</x:f>
        <x:v>65200000</x:v>
      </x:c>
      <x:c r="AT278" s="42" t="n">
        <x:f>IF(OR(E278="Interest Rate",E278="FX"),VLOOKUP(E278,Parameters!$M$4:$N$11,2,FALSE),IF(E278="Credit",VLOOKUP(IF(LOWER(K278)="index","Credit Index","Credit Single Name"),Parameters!$M$4:$N$11,2,FALSE),IF(E278="Equity",VLOOKUP(IF(LOWER(K278)="index","Equity Index","Equity Single Name"),Parameters!$M$4:$N$11,2,FALSE),IF(E278="Commodity",VLOOKUP(IF(F278="Electricity","Commodity Electricity","Commodity Other"),Parameters!$M$4:$N$11,2,FALSE),1))))</x:f>
        <x:v>1.2</x:v>
      </x:c>
      <x:c r="AU278" s="27" t="n">
        <x:f>IF(W278="B",1,-1)</x:f>
        <x:v>1</x:v>
      </x:c>
      <x:c r="AV278" s="27" t="n">
        <x:f>IF(OR(AA278="",M278=""),MAX(AE278,1/365),MAX((AA278-M278)/365,1/365))</x:f>
        <x:v>2.4904109589041097</x:v>
      </x:c>
      <x:c r="AW278" s="41" t="str">
        <x:f>IF(OR(Z278&lt;=0,Y278&lt;=0,AT278&lt;=0,AV278&lt;=0),"",(LN(Z278/Y278)+0.5*AT278^2*AV278)/(AT278*SQRT(AV278)))</x:f>
      </x:c>
      <x:c r="AX278" s="41" t="n">
        <x:f>IF(AND(X278&lt;&gt;"C",X278&lt;&gt;"P"),AU278,IF(AW278="",AU278,IF(X278="C",AU278*0.5*(1+ERF(AW278/SQRT(2))),-AU278*0.5*(1+ERF(-AW278/SQRT(2))))))</x:f>
        <x:v>1</x:v>
      </x:c>
      <x:c r="AY278" s="41" t="n">
        <x:f>IF(AJ278="M",1.5*SQRT(MAX(IF(U278="Y",5,10),IF(V278="",10,V278))/Parameters!$B$6),SQRT(MIN(MAX(AE278,10/Parameters!$B$6),1)))</x:f>
        <x:v>0.30000000000000004</x:v>
      </x:c>
      <x:c r="AZ278" s="40" t="n">
        <x:f>AS278*AX278*AY278</x:f>
        <x:v>19560000.000000004</x:v>
      </x:c>
      <x:c r="BA278" s="40" t="n">
        <x:f>'Python_Trade_Output'!AZ278</x:f>
        <x:v>19560000.000000004</x:v>
      </x:c>
      <x:c r="BB278" s="43" t="n">
        <x:f>AZ278-BA278</x:f>
        <x:v>0</x:v>
      </x:c>
    </x:row>
    <x:row r="279">
      <x:c r="A279" s="27" t="str">
        <x:f>'Inputs_Trades'!D279</x:f>
        <x:v>IND-000276</x:v>
      </x:c>
      <x:c r="B279" s="27" t="str">
        <x:f>'Inputs_Trades'!B279</x:f>
        <x:v>IND_CLEARING_MEMBER_001</x:v>
      </x:c>
      <x:c r="C279" s="27" t="n">
        <x:f>'Inputs_Trades'!C279</x:f>
        <x:v>3161</x:v>
      </x:c>
      <x:c r="D279" s="27" t="str">
        <x:f>'Inputs_Trades'!E279</x:f>
        <x:v>Equity TRS</x:v>
      </x:c>
      <x:c r="E279" s="27" t="str">
        <x:f>'Inputs_Trades'!F279</x:f>
        <x:v>Equity</x:v>
      </x:c>
      <x:c r="F279" s="27" t="str">
        <x:f>'Inputs_Trades'!G279</x:f>
        <x:v>Single Stock</x:v>
      </x:c>
      <x:c r="G279" s="27" t="str">
        <x:f>'Inputs_Trades'!J279</x:f>
        <x:v>USD</x:v>
      </x:c>
      <x:c r="H279" s="27" t="str">
        <x:f>'Inputs_Trades'!H279</x:f>
        <x:v>USD</x:v>
      </x:c>
      <x:c r="I279" s="27" t="n">
        <x:f>'Inputs_Trades'!I279</x:f>
        <x:v>0</x:v>
      </x:c>
      <x:c r="J279" s="27" t="str">
        <x:f>'Inputs_Trades'!M279</x:f>
        <x:v>EQUITY_NAME_16</x:v>
      </x:c>
      <x:c r="K279" s="27" t="str">
        <x:f>'Inputs_Trades'!N279</x:f>
        <x:v>Singleton</x:v>
      </x:c>
      <x:c r="L279" s="27" t="n">
        <x:f>'Inputs_Trades'!O279</x:f>
        <x:v>0</x:v>
      </x:c>
      <x:c r="M279" s="39" t="n">
        <x:f>'Inputs_Trades'!A279</x:f>
        <x:v>45702</x:v>
      </x:c>
      <x:c r="N279" s="39" t="n">
        <x:f>'Inputs_Trades'!P279</x:f>
        <x:v>46112</x:v>
      </x:c>
      <x:c r="O279" s="39" t="n">
        <x:f>'Inputs_Trades'!Q279</x:f>
        <x:v>45556</x:v>
      </x:c>
      <x:c r="P279" s="39" t="n">
        <x:f>'Inputs_Trades'!R279</x:f>
        <x:v>46112</x:v>
      </x:c>
      <x:c r="Q279" s="40" t="n">
        <x:f>'Inputs_Trades'!U279</x:f>
        <x:v>43900000</x:v>
      </x:c>
      <x:c r="R279" s="40" t="n">
        <x:f>'Inputs_Trades'!S279</x:f>
        <x:v>43900000</x:v>
      </x:c>
      <x:c r="S279" s="40" t="n">
        <x:f>'Inputs_Trades'!T279</x:f>
        <x:v>0</x:v>
      </x:c>
      <x:c r="T279" s="27" t="str">
        <x:f>'Inputs_Trades'!V279</x:f>
        <x:v>U</x:v>
      </x:c>
      <x:c r="U279" s="27" t="str">
        <x:f>'Inputs_Trades'!W279</x:f>
        <x:v>N</x:v>
      </x:c>
      <x:c r="V279" s="27" t="n">
        <x:f>'Inputs_Trades'!X279</x:f>
        <x:v>0</x:v>
      </x:c>
      <x:c r="W279" s="27" t="str">
        <x:f>'Inputs_Trades'!Y279</x:f>
        <x:v>B</x:v>
      </x:c>
      <x:c r="X279" s="27" t="n">
        <x:f>'Inputs_Trades'!AA279</x:f>
        <x:v>0</x:v>
      </x:c>
      <x:c r="Y279" s="27" t="n">
        <x:f>'Inputs_Trades'!AB279</x:f>
        <x:v>0</x:v>
      </x:c>
      <x:c r="Z279" s="27" t="n">
        <x:f>'Inputs_Trades'!AC279</x:f>
        <x:v>0</x:v>
      </x:c>
      <x:c r="AA279" s="39" t="n">
        <x:f>'Inputs_Trades'!Z279</x:f>
        <x:v>0</x:v>
      </x:c>
      <x:c r="AB279" s="40" t="n">
        <x:f>'Inputs_Trades'!AD279</x:f>
        <x:v>877122</x:v>
      </x:c>
      <x:c r="AC279" s="27" t="n">
        <x:f>'Inputs_Trades'!K279</x:f>
        <x:v>0</x:v>
      </x:c>
      <x:c r="AD279" s="27" t="n">
        <x:f>N279-M279</x:f>
        <x:v>410</x:v>
      </x:c>
      <x:c r="AE279" s="41" t="n">
        <x:f>AD279/365</x:f>
        <x:v>1.1232876712328768</x:v>
      </x:c>
      <x:c r="AF279" s="27" t="str">
        <x:f>IF(AE279&lt;1,"&lt;1Y",IF(AE279&lt;=5,"1Y-5Y","&gt;5Y"))</x:f>
        <x:v>1Y-5Y</x:v>
      </x:c>
      <x:c r="AG279" s="27" t="str">
        <x:f>IF(E279="Commodity",IFERROR(VLOOKUP(F279,Parameters!$P$4:$Q$12,2,FALSE),"Other"),"")</x:f>
      </x:c>
      <x:c r="AH279" s="27" t="str">
        <x:f>IF(F279="","Unknown",F279)</x:f>
        <x:v>Single Stock</x:v>
      </x:c>
      <x:c r="AI279" s="27" t="str">
        <x:f>IF(E279="Interest Rate",G279&amp;IF(OR(LOWER(AC279)="basis",LOWER(AC279)="volatility"),"_"&amp;AC279,""),IF(E279="FX",IF(H279&lt;I279,H279&amp;"/"&amp;I279,I279&amp;"/"&amp;H279)&amp;IF(OR(LOWER(AC279)="basis",LOWER(AC279)="volatility"),"_"&amp;AC279,""),IF(OR(E279="Credit",E279="Equity"),J279&amp;IF(OR(LOWER(AC279)="basis",LOWER(AC279)="volatility"),"_"&amp;AC279,""),IF(E279="Commodity",AG279&amp;IF(OR(LOWER(AC279)="basis",LOWER(AC279)="volatility"),"_"&amp;AC279,""),"UNKNOWN"))))</x:f>
        <x:v>EQUITY_NAME_16</x:v>
      </x:c>
      <x:c r="AJ279" s="27" t="str">
        <x:f>T279</x:f>
        <x:v>U</x:v>
      </x:c>
      <x:c r="AK279" s="41" t="n">
        <x:f>IF(E279="Interest Rate",VLOOKUP("Interest Rate",Parameters!$D$4:$E$12,2,FALSE),IF(E279="FX",VLOOKUP("FX",Parameters!$D$4:$E$12,2,FALSE),IF(E279="Credit",IFERROR(VLOOKUP(L279,Parameters!$G$4:$H$12,2,FALSE),VLOOKUP("BBB",Parameters!$G$4:$H$12,2,FALSE)),IF(E279="Equity",VLOOKUP(IF(LOWER(K279)="index","Equity Index","Equity Single Name"),Parameters!$D$4:$E$12,2,FALSE),IF(E279="Commodity",VLOOKUP(IFERROR(VLOOKUP(F279,Parameters!$S$4:$T$12,2,FALSE),"Commodity Other"),Parameters!$D$4:$E$12,2,FALSE),0)))))</x:f>
        <x:v>0.32</x:v>
      </x:c>
      <x:c r="AL279" s="42" t="n">
        <x:f>IF(LOWER(AC279)="basis",Parameters!$B$8,IF(LOWER(AC279)="volatility",Parameters!$B$9,1))</x:f>
        <x:v>1</x:v>
      </x:c>
      <x:c r="AM279" s="41" t="n">
        <x:f>AK279*AL279</x:f>
        <x:v>0.32</x:v>
      </x:c>
      <x:c r="AN279" s="42" t="n">
        <x:f>IF(E279="Credit",VLOOKUP(IF(LOWER(K279)="index","Credit Index","Credit Single Name"),Parameters!$J$4:$K$8,2,FALSE),IF(E279="Equity",VLOOKUP(IF(LOWER(K279)="index","Equity Index","Equity Single Name"),Parameters!$J$4:$K$8,2,FALSE),IF(E279="Commodity",VLOOKUP("Commodity",Parameters!$J$4:$K$8,2,FALSE),"")))</x:f>
        <x:v>0.5</x:v>
      </x:c>
      <x:c r="AO279" s="27" t="n">
        <x:f>MAX((O279-M279)/365,0)</x:f>
        <x:v>0</x:v>
      </x:c>
      <x:c r="AP279" s="27" t="n">
        <x:f>MAX((P279-M279)/365,10/Parameters!$B$6)</x:f>
        <x:v>1.1232876712328768</x:v>
      </x:c>
      <x:c r="AQ279" s="27" t="n">
        <x:f>IF(AP279&lt;=AO279,AO279+10/Parameters!$B$6,AP279)</x:f>
        <x:v>1.1232876712328768</x:v>
      </x:c>
      <x:c r="AR279" s="41" t="n">
        <x:f>IF(OR(E279="Interest Rate",E279="Credit"),(EXP(-Parameters!$B$7*AO279)-EXP(-Parameters!$B$7*AQ279))/Parameters!$B$7,1)</x:f>
        <x:v>1</x:v>
      </x:c>
      <x:c r="AS279" s="40" t="n">
        <x:f>IF(OR(E279="Interest Rate",E279="Credit"),ABS(Q279)*AR279,IF(E279="FX",IF(Q279&gt;0,Q279,MAX(ABS(R279),ABS(S279),ABS(Q279))),ABS(Q279)))</x:f>
        <x:v>43900000</x:v>
      </x:c>
      <x:c r="AT279" s="42" t="n">
        <x:f>IF(OR(E279="Interest Rate",E279="FX"),VLOOKUP(E279,Parameters!$M$4:$N$11,2,FALSE),IF(E279="Credit",VLOOKUP(IF(LOWER(K279)="index","Credit Index","Credit Single Name"),Parameters!$M$4:$N$11,2,FALSE),IF(E279="Equity",VLOOKUP(IF(LOWER(K279)="index","Equity Index","Equity Single Name"),Parameters!$M$4:$N$11,2,FALSE),IF(E279="Commodity",VLOOKUP(IF(F279="Electricity","Commodity Electricity","Commodity Other"),Parameters!$M$4:$N$11,2,FALSE),1))))</x:f>
        <x:v>1.2</x:v>
      </x:c>
      <x:c r="AU279" s="27" t="n">
        <x:f>IF(W279="B",1,-1)</x:f>
        <x:v>1</x:v>
      </x:c>
      <x:c r="AV279" s="27" t="n">
        <x:f>IF(OR(AA279="",M279=""),MAX(AE279,1/365),MAX((AA279-M279)/365,1/365))</x:f>
        <x:v>1.1232876712328768</x:v>
      </x:c>
      <x:c r="AW279" s="41" t="str">
        <x:f>IF(OR(Z279&lt;=0,Y279&lt;=0,AT279&lt;=0,AV279&lt;=0),"",(LN(Z279/Y279)+0.5*AT279^2*AV279)/(AT279*SQRT(AV279)))</x:f>
      </x:c>
      <x:c r="AX279" s="41" t="n">
        <x:f>IF(AND(X279&lt;&gt;"C",X279&lt;&gt;"P"),AU279,IF(AW279="",AU279,IF(X279="C",AU279*0.5*(1+ERF(AW279/SQRT(2))),-AU279*0.5*(1+ERF(-AW279/SQRT(2))))))</x:f>
        <x:v>1</x:v>
      </x:c>
      <x:c r="AY279" s="41" t="n">
        <x:f>IF(AJ279="M",1.5*SQRT(MAX(IF(U279="Y",5,10),IF(V279="",10,V279))/Parameters!$B$6),SQRT(MIN(MAX(AE279,10/Parameters!$B$6),1)))</x:f>
        <x:v>1</x:v>
      </x:c>
      <x:c r="AZ279" s="40" t="n">
        <x:f>AS279*AX279*AY279</x:f>
        <x:v>43900000</x:v>
      </x:c>
      <x:c r="BA279" s="40" t="n">
        <x:f>'Python_Trade_Output'!AZ279</x:f>
        <x:v>43900000</x:v>
      </x:c>
      <x:c r="BB279" s="43" t="n">
        <x:f>AZ279-BA279</x:f>
        <x:v>0</x:v>
      </x:c>
    </x:row>
    <x:row r="280">
      <x:c r="A280" s="27" t="str">
        <x:f>'Inputs_Trades'!D280</x:f>
        <x:v>IND-000277</x:v>
      </x:c>
      <x:c r="B280" s="27" t="str">
        <x:f>'Inputs_Trades'!B280</x:f>
        <x:v>IND_BROKER_001</x:v>
      </x:c>
      <x:c r="C280" s="27" t="n">
        <x:f>'Inputs_Trades'!C280</x:f>
        <x:v>3276</x:v>
      </x:c>
      <x:c r="D280" s="27" t="str">
        <x:f>'Inputs_Trades'!E280</x:f>
        <x:v>Equity TRS</x:v>
      </x:c>
      <x:c r="E280" s="27" t="str">
        <x:f>'Inputs_Trades'!F280</x:f>
        <x:v>Equity</x:v>
      </x:c>
      <x:c r="F280" s="27" t="str">
        <x:f>'Inputs_Trades'!G280</x:f>
        <x:v>Single Stock</x:v>
      </x:c>
      <x:c r="G280" s="27" t="str">
        <x:f>'Inputs_Trades'!J280</x:f>
        <x:v>USD</x:v>
      </x:c>
      <x:c r="H280" s="27" t="str">
        <x:f>'Inputs_Trades'!H280</x:f>
        <x:v>USD</x:v>
      </x:c>
      <x:c r="I280" s="27" t="n">
        <x:f>'Inputs_Trades'!I280</x:f>
        <x:v>0</x:v>
      </x:c>
      <x:c r="J280" s="27" t="str">
        <x:f>'Inputs_Trades'!M280</x:f>
        <x:v>EQUITY_NAME_14</x:v>
      </x:c>
      <x:c r="K280" s="27" t="str">
        <x:f>'Inputs_Trades'!N280</x:f>
        <x:v>Singleton</x:v>
      </x:c>
      <x:c r="L280" s="27" t="n">
        <x:f>'Inputs_Trades'!O280</x:f>
        <x:v>0</x:v>
      </x:c>
      <x:c r="M280" s="39" t="n">
        <x:f>'Inputs_Trades'!A280</x:f>
        <x:v>45702</x:v>
      </x:c>
      <x:c r="N280" s="39" t="n">
        <x:f>'Inputs_Trades'!P280</x:f>
        <x:v>45869</x:v>
      </x:c>
      <x:c r="O280" s="39" t="n">
        <x:f>'Inputs_Trades'!Q280</x:f>
        <x:v>45420</x:v>
      </x:c>
      <x:c r="P280" s="39" t="n">
        <x:f>'Inputs_Trades'!R280</x:f>
        <x:v>45869</x:v>
      </x:c>
      <x:c r="Q280" s="40" t="n">
        <x:f>'Inputs_Trades'!U280</x:f>
        <x:v>60700000</x:v>
      </x:c>
      <x:c r="R280" s="40" t="n">
        <x:f>'Inputs_Trades'!S280</x:f>
        <x:v>60700000</x:v>
      </x:c>
      <x:c r="S280" s="40" t="n">
        <x:f>'Inputs_Trades'!T280</x:f>
        <x:v>0</x:v>
      </x:c>
      <x:c r="T280" s="27" t="str">
        <x:f>'Inputs_Trades'!V280</x:f>
        <x:v>U</x:v>
      </x:c>
      <x:c r="U280" s="27" t="str">
        <x:f>'Inputs_Trades'!W280</x:f>
        <x:v>N</x:v>
      </x:c>
      <x:c r="V280" s="27" t="n">
        <x:f>'Inputs_Trades'!X280</x:f>
        <x:v>0</x:v>
      </x:c>
      <x:c r="W280" s="27" t="str">
        <x:f>'Inputs_Trades'!Y280</x:f>
        <x:v>B</x:v>
      </x:c>
      <x:c r="X280" s="27" t="n">
        <x:f>'Inputs_Trades'!AA280</x:f>
        <x:v>0</x:v>
      </x:c>
      <x:c r="Y280" s="27" t="n">
        <x:f>'Inputs_Trades'!AB280</x:f>
        <x:v>0</x:v>
      </x:c>
      <x:c r="Z280" s="27" t="n">
        <x:f>'Inputs_Trades'!AC280</x:f>
        <x:v>0</x:v>
      </x:c>
      <x:c r="AA280" s="39" t="n">
        <x:f>'Inputs_Trades'!Z280</x:f>
        <x:v>0</x:v>
      </x:c>
      <x:c r="AB280" s="40" t="n">
        <x:f>'Inputs_Trades'!AD280</x:f>
        <x:v>480744</x:v>
      </x:c>
      <x:c r="AC280" s="27" t="n">
        <x:f>'Inputs_Trades'!K280</x:f>
        <x:v>0</x:v>
      </x:c>
      <x:c r="AD280" s="27" t="n">
        <x:f>N280-M280</x:f>
        <x:v>167</x:v>
      </x:c>
      <x:c r="AE280" s="41" t="n">
        <x:f>AD280/365</x:f>
        <x:v>0.4575342465753425</x:v>
      </x:c>
      <x:c r="AF280" s="27" t="str">
        <x:f>IF(AE280&lt;1,"&lt;1Y",IF(AE280&lt;=5,"1Y-5Y","&gt;5Y"))</x:f>
        <x:v>&lt;1Y</x:v>
      </x:c>
      <x:c r="AG280" s="27" t="str">
        <x:f>IF(E280="Commodity",IFERROR(VLOOKUP(F280,Parameters!$P$4:$Q$12,2,FALSE),"Other"),"")</x:f>
      </x:c>
      <x:c r="AH280" s="27" t="str">
        <x:f>IF(F280="","Unknown",F280)</x:f>
        <x:v>Single Stock</x:v>
      </x:c>
      <x:c r="AI280" s="27" t="str">
        <x:f>IF(E280="Interest Rate",G280&amp;IF(OR(LOWER(AC280)="basis",LOWER(AC280)="volatility"),"_"&amp;AC280,""),IF(E280="FX",IF(H280&lt;I280,H280&amp;"/"&amp;I280,I280&amp;"/"&amp;H280)&amp;IF(OR(LOWER(AC280)="basis",LOWER(AC280)="volatility"),"_"&amp;AC280,""),IF(OR(E280="Credit",E280="Equity"),J280&amp;IF(OR(LOWER(AC280)="basis",LOWER(AC280)="volatility"),"_"&amp;AC280,""),IF(E280="Commodity",AG280&amp;IF(OR(LOWER(AC280)="basis",LOWER(AC280)="volatility"),"_"&amp;AC280,""),"UNKNOWN"))))</x:f>
        <x:v>EQUITY_NAME_14</x:v>
      </x:c>
      <x:c r="AJ280" s="27" t="str">
        <x:f>T280</x:f>
        <x:v>U</x:v>
      </x:c>
      <x:c r="AK280" s="41" t="n">
        <x:f>IF(E280="Interest Rate",VLOOKUP("Interest Rate",Parameters!$D$4:$E$12,2,FALSE),IF(E280="FX",VLOOKUP("FX",Parameters!$D$4:$E$12,2,FALSE),IF(E280="Credit",IFERROR(VLOOKUP(L280,Parameters!$G$4:$H$12,2,FALSE),VLOOKUP("BBB",Parameters!$G$4:$H$12,2,FALSE)),IF(E280="Equity",VLOOKUP(IF(LOWER(K280)="index","Equity Index","Equity Single Name"),Parameters!$D$4:$E$12,2,FALSE),IF(E280="Commodity",VLOOKUP(IFERROR(VLOOKUP(F280,Parameters!$S$4:$T$12,2,FALSE),"Commodity Other"),Parameters!$D$4:$E$12,2,FALSE),0)))))</x:f>
        <x:v>0.32</x:v>
      </x:c>
      <x:c r="AL280" s="42" t="n">
        <x:f>IF(LOWER(AC280)="basis",Parameters!$B$8,IF(LOWER(AC280)="volatility",Parameters!$B$9,1))</x:f>
        <x:v>1</x:v>
      </x:c>
      <x:c r="AM280" s="41" t="n">
        <x:f>AK280*AL280</x:f>
        <x:v>0.32</x:v>
      </x:c>
      <x:c r="AN280" s="42" t="n">
        <x:f>IF(E280="Credit",VLOOKUP(IF(LOWER(K280)="index","Credit Index","Credit Single Name"),Parameters!$J$4:$K$8,2,FALSE),IF(E280="Equity",VLOOKUP(IF(LOWER(K280)="index","Equity Index","Equity Single Name"),Parameters!$J$4:$K$8,2,FALSE),IF(E280="Commodity",VLOOKUP("Commodity",Parameters!$J$4:$K$8,2,FALSE),"")))</x:f>
        <x:v>0.5</x:v>
      </x:c>
      <x:c r="AO280" s="27" t="n">
        <x:f>MAX((O280-M280)/365,0)</x:f>
        <x:v>0</x:v>
      </x:c>
      <x:c r="AP280" s="27" t="n">
        <x:f>MAX((P280-M280)/365,10/Parameters!$B$6)</x:f>
        <x:v>0.4575342465753425</x:v>
      </x:c>
      <x:c r="AQ280" s="27" t="n">
        <x:f>IF(AP280&lt;=AO280,AO280+10/Parameters!$B$6,AP280)</x:f>
        <x:v>0.4575342465753425</x:v>
      </x:c>
      <x:c r="AR280" s="41" t="n">
        <x:f>IF(OR(E280="Interest Rate",E280="Credit"),(EXP(-Parameters!$B$7*AO280)-EXP(-Parameters!$B$7*AQ280))/Parameters!$B$7,1)</x:f>
        <x:v>1</x:v>
      </x:c>
      <x:c r="AS280" s="40" t="n">
        <x:f>IF(OR(E280="Interest Rate",E280="Credit"),ABS(Q280)*AR280,IF(E280="FX",IF(Q280&gt;0,Q280,MAX(ABS(R280),ABS(S280),ABS(Q280))),ABS(Q280)))</x:f>
        <x:v>60700000</x:v>
      </x:c>
      <x:c r="AT280" s="42" t="n">
        <x:f>IF(OR(E280="Interest Rate",E280="FX"),VLOOKUP(E280,Parameters!$M$4:$N$11,2,FALSE),IF(E280="Credit",VLOOKUP(IF(LOWER(K280)="index","Credit Index","Credit Single Name"),Parameters!$M$4:$N$11,2,FALSE),IF(E280="Equity",VLOOKUP(IF(LOWER(K280)="index","Equity Index","Equity Single Name"),Parameters!$M$4:$N$11,2,FALSE),IF(E280="Commodity",VLOOKUP(IF(F280="Electricity","Commodity Electricity","Commodity Other"),Parameters!$M$4:$N$11,2,FALSE),1))))</x:f>
        <x:v>1.2</x:v>
      </x:c>
      <x:c r="AU280" s="27" t="n">
        <x:f>IF(W280="B",1,-1)</x:f>
        <x:v>1</x:v>
      </x:c>
      <x:c r="AV280" s="27" t="n">
        <x:f>IF(OR(AA280="",M280=""),MAX(AE280,1/365),MAX((AA280-M280)/365,1/365))</x:f>
        <x:v>0.4575342465753425</x:v>
      </x:c>
      <x:c r="AW280" s="41" t="str">
        <x:f>IF(OR(Z280&lt;=0,Y280&lt;=0,AT280&lt;=0,AV280&lt;=0),"",(LN(Z280/Y280)+0.5*AT280^2*AV280)/(AT280*SQRT(AV280)))</x:f>
      </x:c>
      <x:c r="AX280" s="41" t="n">
        <x:f>IF(AND(X280&lt;&gt;"C",X280&lt;&gt;"P"),AU280,IF(AW280="",AU280,IF(X280="C",AU280*0.5*(1+ERF(AW280/SQRT(2))),-AU280*0.5*(1+ERF(-AW280/SQRT(2))))))</x:f>
        <x:v>1</x:v>
      </x:c>
      <x:c r="AY280" s="41" t="n">
        <x:f>IF(AJ280="M",1.5*SQRT(MAX(IF(U280="Y",5,10),IF(V280="",10,V280))/Parameters!$B$6),SQRT(MIN(MAX(AE280,10/Parameters!$B$6),1)))</x:f>
        <x:v>0.6764127782466431</x:v>
      </x:c>
      <x:c r="AZ280" s="40" t="n">
        <x:f>AS280*AX280*AY280</x:f>
        <x:v>41058255.63957124</x:v>
      </x:c>
      <x:c r="BA280" s="40" t="n">
        <x:f>'Python_Trade_Output'!AZ280</x:f>
        <x:v>41058255.63957124</x:v>
      </x:c>
      <x:c r="BB280" s="43" t="n">
        <x:f>AZ280-BA280</x:f>
        <x:v>0</x:v>
      </x:c>
    </x:row>
    <x:row r="281">
      <x:c r="A281" s="27" t="str">
        <x:f>'Inputs_Trades'!D281</x:f>
        <x:v>IND-000278</x:v>
      </x:c>
      <x:c r="B281" s="27" t="str">
        <x:f>'Inputs_Trades'!B281</x:f>
        <x:v>IND_CLEARING_MEMBER_001</x:v>
      </x:c>
      <x:c r="C281" s="27" t="n">
        <x:f>'Inputs_Trades'!C281</x:f>
        <x:v>3108</x:v>
      </x:c>
      <x:c r="D281" s="27" t="str">
        <x:f>'Inputs_Trades'!E281</x:f>
        <x:v>Equity TRS</x:v>
      </x:c>
      <x:c r="E281" s="27" t="str">
        <x:f>'Inputs_Trades'!F281</x:f>
        <x:v>Equity</x:v>
      </x:c>
      <x:c r="F281" s="27" t="str">
        <x:f>'Inputs_Trades'!G281</x:f>
        <x:v>Single Stock</x:v>
      </x:c>
      <x:c r="G281" s="27" t="str">
        <x:f>'Inputs_Trades'!J281</x:f>
        <x:v>USD</x:v>
      </x:c>
      <x:c r="H281" s="27" t="str">
        <x:f>'Inputs_Trades'!H281</x:f>
        <x:v>USD</x:v>
      </x:c>
      <x:c r="I281" s="27" t="n">
        <x:f>'Inputs_Trades'!I281</x:f>
        <x:v>0</x:v>
      </x:c>
      <x:c r="J281" s="27" t="str">
        <x:f>'Inputs_Trades'!M281</x:f>
        <x:v>EQUITY_NAME_22</x:v>
      </x:c>
      <x:c r="K281" s="27" t="str">
        <x:f>'Inputs_Trades'!N281</x:f>
        <x:v>Singleton</x:v>
      </x:c>
      <x:c r="L281" s="27" t="n">
        <x:f>'Inputs_Trades'!O281</x:f>
        <x:v>0</x:v>
      </x:c>
      <x:c r="M281" s="39" t="n">
        <x:f>'Inputs_Trades'!A281</x:f>
        <x:v>45702</x:v>
      </x:c>
      <x:c r="N281" s="39" t="n">
        <x:f>'Inputs_Trades'!P281</x:f>
        <x:v>45880</x:v>
      </x:c>
      <x:c r="O281" s="39" t="n">
        <x:f>'Inputs_Trades'!Q281</x:f>
        <x:v>45691</x:v>
      </x:c>
      <x:c r="P281" s="39" t="n">
        <x:f>'Inputs_Trades'!R281</x:f>
        <x:v>45880</x:v>
      </x:c>
      <x:c r="Q281" s="40" t="n">
        <x:f>'Inputs_Trades'!U281</x:f>
        <x:v>25300000</x:v>
      </x:c>
      <x:c r="R281" s="40" t="n">
        <x:f>'Inputs_Trades'!S281</x:f>
        <x:v>25300000</x:v>
      </x:c>
      <x:c r="S281" s="40" t="n">
        <x:f>'Inputs_Trades'!T281</x:f>
        <x:v>0</x:v>
      </x:c>
      <x:c r="T281" s="27" t="str">
        <x:f>'Inputs_Trades'!V281</x:f>
        <x:v>M</x:v>
      </x:c>
      <x:c r="U281" s="27" t="str">
        <x:f>'Inputs_Trades'!W281</x:f>
        <x:v>N</x:v>
      </x:c>
      <x:c r="V281" s="27" t="n">
        <x:f>'Inputs_Trades'!X281</x:f>
        <x:v>10</x:v>
      </x:c>
      <x:c r="W281" s="27" t="str">
        <x:f>'Inputs_Trades'!Y281</x:f>
        <x:v>B</x:v>
      </x:c>
      <x:c r="X281" s="27" t="n">
        <x:f>'Inputs_Trades'!AA281</x:f>
        <x:v>0</x:v>
      </x:c>
      <x:c r="Y281" s="27" t="n">
        <x:f>'Inputs_Trades'!AB281</x:f>
        <x:v>0</x:v>
      </x:c>
      <x:c r="Z281" s="27" t="n">
        <x:f>'Inputs_Trades'!AC281</x:f>
        <x:v>0</x:v>
      </x:c>
      <x:c r="AA281" s="39" t="n">
        <x:f>'Inputs_Trades'!Z281</x:f>
        <x:v>0</x:v>
      </x:c>
      <x:c r="AB281" s="40" t="n">
        <x:f>'Inputs_Trades'!AD281</x:f>
        <x:v>-169257</x:v>
      </x:c>
      <x:c r="AC281" s="27" t="n">
        <x:f>'Inputs_Trades'!K281</x:f>
        <x:v>0</x:v>
      </x:c>
      <x:c r="AD281" s="27" t="n">
        <x:f>N281-M281</x:f>
        <x:v>178</x:v>
      </x:c>
      <x:c r="AE281" s="41" t="n">
        <x:f>AD281/365</x:f>
        <x:v>0.4876712328767123</x:v>
      </x:c>
      <x:c r="AF281" s="27" t="str">
        <x:f>IF(AE281&lt;1,"&lt;1Y",IF(AE281&lt;=5,"1Y-5Y","&gt;5Y"))</x:f>
        <x:v>&lt;1Y</x:v>
      </x:c>
      <x:c r="AG281" s="27" t="str">
        <x:f>IF(E281="Commodity",IFERROR(VLOOKUP(F281,Parameters!$P$4:$Q$12,2,FALSE),"Other"),"")</x:f>
      </x:c>
      <x:c r="AH281" s="27" t="str">
        <x:f>IF(F281="","Unknown",F281)</x:f>
        <x:v>Single Stock</x:v>
      </x:c>
      <x:c r="AI281" s="27" t="str">
        <x:f>IF(E281="Interest Rate",G281&amp;IF(OR(LOWER(AC281)="basis",LOWER(AC281)="volatility"),"_"&amp;AC281,""),IF(E281="FX",IF(H281&lt;I281,H281&amp;"/"&amp;I281,I281&amp;"/"&amp;H281)&amp;IF(OR(LOWER(AC281)="basis",LOWER(AC281)="volatility"),"_"&amp;AC281,""),IF(OR(E281="Credit",E281="Equity"),J281&amp;IF(OR(LOWER(AC281)="basis",LOWER(AC281)="volatility"),"_"&amp;AC281,""),IF(E281="Commodity",AG281&amp;IF(OR(LOWER(AC281)="basis",LOWER(AC281)="volatility"),"_"&amp;AC281,""),"UNKNOWN"))))</x:f>
        <x:v>EQUITY_NAME_22</x:v>
      </x:c>
      <x:c r="AJ281" s="27" t="str">
        <x:f>T281</x:f>
        <x:v>M</x:v>
      </x:c>
      <x:c r="AK281" s="41" t="n">
        <x:f>IF(E281="Interest Rate",VLOOKUP("Interest Rate",Parameters!$D$4:$E$12,2,FALSE),IF(E281="FX",VLOOKUP("FX",Parameters!$D$4:$E$12,2,FALSE),IF(E281="Credit",IFERROR(VLOOKUP(L281,Parameters!$G$4:$H$12,2,FALSE),VLOOKUP("BBB",Parameters!$G$4:$H$12,2,FALSE)),IF(E281="Equity",VLOOKUP(IF(LOWER(K281)="index","Equity Index","Equity Single Name"),Parameters!$D$4:$E$12,2,FALSE),IF(E281="Commodity",VLOOKUP(IFERROR(VLOOKUP(F281,Parameters!$S$4:$T$12,2,FALSE),"Commodity Other"),Parameters!$D$4:$E$12,2,FALSE),0)))))</x:f>
        <x:v>0.32</x:v>
      </x:c>
      <x:c r="AL281" s="42" t="n">
        <x:f>IF(LOWER(AC281)="basis",Parameters!$B$8,IF(LOWER(AC281)="volatility",Parameters!$B$9,1))</x:f>
        <x:v>1</x:v>
      </x:c>
      <x:c r="AM281" s="41" t="n">
        <x:f>AK281*AL281</x:f>
        <x:v>0.32</x:v>
      </x:c>
      <x:c r="AN281" s="42" t="n">
        <x:f>IF(E281="Credit",VLOOKUP(IF(LOWER(K281)="index","Credit Index","Credit Single Name"),Parameters!$J$4:$K$8,2,FALSE),IF(E281="Equity",VLOOKUP(IF(LOWER(K281)="index","Equity Index","Equity Single Name"),Parameters!$J$4:$K$8,2,FALSE),IF(E281="Commodity",VLOOKUP("Commodity",Parameters!$J$4:$K$8,2,FALSE),"")))</x:f>
        <x:v>0.5</x:v>
      </x:c>
      <x:c r="AO281" s="27" t="n">
        <x:f>MAX((O281-M281)/365,0)</x:f>
        <x:v>0</x:v>
      </x:c>
      <x:c r="AP281" s="27" t="n">
        <x:f>MAX((P281-M281)/365,10/Parameters!$B$6)</x:f>
        <x:v>0.4876712328767123</x:v>
      </x:c>
      <x:c r="AQ281" s="27" t="n">
        <x:f>IF(AP281&lt;=AO281,AO281+10/Parameters!$B$6,AP281)</x:f>
        <x:v>0.4876712328767123</x:v>
      </x:c>
      <x:c r="AR281" s="41" t="n">
        <x:f>IF(OR(E281="Interest Rate",E281="Credit"),(EXP(-Parameters!$B$7*AO281)-EXP(-Parameters!$B$7*AQ281))/Parameters!$B$7,1)</x:f>
        <x:v>1</x:v>
      </x:c>
      <x:c r="AS281" s="40" t="n">
        <x:f>IF(OR(E281="Interest Rate",E281="Credit"),ABS(Q281)*AR281,IF(E281="FX",IF(Q281&gt;0,Q281,MAX(ABS(R281),ABS(S281),ABS(Q281))),ABS(Q281)))</x:f>
        <x:v>25300000</x:v>
      </x:c>
      <x:c r="AT281" s="42" t="n">
        <x:f>IF(OR(E281="Interest Rate",E281="FX"),VLOOKUP(E281,Parameters!$M$4:$N$11,2,FALSE),IF(E281="Credit",VLOOKUP(IF(LOWER(K281)="index","Credit Index","Credit Single Name"),Parameters!$M$4:$N$11,2,FALSE),IF(E281="Equity",VLOOKUP(IF(LOWER(K281)="index","Equity Index","Equity Single Name"),Parameters!$M$4:$N$11,2,FALSE),IF(E281="Commodity",VLOOKUP(IF(F281="Electricity","Commodity Electricity","Commodity Other"),Parameters!$M$4:$N$11,2,FALSE),1))))</x:f>
        <x:v>1.2</x:v>
      </x:c>
      <x:c r="AU281" s="27" t="n">
        <x:f>IF(W281="B",1,-1)</x:f>
        <x:v>1</x:v>
      </x:c>
      <x:c r="AV281" s="27" t="n">
        <x:f>IF(OR(AA281="",M281=""),MAX(AE281,1/365),MAX((AA281-M281)/365,1/365))</x:f>
        <x:v>0.4876712328767123</x:v>
      </x:c>
      <x:c r="AW281" s="41" t="str">
        <x:f>IF(OR(Z281&lt;=0,Y281&lt;=0,AT281&lt;=0,AV281&lt;=0),"",(LN(Z281/Y281)+0.5*AT281^2*AV281)/(AT281*SQRT(AV281)))</x:f>
      </x:c>
      <x:c r="AX281" s="41" t="n">
        <x:f>IF(AND(X281&lt;&gt;"C",X281&lt;&gt;"P"),AU281,IF(AW281="",AU281,IF(X281="C",AU281*0.5*(1+ERF(AW281/SQRT(2))),-AU281*0.5*(1+ERF(-AW281/SQRT(2))))))</x:f>
        <x:v>1</x:v>
      </x:c>
      <x:c r="AY281" s="41" t="n">
        <x:f>IF(AJ281="M",1.5*SQRT(MAX(IF(U281="Y",5,10),IF(V281="",10,V281))/Parameters!$B$6),SQRT(MIN(MAX(AE281,10/Parameters!$B$6),1)))</x:f>
        <x:v>0.30000000000000004</x:v>
      </x:c>
      <x:c r="AZ281" s="40" t="n">
        <x:f>AS281*AX281*AY281</x:f>
        <x:v>7590000.000000001</x:v>
      </x:c>
      <x:c r="BA281" s="40" t="n">
        <x:f>'Python_Trade_Output'!AZ281</x:f>
        <x:v>7590000.000000001</x:v>
      </x:c>
      <x:c r="BB281" s="43" t="n">
        <x:f>AZ281-BA281</x:f>
        <x:v>0</x:v>
      </x:c>
    </x:row>
    <x:row r="282">
      <x:c r="A282" s="27" t="str">
        <x:f>'Inputs_Trades'!D282</x:f>
        <x:v>IND-000279</x:v>
      </x:c>
      <x:c r="B282" s="27" t="str">
        <x:f>'Inputs_Trades'!B282</x:f>
        <x:v>IND_CORPORATE_001</x:v>
      </x:c>
      <x:c r="C282" s="27" t="n">
        <x:f>'Inputs_Trades'!C282</x:f>
        <x:v>3380</x:v>
      </x:c>
      <x:c r="D282" s="27" t="str">
        <x:f>'Inputs_Trades'!E282</x:f>
        <x:v>Equity TRS</x:v>
      </x:c>
      <x:c r="E282" s="27" t="str">
        <x:f>'Inputs_Trades'!F282</x:f>
        <x:v>Equity</x:v>
      </x:c>
      <x:c r="F282" s="27" t="str">
        <x:f>'Inputs_Trades'!G282</x:f>
        <x:v>Single Stock</x:v>
      </x:c>
      <x:c r="G282" s="27" t="str">
        <x:f>'Inputs_Trades'!J282</x:f>
        <x:v>USD</x:v>
      </x:c>
      <x:c r="H282" s="27" t="str">
        <x:f>'Inputs_Trades'!H282</x:f>
        <x:v>USD</x:v>
      </x:c>
      <x:c r="I282" s="27" t="n">
        <x:f>'Inputs_Trades'!I282</x:f>
        <x:v>0</x:v>
      </x:c>
      <x:c r="J282" s="27" t="str">
        <x:f>'Inputs_Trades'!M282</x:f>
        <x:v>EQUITY_NAME_11</x:v>
      </x:c>
      <x:c r="K282" s="27" t="str">
        <x:f>'Inputs_Trades'!N282</x:f>
        <x:v>Singleton</x:v>
      </x:c>
      <x:c r="L282" s="27" t="n">
        <x:f>'Inputs_Trades'!O282</x:f>
        <x:v>0</x:v>
      </x:c>
      <x:c r="M282" s="39" t="n">
        <x:f>'Inputs_Trades'!A282</x:f>
        <x:v>45702</x:v>
      </x:c>
      <x:c r="N282" s="39" t="n">
        <x:f>'Inputs_Trades'!P282</x:f>
        <x:v>46594</x:v>
      </x:c>
      <x:c r="O282" s="39" t="n">
        <x:f>'Inputs_Trades'!Q282</x:f>
        <x:v>45649</x:v>
      </x:c>
      <x:c r="P282" s="39" t="n">
        <x:f>'Inputs_Trades'!R282</x:f>
        <x:v>46594</x:v>
      </x:c>
      <x:c r="Q282" s="40" t="n">
        <x:f>'Inputs_Trades'!U282</x:f>
        <x:v>1500000</x:v>
      </x:c>
      <x:c r="R282" s="40" t="n">
        <x:f>'Inputs_Trades'!S282</x:f>
        <x:v>1500000</x:v>
      </x:c>
      <x:c r="S282" s="40" t="n">
        <x:f>'Inputs_Trades'!T282</x:f>
        <x:v>0</x:v>
      </x:c>
      <x:c r="T282" s="27" t="str">
        <x:f>'Inputs_Trades'!V282</x:f>
        <x:v>U</x:v>
      </x:c>
      <x:c r="U282" s="27" t="str">
        <x:f>'Inputs_Trades'!W282</x:f>
        <x:v>N</x:v>
      </x:c>
      <x:c r="V282" s="27" t="n">
        <x:f>'Inputs_Trades'!X282</x:f>
        <x:v>0</x:v>
      </x:c>
      <x:c r="W282" s="27" t="str">
        <x:f>'Inputs_Trades'!Y282</x:f>
        <x:v>S</x:v>
      </x:c>
      <x:c r="X282" s="27" t="n">
        <x:f>'Inputs_Trades'!AA282</x:f>
        <x:v>0</x:v>
      </x:c>
      <x:c r="Y282" s="27" t="n">
        <x:f>'Inputs_Trades'!AB282</x:f>
        <x:v>0</x:v>
      </x:c>
      <x:c r="Z282" s="27" t="n">
        <x:f>'Inputs_Trades'!AC282</x:f>
        <x:v>0</x:v>
      </x:c>
      <x:c r="AA282" s="39" t="n">
        <x:f>'Inputs_Trades'!Z282</x:f>
        <x:v>0</x:v>
      </x:c>
      <x:c r="AB282" s="40" t="n">
        <x:f>'Inputs_Trades'!AD282</x:f>
        <x:v>-38655</x:v>
      </x:c>
      <x:c r="AC282" s="27" t="n">
        <x:f>'Inputs_Trades'!K282</x:f>
        <x:v>0</x:v>
      </x:c>
      <x:c r="AD282" s="27" t="n">
        <x:f>N282-M282</x:f>
        <x:v>892</x:v>
      </x:c>
      <x:c r="AE282" s="41" t="n">
        <x:f>AD282/365</x:f>
        <x:v>2.4438356164383563</x:v>
      </x:c>
      <x:c r="AF282" s="27" t="str">
        <x:f>IF(AE282&lt;1,"&lt;1Y",IF(AE282&lt;=5,"1Y-5Y","&gt;5Y"))</x:f>
        <x:v>1Y-5Y</x:v>
      </x:c>
      <x:c r="AG282" s="27" t="str">
        <x:f>IF(E282="Commodity",IFERROR(VLOOKUP(F282,Parameters!$P$4:$Q$12,2,FALSE),"Other"),"")</x:f>
      </x:c>
      <x:c r="AH282" s="27" t="str">
        <x:f>IF(F282="","Unknown",F282)</x:f>
        <x:v>Single Stock</x:v>
      </x:c>
      <x:c r="AI282" s="27" t="str">
        <x:f>IF(E282="Interest Rate",G282&amp;IF(OR(LOWER(AC282)="basis",LOWER(AC282)="volatility"),"_"&amp;AC282,""),IF(E282="FX",IF(H282&lt;I282,H282&amp;"/"&amp;I282,I282&amp;"/"&amp;H282)&amp;IF(OR(LOWER(AC282)="basis",LOWER(AC282)="volatility"),"_"&amp;AC282,""),IF(OR(E282="Credit",E282="Equity"),J282&amp;IF(OR(LOWER(AC282)="basis",LOWER(AC282)="volatility"),"_"&amp;AC282,""),IF(E282="Commodity",AG282&amp;IF(OR(LOWER(AC282)="basis",LOWER(AC282)="volatility"),"_"&amp;AC282,""),"UNKNOWN"))))</x:f>
        <x:v>EQUITY_NAME_11</x:v>
      </x:c>
      <x:c r="AJ282" s="27" t="str">
        <x:f>T282</x:f>
        <x:v>U</x:v>
      </x:c>
      <x:c r="AK282" s="41" t="n">
        <x:f>IF(E282="Interest Rate",VLOOKUP("Interest Rate",Parameters!$D$4:$E$12,2,FALSE),IF(E282="FX",VLOOKUP("FX",Parameters!$D$4:$E$12,2,FALSE),IF(E282="Credit",IFERROR(VLOOKUP(L282,Parameters!$G$4:$H$12,2,FALSE),VLOOKUP("BBB",Parameters!$G$4:$H$12,2,FALSE)),IF(E282="Equity",VLOOKUP(IF(LOWER(K282)="index","Equity Index","Equity Single Name"),Parameters!$D$4:$E$12,2,FALSE),IF(E282="Commodity",VLOOKUP(IFERROR(VLOOKUP(F282,Parameters!$S$4:$T$12,2,FALSE),"Commodity Other"),Parameters!$D$4:$E$12,2,FALSE),0)))))</x:f>
        <x:v>0.32</x:v>
      </x:c>
      <x:c r="AL282" s="42" t="n">
        <x:f>IF(LOWER(AC282)="basis",Parameters!$B$8,IF(LOWER(AC282)="volatility",Parameters!$B$9,1))</x:f>
        <x:v>1</x:v>
      </x:c>
      <x:c r="AM282" s="41" t="n">
        <x:f>AK282*AL282</x:f>
        <x:v>0.32</x:v>
      </x:c>
      <x:c r="AN282" s="42" t="n">
        <x:f>IF(E282="Credit",VLOOKUP(IF(LOWER(K282)="index","Credit Index","Credit Single Name"),Parameters!$J$4:$K$8,2,FALSE),IF(E282="Equity",VLOOKUP(IF(LOWER(K282)="index","Equity Index","Equity Single Name"),Parameters!$J$4:$K$8,2,FALSE),IF(E282="Commodity",VLOOKUP("Commodity",Parameters!$J$4:$K$8,2,FALSE),"")))</x:f>
        <x:v>0.5</x:v>
      </x:c>
      <x:c r="AO282" s="27" t="n">
        <x:f>MAX((O282-M282)/365,0)</x:f>
        <x:v>0</x:v>
      </x:c>
      <x:c r="AP282" s="27" t="n">
        <x:f>MAX((P282-M282)/365,10/Parameters!$B$6)</x:f>
        <x:v>2.4438356164383563</x:v>
      </x:c>
      <x:c r="AQ282" s="27" t="n">
        <x:f>IF(AP282&lt;=AO282,AO282+10/Parameters!$B$6,AP282)</x:f>
        <x:v>2.4438356164383563</x:v>
      </x:c>
      <x:c r="AR282" s="41" t="n">
        <x:f>IF(OR(E282="Interest Rate",E282="Credit"),(EXP(-Parameters!$B$7*AO282)-EXP(-Parameters!$B$7*AQ282))/Parameters!$B$7,1)</x:f>
        <x:v>1</x:v>
      </x:c>
      <x:c r="AS282" s="40" t="n">
        <x:f>IF(OR(E282="Interest Rate",E282="Credit"),ABS(Q282)*AR282,IF(E282="FX",IF(Q282&gt;0,Q282,MAX(ABS(R282),ABS(S282),ABS(Q282))),ABS(Q282)))</x:f>
        <x:v>1500000</x:v>
      </x:c>
      <x:c r="AT282" s="42" t="n">
        <x:f>IF(OR(E282="Interest Rate",E282="FX"),VLOOKUP(E282,Parameters!$M$4:$N$11,2,FALSE),IF(E282="Credit",VLOOKUP(IF(LOWER(K282)="index","Credit Index","Credit Single Name"),Parameters!$M$4:$N$11,2,FALSE),IF(E282="Equity",VLOOKUP(IF(LOWER(K282)="index","Equity Index","Equity Single Name"),Parameters!$M$4:$N$11,2,FALSE),IF(E282="Commodity",VLOOKUP(IF(F282="Electricity","Commodity Electricity","Commodity Other"),Parameters!$M$4:$N$11,2,FALSE),1))))</x:f>
        <x:v>1.2</x:v>
      </x:c>
      <x:c r="AU282" s="27" t="n">
        <x:f>IF(W282="B",1,-1)</x:f>
        <x:v>-1</x:v>
      </x:c>
      <x:c r="AV282" s="27" t="n">
        <x:f>IF(OR(AA282="",M282=""),MAX(AE282,1/365),MAX((AA282-M282)/365,1/365))</x:f>
        <x:v>2.4438356164383563</x:v>
      </x:c>
      <x:c r="AW282" s="41" t="str">
        <x:f>IF(OR(Z282&lt;=0,Y282&lt;=0,AT282&lt;=0,AV282&lt;=0),"",(LN(Z282/Y282)+0.5*AT282^2*AV282)/(AT282*SQRT(AV282)))</x:f>
      </x:c>
      <x:c r="AX282" s="41" t="n">
        <x:f>IF(AND(X282&lt;&gt;"C",X282&lt;&gt;"P"),AU282,IF(AW282="",AU282,IF(X282="C",AU282*0.5*(1+ERF(AW282/SQRT(2))),-AU282*0.5*(1+ERF(-AW282/SQRT(2))))))</x:f>
        <x:v>-1</x:v>
      </x:c>
      <x:c r="AY282" s="41" t="n">
        <x:f>IF(AJ282="M",1.5*SQRT(MAX(IF(U282="Y",5,10),IF(V282="",10,V282))/Parameters!$B$6),SQRT(MIN(MAX(AE282,10/Parameters!$B$6),1)))</x:f>
        <x:v>1</x:v>
      </x:c>
      <x:c r="AZ282" s="40" t="n">
        <x:f>AS282*AX282*AY282</x:f>
        <x:v>-1500000</x:v>
      </x:c>
      <x:c r="BA282" s="40" t="n">
        <x:f>'Python_Trade_Output'!AZ282</x:f>
        <x:v>-1500000</x:v>
      </x:c>
      <x:c r="BB282" s="43" t="n">
        <x:f>AZ282-BA282</x:f>
        <x:v>0</x:v>
      </x:c>
    </x:row>
    <x:row r="283">
      <x:c r="A283" s="27" t="str">
        <x:f>'Inputs_Trades'!D283</x:f>
        <x:v>IND-000280</x:v>
      </x:c>
      <x:c r="B283" s="27" t="str">
        <x:f>'Inputs_Trades'!B283</x:f>
        <x:v>IND_BANK_002</x:v>
      </x:c>
      <x:c r="C283" s="27" t="n">
        <x:f>'Inputs_Trades'!C283</x:f>
        <x:v>3386</x:v>
      </x:c>
      <x:c r="D283" s="27" t="str">
        <x:f>'Inputs_Trades'!E283</x:f>
        <x:v>Equity TRS</x:v>
      </x:c>
      <x:c r="E283" s="27" t="str">
        <x:f>'Inputs_Trades'!F283</x:f>
        <x:v>Equity</x:v>
      </x:c>
      <x:c r="F283" s="27" t="str">
        <x:f>'Inputs_Trades'!G283</x:f>
        <x:v>Single Stock</x:v>
      </x:c>
      <x:c r="G283" s="27" t="str">
        <x:f>'Inputs_Trades'!J283</x:f>
        <x:v>USD</x:v>
      </x:c>
      <x:c r="H283" s="27" t="str">
        <x:f>'Inputs_Trades'!H283</x:f>
        <x:v>USD</x:v>
      </x:c>
      <x:c r="I283" s="27" t="n">
        <x:f>'Inputs_Trades'!I283</x:f>
        <x:v>0</x:v>
      </x:c>
      <x:c r="J283" s="27" t="str">
        <x:f>'Inputs_Trades'!M283</x:f>
        <x:v>EQUITY_NAME_13</x:v>
      </x:c>
      <x:c r="K283" s="27" t="str">
        <x:f>'Inputs_Trades'!N283</x:f>
        <x:v>Singleton</x:v>
      </x:c>
      <x:c r="L283" s="27" t="n">
        <x:f>'Inputs_Trades'!O283</x:f>
        <x:v>0</x:v>
      </x:c>
      <x:c r="M283" s="39" t="n">
        <x:f>'Inputs_Trades'!A283</x:f>
        <x:v>45702</x:v>
      </x:c>
      <x:c r="N283" s="39" t="n">
        <x:f>'Inputs_Trades'!P283</x:f>
        <x:v>47312</x:v>
      </x:c>
      <x:c r="O283" s="39" t="n">
        <x:f>'Inputs_Trades'!Q283</x:f>
        <x:v>45522</x:v>
      </x:c>
      <x:c r="P283" s="39" t="n">
        <x:f>'Inputs_Trades'!R283</x:f>
        <x:v>47312</x:v>
      </x:c>
      <x:c r="Q283" s="40" t="n">
        <x:f>'Inputs_Trades'!U283</x:f>
        <x:v>7500000</x:v>
      </x:c>
      <x:c r="R283" s="40" t="n">
        <x:f>'Inputs_Trades'!S283</x:f>
        <x:v>7500000</x:v>
      </x:c>
      <x:c r="S283" s="40" t="n">
        <x:f>'Inputs_Trades'!T283</x:f>
        <x:v>0</x:v>
      </x:c>
      <x:c r="T283" s="27" t="str">
        <x:f>'Inputs_Trades'!V283</x:f>
        <x:v>M</x:v>
      </x:c>
      <x:c r="U283" s="27" t="str">
        <x:f>'Inputs_Trades'!W283</x:f>
        <x:v>N</x:v>
      </x:c>
      <x:c r="V283" s="27" t="n">
        <x:f>'Inputs_Trades'!X283</x:f>
        <x:v>10</x:v>
      </x:c>
      <x:c r="W283" s="27" t="str">
        <x:f>'Inputs_Trades'!Y283</x:f>
        <x:v>B</x:v>
      </x:c>
      <x:c r="X283" s="27" t="n">
        <x:f>'Inputs_Trades'!AA283</x:f>
        <x:v>0</x:v>
      </x:c>
      <x:c r="Y283" s="27" t="n">
        <x:f>'Inputs_Trades'!AB283</x:f>
        <x:v>0</x:v>
      </x:c>
      <x:c r="Z283" s="27" t="n">
        <x:f>'Inputs_Trades'!AC283</x:f>
        <x:v>0</x:v>
      </x:c>
      <x:c r="AA283" s="39" t="n">
        <x:f>'Inputs_Trades'!Z283</x:f>
        <x:v>0</x:v>
      </x:c>
      <x:c r="AB283" s="40" t="n">
        <x:f>'Inputs_Trades'!AD283</x:f>
        <x:v>-20925</x:v>
      </x:c>
      <x:c r="AC283" s="27" t="n">
        <x:f>'Inputs_Trades'!K283</x:f>
        <x:v>0</x:v>
      </x:c>
      <x:c r="AD283" s="27" t="n">
        <x:f>N283-M283</x:f>
        <x:v>1610</x:v>
      </x:c>
      <x:c r="AE283" s="41" t="n">
        <x:f>AD283/365</x:f>
        <x:v>4.410958904109589</x:v>
      </x:c>
      <x:c r="AF283" s="27" t="str">
        <x:f>IF(AE283&lt;1,"&lt;1Y",IF(AE283&lt;=5,"1Y-5Y","&gt;5Y"))</x:f>
        <x:v>1Y-5Y</x:v>
      </x:c>
      <x:c r="AG283" s="27" t="str">
        <x:f>IF(E283="Commodity",IFERROR(VLOOKUP(F283,Parameters!$P$4:$Q$12,2,FALSE),"Other"),"")</x:f>
      </x:c>
      <x:c r="AH283" s="27" t="str">
        <x:f>IF(F283="","Unknown",F283)</x:f>
        <x:v>Single Stock</x:v>
      </x:c>
      <x:c r="AI283" s="27" t="str">
        <x:f>IF(E283="Interest Rate",G283&amp;IF(OR(LOWER(AC283)="basis",LOWER(AC283)="volatility"),"_"&amp;AC283,""),IF(E283="FX",IF(H283&lt;I283,H283&amp;"/"&amp;I283,I283&amp;"/"&amp;H283)&amp;IF(OR(LOWER(AC283)="basis",LOWER(AC283)="volatility"),"_"&amp;AC283,""),IF(OR(E283="Credit",E283="Equity"),J283&amp;IF(OR(LOWER(AC283)="basis",LOWER(AC283)="volatility"),"_"&amp;AC283,""),IF(E283="Commodity",AG283&amp;IF(OR(LOWER(AC283)="basis",LOWER(AC283)="volatility"),"_"&amp;AC283,""),"UNKNOWN"))))</x:f>
        <x:v>EQUITY_NAME_13</x:v>
      </x:c>
      <x:c r="AJ283" s="27" t="str">
        <x:f>T283</x:f>
        <x:v>M</x:v>
      </x:c>
      <x:c r="AK283" s="41" t="n">
        <x:f>IF(E283="Interest Rate",VLOOKUP("Interest Rate",Parameters!$D$4:$E$12,2,FALSE),IF(E283="FX",VLOOKUP("FX",Parameters!$D$4:$E$12,2,FALSE),IF(E283="Credit",IFERROR(VLOOKUP(L283,Parameters!$G$4:$H$12,2,FALSE),VLOOKUP("BBB",Parameters!$G$4:$H$12,2,FALSE)),IF(E283="Equity",VLOOKUP(IF(LOWER(K283)="index","Equity Index","Equity Single Name"),Parameters!$D$4:$E$12,2,FALSE),IF(E283="Commodity",VLOOKUP(IFERROR(VLOOKUP(F283,Parameters!$S$4:$T$12,2,FALSE),"Commodity Other"),Parameters!$D$4:$E$12,2,FALSE),0)))))</x:f>
        <x:v>0.32</x:v>
      </x:c>
      <x:c r="AL283" s="42" t="n">
        <x:f>IF(LOWER(AC283)="basis",Parameters!$B$8,IF(LOWER(AC283)="volatility",Parameters!$B$9,1))</x:f>
        <x:v>1</x:v>
      </x:c>
      <x:c r="AM283" s="41" t="n">
        <x:f>AK283*AL283</x:f>
        <x:v>0.32</x:v>
      </x:c>
      <x:c r="AN283" s="42" t="n">
        <x:f>IF(E283="Credit",VLOOKUP(IF(LOWER(K283)="index","Credit Index","Credit Single Name"),Parameters!$J$4:$K$8,2,FALSE),IF(E283="Equity",VLOOKUP(IF(LOWER(K283)="index","Equity Index","Equity Single Name"),Parameters!$J$4:$K$8,2,FALSE),IF(E283="Commodity",VLOOKUP("Commodity",Parameters!$J$4:$K$8,2,FALSE),"")))</x:f>
        <x:v>0.5</x:v>
      </x:c>
      <x:c r="AO283" s="27" t="n">
        <x:f>MAX((O283-M283)/365,0)</x:f>
        <x:v>0</x:v>
      </x:c>
      <x:c r="AP283" s="27" t="n">
        <x:f>MAX((P283-M283)/365,10/Parameters!$B$6)</x:f>
        <x:v>4.410958904109589</x:v>
      </x:c>
      <x:c r="AQ283" s="27" t="n">
        <x:f>IF(AP283&lt;=AO283,AO283+10/Parameters!$B$6,AP283)</x:f>
        <x:v>4.410958904109589</x:v>
      </x:c>
      <x:c r="AR283" s="41" t="n">
        <x:f>IF(OR(E283="Interest Rate",E283="Credit"),(EXP(-Parameters!$B$7*AO283)-EXP(-Parameters!$B$7*AQ283))/Parameters!$B$7,1)</x:f>
        <x:v>1</x:v>
      </x:c>
      <x:c r="AS283" s="40" t="n">
        <x:f>IF(OR(E283="Interest Rate",E283="Credit"),ABS(Q283)*AR283,IF(E283="FX",IF(Q283&gt;0,Q283,MAX(ABS(R283),ABS(S283),ABS(Q283))),ABS(Q283)))</x:f>
        <x:v>7500000</x:v>
      </x:c>
      <x:c r="AT283" s="42" t="n">
        <x:f>IF(OR(E283="Interest Rate",E283="FX"),VLOOKUP(E283,Parameters!$M$4:$N$11,2,FALSE),IF(E283="Credit",VLOOKUP(IF(LOWER(K283)="index","Credit Index","Credit Single Name"),Parameters!$M$4:$N$11,2,FALSE),IF(E283="Equity",VLOOKUP(IF(LOWER(K283)="index","Equity Index","Equity Single Name"),Parameters!$M$4:$N$11,2,FALSE),IF(E283="Commodity",VLOOKUP(IF(F283="Electricity","Commodity Electricity","Commodity Other"),Parameters!$M$4:$N$11,2,FALSE),1))))</x:f>
        <x:v>1.2</x:v>
      </x:c>
      <x:c r="AU283" s="27" t="n">
        <x:f>IF(W283="B",1,-1)</x:f>
        <x:v>1</x:v>
      </x:c>
      <x:c r="AV283" s="27" t="n">
        <x:f>IF(OR(AA283="",M283=""),MAX(AE283,1/365),MAX((AA283-M283)/365,1/365))</x:f>
        <x:v>4.410958904109589</x:v>
      </x:c>
      <x:c r="AW283" s="41" t="str">
        <x:f>IF(OR(Z283&lt;=0,Y283&lt;=0,AT283&lt;=0,AV283&lt;=0),"",(LN(Z283/Y283)+0.5*AT283^2*AV283)/(AT283*SQRT(AV283)))</x:f>
      </x:c>
      <x:c r="AX283" s="41" t="n">
        <x:f>IF(AND(X283&lt;&gt;"C",X283&lt;&gt;"P"),AU283,IF(AW283="",AU283,IF(X283="C",AU283*0.5*(1+ERF(AW283/SQRT(2))),-AU283*0.5*(1+ERF(-AW283/SQRT(2))))))</x:f>
        <x:v>1</x:v>
      </x:c>
      <x:c r="AY283" s="41" t="n">
        <x:f>IF(AJ283="M",1.5*SQRT(MAX(IF(U283="Y",5,10),IF(V283="",10,V283))/Parameters!$B$6),SQRT(MIN(MAX(AE283,10/Parameters!$B$6),1)))</x:f>
        <x:v>0.30000000000000004</x:v>
      </x:c>
      <x:c r="AZ283" s="40" t="n">
        <x:f>AS283*AX283*AY283</x:f>
        <x:v>2250000.0000000005</x:v>
      </x:c>
      <x:c r="BA283" s="40" t="n">
        <x:f>'Python_Trade_Output'!AZ283</x:f>
        <x:v>2250000.0000000005</x:v>
      </x:c>
      <x:c r="BB283" s="43" t="n">
        <x:f>AZ283-BA283</x:f>
        <x:v>0</x:v>
      </x:c>
    </x:row>
    <x:row r="284">
      <x:c r="A284" s="27" t="str">
        <x:f>'Inputs_Trades'!D284</x:f>
        <x:v>IND-000281</x:v>
      </x:c>
      <x:c r="B284" s="27" t="str">
        <x:f>'Inputs_Trades'!B284</x:f>
        <x:v>IND_HEDGE_FUND_001</x:v>
      </x:c>
      <x:c r="C284" s="27" t="n">
        <x:f>'Inputs_Trades'!C284</x:f>
        <x:v>3040</x:v>
      </x:c>
      <x:c r="D284" s="27" t="str">
        <x:f>'Inputs_Trades'!E284</x:f>
        <x:v>Equity TRS</x:v>
      </x:c>
      <x:c r="E284" s="27" t="str">
        <x:f>'Inputs_Trades'!F284</x:f>
        <x:v>Equity</x:v>
      </x:c>
      <x:c r="F284" s="27" t="str">
        <x:f>'Inputs_Trades'!G284</x:f>
        <x:v>Single Stock</x:v>
      </x:c>
      <x:c r="G284" s="27" t="str">
        <x:f>'Inputs_Trades'!J284</x:f>
        <x:v>USD</x:v>
      </x:c>
      <x:c r="H284" s="27" t="str">
        <x:f>'Inputs_Trades'!H284</x:f>
        <x:v>USD</x:v>
      </x:c>
      <x:c r="I284" s="27" t="n">
        <x:f>'Inputs_Trades'!I284</x:f>
        <x:v>0</x:v>
      </x:c>
      <x:c r="J284" s="27" t="str">
        <x:f>'Inputs_Trades'!M284</x:f>
        <x:v>EQUITY_NAME_16</x:v>
      </x:c>
      <x:c r="K284" s="27" t="str">
        <x:f>'Inputs_Trades'!N284</x:f>
        <x:v>Singleton</x:v>
      </x:c>
      <x:c r="L284" s="27" t="n">
        <x:f>'Inputs_Trades'!O284</x:f>
        <x:v>0</x:v>
      </x:c>
      <x:c r="M284" s="39" t="n">
        <x:f>'Inputs_Trades'!A284</x:f>
        <x:v>45702</x:v>
      </x:c>
      <x:c r="N284" s="39" t="n">
        <x:f>'Inputs_Trades'!P284</x:f>
        <x:v>46316</x:v>
      </x:c>
      <x:c r="O284" s="39" t="n">
        <x:f>'Inputs_Trades'!Q284</x:f>
        <x:v>44979</x:v>
      </x:c>
      <x:c r="P284" s="39" t="n">
        <x:f>'Inputs_Trades'!R284</x:f>
        <x:v>46316</x:v>
      </x:c>
      <x:c r="Q284" s="40" t="n">
        <x:f>'Inputs_Trades'!U284</x:f>
        <x:v>27300000</x:v>
      </x:c>
      <x:c r="R284" s="40" t="n">
        <x:f>'Inputs_Trades'!S284</x:f>
        <x:v>27300000</x:v>
      </x:c>
      <x:c r="S284" s="40" t="n">
        <x:f>'Inputs_Trades'!T284</x:f>
        <x:v>0</x:v>
      </x:c>
      <x:c r="T284" s="27" t="str">
        <x:f>'Inputs_Trades'!V284</x:f>
        <x:v>M</x:v>
      </x:c>
      <x:c r="U284" s="27" t="str">
        <x:f>'Inputs_Trades'!W284</x:f>
        <x:v>N</x:v>
      </x:c>
      <x:c r="V284" s="27" t="n">
        <x:f>'Inputs_Trades'!X284</x:f>
        <x:v>10</x:v>
      </x:c>
      <x:c r="W284" s="27" t="str">
        <x:f>'Inputs_Trades'!Y284</x:f>
        <x:v>S</x:v>
      </x:c>
      <x:c r="X284" s="27" t="n">
        <x:f>'Inputs_Trades'!AA284</x:f>
        <x:v>0</x:v>
      </x:c>
      <x:c r="Y284" s="27" t="n">
        <x:f>'Inputs_Trades'!AB284</x:f>
        <x:v>0</x:v>
      </x:c>
      <x:c r="Z284" s="27" t="n">
        <x:f>'Inputs_Trades'!AC284</x:f>
        <x:v>0</x:v>
      </x:c>
      <x:c r="AA284" s="39" t="n">
        <x:f>'Inputs_Trades'!Z284</x:f>
        <x:v>0</x:v>
      </x:c>
      <x:c r="AB284" s="40" t="n">
        <x:f>'Inputs_Trades'!AD284</x:f>
        <x:v>140049</x:v>
      </x:c>
      <x:c r="AC284" s="27" t="n">
        <x:f>'Inputs_Trades'!K284</x:f>
        <x:v>0</x:v>
      </x:c>
      <x:c r="AD284" s="27" t="n">
        <x:f>N284-M284</x:f>
        <x:v>614</x:v>
      </x:c>
      <x:c r="AE284" s="41" t="n">
        <x:f>AD284/365</x:f>
        <x:v>1.6821917808219178</x:v>
      </x:c>
      <x:c r="AF284" s="27" t="str">
        <x:f>IF(AE284&lt;1,"&lt;1Y",IF(AE284&lt;=5,"1Y-5Y","&gt;5Y"))</x:f>
        <x:v>1Y-5Y</x:v>
      </x:c>
      <x:c r="AG284" s="27" t="str">
        <x:f>IF(E284="Commodity",IFERROR(VLOOKUP(F284,Parameters!$P$4:$Q$12,2,FALSE),"Other"),"")</x:f>
      </x:c>
      <x:c r="AH284" s="27" t="str">
        <x:f>IF(F284="","Unknown",F284)</x:f>
        <x:v>Single Stock</x:v>
      </x:c>
      <x:c r="AI284" s="27" t="str">
        <x:f>IF(E284="Interest Rate",G284&amp;IF(OR(LOWER(AC284)="basis",LOWER(AC284)="volatility"),"_"&amp;AC284,""),IF(E284="FX",IF(H284&lt;I284,H284&amp;"/"&amp;I284,I284&amp;"/"&amp;H284)&amp;IF(OR(LOWER(AC284)="basis",LOWER(AC284)="volatility"),"_"&amp;AC284,""),IF(OR(E284="Credit",E284="Equity"),J284&amp;IF(OR(LOWER(AC284)="basis",LOWER(AC284)="volatility"),"_"&amp;AC284,""),IF(E284="Commodity",AG284&amp;IF(OR(LOWER(AC284)="basis",LOWER(AC284)="volatility"),"_"&amp;AC284,""),"UNKNOWN"))))</x:f>
        <x:v>EQUITY_NAME_16</x:v>
      </x:c>
      <x:c r="AJ284" s="27" t="str">
        <x:f>T284</x:f>
        <x:v>M</x:v>
      </x:c>
      <x:c r="AK284" s="41" t="n">
        <x:f>IF(E284="Interest Rate",VLOOKUP("Interest Rate",Parameters!$D$4:$E$12,2,FALSE),IF(E284="FX",VLOOKUP("FX",Parameters!$D$4:$E$12,2,FALSE),IF(E284="Credit",IFERROR(VLOOKUP(L284,Parameters!$G$4:$H$12,2,FALSE),VLOOKUP("BBB",Parameters!$G$4:$H$12,2,FALSE)),IF(E284="Equity",VLOOKUP(IF(LOWER(K284)="index","Equity Index","Equity Single Name"),Parameters!$D$4:$E$12,2,FALSE),IF(E284="Commodity",VLOOKUP(IFERROR(VLOOKUP(F284,Parameters!$S$4:$T$12,2,FALSE),"Commodity Other"),Parameters!$D$4:$E$12,2,FALSE),0)))))</x:f>
        <x:v>0.32</x:v>
      </x:c>
      <x:c r="AL284" s="42" t="n">
        <x:f>IF(LOWER(AC284)="basis",Parameters!$B$8,IF(LOWER(AC284)="volatility",Parameters!$B$9,1))</x:f>
        <x:v>1</x:v>
      </x:c>
      <x:c r="AM284" s="41" t="n">
        <x:f>AK284*AL284</x:f>
        <x:v>0.32</x:v>
      </x:c>
      <x:c r="AN284" s="42" t="n">
        <x:f>IF(E284="Credit",VLOOKUP(IF(LOWER(K284)="index","Credit Index","Credit Single Name"),Parameters!$J$4:$K$8,2,FALSE),IF(E284="Equity",VLOOKUP(IF(LOWER(K284)="index","Equity Index","Equity Single Name"),Parameters!$J$4:$K$8,2,FALSE),IF(E284="Commodity",VLOOKUP("Commodity",Parameters!$J$4:$K$8,2,FALSE),"")))</x:f>
        <x:v>0.5</x:v>
      </x:c>
      <x:c r="AO284" s="27" t="n">
        <x:f>MAX((O284-M284)/365,0)</x:f>
        <x:v>0</x:v>
      </x:c>
      <x:c r="AP284" s="27" t="n">
        <x:f>MAX((P284-M284)/365,10/Parameters!$B$6)</x:f>
        <x:v>1.6821917808219178</x:v>
      </x:c>
      <x:c r="AQ284" s="27" t="n">
        <x:f>IF(AP284&lt;=AO284,AO284+10/Parameters!$B$6,AP284)</x:f>
        <x:v>1.6821917808219178</x:v>
      </x:c>
      <x:c r="AR284" s="41" t="n">
        <x:f>IF(OR(E284="Interest Rate",E284="Credit"),(EXP(-Parameters!$B$7*AO284)-EXP(-Parameters!$B$7*AQ284))/Parameters!$B$7,1)</x:f>
        <x:v>1</x:v>
      </x:c>
      <x:c r="AS284" s="40" t="n">
        <x:f>IF(OR(E284="Interest Rate",E284="Credit"),ABS(Q284)*AR284,IF(E284="FX",IF(Q284&gt;0,Q284,MAX(ABS(R284),ABS(S284),ABS(Q284))),ABS(Q284)))</x:f>
        <x:v>27300000</x:v>
      </x:c>
      <x:c r="AT284" s="42" t="n">
        <x:f>IF(OR(E284="Interest Rate",E284="FX"),VLOOKUP(E284,Parameters!$M$4:$N$11,2,FALSE),IF(E284="Credit",VLOOKUP(IF(LOWER(K284)="index","Credit Index","Credit Single Name"),Parameters!$M$4:$N$11,2,FALSE),IF(E284="Equity",VLOOKUP(IF(LOWER(K284)="index","Equity Index","Equity Single Name"),Parameters!$M$4:$N$11,2,FALSE),IF(E284="Commodity",VLOOKUP(IF(F284="Electricity","Commodity Electricity","Commodity Other"),Parameters!$M$4:$N$11,2,FALSE),1))))</x:f>
        <x:v>1.2</x:v>
      </x:c>
      <x:c r="AU284" s="27" t="n">
        <x:f>IF(W284="B",1,-1)</x:f>
        <x:v>-1</x:v>
      </x:c>
      <x:c r="AV284" s="27" t="n">
        <x:f>IF(OR(AA284="",M284=""),MAX(AE284,1/365),MAX((AA284-M284)/365,1/365))</x:f>
        <x:v>1.6821917808219178</x:v>
      </x:c>
      <x:c r="AW284" s="41" t="str">
        <x:f>IF(OR(Z284&lt;=0,Y284&lt;=0,AT284&lt;=0,AV284&lt;=0),"",(LN(Z284/Y284)+0.5*AT284^2*AV284)/(AT284*SQRT(AV284)))</x:f>
      </x:c>
      <x:c r="AX284" s="41" t="n">
        <x:f>IF(AND(X284&lt;&gt;"C",X284&lt;&gt;"P"),AU284,IF(AW284="",AU284,IF(X284="C",AU284*0.5*(1+ERF(AW284/SQRT(2))),-AU284*0.5*(1+ERF(-AW284/SQRT(2))))))</x:f>
        <x:v>-1</x:v>
      </x:c>
      <x:c r="AY284" s="41" t="n">
        <x:f>IF(AJ284="M",1.5*SQRT(MAX(IF(U284="Y",5,10),IF(V284="",10,V284))/Parameters!$B$6),SQRT(MIN(MAX(AE284,10/Parameters!$B$6),1)))</x:f>
        <x:v>0.30000000000000004</x:v>
      </x:c>
      <x:c r="AZ284" s="40" t="n">
        <x:f>AS284*AX284*AY284</x:f>
        <x:v>-8190000.000000001</x:v>
      </x:c>
      <x:c r="BA284" s="40" t="n">
        <x:f>'Python_Trade_Output'!AZ284</x:f>
        <x:v>-8190000.000000001</x:v>
      </x:c>
      <x:c r="BB284" s="43" t="n">
        <x:f>AZ284-BA284</x:f>
        <x:v>0</x:v>
      </x:c>
    </x:row>
    <x:row r="285">
      <x:c r="A285" s="27" t="str">
        <x:f>'Inputs_Trades'!D285</x:f>
        <x:v>IND-000282</x:v>
      </x:c>
      <x:c r="B285" s="27" t="str">
        <x:f>'Inputs_Trades'!B285</x:f>
        <x:v>IND_REGIONAL_BANK_001</x:v>
      </x:c>
      <x:c r="C285" s="27" t="n">
        <x:f>'Inputs_Trades'!C285</x:f>
        <x:v>3194</x:v>
      </x:c>
      <x:c r="D285" s="27" t="str">
        <x:f>'Inputs_Trades'!E285</x:f>
        <x:v>Equity TRS</x:v>
      </x:c>
      <x:c r="E285" s="27" t="str">
        <x:f>'Inputs_Trades'!F285</x:f>
        <x:v>Equity</x:v>
      </x:c>
      <x:c r="F285" s="27" t="str">
        <x:f>'Inputs_Trades'!G285</x:f>
        <x:v>Single Stock</x:v>
      </x:c>
      <x:c r="G285" s="27" t="str">
        <x:f>'Inputs_Trades'!J285</x:f>
        <x:v>USD</x:v>
      </x:c>
      <x:c r="H285" s="27" t="str">
        <x:f>'Inputs_Trades'!H285</x:f>
        <x:v>USD</x:v>
      </x:c>
      <x:c r="I285" s="27" t="n">
        <x:f>'Inputs_Trades'!I285</x:f>
        <x:v>0</x:v>
      </x:c>
      <x:c r="J285" s="27" t="str">
        <x:f>'Inputs_Trades'!M285</x:f>
        <x:v>EQUITY_NAME_23</x:v>
      </x:c>
      <x:c r="K285" s="27" t="str">
        <x:f>'Inputs_Trades'!N285</x:f>
        <x:v>Singleton</x:v>
      </x:c>
      <x:c r="L285" s="27" t="n">
        <x:f>'Inputs_Trades'!O285</x:f>
        <x:v>0</x:v>
      </x:c>
      <x:c r="M285" s="39" t="n">
        <x:f>'Inputs_Trades'!A285</x:f>
        <x:v>45702</x:v>
      </x:c>
      <x:c r="N285" s="39" t="n">
        <x:f>'Inputs_Trades'!P285</x:f>
        <x:v>47818</x:v>
      </x:c>
      <x:c r="O285" s="39" t="n">
        <x:f>'Inputs_Trades'!Q285</x:f>
        <x:v>45418</x:v>
      </x:c>
      <x:c r="P285" s="39" t="n">
        <x:f>'Inputs_Trades'!R285</x:f>
        <x:v>47818</x:v>
      </x:c>
      <x:c r="Q285" s="40" t="n">
        <x:f>'Inputs_Trades'!U285</x:f>
        <x:v>9600000</x:v>
      </x:c>
      <x:c r="R285" s="40" t="n">
        <x:f>'Inputs_Trades'!S285</x:f>
        <x:v>9600000</x:v>
      </x:c>
      <x:c r="S285" s="40" t="n">
        <x:f>'Inputs_Trades'!T285</x:f>
        <x:v>0</x:v>
      </x:c>
      <x:c r="T285" s="27" t="str">
        <x:f>'Inputs_Trades'!V285</x:f>
        <x:v>M</x:v>
      </x:c>
      <x:c r="U285" s="27" t="str">
        <x:f>'Inputs_Trades'!W285</x:f>
        <x:v>N</x:v>
      </x:c>
      <x:c r="V285" s="27" t="n">
        <x:f>'Inputs_Trades'!X285</x:f>
        <x:v>10</x:v>
      </x:c>
      <x:c r="W285" s="27" t="str">
        <x:f>'Inputs_Trades'!Y285</x:f>
        <x:v>S</x:v>
      </x:c>
      <x:c r="X285" s="27" t="n">
        <x:f>'Inputs_Trades'!AA285</x:f>
        <x:v>0</x:v>
      </x:c>
      <x:c r="Y285" s="27" t="n">
        <x:f>'Inputs_Trades'!AB285</x:f>
        <x:v>0</x:v>
      </x:c>
      <x:c r="Z285" s="27" t="n">
        <x:f>'Inputs_Trades'!AC285</x:f>
        <x:v>0</x:v>
      </x:c>
      <x:c r="AA285" s="39" t="n">
        <x:f>'Inputs_Trades'!Z285</x:f>
        <x:v>0</x:v>
      </x:c>
      <x:c r="AB285" s="40" t="n">
        <x:f>'Inputs_Trades'!AD285</x:f>
        <x:v>198432</x:v>
      </x:c>
      <x:c r="AC285" s="27" t="n">
        <x:f>'Inputs_Trades'!K285</x:f>
        <x:v>0</x:v>
      </x:c>
      <x:c r="AD285" s="27" t="n">
        <x:f>N285-M285</x:f>
        <x:v>2116</x:v>
      </x:c>
      <x:c r="AE285" s="41" t="n">
        <x:f>AD285/365</x:f>
        <x:v>5.7972602739726025</x:v>
      </x:c>
      <x:c r="AF285" s="27" t="str">
        <x:f>IF(AE285&lt;1,"&lt;1Y",IF(AE285&lt;=5,"1Y-5Y","&gt;5Y"))</x:f>
        <x:v>&gt;5Y</x:v>
      </x:c>
      <x:c r="AG285" s="27" t="str">
        <x:f>IF(E285="Commodity",IFERROR(VLOOKUP(F285,Parameters!$P$4:$Q$12,2,FALSE),"Other"),"")</x:f>
      </x:c>
      <x:c r="AH285" s="27" t="str">
        <x:f>IF(F285="","Unknown",F285)</x:f>
        <x:v>Single Stock</x:v>
      </x:c>
      <x:c r="AI285" s="27" t="str">
        <x:f>IF(E285="Interest Rate",G285&amp;IF(OR(LOWER(AC285)="basis",LOWER(AC285)="volatility"),"_"&amp;AC285,""),IF(E285="FX",IF(H285&lt;I285,H285&amp;"/"&amp;I285,I285&amp;"/"&amp;H285)&amp;IF(OR(LOWER(AC285)="basis",LOWER(AC285)="volatility"),"_"&amp;AC285,""),IF(OR(E285="Credit",E285="Equity"),J285&amp;IF(OR(LOWER(AC285)="basis",LOWER(AC285)="volatility"),"_"&amp;AC285,""),IF(E285="Commodity",AG285&amp;IF(OR(LOWER(AC285)="basis",LOWER(AC285)="volatility"),"_"&amp;AC285,""),"UNKNOWN"))))</x:f>
        <x:v>EQUITY_NAME_23</x:v>
      </x:c>
      <x:c r="AJ285" s="27" t="str">
        <x:f>T285</x:f>
        <x:v>M</x:v>
      </x:c>
      <x:c r="AK285" s="41" t="n">
        <x:f>IF(E285="Interest Rate",VLOOKUP("Interest Rate",Parameters!$D$4:$E$12,2,FALSE),IF(E285="FX",VLOOKUP("FX",Parameters!$D$4:$E$12,2,FALSE),IF(E285="Credit",IFERROR(VLOOKUP(L285,Parameters!$G$4:$H$12,2,FALSE),VLOOKUP("BBB",Parameters!$G$4:$H$12,2,FALSE)),IF(E285="Equity",VLOOKUP(IF(LOWER(K285)="index","Equity Index","Equity Single Name"),Parameters!$D$4:$E$12,2,FALSE),IF(E285="Commodity",VLOOKUP(IFERROR(VLOOKUP(F285,Parameters!$S$4:$T$12,2,FALSE),"Commodity Other"),Parameters!$D$4:$E$12,2,FALSE),0)))))</x:f>
        <x:v>0.32</x:v>
      </x:c>
      <x:c r="AL285" s="42" t="n">
        <x:f>IF(LOWER(AC285)="basis",Parameters!$B$8,IF(LOWER(AC285)="volatility",Parameters!$B$9,1))</x:f>
        <x:v>1</x:v>
      </x:c>
      <x:c r="AM285" s="41" t="n">
        <x:f>AK285*AL285</x:f>
        <x:v>0.32</x:v>
      </x:c>
      <x:c r="AN285" s="42" t="n">
        <x:f>IF(E285="Credit",VLOOKUP(IF(LOWER(K285)="index","Credit Index","Credit Single Name"),Parameters!$J$4:$K$8,2,FALSE),IF(E285="Equity",VLOOKUP(IF(LOWER(K285)="index","Equity Index","Equity Single Name"),Parameters!$J$4:$K$8,2,FALSE),IF(E285="Commodity",VLOOKUP("Commodity",Parameters!$J$4:$K$8,2,FALSE),"")))</x:f>
        <x:v>0.5</x:v>
      </x:c>
      <x:c r="AO285" s="27" t="n">
        <x:f>MAX((O285-M285)/365,0)</x:f>
        <x:v>0</x:v>
      </x:c>
      <x:c r="AP285" s="27" t="n">
        <x:f>MAX((P285-M285)/365,10/Parameters!$B$6)</x:f>
        <x:v>5.7972602739726025</x:v>
      </x:c>
      <x:c r="AQ285" s="27" t="n">
        <x:f>IF(AP285&lt;=AO285,AO285+10/Parameters!$B$6,AP285)</x:f>
        <x:v>5.7972602739726025</x:v>
      </x:c>
      <x:c r="AR285" s="41" t="n">
        <x:f>IF(OR(E285="Interest Rate",E285="Credit"),(EXP(-Parameters!$B$7*AO285)-EXP(-Parameters!$B$7*AQ285))/Parameters!$B$7,1)</x:f>
        <x:v>1</x:v>
      </x:c>
      <x:c r="AS285" s="40" t="n">
        <x:f>IF(OR(E285="Interest Rate",E285="Credit"),ABS(Q285)*AR285,IF(E285="FX",IF(Q285&gt;0,Q285,MAX(ABS(R285),ABS(S285),ABS(Q285))),ABS(Q285)))</x:f>
        <x:v>9600000</x:v>
      </x:c>
      <x:c r="AT285" s="42" t="n">
        <x:f>IF(OR(E285="Interest Rate",E285="FX"),VLOOKUP(E285,Parameters!$M$4:$N$11,2,FALSE),IF(E285="Credit",VLOOKUP(IF(LOWER(K285)="index","Credit Index","Credit Single Name"),Parameters!$M$4:$N$11,2,FALSE),IF(E285="Equity",VLOOKUP(IF(LOWER(K285)="index","Equity Index","Equity Single Name"),Parameters!$M$4:$N$11,2,FALSE),IF(E285="Commodity",VLOOKUP(IF(F285="Electricity","Commodity Electricity","Commodity Other"),Parameters!$M$4:$N$11,2,FALSE),1))))</x:f>
        <x:v>1.2</x:v>
      </x:c>
      <x:c r="AU285" s="27" t="n">
        <x:f>IF(W285="B",1,-1)</x:f>
        <x:v>-1</x:v>
      </x:c>
      <x:c r="AV285" s="27" t="n">
        <x:f>IF(OR(AA285="",M285=""),MAX(AE285,1/365),MAX((AA285-M285)/365,1/365))</x:f>
        <x:v>5.7972602739726025</x:v>
      </x:c>
      <x:c r="AW285" s="41" t="str">
        <x:f>IF(OR(Z285&lt;=0,Y285&lt;=0,AT285&lt;=0,AV285&lt;=0),"",(LN(Z285/Y285)+0.5*AT285^2*AV285)/(AT285*SQRT(AV285)))</x:f>
      </x:c>
      <x:c r="AX285" s="41" t="n">
        <x:f>IF(AND(X285&lt;&gt;"C",X285&lt;&gt;"P"),AU285,IF(AW285="",AU285,IF(X285="C",AU285*0.5*(1+ERF(AW285/SQRT(2))),-AU285*0.5*(1+ERF(-AW285/SQRT(2))))))</x:f>
        <x:v>-1</x:v>
      </x:c>
      <x:c r="AY285" s="41" t="n">
        <x:f>IF(AJ285="M",1.5*SQRT(MAX(IF(U285="Y",5,10),IF(V285="",10,V285))/Parameters!$B$6),SQRT(MIN(MAX(AE285,10/Parameters!$B$6),1)))</x:f>
        <x:v>0.30000000000000004</x:v>
      </x:c>
      <x:c r="AZ285" s="40" t="n">
        <x:f>AS285*AX285*AY285</x:f>
        <x:v>-2880000.0000000005</x:v>
      </x:c>
      <x:c r="BA285" s="40" t="n">
        <x:f>'Python_Trade_Output'!AZ285</x:f>
        <x:v>-2880000.0000000005</x:v>
      </x:c>
      <x:c r="BB285" s="43" t="n">
        <x:f>AZ285-BA285</x:f>
        <x:v>0</x:v>
      </x:c>
    </x:row>
    <x:row r="286">
      <x:c r="A286" s="27" t="str">
        <x:f>'Inputs_Trades'!D286</x:f>
        <x:v>IND-000283</x:v>
      </x:c>
      <x:c r="B286" s="27" t="str">
        <x:f>'Inputs_Trades'!B286</x:f>
        <x:v>IND_SOVEREIGN_001</x:v>
      </x:c>
      <x:c r="C286" s="27" t="n">
        <x:f>'Inputs_Trades'!C286</x:f>
        <x:v>3296</x:v>
      </x:c>
      <x:c r="D286" s="27" t="str">
        <x:f>'Inputs_Trades'!E286</x:f>
        <x:v>Equity TRS</x:v>
      </x:c>
      <x:c r="E286" s="27" t="str">
        <x:f>'Inputs_Trades'!F286</x:f>
        <x:v>Equity</x:v>
      </x:c>
      <x:c r="F286" s="27" t="str">
        <x:f>'Inputs_Trades'!G286</x:f>
        <x:v>Single Stock</x:v>
      </x:c>
      <x:c r="G286" s="27" t="str">
        <x:f>'Inputs_Trades'!J286</x:f>
        <x:v>USD</x:v>
      </x:c>
      <x:c r="H286" s="27" t="str">
        <x:f>'Inputs_Trades'!H286</x:f>
        <x:v>USD</x:v>
      </x:c>
      <x:c r="I286" s="27" t="n">
        <x:f>'Inputs_Trades'!I286</x:f>
        <x:v>0</x:v>
      </x:c>
      <x:c r="J286" s="27" t="str">
        <x:f>'Inputs_Trades'!M286</x:f>
        <x:v>EQUITY_NAME_14</x:v>
      </x:c>
      <x:c r="K286" s="27" t="str">
        <x:f>'Inputs_Trades'!N286</x:f>
        <x:v>Singleton</x:v>
      </x:c>
      <x:c r="L286" s="27" t="n">
        <x:f>'Inputs_Trades'!O286</x:f>
        <x:v>0</x:v>
      </x:c>
      <x:c r="M286" s="39" t="n">
        <x:f>'Inputs_Trades'!A286</x:f>
        <x:v>45702</x:v>
      </x:c>
      <x:c r="N286" s="39" t="n">
        <x:f>'Inputs_Trades'!P286</x:f>
        <x:v>47842</x:v>
      </x:c>
      <x:c r="O286" s="39" t="n">
        <x:f>'Inputs_Trades'!Q286</x:f>
        <x:v>44983</x:v>
      </x:c>
      <x:c r="P286" s="39" t="n">
        <x:f>'Inputs_Trades'!R286</x:f>
        <x:v>47842</x:v>
      </x:c>
      <x:c r="Q286" s="40" t="n">
        <x:f>'Inputs_Trades'!U286</x:f>
        <x:v>41400000</x:v>
      </x:c>
      <x:c r="R286" s="40" t="n">
        <x:f>'Inputs_Trades'!S286</x:f>
        <x:v>41400000</x:v>
      </x:c>
      <x:c r="S286" s="40" t="n">
        <x:f>'Inputs_Trades'!T286</x:f>
        <x:v>0</x:v>
      </x:c>
      <x:c r="T286" s="27" t="str">
        <x:f>'Inputs_Trades'!V286</x:f>
        <x:v>M</x:v>
      </x:c>
      <x:c r="U286" s="27" t="str">
        <x:f>'Inputs_Trades'!W286</x:f>
        <x:v>N</x:v>
      </x:c>
      <x:c r="V286" s="27" t="n">
        <x:f>'Inputs_Trades'!X286</x:f>
        <x:v>10</x:v>
      </x:c>
      <x:c r="W286" s="27" t="str">
        <x:f>'Inputs_Trades'!Y286</x:f>
        <x:v>B</x:v>
      </x:c>
      <x:c r="X286" s="27" t="n">
        <x:f>'Inputs_Trades'!AA286</x:f>
        <x:v>0</x:v>
      </x:c>
      <x:c r="Y286" s="27" t="n">
        <x:f>'Inputs_Trades'!AB286</x:f>
        <x:v>0</x:v>
      </x:c>
      <x:c r="Z286" s="27" t="n">
        <x:f>'Inputs_Trades'!AC286</x:f>
        <x:v>0</x:v>
      </x:c>
      <x:c r="AA286" s="39" t="n">
        <x:f>'Inputs_Trades'!Z286</x:f>
        <x:v>0</x:v>
      </x:c>
      <x:c r="AB286" s="40" t="n">
        <x:f>'Inputs_Trades'!AD286</x:f>
        <x:v>-952614</x:v>
      </x:c>
      <x:c r="AC286" s="27" t="n">
        <x:f>'Inputs_Trades'!K286</x:f>
        <x:v>0</x:v>
      </x:c>
      <x:c r="AD286" s="27" t="n">
        <x:f>N286-M286</x:f>
        <x:v>2140</x:v>
      </x:c>
      <x:c r="AE286" s="41" t="n">
        <x:f>AD286/365</x:f>
        <x:v>5.863013698630137</x:v>
      </x:c>
      <x:c r="AF286" s="27" t="str">
        <x:f>IF(AE286&lt;1,"&lt;1Y",IF(AE286&lt;=5,"1Y-5Y","&gt;5Y"))</x:f>
        <x:v>&gt;5Y</x:v>
      </x:c>
      <x:c r="AG286" s="27" t="str">
        <x:f>IF(E286="Commodity",IFERROR(VLOOKUP(F286,Parameters!$P$4:$Q$12,2,FALSE),"Other"),"")</x:f>
      </x:c>
      <x:c r="AH286" s="27" t="str">
        <x:f>IF(F286="","Unknown",F286)</x:f>
        <x:v>Single Stock</x:v>
      </x:c>
      <x:c r="AI286" s="27" t="str">
        <x:f>IF(E286="Interest Rate",G286&amp;IF(OR(LOWER(AC286)="basis",LOWER(AC286)="volatility"),"_"&amp;AC286,""),IF(E286="FX",IF(H286&lt;I286,H286&amp;"/"&amp;I286,I286&amp;"/"&amp;H286)&amp;IF(OR(LOWER(AC286)="basis",LOWER(AC286)="volatility"),"_"&amp;AC286,""),IF(OR(E286="Credit",E286="Equity"),J286&amp;IF(OR(LOWER(AC286)="basis",LOWER(AC286)="volatility"),"_"&amp;AC286,""),IF(E286="Commodity",AG286&amp;IF(OR(LOWER(AC286)="basis",LOWER(AC286)="volatility"),"_"&amp;AC286,""),"UNKNOWN"))))</x:f>
        <x:v>EQUITY_NAME_14</x:v>
      </x:c>
      <x:c r="AJ286" s="27" t="str">
        <x:f>T286</x:f>
        <x:v>M</x:v>
      </x:c>
      <x:c r="AK286" s="41" t="n">
        <x:f>IF(E286="Interest Rate",VLOOKUP("Interest Rate",Parameters!$D$4:$E$12,2,FALSE),IF(E286="FX",VLOOKUP("FX",Parameters!$D$4:$E$12,2,FALSE),IF(E286="Credit",IFERROR(VLOOKUP(L286,Parameters!$G$4:$H$12,2,FALSE),VLOOKUP("BBB",Parameters!$G$4:$H$12,2,FALSE)),IF(E286="Equity",VLOOKUP(IF(LOWER(K286)="index","Equity Index","Equity Single Name"),Parameters!$D$4:$E$12,2,FALSE),IF(E286="Commodity",VLOOKUP(IFERROR(VLOOKUP(F286,Parameters!$S$4:$T$12,2,FALSE),"Commodity Other"),Parameters!$D$4:$E$12,2,FALSE),0)))))</x:f>
        <x:v>0.32</x:v>
      </x:c>
      <x:c r="AL286" s="42" t="n">
        <x:f>IF(LOWER(AC286)="basis",Parameters!$B$8,IF(LOWER(AC286)="volatility",Parameters!$B$9,1))</x:f>
        <x:v>1</x:v>
      </x:c>
      <x:c r="AM286" s="41" t="n">
        <x:f>AK286*AL286</x:f>
        <x:v>0.32</x:v>
      </x:c>
      <x:c r="AN286" s="42" t="n">
        <x:f>IF(E286="Credit",VLOOKUP(IF(LOWER(K286)="index","Credit Index","Credit Single Name"),Parameters!$J$4:$K$8,2,FALSE),IF(E286="Equity",VLOOKUP(IF(LOWER(K286)="index","Equity Index","Equity Single Name"),Parameters!$J$4:$K$8,2,FALSE),IF(E286="Commodity",VLOOKUP("Commodity",Parameters!$J$4:$K$8,2,FALSE),"")))</x:f>
        <x:v>0.5</x:v>
      </x:c>
      <x:c r="AO286" s="27" t="n">
        <x:f>MAX((O286-M286)/365,0)</x:f>
        <x:v>0</x:v>
      </x:c>
      <x:c r="AP286" s="27" t="n">
        <x:f>MAX((P286-M286)/365,10/Parameters!$B$6)</x:f>
        <x:v>5.863013698630137</x:v>
      </x:c>
      <x:c r="AQ286" s="27" t="n">
        <x:f>IF(AP286&lt;=AO286,AO286+10/Parameters!$B$6,AP286)</x:f>
        <x:v>5.863013698630137</x:v>
      </x:c>
      <x:c r="AR286" s="41" t="n">
        <x:f>IF(OR(E286="Interest Rate",E286="Credit"),(EXP(-Parameters!$B$7*AO286)-EXP(-Parameters!$B$7*AQ286))/Parameters!$B$7,1)</x:f>
        <x:v>1</x:v>
      </x:c>
      <x:c r="AS286" s="40" t="n">
        <x:f>IF(OR(E286="Interest Rate",E286="Credit"),ABS(Q286)*AR286,IF(E286="FX",IF(Q286&gt;0,Q286,MAX(ABS(R286),ABS(S286),ABS(Q286))),ABS(Q286)))</x:f>
        <x:v>41400000</x:v>
      </x:c>
      <x:c r="AT286" s="42" t="n">
        <x:f>IF(OR(E286="Interest Rate",E286="FX"),VLOOKUP(E286,Parameters!$M$4:$N$11,2,FALSE),IF(E286="Credit",VLOOKUP(IF(LOWER(K286)="index","Credit Index","Credit Single Name"),Parameters!$M$4:$N$11,2,FALSE),IF(E286="Equity",VLOOKUP(IF(LOWER(K286)="index","Equity Index","Equity Single Name"),Parameters!$M$4:$N$11,2,FALSE),IF(E286="Commodity",VLOOKUP(IF(F286="Electricity","Commodity Electricity","Commodity Other"),Parameters!$M$4:$N$11,2,FALSE),1))))</x:f>
        <x:v>1.2</x:v>
      </x:c>
      <x:c r="AU286" s="27" t="n">
        <x:f>IF(W286="B",1,-1)</x:f>
        <x:v>1</x:v>
      </x:c>
      <x:c r="AV286" s="27" t="n">
        <x:f>IF(OR(AA286="",M286=""),MAX(AE286,1/365),MAX((AA286-M286)/365,1/365))</x:f>
        <x:v>5.863013698630137</x:v>
      </x:c>
      <x:c r="AW286" s="41" t="str">
        <x:f>IF(OR(Z286&lt;=0,Y286&lt;=0,AT286&lt;=0,AV286&lt;=0),"",(LN(Z286/Y286)+0.5*AT286^2*AV286)/(AT286*SQRT(AV286)))</x:f>
      </x:c>
      <x:c r="AX286" s="41" t="n">
        <x:f>IF(AND(X286&lt;&gt;"C",X286&lt;&gt;"P"),AU286,IF(AW286="",AU286,IF(X286="C",AU286*0.5*(1+ERF(AW286/SQRT(2))),-AU286*0.5*(1+ERF(-AW286/SQRT(2))))))</x:f>
        <x:v>1</x:v>
      </x:c>
      <x:c r="AY286" s="41" t="n">
        <x:f>IF(AJ286="M",1.5*SQRT(MAX(IF(U286="Y",5,10),IF(V286="",10,V286))/Parameters!$B$6),SQRT(MIN(MAX(AE286,10/Parameters!$B$6),1)))</x:f>
        <x:v>0.30000000000000004</x:v>
      </x:c>
      <x:c r="AZ286" s="40" t="n">
        <x:f>AS286*AX286*AY286</x:f>
        <x:v>12420000.000000002</x:v>
      </x:c>
      <x:c r="BA286" s="40" t="n">
        <x:f>'Python_Trade_Output'!AZ286</x:f>
        <x:v>12420000.000000002</x:v>
      </x:c>
      <x:c r="BB286" s="43" t="n">
        <x:f>AZ286-BA286</x:f>
        <x:v>0</x:v>
      </x:c>
    </x:row>
    <x:row r="287">
      <x:c r="A287" s="27" t="str">
        <x:f>'Inputs_Trades'!D287</x:f>
        <x:v>IND-000284</x:v>
      </x:c>
      <x:c r="B287" s="27" t="str">
        <x:f>'Inputs_Trades'!B287</x:f>
        <x:v>IND_PENSION_001</x:v>
      </x:c>
      <x:c r="C287" s="27" t="n">
        <x:f>'Inputs_Trades'!C287</x:f>
        <x:v>3121</x:v>
      </x:c>
      <x:c r="D287" s="27" t="str">
        <x:f>'Inputs_Trades'!E287</x:f>
        <x:v>Equity TRS</x:v>
      </x:c>
      <x:c r="E287" s="27" t="str">
        <x:f>'Inputs_Trades'!F287</x:f>
        <x:v>Equity</x:v>
      </x:c>
      <x:c r="F287" s="27" t="str">
        <x:f>'Inputs_Trades'!G287</x:f>
        <x:v>Single Stock</x:v>
      </x:c>
      <x:c r="G287" s="27" t="str">
        <x:f>'Inputs_Trades'!J287</x:f>
        <x:v>USD</x:v>
      </x:c>
      <x:c r="H287" s="27" t="str">
        <x:f>'Inputs_Trades'!H287</x:f>
        <x:v>USD</x:v>
      </x:c>
      <x:c r="I287" s="27" t="n">
        <x:f>'Inputs_Trades'!I287</x:f>
        <x:v>0</x:v>
      </x:c>
      <x:c r="J287" s="27" t="str">
        <x:f>'Inputs_Trades'!M287</x:f>
        <x:v>EQUITY_NAME_27</x:v>
      </x:c>
      <x:c r="K287" s="27" t="str">
        <x:f>'Inputs_Trades'!N287</x:f>
        <x:v>Singleton</x:v>
      </x:c>
      <x:c r="L287" s="27" t="n">
        <x:f>'Inputs_Trades'!O287</x:f>
        <x:v>0</x:v>
      </x:c>
      <x:c r="M287" s="39" t="n">
        <x:f>'Inputs_Trades'!A287</x:f>
        <x:v>45702</x:v>
      </x:c>
      <x:c r="N287" s="39" t="n">
        <x:f>'Inputs_Trades'!P287</x:f>
        <x:v>47726</x:v>
      </x:c>
      <x:c r="O287" s="39" t="n">
        <x:f>'Inputs_Trades'!Q287</x:f>
        <x:v>45369</x:v>
      </x:c>
      <x:c r="P287" s="39" t="n">
        <x:f>'Inputs_Trades'!R287</x:f>
        <x:v>47726</x:v>
      </x:c>
      <x:c r="Q287" s="40" t="n">
        <x:f>'Inputs_Trades'!U287</x:f>
        <x:v>38700000</x:v>
      </x:c>
      <x:c r="R287" s="40" t="n">
        <x:f>'Inputs_Trades'!S287</x:f>
        <x:v>38700000</x:v>
      </x:c>
      <x:c r="S287" s="40" t="n">
        <x:f>'Inputs_Trades'!T287</x:f>
        <x:v>0</x:v>
      </x:c>
      <x:c r="T287" s="27" t="str">
        <x:f>'Inputs_Trades'!V287</x:f>
        <x:v>M</x:v>
      </x:c>
      <x:c r="U287" s="27" t="str">
        <x:f>'Inputs_Trades'!W287</x:f>
        <x:v>N</x:v>
      </x:c>
      <x:c r="V287" s="27" t="n">
        <x:f>'Inputs_Trades'!X287</x:f>
        <x:v>10</x:v>
      </x:c>
      <x:c r="W287" s="27" t="str">
        <x:f>'Inputs_Trades'!Y287</x:f>
        <x:v>B</x:v>
      </x:c>
      <x:c r="X287" s="27" t="n">
        <x:f>'Inputs_Trades'!AA287</x:f>
        <x:v>0</x:v>
      </x:c>
      <x:c r="Y287" s="27" t="n">
        <x:f>'Inputs_Trades'!AB287</x:f>
        <x:v>0</x:v>
      </x:c>
      <x:c r="Z287" s="27" t="n">
        <x:f>'Inputs_Trades'!AC287</x:f>
        <x:v>0</x:v>
      </x:c>
      <x:c r="AA287" s="39" t="n">
        <x:f>'Inputs_Trades'!Z287</x:f>
        <x:v>0</x:v>
      </x:c>
      <x:c r="AB287" s="40" t="n">
        <x:f>'Inputs_Trades'!AD287</x:f>
        <x:v>626940</x:v>
      </x:c>
      <x:c r="AC287" s="27" t="n">
        <x:f>'Inputs_Trades'!K287</x:f>
        <x:v>0</x:v>
      </x:c>
      <x:c r="AD287" s="27" t="n">
        <x:f>N287-M287</x:f>
        <x:v>2024</x:v>
      </x:c>
      <x:c r="AE287" s="41" t="n">
        <x:f>AD287/365</x:f>
        <x:v>5.545205479452055</x:v>
      </x:c>
      <x:c r="AF287" s="27" t="str">
        <x:f>IF(AE287&lt;1,"&lt;1Y",IF(AE287&lt;=5,"1Y-5Y","&gt;5Y"))</x:f>
        <x:v>&gt;5Y</x:v>
      </x:c>
      <x:c r="AG287" s="27" t="str">
        <x:f>IF(E287="Commodity",IFERROR(VLOOKUP(F287,Parameters!$P$4:$Q$12,2,FALSE),"Other"),"")</x:f>
      </x:c>
      <x:c r="AH287" s="27" t="str">
        <x:f>IF(F287="","Unknown",F287)</x:f>
        <x:v>Single Stock</x:v>
      </x:c>
      <x:c r="AI287" s="27" t="str">
        <x:f>IF(E287="Interest Rate",G287&amp;IF(OR(LOWER(AC287)="basis",LOWER(AC287)="volatility"),"_"&amp;AC287,""),IF(E287="FX",IF(H287&lt;I287,H287&amp;"/"&amp;I287,I287&amp;"/"&amp;H287)&amp;IF(OR(LOWER(AC287)="basis",LOWER(AC287)="volatility"),"_"&amp;AC287,""),IF(OR(E287="Credit",E287="Equity"),J287&amp;IF(OR(LOWER(AC287)="basis",LOWER(AC287)="volatility"),"_"&amp;AC287,""),IF(E287="Commodity",AG287&amp;IF(OR(LOWER(AC287)="basis",LOWER(AC287)="volatility"),"_"&amp;AC287,""),"UNKNOWN"))))</x:f>
        <x:v>EQUITY_NAME_27</x:v>
      </x:c>
      <x:c r="AJ287" s="27" t="str">
        <x:f>T287</x:f>
        <x:v>M</x:v>
      </x:c>
      <x:c r="AK287" s="41" t="n">
        <x:f>IF(E287="Interest Rate",VLOOKUP("Interest Rate",Parameters!$D$4:$E$12,2,FALSE),IF(E287="FX",VLOOKUP("FX",Parameters!$D$4:$E$12,2,FALSE),IF(E287="Credit",IFERROR(VLOOKUP(L287,Parameters!$G$4:$H$12,2,FALSE),VLOOKUP("BBB",Parameters!$G$4:$H$12,2,FALSE)),IF(E287="Equity",VLOOKUP(IF(LOWER(K287)="index","Equity Index","Equity Single Name"),Parameters!$D$4:$E$12,2,FALSE),IF(E287="Commodity",VLOOKUP(IFERROR(VLOOKUP(F287,Parameters!$S$4:$T$12,2,FALSE),"Commodity Other"),Parameters!$D$4:$E$12,2,FALSE),0)))))</x:f>
        <x:v>0.32</x:v>
      </x:c>
      <x:c r="AL287" s="42" t="n">
        <x:f>IF(LOWER(AC287)="basis",Parameters!$B$8,IF(LOWER(AC287)="volatility",Parameters!$B$9,1))</x:f>
        <x:v>1</x:v>
      </x:c>
      <x:c r="AM287" s="41" t="n">
        <x:f>AK287*AL287</x:f>
        <x:v>0.32</x:v>
      </x:c>
      <x:c r="AN287" s="42" t="n">
        <x:f>IF(E287="Credit",VLOOKUP(IF(LOWER(K287)="index","Credit Index","Credit Single Name"),Parameters!$J$4:$K$8,2,FALSE),IF(E287="Equity",VLOOKUP(IF(LOWER(K287)="index","Equity Index","Equity Single Name"),Parameters!$J$4:$K$8,2,FALSE),IF(E287="Commodity",VLOOKUP("Commodity",Parameters!$J$4:$K$8,2,FALSE),"")))</x:f>
        <x:v>0.5</x:v>
      </x:c>
      <x:c r="AO287" s="27" t="n">
        <x:f>MAX((O287-M287)/365,0)</x:f>
        <x:v>0</x:v>
      </x:c>
      <x:c r="AP287" s="27" t="n">
        <x:f>MAX((P287-M287)/365,10/Parameters!$B$6)</x:f>
        <x:v>5.545205479452055</x:v>
      </x:c>
      <x:c r="AQ287" s="27" t="n">
        <x:f>IF(AP287&lt;=AO287,AO287+10/Parameters!$B$6,AP287)</x:f>
        <x:v>5.545205479452055</x:v>
      </x:c>
      <x:c r="AR287" s="41" t="n">
        <x:f>IF(OR(E287="Interest Rate",E287="Credit"),(EXP(-Parameters!$B$7*AO287)-EXP(-Parameters!$B$7*AQ287))/Parameters!$B$7,1)</x:f>
        <x:v>1</x:v>
      </x:c>
      <x:c r="AS287" s="40" t="n">
        <x:f>IF(OR(E287="Interest Rate",E287="Credit"),ABS(Q287)*AR287,IF(E287="FX",IF(Q287&gt;0,Q287,MAX(ABS(R287),ABS(S287),ABS(Q287))),ABS(Q287)))</x:f>
        <x:v>38700000</x:v>
      </x:c>
      <x:c r="AT287" s="42" t="n">
        <x:f>IF(OR(E287="Interest Rate",E287="FX"),VLOOKUP(E287,Parameters!$M$4:$N$11,2,FALSE),IF(E287="Credit",VLOOKUP(IF(LOWER(K287)="index","Credit Index","Credit Single Name"),Parameters!$M$4:$N$11,2,FALSE),IF(E287="Equity",VLOOKUP(IF(LOWER(K287)="index","Equity Index","Equity Single Name"),Parameters!$M$4:$N$11,2,FALSE),IF(E287="Commodity",VLOOKUP(IF(F287="Electricity","Commodity Electricity","Commodity Other"),Parameters!$M$4:$N$11,2,FALSE),1))))</x:f>
        <x:v>1.2</x:v>
      </x:c>
      <x:c r="AU287" s="27" t="n">
        <x:f>IF(W287="B",1,-1)</x:f>
        <x:v>1</x:v>
      </x:c>
      <x:c r="AV287" s="27" t="n">
        <x:f>IF(OR(AA287="",M287=""),MAX(AE287,1/365),MAX((AA287-M287)/365,1/365))</x:f>
        <x:v>5.545205479452055</x:v>
      </x:c>
      <x:c r="AW287" s="41" t="str">
        <x:f>IF(OR(Z287&lt;=0,Y287&lt;=0,AT287&lt;=0,AV287&lt;=0),"",(LN(Z287/Y287)+0.5*AT287^2*AV287)/(AT287*SQRT(AV287)))</x:f>
      </x:c>
      <x:c r="AX287" s="41" t="n">
        <x:f>IF(AND(X287&lt;&gt;"C",X287&lt;&gt;"P"),AU287,IF(AW287="",AU287,IF(X287="C",AU287*0.5*(1+ERF(AW287/SQRT(2))),-AU287*0.5*(1+ERF(-AW287/SQRT(2))))))</x:f>
        <x:v>1</x:v>
      </x:c>
      <x:c r="AY287" s="41" t="n">
        <x:f>IF(AJ287="M",1.5*SQRT(MAX(IF(U287="Y",5,10),IF(V287="",10,V287))/Parameters!$B$6),SQRT(MIN(MAX(AE287,10/Parameters!$B$6),1)))</x:f>
        <x:v>0.30000000000000004</x:v>
      </x:c>
      <x:c r="AZ287" s="40" t="n">
        <x:f>AS287*AX287*AY287</x:f>
        <x:v>11610000.000000002</x:v>
      </x:c>
      <x:c r="BA287" s="40" t="n">
        <x:f>'Python_Trade_Output'!AZ287</x:f>
        <x:v>11610000.000000002</x:v>
      </x:c>
      <x:c r="BB287" s="43" t="n">
        <x:f>AZ287-BA287</x:f>
        <x:v>0</x:v>
      </x:c>
    </x:row>
    <x:row r="288">
      <x:c r="A288" s="27" t="str">
        <x:f>'Inputs_Trades'!D288</x:f>
        <x:v>IND-000285</x:v>
      </x:c>
      <x:c r="B288" s="27" t="str">
        <x:f>'Inputs_Trades'!B288</x:f>
        <x:v>IND_REGIONAL_BANK_001</x:v>
      </x:c>
      <x:c r="C288" s="27" t="n">
        <x:f>'Inputs_Trades'!C288</x:f>
        <x:v>3194</x:v>
      </x:c>
      <x:c r="D288" s="27" t="str">
        <x:f>'Inputs_Trades'!E288</x:f>
        <x:v>Equity TRS</x:v>
      </x:c>
      <x:c r="E288" s="27" t="str">
        <x:f>'Inputs_Trades'!F288</x:f>
        <x:v>Equity</x:v>
      </x:c>
      <x:c r="F288" s="27" t="str">
        <x:f>'Inputs_Trades'!G288</x:f>
        <x:v>Single Stock</x:v>
      </x:c>
      <x:c r="G288" s="27" t="str">
        <x:f>'Inputs_Trades'!J288</x:f>
        <x:v>USD</x:v>
      </x:c>
      <x:c r="H288" s="27" t="str">
        <x:f>'Inputs_Trades'!H288</x:f>
        <x:v>USD</x:v>
      </x:c>
      <x:c r="I288" s="27" t="n">
        <x:f>'Inputs_Trades'!I288</x:f>
        <x:v>0</x:v>
      </x:c>
      <x:c r="J288" s="27" t="str">
        <x:f>'Inputs_Trades'!M288</x:f>
        <x:v>EQUITY_NAME_11</x:v>
      </x:c>
      <x:c r="K288" s="27" t="str">
        <x:f>'Inputs_Trades'!N288</x:f>
        <x:v>Singleton</x:v>
      </x:c>
      <x:c r="L288" s="27" t="n">
        <x:f>'Inputs_Trades'!O288</x:f>
        <x:v>0</x:v>
      </x:c>
      <x:c r="M288" s="39" t="n">
        <x:f>'Inputs_Trades'!A288</x:f>
        <x:v>45702</x:v>
      </x:c>
      <x:c r="N288" s="39" t="n">
        <x:f>'Inputs_Trades'!P288</x:f>
        <x:v>46692</x:v>
      </x:c>
      <x:c r="O288" s="39" t="n">
        <x:f>'Inputs_Trades'!Q288</x:f>
        <x:v>45469</x:v>
      </x:c>
      <x:c r="P288" s="39" t="n">
        <x:f>'Inputs_Trades'!R288</x:f>
        <x:v>46692</x:v>
      </x:c>
      <x:c r="Q288" s="40" t="n">
        <x:f>'Inputs_Trades'!U288</x:f>
        <x:v>38600000</x:v>
      </x:c>
      <x:c r="R288" s="40" t="n">
        <x:f>'Inputs_Trades'!S288</x:f>
        <x:v>38600000</x:v>
      </x:c>
      <x:c r="S288" s="40" t="n">
        <x:f>'Inputs_Trades'!T288</x:f>
        <x:v>0</x:v>
      </x:c>
      <x:c r="T288" s="27" t="str">
        <x:f>'Inputs_Trades'!V288</x:f>
        <x:v>M</x:v>
      </x:c>
      <x:c r="U288" s="27" t="str">
        <x:f>'Inputs_Trades'!W288</x:f>
        <x:v>N</x:v>
      </x:c>
      <x:c r="V288" s="27" t="n">
        <x:f>'Inputs_Trades'!X288</x:f>
        <x:v>10</x:v>
      </x:c>
      <x:c r="W288" s="27" t="str">
        <x:f>'Inputs_Trades'!Y288</x:f>
        <x:v>S</x:v>
      </x:c>
      <x:c r="X288" s="27" t="n">
        <x:f>'Inputs_Trades'!AA288</x:f>
        <x:v>0</x:v>
      </x:c>
      <x:c r="Y288" s="27" t="n">
        <x:f>'Inputs_Trades'!AB288</x:f>
        <x:v>0</x:v>
      </x:c>
      <x:c r="Z288" s="27" t="n">
        <x:f>'Inputs_Trades'!AC288</x:f>
        <x:v>0</x:v>
      </x:c>
      <x:c r="AA288" s="39" t="n">
        <x:f>'Inputs_Trades'!Z288</x:f>
        <x:v>0</x:v>
      </x:c>
      <x:c r="AB288" s="40" t="n">
        <x:f>'Inputs_Trades'!AD288</x:f>
        <x:v>777018</x:v>
      </x:c>
      <x:c r="AC288" s="27" t="n">
        <x:f>'Inputs_Trades'!K288</x:f>
        <x:v>0</x:v>
      </x:c>
      <x:c r="AD288" s="27" t="n">
        <x:f>N288-M288</x:f>
        <x:v>990</x:v>
      </x:c>
      <x:c r="AE288" s="41" t="n">
        <x:f>AD288/365</x:f>
        <x:v>2.712328767123288</x:v>
      </x:c>
      <x:c r="AF288" s="27" t="str">
        <x:f>IF(AE288&lt;1,"&lt;1Y",IF(AE288&lt;=5,"1Y-5Y","&gt;5Y"))</x:f>
        <x:v>1Y-5Y</x:v>
      </x:c>
      <x:c r="AG288" s="27" t="str">
        <x:f>IF(E288="Commodity",IFERROR(VLOOKUP(F288,Parameters!$P$4:$Q$12,2,FALSE),"Other"),"")</x:f>
      </x:c>
      <x:c r="AH288" s="27" t="str">
        <x:f>IF(F288="","Unknown",F288)</x:f>
        <x:v>Single Stock</x:v>
      </x:c>
      <x:c r="AI288" s="27" t="str">
        <x:f>IF(E288="Interest Rate",G288&amp;IF(OR(LOWER(AC288)="basis",LOWER(AC288)="volatility"),"_"&amp;AC288,""),IF(E288="FX",IF(H288&lt;I288,H288&amp;"/"&amp;I288,I288&amp;"/"&amp;H288)&amp;IF(OR(LOWER(AC288)="basis",LOWER(AC288)="volatility"),"_"&amp;AC288,""),IF(OR(E288="Credit",E288="Equity"),J288&amp;IF(OR(LOWER(AC288)="basis",LOWER(AC288)="volatility"),"_"&amp;AC288,""),IF(E288="Commodity",AG288&amp;IF(OR(LOWER(AC288)="basis",LOWER(AC288)="volatility"),"_"&amp;AC288,""),"UNKNOWN"))))</x:f>
        <x:v>EQUITY_NAME_11</x:v>
      </x:c>
      <x:c r="AJ288" s="27" t="str">
        <x:f>T288</x:f>
        <x:v>M</x:v>
      </x:c>
      <x:c r="AK288" s="41" t="n">
        <x:f>IF(E288="Interest Rate",VLOOKUP("Interest Rate",Parameters!$D$4:$E$12,2,FALSE),IF(E288="FX",VLOOKUP("FX",Parameters!$D$4:$E$12,2,FALSE),IF(E288="Credit",IFERROR(VLOOKUP(L288,Parameters!$G$4:$H$12,2,FALSE),VLOOKUP("BBB",Parameters!$G$4:$H$12,2,FALSE)),IF(E288="Equity",VLOOKUP(IF(LOWER(K288)="index","Equity Index","Equity Single Name"),Parameters!$D$4:$E$12,2,FALSE),IF(E288="Commodity",VLOOKUP(IFERROR(VLOOKUP(F288,Parameters!$S$4:$T$12,2,FALSE),"Commodity Other"),Parameters!$D$4:$E$12,2,FALSE),0)))))</x:f>
        <x:v>0.32</x:v>
      </x:c>
      <x:c r="AL288" s="42" t="n">
        <x:f>IF(LOWER(AC288)="basis",Parameters!$B$8,IF(LOWER(AC288)="volatility",Parameters!$B$9,1))</x:f>
        <x:v>1</x:v>
      </x:c>
      <x:c r="AM288" s="41" t="n">
        <x:f>AK288*AL288</x:f>
        <x:v>0.32</x:v>
      </x:c>
      <x:c r="AN288" s="42" t="n">
        <x:f>IF(E288="Credit",VLOOKUP(IF(LOWER(K288)="index","Credit Index","Credit Single Name"),Parameters!$J$4:$K$8,2,FALSE),IF(E288="Equity",VLOOKUP(IF(LOWER(K288)="index","Equity Index","Equity Single Name"),Parameters!$J$4:$K$8,2,FALSE),IF(E288="Commodity",VLOOKUP("Commodity",Parameters!$J$4:$K$8,2,FALSE),"")))</x:f>
        <x:v>0.5</x:v>
      </x:c>
      <x:c r="AO288" s="27" t="n">
        <x:f>MAX((O288-M288)/365,0)</x:f>
        <x:v>0</x:v>
      </x:c>
      <x:c r="AP288" s="27" t="n">
        <x:f>MAX((P288-M288)/365,10/Parameters!$B$6)</x:f>
        <x:v>2.712328767123288</x:v>
      </x:c>
      <x:c r="AQ288" s="27" t="n">
        <x:f>IF(AP288&lt;=AO288,AO288+10/Parameters!$B$6,AP288)</x:f>
        <x:v>2.712328767123288</x:v>
      </x:c>
      <x:c r="AR288" s="41" t="n">
        <x:f>IF(OR(E288="Interest Rate",E288="Credit"),(EXP(-Parameters!$B$7*AO288)-EXP(-Parameters!$B$7*AQ288))/Parameters!$B$7,1)</x:f>
        <x:v>1</x:v>
      </x:c>
      <x:c r="AS288" s="40" t="n">
        <x:f>IF(OR(E288="Interest Rate",E288="Credit"),ABS(Q288)*AR288,IF(E288="FX",IF(Q288&gt;0,Q288,MAX(ABS(R288),ABS(S288),ABS(Q288))),ABS(Q288)))</x:f>
        <x:v>38600000</x:v>
      </x:c>
      <x:c r="AT288" s="42" t="n">
        <x:f>IF(OR(E288="Interest Rate",E288="FX"),VLOOKUP(E288,Parameters!$M$4:$N$11,2,FALSE),IF(E288="Credit",VLOOKUP(IF(LOWER(K288)="index","Credit Index","Credit Single Name"),Parameters!$M$4:$N$11,2,FALSE),IF(E288="Equity",VLOOKUP(IF(LOWER(K288)="index","Equity Index","Equity Single Name"),Parameters!$M$4:$N$11,2,FALSE),IF(E288="Commodity",VLOOKUP(IF(F288="Electricity","Commodity Electricity","Commodity Other"),Parameters!$M$4:$N$11,2,FALSE),1))))</x:f>
        <x:v>1.2</x:v>
      </x:c>
      <x:c r="AU288" s="27" t="n">
        <x:f>IF(W288="B",1,-1)</x:f>
        <x:v>-1</x:v>
      </x:c>
      <x:c r="AV288" s="27" t="n">
        <x:f>IF(OR(AA288="",M288=""),MAX(AE288,1/365),MAX((AA288-M288)/365,1/365))</x:f>
        <x:v>2.712328767123288</x:v>
      </x:c>
      <x:c r="AW288" s="41" t="str">
        <x:f>IF(OR(Z288&lt;=0,Y288&lt;=0,AT288&lt;=0,AV288&lt;=0),"",(LN(Z288/Y288)+0.5*AT288^2*AV288)/(AT288*SQRT(AV288)))</x:f>
      </x:c>
      <x:c r="AX288" s="41" t="n">
        <x:f>IF(AND(X288&lt;&gt;"C",X288&lt;&gt;"P"),AU288,IF(AW288="",AU288,IF(X288="C",AU288*0.5*(1+ERF(AW288/SQRT(2))),-AU288*0.5*(1+ERF(-AW288/SQRT(2))))))</x:f>
        <x:v>-1</x:v>
      </x:c>
      <x:c r="AY288" s="41" t="n">
        <x:f>IF(AJ288="M",1.5*SQRT(MAX(IF(U288="Y",5,10),IF(V288="",10,V288))/Parameters!$B$6),SQRT(MIN(MAX(AE288,10/Parameters!$B$6),1)))</x:f>
        <x:v>0.30000000000000004</x:v>
      </x:c>
      <x:c r="AZ288" s="40" t="n">
        <x:f>AS288*AX288*AY288</x:f>
        <x:v>-11580000.000000002</x:v>
      </x:c>
      <x:c r="BA288" s="40" t="n">
        <x:f>'Python_Trade_Output'!AZ288</x:f>
        <x:v>-11580000.000000002</x:v>
      </x:c>
      <x:c r="BB288" s="43" t="n">
        <x:f>AZ288-BA288</x:f>
        <x:v>0</x:v>
      </x:c>
    </x:row>
    <x:row r="289">
      <x:c r="A289" s="27" t="str">
        <x:f>'Inputs_Trades'!D289</x:f>
        <x:v>IND-000286</x:v>
      </x:c>
      <x:c r="B289" s="27" t="str">
        <x:f>'Inputs_Trades'!B289</x:f>
        <x:v>IND_BROKER_001</x:v>
      </x:c>
      <x:c r="C289" s="27" t="n">
        <x:f>'Inputs_Trades'!C289</x:f>
        <x:v>3195</x:v>
      </x:c>
      <x:c r="D289" s="27" t="str">
        <x:f>'Inputs_Trades'!E289</x:f>
        <x:v>Equity TRS</x:v>
      </x:c>
      <x:c r="E289" s="27" t="str">
        <x:f>'Inputs_Trades'!F289</x:f>
        <x:v>Equity</x:v>
      </x:c>
      <x:c r="F289" s="27" t="str">
        <x:f>'Inputs_Trades'!G289</x:f>
        <x:v>Single Stock</x:v>
      </x:c>
      <x:c r="G289" s="27" t="str">
        <x:f>'Inputs_Trades'!J289</x:f>
        <x:v>USD</x:v>
      </x:c>
      <x:c r="H289" s="27" t="str">
        <x:f>'Inputs_Trades'!H289</x:f>
        <x:v>USD</x:v>
      </x:c>
      <x:c r="I289" s="27" t="n">
        <x:f>'Inputs_Trades'!I289</x:f>
        <x:v>0</x:v>
      </x:c>
      <x:c r="J289" s="27" t="str">
        <x:f>'Inputs_Trades'!M289</x:f>
        <x:v>EQUITY_NAME_02</x:v>
      </x:c>
      <x:c r="K289" s="27" t="str">
        <x:f>'Inputs_Trades'!N289</x:f>
        <x:v>Singleton</x:v>
      </x:c>
      <x:c r="L289" s="27" t="n">
        <x:f>'Inputs_Trades'!O289</x:f>
        <x:v>0</x:v>
      </x:c>
      <x:c r="M289" s="39" t="n">
        <x:f>'Inputs_Trades'!A289</x:f>
        <x:v>45702</x:v>
      </x:c>
      <x:c r="N289" s="39" t="n">
        <x:f>'Inputs_Trades'!P289</x:f>
        <x:v>47518</x:v>
      </x:c>
      <x:c r="O289" s="39" t="n">
        <x:f>'Inputs_Trades'!Q289</x:f>
        <x:v>44944</x:v>
      </x:c>
      <x:c r="P289" s="39" t="n">
        <x:f>'Inputs_Trades'!R289</x:f>
        <x:v>47518</x:v>
      </x:c>
      <x:c r="Q289" s="40" t="n">
        <x:f>'Inputs_Trades'!U289</x:f>
        <x:v>43300000</x:v>
      </x:c>
      <x:c r="R289" s="40" t="n">
        <x:f>'Inputs_Trades'!S289</x:f>
        <x:v>43300000</x:v>
      </x:c>
      <x:c r="S289" s="40" t="n">
        <x:f>'Inputs_Trades'!T289</x:f>
        <x:v>0</x:v>
      </x:c>
      <x:c r="T289" s="27" t="str">
        <x:f>'Inputs_Trades'!V289</x:f>
        <x:v>M</x:v>
      </x:c>
      <x:c r="U289" s="27" t="str">
        <x:f>'Inputs_Trades'!W289</x:f>
        <x:v>N</x:v>
      </x:c>
      <x:c r="V289" s="27" t="n">
        <x:f>'Inputs_Trades'!X289</x:f>
        <x:v>10</x:v>
      </x:c>
      <x:c r="W289" s="27" t="str">
        <x:f>'Inputs_Trades'!Y289</x:f>
        <x:v>B</x:v>
      </x:c>
      <x:c r="X289" s="27" t="n">
        <x:f>'Inputs_Trades'!AA289</x:f>
        <x:v>0</x:v>
      </x:c>
      <x:c r="Y289" s="27" t="n">
        <x:f>'Inputs_Trades'!AB289</x:f>
        <x:v>0</x:v>
      </x:c>
      <x:c r="Z289" s="27" t="n">
        <x:f>'Inputs_Trades'!AC289</x:f>
        <x:v>0</x:v>
      </x:c>
      <x:c r="AA289" s="39" t="n">
        <x:f>'Inputs_Trades'!Z289</x:f>
        <x:v>0</x:v>
      </x:c>
      <x:c r="AB289" s="40" t="n">
        <x:f>'Inputs_Trades'!AD289</x:f>
        <x:v>969054</x:v>
      </x:c>
      <x:c r="AC289" s="27" t="n">
        <x:f>'Inputs_Trades'!K289</x:f>
        <x:v>0</x:v>
      </x:c>
      <x:c r="AD289" s="27" t="n">
        <x:f>N289-M289</x:f>
        <x:v>1816</x:v>
      </x:c>
      <x:c r="AE289" s="41" t="n">
        <x:f>AD289/365</x:f>
        <x:v>4.975342465753425</x:v>
      </x:c>
      <x:c r="AF289" s="27" t="str">
        <x:f>IF(AE289&lt;1,"&lt;1Y",IF(AE289&lt;=5,"1Y-5Y","&gt;5Y"))</x:f>
        <x:v>1Y-5Y</x:v>
      </x:c>
      <x:c r="AG289" s="27" t="str">
        <x:f>IF(E289="Commodity",IFERROR(VLOOKUP(F289,Parameters!$P$4:$Q$12,2,FALSE),"Other"),"")</x:f>
      </x:c>
      <x:c r="AH289" s="27" t="str">
        <x:f>IF(F289="","Unknown",F289)</x:f>
        <x:v>Single Stock</x:v>
      </x:c>
      <x:c r="AI289" s="27" t="str">
        <x:f>IF(E289="Interest Rate",G289&amp;IF(OR(LOWER(AC289)="basis",LOWER(AC289)="volatility"),"_"&amp;AC289,""),IF(E289="FX",IF(H289&lt;I289,H289&amp;"/"&amp;I289,I289&amp;"/"&amp;H289)&amp;IF(OR(LOWER(AC289)="basis",LOWER(AC289)="volatility"),"_"&amp;AC289,""),IF(OR(E289="Credit",E289="Equity"),J289&amp;IF(OR(LOWER(AC289)="basis",LOWER(AC289)="volatility"),"_"&amp;AC289,""),IF(E289="Commodity",AG289&amp;IF(OR(LOWER(AC289)="basis",LOWER(AC289)="volatility"),"_"&amp;AC289,""),"UNKNOWN"))))</x:f>
        <x:v>EQUITY_NAME_02</x:v>
      </x:c>
      <x:c r="AJ289" s="27" t="str">
        <x:f>T289</x:f>
        <x:v>M</x:v>
      </x:c>
      <x:c r="AK289" s="41" t="n">
        <x:f>IF(E289="Interest Rate",VLOOKUP("Interest Rate",Parameters!$D$4:$E$12,2,FALSE),IF(E289="FX",VLOOKUP("FX",Parameters!$D$4:$E$12,2,FALSE),IF(E289="Credit",IFERROR(VLOOKUP(L289,Parameters!$G$4:$H$12,2,FALSE),VLOOKUP("BBB",Parameters!$G$4:$H$12,2,FALSE)),IF(E289="Equity",VLOOKUP(IF(LOWER(K289)="index","Equity Index","Equity Single Name"),Parameters!$D$4:$E$12,2,FALSE),IF(E289="Commodity",VLOOKUP(IFERROR(VLOOKUP(F289,Parameters!$S$4:$T$12,2,FALSE),"Commodity Other"),Parameters!$D$4:$E$12,2,FALSE),0)))))</x:f>
        <x:v>0.32</x:v>
      </x:c>
      <x:c r="AL289" s="42" t="n">
        <x:f>IF(LOWER(AC289)="basis",Parameters!$B$8,IF(LOWER(AC289)="volatility",Parameters!$B$9,1))</x:f>
        <x:v>1</x:v>
      </x:c>
      <x:c r="AM289" s="41" t="n">
        <x:f>AK289*AL289</x:f>
        <x:v>0.32</x:v>
      </x:c>
      <x:c r="AN289" s="42" t="n">
        <x:f>IF(E289="Credit",VLOOKUP(IF(LOWER(K289)="index","Credit Index","Credit Single Name"),Parameters!$J$4:$K$8,2,FALSE),IF(E289="Equity",VLOOKUP(IF(LOWER(K289)="index","Equity Index","Equity Single Name"),Parameters!$J$4:$K$8,2,FALSE),IF(E289="Commodity",VLOOKUP("Commodity",Parameters!$J$4:$K$8,2,FALSE),"")))</x:f>
        <x:v>0.5</x:v>
      </x:c>
      <x:c r="AO289" s="27" t="n">
        <x:f>MAX((O289-M289)/365,0)</x:f>
        <x:v>0</x:v>
      </x:c>
      <x:c r="AP289" s="27" t="n">
        <x:f>MAX((P289-M289)/365,10/Parameters!$B$6)</x:f>
        <x:v>4.975342465753425</x:v>
      </x:c>
      <x:c r="AQ289" s="27" t="n">
        <x:f>IF(AP289&lt;=AO289,AO289+10/Parameters!$B$6,AP289)</x:f>
        <x:v>4.975342465753425</x:v>
      </x:c>
      <x:c r="AR289" s="41" t="n">
        <x:f>IF(OR(E289="Interest Rate",E289="Credit"),(EXP(-Parameters!$B$7*AO289)-EXP(-Parameters!$B$7*AQ289))/Parameters!$B$7,1)</x:f>
        <x:v>1</x:v>
      </x:c>
      <x:c r="AS289" s="40" t="n">
        <x:f>IF(OR(E289="Interest Rate",E289="Credit"),ABS(Q289)*AR289,IF(E289="FX",IF(Q289&gt;0,Q289,MAX(ABS(R289),ABS(S289),ABS(Q289))),ABS(Q289)))</x:f>
        <x:v>43300000</x:v>
      </x:c>
      <x:c r="AT289" s="42" t="n">
        <x:f>IF(OR(E289="Interest Rate",E289="FX"),VLOOKUP(E289,Parameters!$M$4:$N$11,2,FALSE),IF(E289="Credit",VLOOKUP(IF(LOWER(K289)="index","Credit Index","Credit Single Name"),Parameters!$M$4:$N$11,2,FALSE),IF(E289="Equity",VLOOKUP(IF(LOWER(K289)="index","Equity Index","Equity Single Name"),Parameters!$M$4:$N$11,2,FALSE),IF(E289="Commodity",VLOOKUP(IF(F289="Electricity","Commodity Electricity","Commodity Other"),Parameters!$M$4:$N$11,2,FALSE),1))))</x:f>
        <x:v>1.2</x:v>
      </x:c>
      <x:c r="AU289" s="27" t="n">
        <x:f>IF(W289="B",1,-1)</x:f>
        <x:v>1</x:v>
      </x:c>
      <x:c r="AV289" s="27" t="n">
        <x:f>IF(OR(AA289="",M289=""),MAX(AE289,1/365),MAX((AA289-M289)/365,1/365))</x:f>
        <x:v>4.975342465753425</x:v>
      </x:c>
      <x:c r="AW289" s="41" t="str">
        <x:f>IF(OR(Z289&lt;=0,Y289&lt;=0,AT289&lt;=0,AV289&lt;=0),"",(LN(Z289/Y289)+0.5*AT289^2*AV289)/(AT289*SQRT(AV289)))</x:f>
      </x:c>
      <x:c r="AX289" s="41" t="n">
        <x:f>IF(AND(X289&lt;&gt;"C",X289&lt;&gt;"P"),AU289,IF(AW289="",AU289,IF(X289="C",AU289*0.5*(1+ERF(AW289/SQRT(2))),-AU289*0.5*(1+ERF(-AW289/SQRT(2))))))</x:f>
        <x:v>1</x:v>
      </x:c>
      <x:c r="AY289" s="41" t="n">
        <x:f>IF(AJ289="M",1.5*SQRT(MAX(IF(U289="Y",5,10),IF(V289="",10,V289))/Parameters!$B$6),SQRT(MIN(MAX(AE289,10/Parameters!$B$6),1)))</x:f>
        <x:v>0.30000000000000004</x:v>
      </x:c>
      <x:c r="AZ289" s="40" t="n">
        <x:f>AS289*AX289*AY289</x:f>
        <x:v>12990000.000000002</x:v>
      </x:c>
      <x:c r="BA289" s="40" t="n">
        <x:f>'Python_Trade_Output'!AZ289</x:f>
        <x:v>12990000.000000002</x:v>
      </x:c>
      <x:c r="BB289" s="43" t="n">
        <x:f>AZ289-BA289</x:f>
        <x:v>0</x:v>
      </x:c>
    </x:row>
    <x:row r="290">
      <x:c r="A290" s="27" t="str">
        <x:f>'Inputs_Trades'!D290</x:f>
        <x:v>IND-000287</x:v>
      </x:c>
      <x:c r="B290" s="27" t="str">
        <x:f>'Inputs_Trades'!B290</x:f>
        <x:v>IND_BANK_002</x:v>
      </x:c>
      <x:c r="C290" s="27" t="n">
        <x:f>'Inputs_Trades'!C290</x:f>
        <x:v>3090</x:v>
      </x:c>
      <x:c r="D290" s="27" t="str">
        <x:f>'Inputs_Trades'!E290</x:f>
        <x:v>Equity TRS</x:v>
      </x:c>
      <x:c r="E290" s="27" t="str">
        <x:f>'Inputs_Trades'!F290</x:f>
        <x:v>Equity</x:v>
      </x:c>
      <x:c r="F290" s="27" t="str">
        <x:f>'Inputs_Trades'!G290</x:f>
        <x:v>Single Stock</x:v>
      </x:c>
      <x:c r="G290" s="27" t="str">
        <x:f>'Inputs_Trades'!J290</x:f>
        <x:v>USD</x:v>
      </x:c>
      <x:c r="H290" s="27" t="str">
        <x:f>'Inputs_Trades'!H290</x:f>
        <x:v>USD</x:v>
      </x:c>
      <x:c r="I290" s="27" t="n">
        <x:f>'Inputs_Trades'!I290</x:f>
        <x:v>0</x:v>
      </x:c>
      <x:c r="J290" s="27" t="str">
        <x:f>'Inputs_Trades'!M290</x:f>
        <x:v>EQUITY_NAME_13</x:v>
      </x:c>
      <x:c r="K290" s="27" t="str">
        <x:f>'Inputs_Trades'!N290</x:f>
        <x:v>Singleton</x:v>
      </x:c>
      <x:c r="L290" s="27" t="n">
        <x:f>'Inputs_Trades'!O290</x:f>
        <x:v>0</x:v>
      </x:c>
      <x:c r="M290" s="39" t="n">
        <x:f>'Inputs_Trades'!A290</x:f>
        <x:v>45702</x:v>
      </x:c>
      <x:c r="N290" s="39" t="n">
        <x:f>'Inputs_Trades'!P290</x:f>
        <x:v>45868</x:v>
      </x:c>
      <x:c r="O290" s="39" t="n">
        <x:f>'Inputs_Trades'!Q290</x:f>
        <x:v>45092</x:v>
      </x:c>
      <x:c r="P290" s="39" t="n">
        <x:f>'Inputs_Trades'!R290</x:f>
        <x:v>45868</x:v>
      </x:c>
      <x:c r="Q290" s="40" t="n">
        <x:f>'Inputs_Trades'!U290</x:f>
        <x:v>21800000</x:v>
      </x:c>
      <x:c r="R290" s="40" t="n">
        <x:f>'Inputs_Trades'!S290</x:f>
        <x:v>21800000</x:v>
      </x:c>
      <x:c r="S290" s="40" t="n">
        <x:f>'Inputs_Trades'!T290</x:f>
        <x:v>0</x:v>
      </x:c>
      <x:c r="T290" s="27" t="str">
        <x:f>'Inputs_Trades'!V290</x:f>
        <x:v>U</x:v>
      </x:c>
      <x:c r="U290" s="27" t="str">
        <x:f>'Inputs_Trades'!W290</x:f>
        <x:v>N</x:v>
      </x:c>
      <x:c r="V290" s="27" t="n">
        <x:f>'Inputs_Trades'!X290</x:f>
        <x:v>0</x:v>
      </x:c>
      <x:c r="W290" s="27" t="str">
        <x:f>'Inputs_Trades'!Y290</x:f>
        <x:v>B</x:v>
      </x:c>
      <x:c r="X290" s="27" t="n">
        <x:f>'Inputs_Trades'!AA290</x:f>
        <x:v>0</x:v>
      </x:c>
      <x:c r="Y290" s="27" t="n">
        <x:f>'Inputs_Trades'!AB290</x:f>
        <x:v>0</x:v>
      </x:c>
      <x:c r="Z290" s="27" t="n">
        <x:f>'Inputs_Trades'!AC290</x:f>
        <x:v>0</x:v>
      </x:c>
      <x:c r="AA290" s="39" t="n">
        <x:f>'Inputs_Trades'!Z290</x:f>
        <x:v>0</x:v>
      </x:c>
      <x:c r="AB290" s="40" t="n">
        <x:f>'Inputs_Trades'!AD290</x:f>
        <x:v>-340080</x:v>
      </x:c>
      <x:c r="AC290" s="27" t="n">
        <x:f>'Inputs_Trades'!K290</x:f>
        <x:v>0</x:v>
      </x:c>
      <x:c r="AD290" s="27" t="n">
        <x:f>N290-M290</x:f>
        <x:v>166</x:v>
      </x:c>
      <x:c r="AE290" s="41" t="n">
        <x:f>AD290/365</x:f>
        <x:v>0.4547945205479452</x:v>
      </x:c>
      <x:c r="AF290" s="27" t="str">
        <x:f>IF(AE290&lt;1,"&lt;1Y",IF(AE290&lt;=5,"1Y-5Y","&gt;5Y"))</x:f>
        <x:v>&lt;1Y</x:v>
      </x:c>
      <x:c r="AG290" s="27" t="str">
        <x:f>IF(E290="Commodity",IFERROR(VLOOKUP(F290,Parameters!$P$4:$Q$12,2,FALSE),"Other"),"")</x:f>
      </x:c>
      <x:c r="AH290" s="27" t="str">
        <x:f>IF(F290="","Unknown",F290)</x:f>
        <x:v>Single Stock</x:v>
      </x:c>
      <x:c r="AI290" s="27" t="str">
        <x:f>IF(E290="Interest Rate",G290&amp;IF(OR(LOWER(AC290)="basis",LOWER(AC290)="volatility"),"_"&amp;AC290,""),IF(E290="FX",IF(H290&lt;I290,H290&amp;"/"&amp;I290,I290&amp;"/"&amp;H290)&amp;IF(OR(LOWER(AC290)="basis",LOWER(AC290)="volatility"),"_"&amp;AC290,""),IF(OR(E290="Credit",E290="Equity"),J290&amp;IF(OR(LOWER(AC290)="basis",LOWER(AC290)="volatility"),"_"&amp;AC290,""),IF(E290="Commodity",AG290&amp;IF(OR(LOWER(AC290)="basis",LOWER(AC290)="volatility"),"_"&amp;AC290,""),"UNKNOWN"))))</x:f>
        <x:v>EQUITY_NAME_13</x:v>
      </x:c>
      <x:c r="AJ290" s="27" t="str">
        <x:f>T290</x:f>
        <x:v>U</x:v>
      </x:c>
      <x:c r="AK290" s="41" t="n">
        <x:f>IF(E290="Interest Rate",VLOOKUP("Interest Rate",Parameters!$D$4:$E$12,2,FALSE),IF(E290="FX",VLOOKUP("FX",Parameters!$D$4:$E$12,2,FALSE),IF(E290="Credit",IFERROR(VLOOKUP(L290,Parameters!$G$4:$H$12,2,FALSE),VLOOKUP("BBB",Parameters!$G$4:$H$12,2,FALSE)),IF(E290="Equity",VLOOKUP(IF(LOWER(K290)="index","Equity Index","Equity Single Name"),Parameters!$D$4:$E$12,2,FALSE),IF(E290="Commodity",VLOOKUP(IFERROR(VLOOKUP(F290,Parameters!$S$4:$T$12,2,FALSE),"Commodity Other"),Parameters!$D$4:$E$12,2,FALSE),0)))))</x:f>
        <x:v>0.32</x:v>
      </x:c>
      <x:c r="AL290" s="42" t="n">
        <x:f>IF(LOWER(AC290)="basis",Parameters!$B$8,IF(LOWER(AC290)="volatility",Parameters!$B$9,1))</x:f>
        <x:v>1</x:v>
      </x:c>
      <x:c r="AM290" s="41" t="n">
        <x:f>AK290*AL290</x:f>
        <x:v>0.32</x:v>
      </x:c>
      <x:c r="AN290" s="42" t="n">
        <x:f>IF(E290="Credit",VLOOKUP(IF(LOWER(K290)="index","Credit Index","Credit Single Name"),Parameters!$J$4:$K$8,2,FALSE),IF(E290="Equity",VLOOKUP(IF(LOWER(K290)="index","Equity Index","Equity Single Name"),Parameters!$J$4:$K$8,2,FALSE),IF(E290="Commodity",VLOOKUP("Commodity",Parameters!$J$4:$K$8,2,FALSE),"")))</x:f>
        <x:v>0.5</x:v>
      </x:c>
      <x:c r="AO290" s="27" t="n">
        <x:f>MAX((O290-M290)/365,0)</x:f>
        <x:v>0</x:v>
      </x:c>
      <x:c r="AP290" s="27" t="n">
        <x:f>MAX((P290-M290)/365,10/Parameters!$B$6)</x:f>
        <x:v>0.4547945205479452</x:v>
      </x:c>
      <x:c r="AQ290" s="27" t="n">
        <x:f>IF(AP290&lt;=AO290,AO290+10/Parameters!$B$6,AP290)</x:f>
        <x:v>0.4547945205479452</x:v>
      </x:c>
      <x:c r="AR290" s="41" t="n">
        <x:f>IF(OR(E290="Interest Rate",E290="Credit"),(EXP(-Parameters!$B$7*AO290)-EXP(-Parameters!$B$7*AQ290))/Parameters!$B$7,1)</x:f>
        <x:v>1</x:v>
      </x:c>
      <x:c r="AS290" s="40" t="n">
        <x:f>IF(OR(E290="Interest Rate",E290="Credit"),ABS(Q290)*AR290,IF(E290="FX",IF(Q290&gt;0,Q290,MAX(ABS(R290),ABS(S290),ABS(Q290))),ABS(Q290)))</x:f>
        <x:v>21800000</x:v>
      </x:c>
      <x:c r="AT290" s="42" t="n">
        <x:f>IF(OR(E290="Interest Rate",E290="FX"),VLOOKUP(E290,Parameters!$M$4:$N$11,2,FALSE),IF(E290="Credit",VLOOKUP(IF(LOWER(K290)="index","Credit Index","Credit Single Name"),Parameters!$M$4:$N$11,2,FALSE),IF(E290="Equity",VLOOKUP(IF(LOWER(K290)="index","Equity Index","Equity Single Name"),Parameters!$M$4:$N$11,2,FALSE),IF(E290="Commodity",VLOOKUP(IF(F290="Electricity","Commodity Electricity","Commodity Other"),Parameters!$M$4:$N$11,2,FALSE),1))))</x:f>
        <x:v>1.2</x:v>
      </x:c>
      <x:c r="AU290" s="27" t="n">
        <x:f>IF(W290="B",1,-1)</x:f>
        <x:v>1</x:v>
      </x:c>
      <x:c r="AV290" s="27" t="n">
        <x:f>IF(OR(AA290="",M290=""),MAX(AE290,1/365),MAX((AA290-M290)/365,1/365))</x:f>
        <x:v>0.4547945205479452</x:v>
      </x:c>
      <x:c r="AW290" s="41" t="str">
        <x:f>IF(OR(Z290&lt;=0,Y290&lt;=0,AT290&lt;=0,AV290&lt;=0),"",(LN(Z290/Y290)+0.5*AT290^2*AV290)/(AT290*SQRT(AV290)))</x:f>
      </x:c>
      <x:c r="AX290" s="41" t="n">
        <x:f>IF(AND(X290&lt;&gt;"C",X290&lt;&gt;"P"),AU290,IF(AW290="",AU290,IF(X290="C",AU290*0.5*(1+ERF(AW290/SQRT(2))),-AU290*0.5*(1+ERF(-AW290/SQRT(2))))))</x:f>
        <x:v>1</x:v>
      </x:c>
      <x:c r="AY290" s="41" t="n">
        <x:f>IF(AJ290="M",1.5*SQRT(MAX(IF(U290="Y",5,10),IF(V290="",10,V290))/Parameters!$B$6),SQRT(MIN(MAX(AE290,10/Parameters!$B$6),1)))</x:f>
        <x:v>0.6743845494582044</x:v>
      </x:c>
      <x:c r="AZ290" s="40" t="n">
        <x:f>AS290*AX290*AY290</x:f>
        <x:v>14701583.178188855</x:v>
      </x:c>
      <x:c r="BA290" s="40" t="n">
        <x:f>'Python_Trade_Output'!AZ290</x:f>
        <x:v>14701583.178188855</x:v>
      </x:c>
      <x:c r="BB290" s="43" t="n">
        <x:f>AZ290-BA290</x:f>
        <x:v>0</x:v>
      </x:c>
    </x:row>
    <x:row r="291">
      <x:c r="A291" s="27" t="str">
        <x:f>'Inputs_Trades'!D291</x:f>
        <x:v>IND-000288</x:v>
      </x:c>
      <x:c r="B291" s="27" t="str">
        <x:f>'Inputs_Trades'!B291</x:f>
        <x:v>IND_PENSION_001</x:v>
      </x:c>
      <x:c r="C291" s="27" t="n">
        <x:f>'Inputs_Trades'!C291</x:f>
        <x:v>3121</x:v>
      </x:c>
      <x:c r="D291" s="27" t="str">
        <x:f>'Inputs_Trades'!E291</x:f>
        <x:v>Equity TRS</x:v>
      </x:c>
      <x:c r="E291" s="27" t="str">
        <x:f>'Inputs_Trades'!F291</x:f>
        <x:v>Equity</x:v>
      </x:c>
      <x:c r="F291" s="27" t="str">
        <x:f>'Inputs_Trades'!G291</x:f>
        <x:v>Single Stock</x:v>
      </x:c>
      <x:c r="G291" s="27" t="str">
        <x:f>'Inputs_Trades'!J291</x:f>
        <x:v>USD</x:v>
      </x:c>
      <x:c r="H291" s="27" t="str">
        <x:f>'Inputs_Trades'!H291</x:f>
        <x:v>USD</x:v>
      </x:c>
      <x:c r="I291" s="27" t="n">
        <x:f>'Inputs_Trades'!I291</x:f>
        <x:v>0</x:v>
      </x:c>
      <x:c r="J291" s="27" t="str">
        <x:f>'Inputs_Trades'!M291</x:f>
        <x:v>EQUITY_NAME_09</x:v>
      </x:c>
      <x:c r="K291" s="27" t="str">
        <x:f>'Inputs_Trades'!N291</x:f>
        <x:v>Singleton</x:v>
      </x:c>
      <x:c r="L291" s="27" t="n">
        <x:f>'Inputs_Trades'!O291</x:f>
        <x:v>0</x:v>
      </x:c>
      <x:c r="M291" s="39" t="n">
        <x:f>'Inputs_Trades'!A291</x:f>
        <x:v>45702</x:v>
      </x:c>
      <x:c r="N291" s="39" t="n">
        <x:f>'Inputs_Trades'!P291</x:f>
        <x:v>45757</x:v>
      </x:c>
      <x:c r="O291" s="39" t="n">
        <x:f>'Inputs_Trades'!Q291</x:f>
        <x:v>44836</x:v>
      </x:c>
      <x:c r="P291" s="39" t="n">
        <x:f>'Inputs_Trades'!R291</x:f>
        <x:v>45757</x:v>
      </x:c>
      <x:c r="Q291" s="40" t="n">
        <x:f>'Inputs_Trades'!U291</x:f>
        <x:v>1200000</x:v>
      </x:c>
      <x:c r="R291" s="40" t="n">
        <x:f>'Inputs_Trades'!S291</x:f>
        <x:v>1200000</x:v>
      </x:c>
      <x:c r="S291" s="40" t="n">
        <x:f>'Inputs_Trades'!T291</x:f>
        <x:v>0</x:v>
      </x:c>
      <x:c r="T291" s="27" t="str">
        <x:f>'Inputs_Trades'!V291</x:f>
        <x:v>M</x:v>
      </x:c>
      <x:c r="U291" s="27" t="str">
        <x:f>'Inputs_Trades'!W291</x:f>
        <x:v>N</x:v>
      </x:c>
      <x:c r="V291" s="27" t="n">
        <x:f>'Inputs_Trades'!X291</x:f>
        <x:v>10</x:v>
      </x:c>
      <x:c r="W291" s="27" t="str">
        <x:f>'Inputs_Trades'!Y291</x:f>
        <x:v>S</x:v>
      </x:c>
      <x:c r="X291" s="27" t="n">
        <x:f>'Inputs_Trades'!AA291</x:f>
        <x:v>0</x:v>
      </x:c>
      <x:c r="Y291" s="27" t="n">
        <x:f>'Inputs_Trades'!AB291</x:f>
        <x:v>0</x:v>
      </x:c>
      <x:c r="Z291" s="27" t="n">
        <x:f>'Inputs_Trades'!AC291</x:f>
        <x:v>0</x:v>
      </x:c>
      <x:c r="AA291" s="39" t="n">
        <x:f>'Inputs_Trades'!Z291</x:f>
        <x:v>0</x:v>
      </x:c>
      <x:c r="AB291" s="40" t="n">
        <x:f>'Inputs_Trades'!AD291</x:f>
        <x:v>17136</x:v>
      </x:c>
      <x:c r="AC291" s="27" t="n">
        <x:f>'Inputs_Trades'!K291</x:f>
        <x:v>0</x:v>
      </x:c>
      <x:c r="AD291" s="27" t="n">
        <x:f>N291-M291</x:f>
        <x:v>55</x:v>
      </x:c>
      <x:c r="AE291" s="41" t="n">
        <x:f>AD291/365</x:f>
        <x:v>0.1506849315068493</x:v>
      </x:c>
      <x:c r="AF291" s="27" t="str">
        <x:f>IF(AE291&lt;1,"&lt;1Y",IF(AE291&lt;=5,"1Y-5Y","&gt;5Y"))</x:f>
        <x:v>&lt;1Y</x:v>
      </x:c>
      <x:c r="AG291" s="27" t="str">
        <x:f>IF(E291="Commodity",IFERROR(VLOOKUP(F291,Parameters!$P$4:$Q$12,2,FALSE),"Other"),"")</x:f>
      </x:c>
      <x:c r="AH291" s="27" t="str">
        <x:f>IF(F291="","Unknown",F291)</x:f>
        <x:v>Single Stock</x:v>
      </x:c>
      <x:c r="AI291" s="27" t="str">
        <x:f>IF(E291="Interest Rate",G291&amp;IF(OR(LOWER(AC291)="basis",LOWER(AC291)="volatility"),"_"&amp;AC291,""),IF(E291="FX",IF(H291&lt;I291,H291&amp;"/"&amp;I291,I291&amp;"/"&amp;H291)&amp;IF(OR(LOWER(AC291)="basis",LOWER(AC291)="volatility"),"_"&amp;AC291,""),IF(OR(E291="Credit",E291="Equity"),J291&amp;IF(OR(LOWER(AC291)="basis",LOWER(AC291)="volatility"),"_"&amp;AC291,""),IF(E291="Commodity",AG291&amp;IF(OR(LOWER(AC291)="basis",LOWER(AC291)="volatility"),"_"&amp;AC291,""),"UNKNOWN"))))</x:f>
        <x:v>EQUITY_NAME_09</x:v>
      </x:c>
      <x:c r="AJ291" s="27" t="str">
        <x:f>T291</x:f>
        <x:v>M</x:v>
      </x:c>
      <x:c r="AK291" s="41" t="n">
        <x:f>IF(E291="Interest Rate",VLOOKUP("Interest Rate",Parameters!$D$4:$E$12,2,FALSE),IF(E291="FX",VLOOKUP("FX",Parameters!$D$4:$E$12,2,FALSE),IF(E291="Credit",IFERROR(VLOOKUP(L291,Parameters!$G$4:$H$12,2,FALSE),VLOOKUP("BBB",Parameters!$G$4:$H$12,2,FALSE)),IF(E291="Equity",VLOOKUP(IF(LOWER(K291)="index","Equity Index","Equity Single Name"),Parameters!$D$4:$E$12,2,FALSE),IF(E291="Commodity",VLOOKUP(IFERROR(VLOOKUP(F291,Parameters!$S$4:$T$12,2,FALSE),"Commodity Other"),Parameters!$D$4:$E$12,2,FALSE),0)))))</x:f>
        <x:v>0.32</x:v>
      </x:c>
      <x:c r="AL291" s="42" t="n">
        <x:f>IF(LOWER(AC291)="basis",Parameters!$B$8,IF(LOWER(AC291)="volatility",Parameters!$B$9,1))</x:f>
        <x:v>1</x:v>
      </x:c>
      <x:c r="AM291" s="41" t="n">
        <x:f>AK291*AL291</x:f>
        <x:v>0.32</x:v>
      </x:c>
      <x:c r="AN291" s="42" t="n">
        <x:f>IF(E291="Credit",VLOOKUP(IF(LOWER(K291)="index","Credit Index","Credit Single Name"),Parameters!$J$4:$K$8,2,FALSE),IF(E291="Equity",VLOOKUP(IF(LOWER(K291)="index","Equity Index","Equity Single Name"),Parameters!$J$4:$K$8,2,FALSE),IF(E291="Commodity",VLOOKUP("Commodity",Parameters!$J$4:$K$8,2,FALSE),"")))</x:f>
        <x:v>0.5</x:v>
      </x:c>
      <x:c r="AO291" s="27" t="n">
        <x:f>MAX((O291-M291)/365,0)</x:f>
        <x:v>0</x:v>
      </x:c>
      <x:c r="AP291" s="27" t="n">
        <x:f>MAX((P291-M291)/365,10/Parameters!$B$6)</x:f>
        <x:v>0.1506849315068493</x:v>
      </x:c>
      <x:c r="AQ291" s="27" t="n">
        <x:f>IF(AP291&lt;=AO291,AO291+10/Parameters!$B$6,AP291)</x:f>
        <x:v>0.1506849315068493</x:v>
      </x:c>
      <x:c r="AR291" s="41" t="n">
        <x:f>IF(OR(E291="Interest Rate",E291="Credit"),(EXP(-Parameters!$B$7*AO291)-EXP(-Parameters!$B$7*AQ291))/Parameters!$B$7,1)</x:f>
        <x:v>1</x:v>
      </x:c>
      <x:c r="AS291" s="40" t="n">
        <x:f>IF(OR(E291="Interest Rate",E291="Credit"),ABS(Q291)*AR291,IF(E291="FX",IF(Q291&gt;0,Q291,MAX(ABS(R291),ABS(S291),ABS(Q291))),ABS(Q291)))</x:f>
        <x:v>1200000</x:v>
      </x:c>
      <x:c r="AT291" s="42" t="n">
        <x:f>IF(OR(E291="Interest Rate",E291="FX"),VLOOKUP(E291,Parameters!$M$4:$N$11,2,FALSE),IF(E291="Credit",VLOOKUP(IF(LOWER(K291)="index","Credit Index","Credit Single Name"),Parameters!$M$4:$N$11,2,FALSE),IF(E291="Equity",VLOOKUP(IF(LOWER(K291)="index","Equity Index","Equity Single Name"),Parameters!$M$4:$N$11,2,FALSE),IF(E291="Commodity",VLOOKUP(IF(F291="Electricity","Commodity Electricity","Commodity Other"),Parameters!$M$4:$N$11,2,FALSE),1))))</x:f>
        <x:v>1.2</x:v>
      </x:c>
      <x:c r="AU291" s="27" t="n">
        <x:f>IF(W291="B",1,-1)</x:f>
        <x:v>-1</x:v>
      </x:c>
      <x:c r="AV291" s="27" t="n">
        <x:f>IF(OR(AA291="",M291=""),MAX(AE291,1/365),MAX((AA291-M291)/365,1/365))</x:f>
        <x:v>0.1506849315068493</x:v>
      </x:c>
      <x:c r="AW291" s="41" t="str">
        <x:f>IF(OR(Z291&lt;=0,Y291&lt;=0,AT291&lt;=0,AV291&lt;=0),"",(LN(Z291/Y291)+0.5*AT291^2*AV291)/(AT291*SQRT(AV291)))</x:f>
      </x:c>
      <x:c r="AX291" s="41" t="n">
        <x:f>IF(AND(X291&lt;&gt;"C",X291&lt;&gt;"P"),AU291,IF(AW291="",AU291,IF(X291="C",AU291*0.5*(1+ERF(AW291/SQRT(2))),-AU291*0.5*(1+ERF(-AW291/SQRT(2))))))</x:f>
        <x:v>-1</x:v>
      </x:c>
      <x:c r="AY291" s="41" t="n">
        <x:f>IF(AJ291="M",1.5*SQRT(MAX(IF(U291="Y",5,10),IF(V291="",10,V291))/Parameters!$B$6),SQRT(MIN(MAX(AE291,10/Parameters!$B$6),1)))</x:f>
        <x:v>0.30000000000000004</x:v>
      </x:c>
      <x:c r="AZ291" s="40" t="n">
        <x:f>AS291*AX291*AY291</x:f>
        <x:v>-360000.00000000006</x:v>
      </x:c>
      <x:c r="BA291" s="40" t="n">
        <x:f>'Python_Trade_Output'!AZ291</x:f>
        <x:v>-360000.00000000006</x:v>
      </x:c>
      <x:c r="BB291" s="43" t="n">
        <x:f>AZ291-BA291</x:f>
        <x:v>0</x:v>
      </x:c>
    </x:row>
    <x:row r="292">
      <x:c r="A292" s="27" t="str">
        <x:f>'Inputs_Trades'!D292</x:f>
        <x:v>IND-000289</x:v>
      </x:c>
      <x:c r="B292" s="27" t="str">
        <x:f>'Inputs_Trades'!B292</x:f>
        <x:v>IND_CORPORATE_002</x:v>
      </x:c>
      <x:c r="C292" s="27" t="n">
        <x:f>'Inputs_Trades'!C292</x:f>
        <x:v>3331</x:v>
      </x:c>
      <x:c r="D292" s="27" t="str">
        <x:f>'Inputs_Trades'!E292</x:f>
        <x:v>Equity Index Option</x:v>
      </x:c>
      <x:c r="E292" s="27" t="str">
        <x:f>'Inputs_Trades'!F292</x:f>
        <x:v>Equity</x:v>
      </x:c>
      <x:c r="F292" s="27" t="str">
        <x:f>'Inputs_Trades'!G292</x:f>
        <x:v>Index</x:v>
      </x:c>
      <x:c r="G292" s="27" t="str">
        <x:f>'Inputs_Trades'!J292</x:f>
        <x:v>USD</x:v>
      </x:c>
      <x:c r="H292" s="27" t="str">
        <x:f>'Inputs_Trades'!H292</x:f>
        <x:v>USD</x:v>
      </x:c>
      <x:c r="I292" s="27" t="n">
        <x:f>'Inputs_Trades'!I292</x:f>
        <x:v>0</x:v>
      </x:c>
      <x:c r="J292" s="27" t="str">
        <x:f>'Inputs_Trades'!M292</x:f>
        <x:v>EQUITY_INDEX_00</x:v>
      </x:c>
      <x:c r="K292" s="27" t="str">
        <x:f>'Inputs_Trades'!N292</x:f>
        <x:v>Index</x:v>
      </x:c>
      <x:c r="L292" s="27" t="n">
        <x:f>'Inputs_Trades'!O292</x:f>
        <x:v>0</x:v>
      </x:c>
      <x:c r="M292" s="39" t="n">
        <x:f>'Inputs_Trades'!A292</x:f>
        <x:v>45702</x:v>
      </x:c>
      <x:c r="N292" s="39" t="n">
        <x:f>'Inputs_Trades'!P292</x:f>
        <x:v>46840</x:v>
      </x:c>
      <x:c r="O292" s="39" t="n">
        <x:f>'Inputs_Trades'!Q292</x:f>
        <x:v>45477</x:v>
      </x:c>
      <x:c r="P292" s="39" t="n">
        <x:f>'Inputs_Trades'!R292</x:f>
        <x:v>46840</x:v>
      </x:c>
      <x:c r="Q292" s="40" t="n">
        <x:f>'Inputs_Trades'!U292</x:f>
        <x:v>3100000</x:v>
      </x:c>
      <x:c r="R292" s="40" t="n">
        <x:f>'Inputs_Trades'!S292</x:f>
        <x:v>3100000</x:v>
      </x:c>
      <x:c r="S292" s="40" t="n">
        <x:f>'Inputs_Trades'!T292</x:f>
        <x:v>0</x:v>
      </x:c>
      <x:c r="T292" s="27" t="str">
        <x:f>'Inputs_Trades'!V292</x:f>
        <x:v>M</x:v>
      </x:c>
      <x:c r="U292" s="27" t="str">
        <x:f>'Inputs_Trades'!W292</x:f>
        <x:v>N</x:v>
      </x:c>
      <x:c r="V292" s="27" t="n">
        <x:f>'Inputs_Trades'!X292</x:f>
        <x:v>10</x:v>
      </x:c>
      <x:c r="W292" s="27" t="str">
        <x:f>'Inputs_Trades'!Y292</x:f>
        <x:v>S</x:v>
      </x:c>
      <x:c r="X292" s="27" t="str">
        <x:f>'Inputs_Trades'!AA292</x:f>
        <x:v>C</x:v>
      </x:c>
      <x:c r="Y292" s="27" t="n">
        <x:f>'Inputs_Trades'!AB292</x:f>
        <x:v>150.272</x:v>
      </x:c>
      <x:c r="Z292" s="27" t="n">
        <x:f>'Inputs_Trades'!AC292</x:f>
        <x:v>128</x:v>
      </x:c>
      <x:c r="AA292" s="39" t="n">
        <x:f>'Inputs_Trades'!Z292</x:f>
        <x:v>46555</x:v>
      </x:c>
      <x:c r="AB292" s="40" t="n">
        <x:f>'Inputs_Trades'!AD292</x:f>
        <x:v>111321</x:v>
      </x:c>
      <x:c r="AC292" s="27" t="n">
        <x:f>'Inputs_Trades'!K292</x:f>
        <x:v>0</x:v>
      </x:c>
      <x:c r="AD292" s="27" t="n">
        <x:f>N292-M292</x:f>
        <x:v>1138</x:v>
      </x:c>
      <x:c r="AE292" s="41" t="n">
        <x:f>AD292/365</x:f>
        <x:v>3.117808219178082</x:v>
      </x:c>
      <x:c r="AF292" s="27" t="str">
        <x:f>IF(AE292&lt;1,"&lt;1Y",IF(AE292&lt;=5,"1Y-5Y","&gt;5Y"))</x:f>
        <x:v>1Y-5Y</x:v>
      </x:c>
      <x:c r="AG292" s="27" t="str">
        <x:f>IF(E292="Commodity",IFERROR(VLOOKUP(F292,Parameters!$P$4:$Q$12,2,FALSE),"Other"),"")</x:f>
      </x:c>
      <x:c r="AH292" s="27" t="str">
        <x:f>IF(F292="","Unknown",F292)</x:f>
        <x:v>Index</x:v>
      </x:c>
      <x:c r="AI292" s="27" t="str">
        <x:f>IF(E292="Interest Rate",G292&amp;IF(OR(LOWER(AC292)="basis",LOWER(AC292)="volatility"),"_"&amp;AC292,""),IF(E292="FX",IF(H292&lt;I292,H292&amp;"/"&amp;I292,I292&amp;"/"&amp;H292)&amp;IF(OR(LOWER(AC292)="basis",LOWER(AC292)="volatility"),"_"&amp;AC292,""),IF(OR(E292="Credit",E292="Equity"),J292&amp;IF(OR(LOWER(AC292)="basis",LOWER(AC292)="volatility"),"_"&amp;AC292,""),IF(E292="Commodity",AG292&amp;IF(OR(LOWER(AC292)="basis",LOWER(AC292)="volatility"),"_"&amp;AC292,""),"UNKNOWN"))))</x:f>
        <x:v>EQUITY_INDEX_00</x:v>
      </x:c>
      <x:c r="AJ292" s="27" t="str">
        <x:f>T292</x:f>
        <x:v>M</x:v>
      </x:c>
      <x:c r="AK292" s="41" t="n">
        <x:f>IF(E292="Interest Rate",VLOOKUP("Interest Rate",Parameters!$D$4:$E$12,2,FALSE),IF(E292="FX",VLOOKUP("FX",Parameters!$D$4:$E$12,2,FALSE),IF(E292="Credit",IFERROR(VLOOKUP(L292,Parameters!$G$4:$H$12,2,FALSE),VLOOKUP("BBB",Parameters!$G$4:$H$12,2,FALSE)),IF(E292="Equity",VLOOKUP(IF(LOWER(K292)="index","Equity Index","Equity Single Name"),Parameters!$D$4:$E$12,2,FALSE),IF(E292="Commodity",VLOOKUP(IFERROR(VLOOKUP(F292,Parameters!$S$4:$T$12,2,FALSE),"Commodity Other"),Parameters!$D$4:$E$12,2,FALSE),0)))))</x:f>
        <x:v>0.2</x:v>
      </x:c>
      <x:c r="AL292" s="42" t="n">
        <x:f>IF(LOWER(AC292)="basis",Parameters!$B$8,IF(LOWER(AC292)="volatility",Parameters!$B$9,1))</x:f>
        <x:v>1</x:v>
      </x:c>
      <x:c r="AM292" s="41" t="n">
        <x:f>AK292*AL292</x:f>
        <x:v>0.2</x:v>
      </x:c>
      <x:c r="AN292" s="42" t="n">
        <x:f>IF(E292="Credit",VLOOKUP(IF(LOWER(K292)="index","Credit Index","Credit Single Name"),Parameters!$J$4:$K$8,2,FALSE),IF(E292="Equity",VLOOKUP(IF(LOWER(K292)="index","Equity Index","Equity Single Name"),Parameters!$J$4:$K$8,2,FALSE),IF(E292="Commodity",VLOOKUP("Commodity",Parameters!$J$4:$K$8,2,FALSE),"")))</x:f>
        <x:v>0.8</x:v>
      </x:c>
      <x:c r="AO292" s="27" t="n">
        <x:f>MAX((O292-M292)/365,0)</x:f>
        <x:v>0</x:v>
      </x:c>
      <x:c r="AP292" s="27" t="n">
        <x:f>MAX((P292-M292)/365,10/Parameters!$B$6)</x:f>
        <x:v>3.117808219178082</x:v>
      </x:c>
      <x:c r="AQ292" s="27" t="n">
        <x:f>IF(AP292&lt;=AO292,AO292+10/Parameters!$B$6,AP292)</x:f>
        <x:v>3.117808219178082</x:v>
      </x:c>
      <x:c r="AR292" s="41" t="n">
        <x:f>IF(OR(E292="Interest Rate",E292="Credit"),(EXP(-Parameters!$B$7*AO292)-EXP(-Parameters!$B$7*AQ292))/Parameters!$B$7,1)</x:f>
        <x:v>1</x:v>
      </x:c>
      <x:c r="AS292" s="40" t="n">
        <x:f>IF(OR(E292="Interest Rate",E292="Credit"),ABS(Q292)*AR292,IF(E292="FX",IF(Q292&gt;0,Q292,MAX(ABS(R292),ABS(S292),ABS(Q292))),ABS(Q292)))</x:f>
        <x:v>3100000</x:v>
      </x:c>
      <x:c r="AT292" s="42" t="n">
        <x:f>IF(OR(E292="Interest Rate",E292="FX"),VLOOKUP(E292,Parameters!$M$4:$N$11,2,FALSE),IF(E292="Credit",VLOOKUP(IF(LOWER(K292)="index","Credit Index","Credit Single Name"),Parameters!$M$4:$N$11,2,FALSE),IF(E292="Equity",VLOOKUP(IF(LOWER(K292)="index","Equity Index","Equity Single Name"),Parameters!$M$4:$N$11,2,FALSE),IF(E292="Commodity",VLOOKUP(IF(F292="Electricity","Commodity Electricity","Commodity Other"),Parameters!$M$4:$N$11,2,FALSE),1))))</x:f>
        <x:v>0.75</x:v>
      </x:c>
      <x:c r="AU292" s="27" t="n">
        <x:f>IF(W292="B",1,-1)</x:f>
        <x:v>-1</x:v>
      </x:c>
      <x:c r="AV292" s="27" t="n">
        <x:f>IF(OR(AA292="",M292=""),MAX(AE292,1/365),MAX((AA292-M292)/365,1/365))</x:f>
        <x:v>2.336986301369863</x:v>
      </x:c>
      <x:c r="AW292" s="41" t="n">
        <x:f>IF(OR(Z292&lt;=0,Y292&lt;=0,AT292&lt;=0,AV292&lt;=0),"",(LN(Z292/Y292)+0.5*AT292^2*AV292)/(AT292*SQRT(AV292)))</x:f>
        <x:v>0.4333564640877823</x:v>
      </x:c>
      <x:c r="AX292" s="41" t="n">
        <x:f>IF(AND(X292&lt;&gt;"C",X292&lt;&gt;"P"),AU292,IF(AW292="",AU292,IF(X292="C",AU292*0.5*(1+ERF(AW292/SQRT(2))),-AU292*0.5*(1+ERF(-AW292/SQRT(2))))))</x:f>
        <x:v>-0.6676220882045778</x:v>
      </x:c>
      <x:c r="AY292" s="41" t="n">
        <x:f>IF(AJ292="M",1.5*SQRT(MAX(IF(U292="Y",5,10),IF(V292="",10,V292))/Parameters!$B$6),SQRT(MIN(MAX(AE292,10/Parameters!$B$6),1)))</x:f>
        <x:v>0.30000000000000004</x:v>
      </x:c>
      <x:c r="AZ292" s="40" t="n">
        <x:f>AS292*AX292*AY292</x:f>
        <x:v>-620888.5420302574</x:v>
      </x:c>
      <x:c r="BA292" s="40" t="n">
        <x:f>'Python_Trade_Output'!AZ292</x:f>
        <x:v>-620888.5420302575</x:v>
      </x:c>
      <x:c r="BB292" s="43" t="n">
        <x:f>AZ292-BA292</x:f>
        <x:v>1.1641532182693481e-10</x:v>
      </x:c>
    </x:row>
    <x:row r="293">
      <x:c r="A293" s="27" t="str">
        <x:f>'Inputs_Trades'!D293</x:f>
        <x:v>IND-000290</x:v>
      </x:c>
      <x:c r="B293" s="27" t="str">
        <x:f>'Inputs_Trades'!B293</x:f>
        <x:v>IND_BANK_002</x:v>
      </x:c>
      <x:c r="C293" s="27" t="n">
        <x:f>'Inputs_Trades'!C293</x:f>
        <x:v>3386</x:v>
      </x:c>
      <x:c r="D293" s="27" t="str">
        <x:f>'Inputs_Trades'!E293</x:f>
        <x:v>Equity Index Option</x:v>
      </x:c>
      <x:c r="E293" s="27" t="str">
        <x:f>'Inputs_Trades'!F293</x:f>
        <x:v>Equity</x:v>
      </x:c>
      <x:c r="F293" s="27" t="str">
        <x:f>'Inputs_Trades'!G293</x:f>
        <x:v>Index</x:v>
      </x:c>
      <x:c r="G293" s="27" t="str">
        <x:f>'Inputs_Trades'!J293</x:f>
        <x:v>USD</x:v>
      </x:c>
      <x:c r="H293" s="27" t="str">
        <x:f>'Inputs_Trades'!H293</x:f>
        <x:v>USD</x:v>
      </x:c>
      <x:c r="I293" s="27" t="n">
        <x:f>'Inputs_Trades'!I293</x:f>
        <x:v>0</x:v>
      </x:c>
      <x:c r="J293" s="27" t="str">
        <x:f>'Inputs_Trades'!M293</x:f>
        <x:v>EQUITY_INDEX_13</x:v>
      </x:c>
      <x:c r="K293" s="27" t="str">
        <x:f>'Inputs_Trades'!N293</x:f>
        <x:v>Index</x:v>
      </x:c>
      <x:c r="L293" s="27" t="n">
        <x:f>'Inputs_Trades'!O293</x:f>
        <x:v>0</x:v>
      </x:c>
      <x:c r="M293" s="39" t="n">
        <x:f>'Inputs_Trades'!A293</x:f>
        <x:v>45702</x:v>
      </x:c>
      <x:c r="N293" s="39" t="n">
        <x:f>'Inputs_Trades'!P293</x:f>
        <x:v>46200</x:v>
      </x:c>
      <x:c r="O293" s="39" t="n">
        <x:f>'Inputs_Trades'!Q293</x:f>
        <x:v>45423</x:v>
      </x:c>
      <x:c r="P293" s="39" t="n">
        <x:f>'Inputs_Trades'!R293</x:f>
        <x:v>46200</x:v>
      </x:c>
      <x:c r="Q293" s="40" t="n">
        <x:f>'Inputs_Trades'!U293</x:f>
        <x:v>66000000</x:v>
      </x:c>
      <x:c r="R293" s="40" t="n">
        <x:f>'Inputs_Trades'!S293</x:f>
        <x:v>66000000</x:v>
      </x:c>
      <x:c r="S293" s="40" t="n">
        <x:f>'Inputs_Trades'!T293</x:f>
        <x:v>0</x:v>
      </x:c>
      <x:c r="T293" s="27" t="str">
        <x:f>'Inputs_Trades'!V293</x:f>
        <x:v>M</x:v>
      </x:c>
      <x:c r="U293" s="27" t="str">
        <x:f>'Inputs_Trades'!W293</x:f>
        <x:v>N</x:v>
      </x:c>
      <x:c r="V293" s="27" t="n">
        <x:f>'Inputs_Trades'!X293</x:f>
        <x:v>10</x:v>
      </x:c>
      <x:c r="W293" s="27" t="str">
        <x:f>'Inputs_Trades'!Y293</x:f>
        <x:v>B</x:v>
      </x:c>
      <x:c r="X293" s="27" t="str">
        <x:f>'Inputs_Trades'!AA293</x:f>
        <x:v>C</x:v>
      </x:c>
      <x:c r="Y293" s="27" t="n">
        <x:f>'Inputs_Trades'!AB293</x:f>
        <x:v>139.904</x:v>
      </x:c>
      <x:c r="Z293" s="27" t="n">
        <x:f>'Inputs_Trades'!AC293</x:f>
        <x:v>128</x:v>
      </x:c>
      <x:c r="AA293" s="39" t="n">
        <x:f>'Inputs_Trades'!Z293</x:f>
        <x:v>46075</x:v>
      </x:c>
      <x:c r="AB293" s="40" t="n">
        <x:f>'Inputs_Trades'!AD293</x:f>
        <x:v>341550</x:v>
      </x:c>
      <x:c r="AC293" s="27" t="n">
        <x:f>'Inputs_Trades'!K293</x:f>
        <x:v>0</x:v>
      </x:c>
      <x:c r="AD293" s="27" t="n">
        <x:f>N293-M293</x:f>
        <x:v>498</x:v>
      </x:c>
      <x:c r="AE293" s="41" t="n">
        <x:f>AD293/365</x:f>
        <x:v>1.3643835616438356</x:v>
      </x:c>
      <x:c r="AF293" s="27" t="str">
        <x:f>IF(AE293&lt;1,"&lt;1Y",IF(AE293&lt;=5,"1Y-5Y","&gt;5Y"))</x:f>
        <x:v>1Y-5Y</x:v>
      </x:c>
      <x:c r="AG293" s="27" t="str">
        <x:f>IF(E293="Commodity",IFERROR(VLOOKUP(F293,Parameters!$P$4:$Q$12,2,FALSE),"Other"),"")</x:f>
      </x:c>
      <x:c r="AH293" s="27" t="str">
        <x:f>IF(F293="","Unknown",F293)</x:f>
        <x:v>Index</x:v>
      </x:c>
      <x:c r="AI293" s="27" t="str">
        <x:f>IF(E293="Interest Rate",G293&amp;IF(OR(LOWER(AC293)="basis",LOWER(AC293)="volatility"),"_"&amp;AC293,""),IF(E293="FX",IF(H293&lt;I293,H293&amp;"/"&amp;I293,I293&amp;"/"&amp;H293)&amp;IF(OR(LOWER(AC293)="basis",LOWER(AC293)="volatility"),"_"&amp;AC293,""),IF(OR(E293="Credit",E293="Equity"),J293&amp;IF(OR(LOWER(AC293)="basis",LOWER(AC293)="volatility"),"_"&amp;AC293,""),IF(E293="Commodity",AG293&amp;IF(OR(LOWER(AC293)="basis",LOWER(AC293)="volatility"),"_"&amp;AC293,""),"UNKNOWN"))))</x:f>
        <x:v>EQUITY_INDEX_13</x:v>
      </x:c>
      <x:c r="AJ293" s="27" t="str">
        <x:f>T293</x:f>
        <x:v>M</x:v>
      </x:c>
      <x:c r="AK293" s="41" t="n">
        <x:f>IF(E293="Interest Rate",VLOOKUP("Interest Rate",Parameters!$D$4:$E$12,2,FALSE),IF(E293="FX",VLOOKUP("FX",Parameters!$D$4:$E$12,2,FALSE),IF(E293="Credit",IFERROR(VLOOKUP(L293,Parameters!$G$4:$H$12,2,FALSE),VLOOKUP("BBB",Parameters!$G$4:$H$12,2,FALSE)),IF(E293="Equity",VLOOKUP(IF(LOWER(K293)="index","Equity Index","Equity Single Name"),Parameters!$D$4:$E$12,2,FALSE),IF(E293="Commodity",VLOOKUP(IFERROR(VLOOKUP(F293,Parameters!$S$4:$T$12,2,FALSE),"Commodity Other"),Parameters!$D$4:$E$12,2,FALSE),0)))))</x:f>
        <x:v>0.2</x:v>
      </x:c>
      <x:c r="AL293" s="42" t="n">
        <x:f>IF(LOWER(AC293)="basis",Parameters!$B$8,IF(LOWER(AC293)="volatility",Parameters!$B$9,1))</x:f>
        <x:v>1</x:v>
      </x:c>
      <x:c r="AM293" s="41" t="n">
        <x:f>AK293*AL293</x:f>
        <x:v>0.2</x:v>
      </x:c>
      <x:c r="AN293" s="42" t="n">
        <x:f>IF(E293="Credit",VLOOKUP(IF(LOWER(K293)="index","Credit Index","Credit Single Name"),Parameters!$J$4:$K$8,2,FALSE),IF(E293="Equity",VLOOKUP(IF(LOWER(K293)="index","Equity Index","Equity Single Name"),Parameters!$J$4:$K$8,2,FALSE),IF(E293="Commodity",VLOOKUP("Commodity",Parameters!$J$4:$K$8,2,FALSE),"")))</x:f>
        <x:v>0.8</x:v>
      </x:c>
      <x:c r="AO293" s="27" t="n">
        <x:f>MAX((O293-M293)/365,0)</x:f>
        <x:v>0</x:v>
      </x:c>
      <x:c r="AP293" s="27" t="n">
        <x:f>MAX((P293-M293)/365,10/Parameters!$B$6)</x:f>
        <x:v>1.3643835616438356</x:v>
      </x:c>
      <x:c r="AQ293" s="27" t="n">
        <x:f>IF(AP293&lt;=AO293,AO293+10/Parameters!$B$6,AP293)</x:f>
        <x:v>1.3643835616438356</x:v>
      </x:c>
      <x:c r="AR293" s="41" t="n">
        <x:f>IF(OR(E293="Interest Rate",E293="Credit"),(EXP(-Parameters!$B$7*AO293)-EXP(-Parameters!$B$7*AQ293))/Parameters!$B$7,1)</x:f>
        <x:v>1</x:v>
      </x:c>
      <x:c r="AS293" s="40" t="n">
        <x:f>IF(OR(E293="Interest Rate",E293="Credit"),ABS(Q293)*AR293,IF(E293="FX",IF(Q293&gt;0,Q293,MAX(ABS(R293),ABS(S293),ABS(Q293))),ABS(Q293)))</x:f>
        <x:v>66000000</x:v>
      </x:c>
      <x:c r="AT293" s="42" t="n">
        <x:f>IF(OR(E293="Interest Rate",E293="FX"),VLOOKUP(E293,Parameters!$M$4:$N$11,2,FALSE),IF(E293="Credit",VLOOKUP(IF(LOWER(K293)="index","Credit Index","Credit Single Name"),Parameters!$M$4:$N$11,2,FALSE),IF(E293="Equity",VLOOKUP(IF(LOWER(K293)="index","Equity Index","Equity Single Name"),Parameters!$M$4:$N$11,2,FALSE),IF(E293="Commodity",VLOOKUP(IF(F293="Electricity","Commodity Electricity","Commodity Other"),Parameters!$M$4:$N$11,2,FALSE),1))))</x:f>
        <x:v>0.75</x:v>
      </x:c>
      <x:c r="AU293" s="27" t="n">
        <x:f>IF(W293="B",1,-1)</x:f>
        <x:v>1</x:v>
      </x:c>
      <x:c r="AV293" s="27" t="n">
        <x:f>IF(OR(AA293="",M293=""),MAX(AE293,1/365),MAX((AA293-M293)/365,1/365))</x:f>
        <x:v>1.021917808219178</x:v>
      </x:c>
      <x:c r="AW293" s="41" t="n">
        <x:f>IF(OR(Z293&lt;=0,Y293&lt;=0,AT293&lt;=0,AV293&lt;=0),"",(LN(Z293/Y293)+0.5*AT293^2*AV293)/(AT293*SQRT(AV293)))</x:f>
        <x:v>0.261797436812994</x:v>
      </x:c>
      <x:c r="AX293" s="41" t="n">
        <x:f>IF(AND(X293&lt;&gt;"C",X293&lt;&gt;"P"),AU293,IF(AW293="",AU293,IF(X293="C",AU293*0.5*(1+ERF(AW293/SQRT(2))),-AU293*0.5*(1+ERF(-AW293/SQRT(2))))))</x:f>
        <x:v>0.6032611923522728</x:v>
      </x:c>
      <x:c r="AY293" s="41" t="n">
        <x:f>IF(AJ293="M",1.5*SQRT(MAX(IF(U293="Y",5,10),IF(V293="",10,V293))/Parameters!$B$6),SQRT(MIN(MAX(AE293,10/Parameters!$B$6),1)))</x:f>
        <x:v>0.30000000000000004</x:v>
      </x:c>
      <x:c r="AZ293" s="40" t="n">
        <x:f>AS293*AX293*AY293</x:f>
        <x:v>11944571.608575003</x:v>
      </x:c>
      <x:c r="BA293" s="40" t="n">
        <x:f>'Python_Trade_Output'!AZ293</x:f>
        <x:v>11944571.608575003</x:v>
      </x:c>
      <x:c r="BB293" s="43" t="n">
        <x:f>AZ293-BA293</x:f>
        <x:v>0</x:v>
      </x:c>
    </x:row>
    <x:row r="294">
      <x:c r="A294" s="27" t="str">
        <x:f>'Inputs_Trades'!D294</x:f>
        <x:v>IND-000291</x:v>
      </x:c>
      <x:c r="B294" s="27" t="str">
        <x:f>'Inputs_Trades'!B294</x:f>
        <x:v>IND_CLEARING_MEMBER_001</x:v>
      </x:c>
      <x:c r="C294" s="27" t="n">
        <x:f>'Inputs_Trades'!C294</x:f>
        <x:v>3108</x:v>
      </x:c>
      <x:c r="D294" s="27" t="str">
        <x:f>'Inputs_Trades'!E294</x:f>
        <x:v>Equity Index Option</x:v>
      </x:c>
      <x:c r="E294" s="27" t="str">
        <x:f>'Inputs_Trades'!F294</x:f>
        <x:v>Equity</x:v>
      </x:c>
      <x:c r="F294" s="27" t="str">
        <x:f>'Inputs_Trades'!G294</x:f>
        <x:v>Index</x:v>
      </x:c>
      <x:c r="G294" s="27" t="str">
        <x:f>'Inputs_Trades'!J294</x:f>
        <x:v>USD</x:v>
      </x:c>
      <x:c r="H294" s="27" t="str">
        <x:f>'Inputs_Trades'!H294</x:f>
        <x:v>USD</x:v>
      </x:c>
      <x:c r="I294" s="27" t="n">
        <x:f>'Inputs_Trades'!I294</x:f>
        <x:v>0</x:v>
      </x:c>
      <x:c r="J294" s="27" t="str">
        <x:f>'Inputs_Trades'!M294</x:f>
        <x:v>EQUITY_INDEX_28</x:v>
      </x:c>
      <x:c r="K294" s="27" t="str">
        <x:f>'Inputs_Trades'!N294</x:f>
        <x:v>Index</x:v>
      </x:c>
      <x:c r="L294" s="27" t="n">
        <x:f>'Inputs_Trades'!O294</x:f>
        <x:v>0</x:v>
      </x:c>
      <x:c r="M294" s="39" t="n">
        <x:f>'Inputs_Trades'!A294</x:f>
        <x:v>45702</x:v>
      </x:c>
      <x:c r="N294" s="39" t="n">
        <x:f>'Inputs_Trades'!P294</x:f>
        <x:v>47599</x:v>
      </x:c>
      <x:c r="O294" s="39" t="n">
        <x:f>'Inputs_Trades'!Q294</x:f>
        <x:v>45219</x:v>
      </x:c>
      <x:c r="P294" s="39" t="n">
        <x:f>'Inputs_Trades'!R294</x:f>
        <x:v>47599</x:v>
      </x:c>
      <x:c r="Q294" s="40" t="n">
        <x:f>'Inputs_Trades'!U294</x:f>
        <x:v>65900000</x:v>
      </x:c>
      <x:c r="R294" s="40" t="n">
        <x:f>'Inputs_Trades'!S294</x:f>
        <x:v>65900000</x:v>
      </x:c>
      <x:c r="S294" s="40" t="n">
        <x:f>'Inputs_Trades'!T294</x:f>
        <x:v>0</x:v>
      </x:c>
      <x:c r="T294" s="27" t="str">
        <x:f>'Inputs_Trades'!V294</x:f>
        <x:v>M</x:v>
      </x:c>
      <x:c r="U294" s="27" t="str">
        <x:f>'Inputs_Trades'!W294</x:f>
        <x:v>N</x:v>
      </x:c>
      <x:c r="V294" s="27" t="n">
        <x:f>'Inputs_Trades'!X294</x:f>
        <x:v>10</x:v>
      </x:c>
      <x:c r="W294" s="27" t="str">
        <x:f>'Inputs_Trades'!Y294</x:f>
        <x:v>S</x:v>
      </x:c>
      <x:c r="X294" s="27" t="str">
        <x:f>'Inputs_Trades'!AA294</x:f>
        <x:v>P</x:v>
      </x:c>
      <x:c r="Y294" s="27" t="n">
        <x:f>'Inputs_Trades'!AB294</x:f>
        <x:v>111.456</x:v>
      </x:c>
      <x:c r="Z294" s="27" t="n">
        <x:f>'Inputs_Trades'!AC294</x:f>
        <x:v>129</x:v>
      </x:c>
      <x:c r="AA294" s="39" t="n">
        <x:f>'Inputs_Trades'!Z294</x:f>
        <x:v>47124</x:v>
      </x:c>
      <x:c r="AB294" s="40" t="n">
        <x:f>'Inputs_Trades'!AD294</x:f>
        <x:v>-133447.5</x:v>
      </x:c>
      <x:c r="AC294" s="27" t="n">
        <x:f>'Inputs_Trades'!K294</x:f>
        <x:v>0</x:v>
      </x:c>
      <x:c r="AD294" s="27" t="n">
        <x:f>N294-M294</x:f>
        <x:v>1897</x:v>
      </x:c>
      <x:c r="AE294" s="41" t="n">
        <x:f>AD294/365</x:f>
        <x:v>5.197260273972603</x:v>
      </x:c>
      <x:c r="AF294" s="27" t="str">
        <x:f>IF(AE294&lt;1,"&lt;1Y",IF(AE294&lt;=5,"1Y-5Y","&gt;5Y"))</x:f>
        <x:v>&gt;5Y</x:v>
      </x:c>
      <x:c r="AG294" s="27" t="str">
        <x:f>IF(E294="Commodity",IFERROR(VLOOKUP(F294,Parameters!$P$4:$Q$12,2,FALSE),"Other"),"")</x:f>
      </x:c>
      <x:c r="AH294" s="27" t="str">
        <x:f>IF(F294="","Unknown",F294)</x:f>
        <x:v>Index</x:v>
      </x:c>
      <x:c r="AI294" s="27" t="str">
        <x:f>IF(E294="Interest Rate",G294&amp;IF(OR(LOWER(AC294)="basis",LOWER(AC294)="volatility"),"_"&amp;AC294,""),IF(E294="FX",IF(H294&lt;I294,H294&amp;"/"&amp;I294,I294&amp;"/"&amp;H294)&amp;IF(OR(LOWER(AC294)="basis",LOWER(AC294)="volatility"),"_"&amp;AC294,""),IF(OR(E294="Credit",E294="Equity"),J294&amp;IF(OR(LOWER(AC294)="basis",LOWER(AC294)="volatility"),"_"&amp;AC294,""),IF(E294="Commodity",AG294&amp;IF(OR(LOWER(AC294)="basis",LOWER(AC294)="volatility"),"_"&amp;AC294,""),"UNKNOWN"))))</x:f>
        <x:v>EQUITY_INDEX_28</x:v>
      </x:c>
      <x:c r="AJ294" s="27" t="str">
        <x:f>T294</x:f>
        <x:v>M</x:v>
      </x:c>
      <x:c r="AK294" s="41" t="n">
        <x:f>IF(E294="Interest Rate",VLOOKUP("Interest Rate",Parameters!$D$4:$E$12,2,FALSE),IF(E294="FX",VLOOKUP("FX",Parameters!$D$4:$E$12,2,FALSE),IF(E294="Credit",IFERROR(VLOOKUP(L294,Parameters!$G$4:$H$12,2,FALSE),VLOOKUP("BBB",Parameters!$G$4:$H$12,2,FALSE)),IF(E294="Equity",VLOOKUP(IF(LOWER(K294)="index","Equity Index","Equity Single Name"),Parameters!$D$4:$E$12,2,FALSE),IF(E294="Commodity",VLOOKUP(IFERROR(VLOOKUP(F294,Parameters!$S$4:$T$12,2,FALSE),"Commodity Other"),Parameters!$D$4:$E$12,2,FALSE),0)))))</x:f>
        <x:v>0.2</x:v>
      </x:c>
      <x:c r="AL294" s="42" t="n">
        <x:f>IF(LOWER(AC294)="basis",Parameters!$B$8,IF(LOWER(AC294)="volatility",Parameters!$B$9,1))</x:f>
        <x:v>1</x:v>
      </x:c>
      <x:c r="AM294" s="41" t="n">
        <x:f>AK294*AL294</x:f>
        <x:v>0.2</x:v>
      </x:c>
      <x:c r="AN294" s="42" t="n">
        <x:f>IF(E294="Credit",VLOOKUP(IF(LOWER(K294)="index","Credit Index","Credit Single Name"),Parameters!$J$4:$K$8,2,FALSE),IF(E294="Equity",VLOOKUP(IF(LOWER(K294)="index","Equity Index","Equity Single Name"),Parameters!$J$4:$K$8,2,FALSE),IF(E294="Commodity",VLOOKUP("Commodity",Parameters!$J$4:$K$8,2,FALSE),"")))</x:f>
        <x:v>0.8</x:v>
      </x:c>
      <x:c r="AO294" s="27" t="n">
        <x:f>MAX((O294-M294)/365,0)</x:f>
        <x:v>0</x:v>
      </x:c>
      <x:c r="AP294" s="27" t="n">
        <x:f>MAX((P294-M294)/365,10/Parameters!$B$6)</x:f>
        <x:v>5.197260273972603</x:v>
      </x:c>
      <x:c r="AQ294" s="27" t="n">
        <x:f>IF(AP294&lt;=AO294,AO294+10/Parameters!$B$6,AP294)</x:f>
        <x:v>5.197260273972603</x:v>
      </x:c>
      <x:c r="AR294" s="41" t="n">
        <x:f>IF(OR(E294="Interest Rate",E294="Credit"),(EXP(-Parameters!$B$7*AO294)-EXP(-Parameters!$B$7*AQ294))/Parameters!$B$7,1)</x:f>
        <x:v>1</x:v>
      </x:c>
      <x:c r="AS294" s="40" t="n">
        <x:f>IF(OR(E294="Interest Rate",E294="Credit"),ABS(Q294)*AR294,IF(E294="FX",IF(Q294&gt;0,Q294,MAX(ABS(R294),ABS(S294),ABS(Q294))),ABS(Q294)))</x:f>
        <x:v>65900000</x:v>
      </x:c>
      <x:c r="AT294" s="42" t="n">
        <x:f>IF(OR(E294="Interest Rate",E294="FX"),VLOOKUP(E294,Parameters!$M$4:$N$11,2,FALSE),IF(E294="Credit",VLOOKUP(IF(LOWER(K294)="index","Credit Index","Credit Single Name"),Parameters!$M$4:$N$11,2,FALSE),IF(E294="Equity",VLOOKUP(IF(LOWER(K294)="index","Equity Index","Equity Single Name"),Parameters!$M$4:$N$11,2,FALSE),IF(E294="Commodity",VLOOKUP(IF(F294="Electricity","Commodity Electricity","Commodity Other"),Parameters!$M$4:$N$11,2,FALSE),1))))</x:f>
        <x:v>0.75</x:v>
      </x:c>
      <x:c r="AU294" s="27" t="n">
        <x:f>IF(W294="B",1,-1)</x:f>
        <x:v>-1</x:v>
      </x:c>
      <x:c r="AV294" s="27" t="n">
        <x:f>IF(OR(AA294="",M294=""),MAX(AE294,1/365),MAX((AA294-M294)/365,1/365))</x:f>
        <x:v>3.8958904109589043</x:v>
      </x:c>
      <x:c r="AW294" s="41" t="n">
        <x:f>IF(OR(Z294&lt;=0,Y294&lt;=0,AT294&lt;=0,AV294&lt;=0),"",(LN(Z294/Y294)+0.5*AT294^2*AV294)/(AT294*SQRT(AV294)))</x:f>
        <x:v>0.8389239405170346</x:v>
      </x:c>
      <x:c r="AX294" s="41" t="n">
        <x:f>IF(AND(X294&lt;&gt;"C",X294&lt;&gt;"P"),AU294,IF(AW294="",AU294,IF(X294="C",AU294*0.5*(1+ERF(AW294/SQRT(2))),-AU294*0.5*(1+ERF(-AW294/SQRT(2))))))</x:f>
        <x:v>0.20075599619613882</x:v>
      </x:c>
      <x:c r="AY294" s="41" t="n">
        <x:f>IF(AJ294="M",1.5*SQRT(MAX(IF(U294="Y",5,10),IF(V294="",10,V294))/Parameters!$B$6),SQRT(MIN(MAX(AE294,10/Parameters!$B$6),1)))</x:f>
        <x:v>0.30000000000000004</x:v>
      </x:c>
      <x:c r="AZ294" s="40" t="n">
        <x:f>AS294*AX294*AY294</x:f>
        <x:v>3968946.044797665</x:v>
      </x:c>
      <x:c r="BA294" s="40" t="n">
        <x:f>'Python_Trade_Output'!AZ294</x:f>
        <x:v>3968946.044797665</x:v>
      </x:c>
      <x:c r="BB294" s="43" t="n">
        <x:f>AZ294-BA294</x:f>
        <x:v>0</x:v>
      </x:c>
    </x:row>
    <x:row r="295">
      <x:c r="A295" s="27" t="str">
        <x:f>'Inputs_Trades'!D295</x:f>
        <x:v>IND-000292</x:v>
      </x:c>
      <x:c r="B295" s="27" t="str">
        <x:f>'Inputs_Trades'!B295</x:f>
        <x:v>IND_BROKER_001</x:v>
      </x:c>
      <x:c r="C295" s="27" t="n">
        <x:f>'Inputs_Trades'!C295</x:f>
        <x:v>3276</x:v>
      </x:c>
      <x:c r="D295" s="27" t="str">
        <x:f>'Inputs_Trades'!E295</x:f>
        <x:v>Equity Index Option</x:v>
      </x:c>
      <x:c r="E295" s="27" t="str">
        <x:f>'Inputs_Trades'!F295</x:f>
        <x:v>Equity</x:v>
      </x:c>
      <x:c r="F295" s="27" t="str">
        <x:f>'Inputs_Trades'!G295</x:f>
        <x:v>Index</x:v>
      </x:c>
      <x:c r="G295" s="27" t="str">
        <x:f>'Inputs_Trades'!J295</x:f>
        <x:v>USD</x:v>
      </x:c>
      <x:c r="H295" s="27" t="str">
        <x:f>'Inputs_Trades'!H295</x:f>
        <x:v>USD</x:v>
      </x:c>
      <x:c r="I295" s="27" t="n">
        <x:f>'Inputs_Trades'!I295</x:f>
        <x:v>0</x:v>
      </x:c>
      <x:c r="J295" s="27" t="str">
        <x:f>'Inputs_Trades'!M295</x:f>
        <x:v>EQUITY_INDEX_26</x:v>
      </x:c>
      <x:c r="K295" s="27" t="str">
        <x:f>'Inputs_Trades'!N295</x:f>
        <x:v>Index</x:v>
      </x:c>
      <x:c r="L295" s="27" t="n">
        <x:f>'Inputs_Trades'!O295</x:f>
        <x:v>0</x:v>
      </x:c>
      <x:c r="M295" s="39" t="n">
        <x:f>'Inputs_Trades'!A295</x:f>
        <x:v>45702</x:v>
      </x:c>
      <x:c r="N295" s="39" t="n">
        <x:f>'Inputs_Trades'!P295</x:f>
        <x:v>47313</x:v>
      </x:c>
      <x:c r="O295" s="39" t="n">
        <x:f>'Inputs_Trades'!Q295</x:f>
        <x:v>44805</x:v>
      </x:c>
      <x:c r="P295" s="39" t="n">
        <x:f>'Inputs_Trades'!R295</x:f>
        <x:v>47313</x:v>
      </x:c>
      <x:c r="Q295" s="40" t="n">
        <x:f>'Inputs_Trades'!U295</x:f>
        <x:v>52200000</x:v>
      </x:c>
      <x:c r="R295" s="40" t="n">
        <x:f>'Inputs_Trades'!S295</x:f>
        <x:v>52200000</x:v>
      </x:c>
      <x:c r="S295" s="40" t="n">
        <x:f>'Inputs_Trades'!T295</x:f>
        <x:v>0</x:v>
      </x:c>
      <x:c r="T295" s="27" t="str">
        <x:f>'Inputs_Trades'!V295</x:f>
        <x:v>U</x:v>
      </x:c>
      <x:c r="U295" s="27" t="str">
        <x:f>'Inputs_Trades'!W295</x:f>
        <x:v>N</x:v>
      </x:c>
      <x:c r="V295" s="27" t="n">
        <x:f>'Inputs_Trades'!X295</x:f>
        <x:v>0</x:v>
      </x:c>
      <x:c r="W295" s="27" t="str">
        <x:f>'Inputs_Trades'!Y295</x:f>
        <x:v>S</x:v>
      </x:c>
      <x:c r="X295" s="27" t="str">
        <x:f>'Inputs_Trades'!AA295</x:f>
        <x:v>P</x:v>
      </x:c>
      <x:c r="Y295" s="27" t="n">
        <x:f>'Inputs_Trades'!AB295</x:f>
        <x:v>88.1</x:v>
      </x:c>
      <x:c r="Z295" s="27" t="n">
        <x:f>'Inputs_Trades'!AC295</x:f>
        <x:v>100</x:v>
      </x:c>
      <x:c r="AA295" s="39" t="n">
        <x:f>'Inputs_Trades'!Z295</x:f>
        <x:v>46910</x:v>
      </x:c>
      <x:c r="AB295" s="40" t="n">
        <x:f>'Inputs_Trades'!AD295</x:f>
        <x:v>-763425</x:v>
      </x:c>
      <x:c r="AC295" s="27" t="n">
        <x:f>'Inputs_Trades'!K295</x:f>
        <x:v>0</x:v>
      </x:c>
      <x:c r="AD295" s="27" t="n">
        <x:f>N295-M295</x:f>
        <x:v>1611</x:v>
      </x:c>
      <x:c r="AE295" s="41" t="n">
        <x:f>AD295/365</x:f>
        <x:v>4.413698630136986</x:v>
      </x:c>
      <x:c r="AF295" s="27" t="str">
        <x:f>IF(AE295&lt;1,"&lt;1Y",IF(AE295&lt;=5,"1Y-5Y","&gt;5Y"))</x:f>
        <x:v>1Y-5Y</x:v>
      </x:c>
      <x:c r="AG295" s="27" t="str">
        <x:f>IF(E295="Commodity",IFERROR(VLOOKUP(F295,Parameters!$P$4:$Q$12,2,FALSE),"Other"),"")</x:f>
      </x:c>
      <x:c r="AH295" s="27" t="str">
        <x:f>IF(F295="","Unknown",F295)</x:f>
        <x:v>Index</x:v>
      </x:c>
      <x:c r="AI295" s="27" t="str">
        <x:f>IF(E295="Interest Rate",G295&amp;IF(OR(LOWER(AC295)="basis",LOWER(AC295)="volatility"),"_"&amp;AC295,""),IF(E295="FX",IF(H295&lt;I295,H295&amp;"/"&amp;I295,I295&amp;"/"&amp;H295)&amp;IF(OR(LOWER(AC295)="basis",LOWER(AC295)="volatility"),"_"&amp;AC295,""),IF(OR(E295="Credit",E295="Equity"),J295&amp;IF(OR(LOWER(AC295)="basis",LOWER(AC295)="volatility"),"_"&amp;AC295,""),IF(E295="Commodity",AG295&amp;IF(OR(LOWER(AC295)="basis",LOWER(AC295)="volatility"),"_"&amp;AC295,""),"UNKNOWN"))))</x:f>
        <x:v>EQUITY_INDEX_26</x:v>
      </x:c>
      <x:c r="AJ295" s="27" t="str">
        <x:f>T295</x:f>
        <x:v>U</x:v>
      </x:c>
      <x:c r="AK295" s="41" t="n">
        <x:f>IF(E295="Interest Rate",VLOOKUP("Interest Rate",Parameters!$D$4:$E$12,2,FALSE),IF(E295="FX",VLOOKUP("FX",Parameters!$D$4:$E$12,2,FALSE),IF(E295="Credit",IFERROR(VLOOKUP(L295,Parameters!$G$4:$H$12,2,FALSE),VLOOKUP("BBB",Parameters!$G$4:$H$12,2,FALSE)),IF(E295="Equity",VLOOKUP(IF(LOWER(K295)="index","Equity Index","Equity Single Name"),Parameters!$D$4:$E$12,2,FALSE),IF(E295="Commodity",VLOOKUP(IFERROR(VLOOKUP(F295,Parameters!$S$4:$T$12,2,FALSE),"Commodity Other"),Parameters!$D$4:$E$12,2,FALSE),0)))))</x:f>
        <x:v>0.2</x:v>
      </x:c>
      <x:c r="AL295" s="42" t="n">
        <x:f>IF(LOWER(AC295)="basis",Parameters!$B$8,IF(LOWER(AC295)="volatility",Parameters!$B$9,1))</x:f>
        <x:v>1</x:v>
      </x:c>
      <x:c r="AM295" s="41" t="n">
        <x:f>AK295*AL295</x:f>
        <x:v>0.2</x:v>
      </x:c>
      <x:c r="AN295" s="42" t="n">
        <x:f>IF(E295="Credit",VLOOKUP(IF(LOWER(K295)="index","Credit Index","Credit Single Name"),Parameters!$J$4:$K$8,2,FALSE),IF(E295="Equity",VLOOKUP(IF(LOWER(K295)="index","Equity Index","Equity Single Name"),Parameters!$J$4:$K$8,2,FALSE),IF(E295="Commodity",VLOOKUP("Commodity",Parameters!$J$4:$K$8,2,FALSE),"")))</x:f>
        <x:v>0.8</x:v>
      </x:c>
      <x:c r="AO295" s="27" t="n">
        <x:f>MAX((O295-M295)/365,0)</x:f>
        <x:v>0</x:v>
      </x:c>
      <x:c r="AP295" s="27" t="n">
        <x:f>MAX((P295-M295)/365,10/Parameters!$B$6)</x:f>
        <x:v>4.413698630136986</x:v>
      </x:c>
      <x:c r="AQ295" s="27" t="n">
        <x:f>IF(AP295&lt;=AO295,AO295+10/Parameters!$B$6,AP295)</x:f>
        <x:v>4.413698630136986</x:v>
      </x:c>
      <x:c r="AR295" s="41" t="n">
        <x:f>IF(OR(E295="Interest Rate",E295="Credit"),(EXP(-Parameters!$B$7*AO295)-EXP(-Parameters!$B$7*AQ295))/Parameters!$B$7,1)</x:f>
        <x:v>1</x:v>
      </x:c>
      <x:c r="AS295" s="40" t="n">
        <x:f>IF(OR(E295="Interest Rate",E295="Credit"),ABS(Q295)*AR295,IF(E295="FX",IF(Q295&gt;0,Q295,MAX(ABS(R295),ABS(S295),ABS(Q295))),ABS(Q295)))</x:f>
        <x:v>52200000</x:v>
      </x:c>
      <x:c r="AT295" s="42" t="n">
        <x:f>IF(OR(E295="Interest Rate",E295="FX"),VLOOKUP(E295,Parameters!$M$4:$N$11,2,FALSE),IF(E295="Credit",VLOOKUP(IF(LOWER(K295)="index","Credit Index","Credit Single Name"),Parameters!$M$4:$N$11,2,FALSE),IF(E295="Equity",VLOOKUP(IF(LOWER(K295)="index","Equity Index","Equity Single Name"),Parameters!$M$4:$N$11,2,FALSE),IF(E295="Commodity",VLOOKUP(IF(F295="Electricity","Commodity Electricity","Commodity Other"),Parameters!$M$4:$N$11,2,FALSE),1))))</x:f>
        <x:v>0.75</x:v>
      </x:c>
      <x:c r="AU295" s="27" t="n">
        <x:f>IF(W295="B",1,-1)</x:f>
        <x:v>-1</x:v>
      </x:c>
      <x:c r="AV295" s="27" t="n">
        <x:f>IF(OR(AA295="",M295=""),MAX(AE295,1/365),MAX((AA295-M295)/365,1/365))</x:f>
        <x:v>3.3095890410958906</x:v>
      </x:c>
      <x:c r="AW295" s="41" t="n">
        <x:f>IF(OR(Z295&lt;=0,Y295&lt;=0,AT295&lt;=0,AV295&lt;=0),"",(LN(Z295/Y295)+0.5*AT295^2*AV295)/(AT295*SQRT(AV295)))</x:f>
        <x:v>0.7750685503163001</x:v>
      </x:c>
      <x:c r="AX295" s="41" t="n">
        <x:f>IF(AND(X295&lt;&gt;"C",X295&lt;&gt;"P"),AU295,IF(AW295="",AU295,IF(X295="C",AU295*0.5*(1+ERF(AW295/SQRT(2))),-AU295*0.5*(1+ERF(-AW295/SQRT(2))))))</x:f>
        <x:v>0.21914957704669424</x:v>
      </x:c>
      <x:c r="AY295" s="41" t="n">
        <x:f>IF(AJ295="M",1.5*SQRT(MAX(IF(U295="Y",5,10),IF(V295="",10,V295))/Parameters!$B$6),SQRT(MIN(MAX(AE295,10/Parameters!$B$6),1)))</x:f>
        <x:v>1</x:v>
      </x:c>
      <x:c r="AZ295" s="40" t="n">
        <x:f>AS295*AX295*AY295</x:f>
        <x:v>11439607.92183744</x:v>
      </x:c>
      <x:c r="BA295" s="40" t="n">
        <x:f>'Python_Trade_Output'!AZ295</x:f>
        <x:v>11439607.92183744</x:v>
      </x:c>
      <x:c r="BB295" s="43" t="n">
        <x:f>AZ295-BA295</x:f>
        <x:v>0</x:v>
      </x:c>
    </x:row>
    <x:row r="296">
      <x:c r="A296" s="27" t="str">
        <x:f>'Inputs_Trades'!D296</x:f>
        <x:v>IND-000293</x:v>
      </x:c>
      <x:c r="B296" s="27" t="str">
        <x:f>'Inputs_Trades'!B296</x:f>
        <x:v>IND_CLEARING_MEMBER_001</x:v>
      </x:c>
      <x:c r="C296" s="27" t="n">
        <x:f>'Inputs_Trades'!C296</x:f>
        <x:v>3161</x:v>
      </x:c>
      <x:c r="D296" s="27" t="str">
        <x:f>'Inputs_Trades'!E296</x:f>
        <x:v>Equity Index Option</x:v>
      </x:c>
      <x:c r="E296" s="27" t="str">
        <x:f>'Inputs_Trades'!F296</x:f>
        <x:v>Equity</x:v>
      </x:c>
      <x:c r="F296" s="27" t="str">
        <x:f>'Inputs_Trades'!G296</x:f>
        <x:v>Index</x:v>
      </x:c>
      <x:c r="G296" s="27" t="str">
        <x:f>'Inputs_Trades'!J296</x:f>
        <x:v>USD</x:v>
      </x:c>
      <x:c r="H296" s="27" t="str">
        <x:f>'Inputs_Trades'!H296</x:f>
        <x:v>USD</x:v>
      </x:c>
      <x:c r="I296" s="27" t="n">
        <x:f>'Inputs_Trades'!I296</x:f>
        <x:v>0</x:v>
      </x:c>
      <x:c r="J296" s="27" t="str">
        <x:f>'Inputs_Trades'!M296</x:f>
        <x:v>EQUITY_INDEX_22</x:v>
      </x:c>
      <x:c r="K296" s="27" t="str">
        <x:f>'Inputs_Trades'!N296</x:f>
        <x:v>Index</x:v>
      </x:c>
      <x:c r="L296" s="27" t="n">
        <x:f>'Inputs_Trades'!O296</x:f>
        <x:v>0</x:v>
      </x:c>
      <x:c r="M296" s="39" t="n">
        <x:f>'Inputs_Trades'!A296</x:f>
        <x:v>45702</x:v>
      </x:c>
      <x:c r="N296" s="39" t="n">
        <x:f>'Inputs_Trades'!P296</x:f>
        <x:v>47611</x:v>
      </x:c>
      <x:c r="O296" s="39" t="n">
        <x:f>'Inputs_Trades'!Q296</x:f>
        <x:v>44887</x:v>
      </x:c>
      <x:c r="P296" s="39" t="n">
        <x:f>'Inputs_Trades'!R296</x:f>
        <x:v>47611</x:v>
      </x:c>
      <x:c r="Q296" s="40" t="n">
        <x:f>'Inputs_Trades'!U296</x:f>
        <x:v>17700000</x:v>
      </x:c>
      <x:c r="R296" s="40" t="n">
        <x:f>'Inputs_Trades'!S296</x:f>
        <x:v>17700000</x:v>
      </x:c>
      <x:c r="S296" s="40" t="n">
        <x:f>'Inputs_Trades'!T296</x:f>
        <x:v>0</x:v>
      </x:c>
      <x:c r="T296" s="27" t="str">
        <x:f>'Inputs_Trades'!V296</x:f>
        <x:v>U</x:v>
      </x:c>
      <x:c r="U296" s="27" t="str">
        <x:f>'Inputs_Trades'!W296</x:f>
        <x:v>N</x:v>
      </x:c>
      <x:c r="V296" s="27" t="n">
        <x:f>'Inputs_Trades'!X296</x:f>
        <x:v>0</x:v>
      </x:c>
      <x:c r="W296" s="27" t="str">
        <x:f>'Inputs_Trades'!Y296</x:f>
        <x:v>B</x:v>
      </x:c>
      <x:c r="X296" s="27" t="str">
        <x:f>'Inputs_Trades'!AA296</x:f>
        <x:v>C</x:v>
      </x:c>
      <x:c r="Y296" s="27" t="n">
        <x:f>'Inputs_Trades'!AB296</x:f>
        <x:v>137.875</x:v>
      </x:c>
      <x:c r="Z296" s="27" t="n">
        <x:f>'Inputs_Trades'!AC296</x:f>
        <x:v>125</x:v>
      </x:c>
      <x:c r="AA296" s="39" t="n">
        <x:f>'Inputs_Trades'!Z296</x:f>
        <x:v>47133</x:v>
      </x:c>
      <x:c r="AB296" s="40" t="n">
        <x:f>'Inputs_Trades'!AD296</x:f>
        <x:v>-387099</x:v>
      </x:c>
      <x:c r="AC296" s="27" t="n">
        <x:f>'Inputs_Trades'!K296</x:f>
        <x:v>0</x:v>
      </x:c>
      <x:c r="AD296" s="27" t="n">
        <x:f>N296-M296</x:f>
        <x:v>1909</x:v>
      </x:c>
      <x:c r="AE296" s="41" t="n">
        <x:f>AD296/365</x:f>
        <x:v>5.23013698630137</x:v>
      </x:c>
      <x:c r="AF296" s="27" t="str">
        <x:f>IF(AE296&lt;1,"&lt;1Y",IF(AE296&lt;=5,"1Y-5Y","&gt;5Y"))</x:f>
        <x:v>&gt;5Y</x:v>
      </x:c>
      <x:c r="AG296" s="27" t="str">
        <x:f>IF(E296="Commodity",IFERROR(VLOOKUP(F296,Parameters!$P$4:$Q$12,2,FALSE),"Other"),"")</x:f>
      </x:c>
      <x:c r="AH296" s="27" t="str">
        <x:f>IF(F296="","Unknown",F296)</x:f>
        <x:v>Index</x:v>
      </x:c>
      <x:c r="AI296" s="27" t="str">
        <x:f>IF(E296="Interest Rate",G296&amp;IF(OR(LOWER(AC296)="basis",LOWER(AC296)="volatility"),"_"&amp;AC296,""),IF(E296="FX",IF(H296&lt;I296,H296&amp;"/"&amp;I296,I296&amp;"/"&amp;H296)&amp;IF(OR(LOWER(AC296)="basis",LOWER(AC296)="volatility"),"_"&amp;AC296,""),IF(OR(E296="Credit",E296="Equity"),J296&amp;IF(OR(LOWER(AC296)="basis",LOWER(AC296)="volatility"),"_"&amp;AC296,""),IF(E296="Commodity",AG296&amp;IF(OR(LOWER(AC296)="basis",LOWER(AC296)="volatility"),"_"&amp;AC296,""),"UNKNOWN"))))</x:f>
        <x:v>EQUITY_INDEX_22</x:v>
      </x:c>
      <x:c r="AJ296" s="27" t="str">
        <x:f>T296</x:f>
        <x:v>U</x:v>
      </x:c>
      <x:c r="AK296" s="41" t="n">
        <x:f>IF(E296="Interest Rate",VLOOKUP("Interest Rate",Parameters!$D$4:$E$12,2,FALSE),IF(E296="FX",VLOOKUP("FX",Parameters!$D$4:$E$12,2,FALSE),IF(E296="Credit",IFERROR(VLOOKUP(L296,Parameters!$G$4:$H$12,2,FALSE),VLOOKUP("BBB",Parameters!$G$4:$H$12,2,FALSE)),IF(E296="Equity",VLOOKUP(IF(LOWER(K296)="index","Equity Index","Equity Single Name"),Parameters!$D$4:$E$12,2,FALSE),IF(E296="Commodity",VLOOKUP(IFERROR(VLOOKUP(F296,Parameters!$S$4:$T$12,2,FALSE),"Commodity Other"),Parameters!$D$4:$E$12,2,FALSE),0)))))</x:f>
        <x:v>0.2</x:v>
      </x:c>
      <x:c r="AL296" s="42" t="n">
        <x:f>IF(LOWER(AC296)="basis",Parameters!$B$8,IF(LOWER(AC296)="volatility",Parameters!$B$9,1))</x:f>
        <x:v>1</x:v>
      </x:c>
      <x:c r="AM296" s="41" t="n">
        <x:f>AK296*AL296</x:f>
        <x:v>0.2</x:v>
      </x:c>
      <x:c r="AN296" s="42" t="n">
        <x:f>IF(E296="Credit",VLOOKUP(IF(LOWER(K296)="index","Credit Index","Credit Single Name"),Parameters!$J$4:$K$8,2,FALSE),IF(E296="Equity",VLOOKUP(IF(LOWER(K296)="index","Equity Index","Equity Single Name"),Parameters!$J$4:$K$8,2,FALSE),IF(E296="Commodity",VLOOKUP("Commodity",Parameters!$J$4:$K$8,2,FALSE),"")))</x:f>
        <x:v>0.8</x:v>
      </x:c>
      <x:c r="AO296" s="27" t="n">
        <x:f>MAX((O296-M296)/365,0)</x:f>
        <x:v>0</x:v>
      </x:c>
      <x:c r="AP296" s="27" t="n">
        <x:f>MAX((P296-M296)/365,10/Parameters!$B$6)</x:f>
        <x:v>5.23013698630137</x:v>
      </x:c>
      <x:c r="AQ296" s="27" t="n">
        <x:f>IF(AP296&lt;=AO296,AO296+10/Parameters!$B$6,AP296)</x:f>
        <x:v>5.23013698630137</x:v>
      </x:c>
      <x:c r="AR296" s="41" t="n">
        <x:f>IF(OR(E296="Interest Rate",E296="Credit"),(EXP(-Parameters!$B$7*AO296)-EXP(-Parameters!$B$7*AQ296))/Parameters!$B$7,1)</x:f>
        <x:v>1</x:v>
      </x:c>
      <x:c r="AS296" s="40" t="n">
        <x:f>IF(OR(E296="Interest Rate",E296="Credit"),ABS(Q296)*AR296,IF(E296="FX",IF(Q296&gt;0,Q296,MAX(ABS(R296),ABS(S296),ABS(Q296))),ABS(Q296)))</x:f>
        <x:v>17700000</x:v>
      </x:c>
      <x:c r="AT296" s="42" t="n">
        <x:f>IF(OR(E296="Interest Rate",E296="FX"),VLOOKUP(E296,Parameters!$M$4:$N$11,2,FALSE),IF(E296="Credit",VLOOKUP(IF(LOWER(K296)="index","Credit Index","Credit Single Name"),Parameters!$M$4:$N$11,2,FALSE),IF(E296="Equity",VLOOKUP(IF(LOWER(K296)="index","Equity Index","Equity Single Name"),Parameters!$M$4:$N$11,2,FALSE),IF(E296="Commodity",VLOOKUP(IF(F296="Electricity","Commodity Electricity","Commodity Other"),Parameters!$M$4:$N$11,2,FALSE),1))))</x:f>
        <x:v>0.75</x:v>
      </x:c>
      <x:c r="AU296" s="27" t="n">
        <x:f>IF(W296="B",1,-1)</x:f>
        <x:v>1</x:v>
      </x:c>
      <x:c r="AV296" s="27" t="n">
        <x:f>IF(OR(AA296="",M296=""),MAX(AE296,1/365),MAX((AA296-M296)/365,1/365))</x:f>
        <x:v>3.9205479452054797</x:v>
      </x:c>
      <x:c r="AW296" s="41" t="n">
        <x:f>IF(OR(Z296&lt;=0,Y296&lt;=0,AT296&lt;=0,AV296&lt;=0),"",(LN(Z296/Y296)+0.5*AT296^2*AV296)/(AT296*SQRT(AV296)))</x:f>
        <x:v>0.6764992687121502</x:v>
      </x:c>
      <x:c r="AX296" s="41" t="n">
        <x:f>IF(AND(X296&lt;&gt;"C",X296&lt;&gt;"P"),AU296,IF(AW296="",AU296,IF(X296="C",AU296*0.5*(1+ERF(AW296/SQRT(2))),-AU296*0.5*(1+ERF(-AW296/SQRT(2))))))</x:f>
        <x:v>0.7506381449087614</x:v>
      </x:c>
      <x:c r="AY296" s="41" t="n">
        <x:f>IF(AJ296="M",1.5*SQRT(MAX(IF(U296="Y",5,10),IF(V296="",10,V296))/Parameters!$B$6),SQRT(MIN(MAX(AE296,10/Parameters!$B$6),1)))</x:f>
        <x:v>1</x:v>
      </x:c>
      <x:c r="AZ296" s="40" t="n">
        <x:f>AS296*AX296*AY296</x:f>
        <x:v>13286295.164885076</x:v>
      </x:c>
      <x:c r="BA296" s="40" t="n">
        <x:f>'Python_Trade_Output'!AZ296</x:f>
        <x:v>13286295.164885076</x:v>
      </x:c>
      <x:c r="BB296" s="43" t="n">
        <x:f>AZ296-BA296</x:f>
        <x:v>0</x:v>
      </x:c>
    </x:row>
    <x:row r="297">
      <x:c r="A297" s="27" t="str">
        <x:f>'Inputs_Trades'!D297</x:f>
        <x:v>IND-000294</x:v>
      </x:c>
      <x:c r="B297" s="27" t="str">
        <x:f>'Inputs_Trades'!B297</x:f>
        <x:v>IND_BANK_002</x:v>
      </x:c>
      <x:c r="C297" s="27" t="n">
        <x:f>'Inputs_Trades'!C297</x:f>
        <x:v>3090</x:v>
      </x:c>
      <x:c r="D297" s="27" t="str">
        <x:f>'Inputs_Trades'!E297</x:f>
        <x:v>Equity Index Option</x:v>
      </x:c>
      <x:c r="E297" s="27" t="str">
        <x:f>'Inputs_Trades'!F297</x:f>
        <x:v>Equity</x:v>
      </x:c>
      <x:c r="F297" s="27" t="str">
        <x:f>'Inputs_Trades'!G297</x:f>
        <x:v>Index</x:v>
      </x:c>
      <x:c r="G297" s="27" t="str">
        <x:f>'Inputs_Trades'!J297</x:f>
        <x:v>USD</x:v>
      </x:c>
      <x:c r="H297" s="27" t="str">
        <x:f>'Inputs_Trades'!H297</x:f>
        <x:v>USD</x:v>
      </x:c>
      <x:c r="I297" s="27" t="n">
        <x:f>'Inputs_Trades'!I297</x:f>
        <x:v>0</x:v>
      </x:c>
      <x:c r="J297" s="27" t="str">
        <x:f>'Inputs_Trades'!M297</x:f>
        <x:v>EQUITY_INDEX_01</x:v>
      </x:c>
      <x:c r="K297" s="27" t="str">
        <x:f>'Inputs_Trades'!N297</x:f>
        <x:v>Index</x:v>
      </x:c>
      <x:c r="L297" s="27" t="n">
        <x:f>'Inputs_Trades'!O297</x:f>
        <x:v>0</x:v>
      </x:c>
      <x:c r="M297" s="39" t="n">
        <x:f>'Inputs_Trades'!A297</x:f>
        <x:v>45702</x:v>
      </x:c>
      <x:c r="N297" s="39" t="n">
        <x:f>'Inputs_Trades'!P297</x:f>
        <x:v>47301</x:v>
      </x:c>
      <x:c r="O297" s="39" t="n">
        <x:f>'Inputs_Trades'!Q297</x:f>
        <x:v>45015</x:v>
      </x:c>
      <x:c r="P297" s="39" t="n">
        <x:f>'Inputs_Trades'!R297</x:f>
        <x:v>47301</x:v>
      </x:c>
      <x:c r="Q297" s="40" t="n">
        <x:f>'Inputs_Trades'!U297</x:f>
        <x:v>44800000</x:v>
      </x:c>
      <x:c r="R297" s="40" t="n">
        <x:f>'Inputs_Trades'!S297</x:f>
        <x:v>44800000</x:v>
      </x:c>
      <x:c r="S297" s="40" t="n">
        <x:f>'Inputs_Trades'!T297</x:f>
        <x:v>0</x:v>
      </x:c>
      <x:c r="T297" s="27" t="str">
        <x:f>'Inputs_Trades'!V297</x:f>
        <x:v>U</x:v>
      </x:c>
      <x:c r="U297" s="27" t="str">
        <x:f>'Inputs_Trades'!W297</x:f>
        <x:v>N</x:v>
      </x:c>
      <x:c r="V297" s="27" t="n">
        <x:f>'Inputs_Trades'!X297</x:f>
        <x:v>0</x:v>
      </x:c>
      <x:c r="W297" s="27" t="str">
        <x:f>'Inputs_Trades'!Y297</x:f>
        <x:v>S</x:v>
      </x:c>
      <x:c r="X297" s="27" t="str">
        <x:f>'Inputs_Trades'!AA297</x:f>
        <x:v>P</x:v>
      </x:c>
      <x:c r="Y297" s="27" t="n">
        <x:f>'Inputs_Trades'!AB297</x:f>
        <x:v>93.9</x:v>
      </x:c>
      <x:c r="Z297" s="27" t="n">
        <x:f>'Inputs_Trades'!AC297</x:f>
        <x:v>100</x:v>
      </x:c>
      <x:c r="AA297" s="39" t="n">
        <x:f>'Inputs_Trades'!Z297</x:f>
        <x:v>46901</x:v>
      </x:c>
      <x:c r="AB297" s="40" t="n">
        <x:f>'Inputs_Trades'!AD297</x:f>
        <x:v>1048320</x:v>
      </x:c>
      <x:c r="AC297" s="27" t="n">
        <x:f>'Inputs_Trades'!K297</x:f>
        <x:v>0</x:v>
      </x:c>
      <x:c r="AD297" s="27" t="n">
        <x:f>N297-M297</x:f>
        <x:v>1599</x:v>
      </x:c>
      <x:c r="AE297" s="41" t="n">
        <x:f>AD297/365</x:f>
        <x:v>4.380821917808219</x:v>
      </x:c>
      <x:c r="AF297" s="27" t="str">
        <x:f>IF(AE297&lt;1,"&lt;1Y",IF(AE297&lt;=5,"1Y-5Y","&gt;5Y"))</x:f>
        <x:v>1Y-5Y</x:v>
      </x:c>
      <x:c r="AG297" s="27" t="str">
        <x:f>IF(E297="Commodity",IFERROR(VLOOKUP(F297,Parameters!$P$4:$Q$12,2,FALSE),"Other"),"")</x:f>
      </x:c>
      <x:c r="AH297" s="27" t="str">
        <x:f>IF(F297="","Unknown",F297)</x:f>
        <x:v>Index</x:v>
      </x:c>
      <x:c r="AI297" s="27" t="str">
        <x:f>IF(E297="Interest Rate",G297&amp;IF(OR(LOWER(AC297)="basis",LOWER(AC297)="volatility"),"_"&amp;AC297,""),IF(E297="FX",IF(H297&lt;I297,H297&amp;"/"&amp;I297,I297&amp;"/"&amp;H297)&amp;IF(OR(LOWER(AC297)="basis",LOWER(AC297)="volatility"),"_"&amp;AC297,""),IF(OR(E297="Credit",E297="Equity"),J297&amp;IF(OR(LOWER(AC297)="basis",LOWER(AC297)="volatility"),"_"&amp;AC297,""),IF(E297="Commodity",AG297&amp;IF(OR(LOWER(AC297)="basis",LOWER(AC297)="volatility"),"_"&amp;AC297,""),"UNKNOWN"))))</x:f>
        <x:v>EQUITY_INDEX_01</x:v>
      </x:c>
      <x:c r="AJ297" s="27" t="str">
        <x:f>T297</x:f>
        <x:v>U</x:v>
      </x:c>
      <x:c r="AK297" s="41" t="n">
        <x:f>IF(E297="Interest Rate",VLOOKUP("Interest Rate",Parameters!$D$4:$E$12,2,FALSE),IF(E297="FX",VLOOKUP("FX",Parameters!$D$4:$E$12,2,FALSE),IF(E297="Credit",IFERROR(VLOOKUP(L297,Parameters!$G$4:$H$12,2,FALSE),VLOOKUP("BBB",Parameters!$G$4:$H$12,2,FALSE)),IF(E297="Equity",VLOOKUP(IF(LOWER(K297)="index","Equity Index","Equity Single Name"),Parameters!$D$4:$E$12,2,FALSE),IF(E297="Commodity",VLOOKUP(IFERROR(VLOOKUP(F297,Parameters!$S$4:$T$12,2,FALSE),"Commodity Other"),Parameters!$D$4:$E$12,2,FALSE),0)))))</x:f>
        <x:v>0.2</x:v>
      </x:c>
      <x:c r="AL297" s="42" t="n">
        <x:f>IF(LOWER(AC297)="basis",Parameters!$B$8,IF(LOWER(AC297)="volatility",Parameters!$B$9,1))</x:f>
        <x:v>1</x:v>
      </x:c>
      <x:c r="AM297" s="41" t="n">
        <x:f>AK297*AL297</x:f>
        <x:v>0.2</x:v>
      </x:c>
      <x:c r="AN297" s="42" t="n">
        <x:f>IF(E297="Credit",VLOOKUP(IF(LOWER(K297)="index","Credit Index","Credit Single Name"),Parameters!$J$4:$K$8,2,FALSE),IF(E297="Equity",VLOOKUP(IF(LOWER(K297)="index","Equity Index","Equity Single Name"),Parameters!$J$4:$K$8,2,FALSE),IF(E297="Commodity",VLOOKUP("Commodity",Parameters!$J$4:$K$8,2,FALSE),"")))</x:f>
        <x:v>0.8</x:v>
      </x:c>
      <x:c r="AO297" s="27" t="n">
        <x:f>MAX((O297-M297)/365,0)</x:f>
        <x:v>0</x:v>
      </x:c>
      <x:c r="AP297" s="27" t="n">
        <x:f>MAX((P297-M297)/365,10/Parameters!$B$6)</x:f>
        <x:v>4.380821917808219</x:v>
      </x:c>
      <x:c r="AQ297" s="27" t="n">
        <x:f>IF(AP297&lt;=AO297,AO297+10/Parameters!$B$6,AP297)</x:f>
        <x:v>4.380821917808219</x:v>
      </x:c>
      <x:c r="AR297" s="41" t="n">
        <x:f>IF(OR(E297="Interest Rate",E297="Credit"),(EXP(-Parameters!$B$7*AO297)-EXP(-Parameters!$B$7*AQ297))/Parameters!$B$7,1)</x:f>
        <x:v>1</x:v>
      </x:c>
      <x:c r="AS297" s="40" t="n">
        <x:f>IF(OR(E297="Interest Rate",E297="Credit"),ABS(Q297)*AR297,IF(E297="FX",IF(Q297&gt;0,Q297,MAX(ABS(R297),ABS(S297),ABS(Q297))),ABS(Q297)))</x:f>
        <x:v>44800000</x:v>
      </x:c>
      <x:c r="AT297" s="42" t="n">
        <x:f>IF(OR(E297="Interest Rate",E297="FX"),VLOOKUP(E297,Parameters!$M$4:$N$11,2,FALSE),IF(E297="Credit",VLOOKUP(IF(LOWER(K297)="index","Credit Index","Credit Single Name"),Parameters!$M$4:$N$11,2,FALSE),IF(E297="Equity",VLOOKUP(IF(LOWER(K297)="index","Equity Index","Equity Single Name"),Parameters!$M$4:$N$11,2,FALSE),IF(E297="Commodity",VLOOKUP(IF(F297="Electricity","Commodity Electricity","Commodity Other"),Parameters!$M$4:$N$11,2,FALSE),1))))</x:f>
        <x:v>0.75</x:v>
      </x:c>
      <x:c r="AU297" s="27" t="n">
        <x:f>IF(W297="B",1,-1)</x:f>
        <x:v>-1</x:v>
      </x:c>
      <x:c r="AV297" s="27" t="n">
        <x:f>IF(OR(AA297="",M297=""),MAX(AE297,1/365),MAX((AA297-M297)/365,1/365))</x:f>
        <x:v>3.2849315068493152</x:v>
      </x:c>
      <x:c r="AW297" s="41" t="n">
        <x:f>IF(OR(Z297&lt;=0,Y297&lt;=0,AT297&lt;=0,AV297&lt;=0),"",(LN(Z297/Y297)+0.5*AT297^2*AV297)/(AT297*SQRT(AV297)))</x:f>
        <x:v>0.7259663765041566</x:v>
      </x:c>
      <x:c r="AX297" s="41" t="n">
        <x:f>IF(AND(X297&lt;&gt;"C",X297&lt;&gt;"P"),AU297,IF(AW297="",AU297,IF(X297="C",AU297*0.5*(1+ERF(AW297/SQRT(2))),-AU297*0.5*(1+ERF(-AW297/SQRT(2))))))</x:f>
        <x:v>0.23392969163229183</x:v>
      </x:c>
      <x:c r="AY297" s="41" t="n">
        <x:f>IF(AJ297="M",1.5*SQRT(MAX(IF(U297="Y",5,10),IF(V297="",10,V297))/Parameters!$B$6),SQRT(MIN(MAX(AE297,10/Parameters!$B$6),1)))</x:f>
        <x:v>1</x:v>
      </x:c>
      <x:c r="AZ297" s="40" t="n">
        <x:f>AS297*AX297*AY297</x:f>
        <x:v>10480050.185126673</x:v>
      </x:c>
      <x:c r="BA297" s="40" t="n">
        <x:f>'Python_Trade_Output'!AZ297</x:f>
        <x:v>10480050.185126672</x:v>
      </x:c>
      <x:c r="BB297" s="43" t="n">
        <x:f>AZ297-BA297</x:f>
        <x:v>1.862645149230957e-9</x:v>
      </x:c>
    </x:row>
    <x:row r="298">
      <x:c r="A298" s="27" t="str">
        <x:f>'Inputs_Trades'!D298</x:f>
        <x:v>IND-000295</x:v>
      </x:c>
      <x:c r="B298" s="27" t="str">
        <x:f>'Inputs_Trades'!B298</x:f>
        <x:v>IND_ASSET_MANAGER_001</x:v>
      </x:c>
      <x:c r="C298" s="27" t="n">
        <x:f>'Inputs_Trades'!C298</x:f>
        <x:v>3167</x:v>
      </x:c>
      <x:c r="D298" s="27" t="str">
        <x:f>'Inputs_Trades'!E298</x:f>
        <x:v>Equity Index Option</x:v>
      </x:c>
      <x:c r="E298" s="27" t="str">
        <x:f>'Inputs_Trades'!F298</x:f>
        <x:v>Equity</x:v>
      </x:c>
      <x:c r="F298" s="27" t="str">
        <x:f>'Inputs_Trades'!G298</x:f>
        <x:v>Index</x:v>
      </x:c>
      <x:c r="G298" s="27" t="str">
        <x:f>'Inputs_Trades'!J298</x:f>
        <x:v>USD</x:v>
      </x:c>
      <x:c r="H298" s="27" t="str">
        <x:f>'Inputs_Trades'!H298</x:f>
        <x:v>USD</x:v>
      </x:c>
      <x:c r="I298" s="27" t="n">
        <x:f>'Inputs_Trades'!I298</x:f>
        <x:v>0</x:v>
      </x:c>
      <x:c r="J298" s="27" t="str">
        <x:f>'Inputs_Trades'!M298</x:f>
        <x:v>EQUITY_INDEX_15</x:v>
      </x:c>
      <x:c r="K298" s="27" t="str">
        <x:f>'Inputs_Trades'!N298</x:f>
        <x:v>Index</x:v>
      </x:c>
      <x:c r="L298" s="27" t="n">
        <x:f>'Inputs_Trades'!O298</x:f>
        <x:v>0</x:v>
      </x:c>
      <x:c r="M298" s="39" t="n">
        <x:f>'Inputs_Trades'!A298</x:f>
        <x:v>45702</x:v>
      </x:c>
      <x:c r="N298" s="39" t="n">
        <x:f>'Inputs_Trades'!P298</x:f>
        <x:v>46601</x:v>
      </x:c>
      <x:c r="O298" s="39" t="n">
        <x:f>'Inputs_Trades'!Q298</x:f>
        <x:v>45632</x:v>
      </x:c>
      <x:c r="P298" s="39" t="n">
        <x:f>'Inputs_Trades'!R298</x:f>
        <x:v>46601</x:v>
      </x:c>
      <x:c r="Q298" s="40" t="n">
        <x:f>'Inputs_Trades'!U298</x:f>
        <x:v>39000000</x:v>
      </x:c>
      <x:c r="R298" s="40" t="n">
        <x:f>'Inputs_Trades'!S298</x:f>
        <x:v>39000000</x:v>
      </x:c>
      <x:c r="S298" s="40" t="n">
        <x:f>'Inputs_Trades'!T298</x:f>
        <x:v>0</x:v>
      </x:c>
      <x:c r="T298" s="27" t="str">
        <x:f>'Inputs_Trades'!V298</x:f>
        <x:v>M</x:v>
      </x:c>
      <x:c r="U298" s="27" t="str">
        <x:f>'Inputs_Trades'!W298</x:f>
        <x:v>N</x:v>
      </x:c>
      <x:c r="V298" s="27" t="n">
        <x:f>'Inputs_Trades'!X298</x:f>
        <x:v>10</x:v>
      </x:c>
      <x:c r="W298" s="27" t="str">
        <x:f>'Inputs_Trades'!Y298</x:f>
        <x:v>B</x:v>
      </x:c>
      <x:c r="X298" s="27" t="str">
        <x:f>'Inputs_Trades'!AA298</x:f>
        <x:v>P</x:v>
      </x:c>
      <x:c r="Y298" s="27" t="n">
        <x:f>'Inputs_Trades'!AB298</x:f>
        <x:v>132.16</x:v>
      </x:c>
      <x:c r="Z298" s="27" t="n">
        <x:f>'Inputs_Trades'!AC298</x:f>
        <x:v>112</x:v>
      </x:c>
      <x:c r="AA298" s="39" t="n">
        <x:f>'Inputs_Trades'!Z298</x:f>
        <x:v>46376</x:v>
      </x:c>
      <x:c r="AB298" s="40" t="n">
        <x:f>'Inputs_Trades'!AD298</x:f>
        <x:v>-214110</x:v>
      </x:c>
      <x:c r="AC298" s="27" t="n">
        <x:f>'Inputs_Trades'!K298</x:f>
        <x:v>0</x:v>
      </x:c>
      <x:c r="AD298" s="27" t="n">
        <x:f>N298-M298</x:f>
        <x:v>899</x:v>
      </x:c>
      <x:c r="AE298" s="41" t="n">
        <x:f>AD298/365</x:f>
        <x:v>2.463013698630137</x:v>
      </x:c>
      <x:c r="AF298" s="27" t="str">
        <x:f>IF(AE298&lt;1,"&lt;1Y",IF(AE298&lt;=5,"1Y-5Y","&gt;5Y"))</x:f>
        <x:v>1Y-5Y</x:v>
      </x:c>
      <x:c r="AG298" s="27" t="str">
        <x:f>IF(E298="Commodity",IFERROR(VLOOKUP(F298,Parameters!$P$4:$Q$12,2,FALSE),"Other"),"")</x:f>
      </x:c>
      <x:c r="AH298" s="27" t="str">
        <x:f>IF(F298="","Unknown",F298)</x:f>
        <x:v>Index</x:v>
      </x:c>
      <x:c r="AI298" s="27" t="str">
        <x:f>IF(E298="Interest Rate",G298&amp;IF(OR(LOWER(AC298)="basis",LOWER(AC298)="volatility"),"_"&amp;AC298,""),IF(E298="FX",IF(H298&lt;I298,H298&amp;"/"&amp;I298,I298&amp;"/"&amp;H298)&amp;IF(OR(LOWER(AC298)="basis",LOWER(AC298)="volatility"),"_"&amp;AC298,""),IF(OR(E298="Credit",E298="Equity"),J298&amp;IF(OR(LOWER(AC298)="basis",LOWER(AC298)="volatility"),"_"&amp;AC298,""),IF(E298="Commodity",AG298&amp;IF(OR(LOWER(AC298)="basis",LOWER(AC298)="volatility"),"_"&amp;AC298,""),"UNKNOWN"))))</x:f>
        <x:v>EQUITY_INDEX_15</x:v>
      </x:c>
      <x:c r="AJ298" s="27" t="str">
        <x:f>T298</x:f>
        <x:v>M</x:v>
      </x:c>
      <x:c r="AK298" s="41" t="n">
        <x:f>IF(E298="Interest Rate",VLOOKUP("Interest Rate",Parameters!$D$4:$E$12,2,FALSE),IF(E298="FX",VLOOKUP("FX",Parameters!$D$4:$E$12,2,FALSE),IF(E298="Credit",IFERROR(VLOOKUP(L298,Parameters!$G$4:$H$12,2,FALSE),VLOOKUP("BBB",Parameters!$G$4:$H$12,2,FALSE)),IF(E298="Equity",VLOOKUP(IF(LOWER(K298)="index","Equity Index","Equity Single Name"),Parameters!$D$4:$E$12,2,FALSE),IF(E298="Commodity",VLOOKUP(IFERROR(VLOOKUP(F298,Parameters!$S$4:$T$12,2,FALSE),"Commodity Other"),Parameters!$D$4:$E$12,2,FALSE),0)))))</x:f>
        <x:v>0.2</x:v>
      </x:c>
      <x:c r="AL298" s="42" t="n">
        <x:f>IF(LOWER(AC298)="basis",Parameters!$B$8,IF(LOWER(AC298)="volatility",Parameters!$B$9,1))</x:f>
        <x:v>1</x:v>
      </x:c>
      <x:c r="AM298" s="41" t="n">
        <x:f>AK298*AL298</x:f>
        <x:v>0.2</x:v>
      </x:c>
      <x:c r="AN298" s="42" t="n">
        <x:f>IF(E298="Credit",VLOOKUP(IF(LOWER(K298)="index","Credit Index","Credit Single Name"),Parameters!$J$4:$K$8,2,FALSE),IF(E298="Equity",VLOOKUP(IF(LOWER(K298)="index","Equity Index","Equity Single Name"),Parameters!$J$4:$K$8,2,FALSE),IF(E298="Commodity",VLOOKUP("Commodity",Parameters!$J$4:$K$8,2,FALSE),"")))</x:f>
        <x:v>0.8</x:v>
      </x:c>
      <x:c r="AO298" s="27" t="n">
        <x:f>MAX((O298-M298)/365,0)</x:f>
        <x:v>0</x:v>
      </x:c>
      <x:c r="AP298" s="27" t="n">
        <x:f>MAX((P298-M298)/365,10/Parameters!$B$6)</x:f>
        <x:v>2.463013698630137</x:v>
      </x:c>
      <x:c r="AQ298" s="27" t="n">
        <x:f>IF(AP298&lt;=AO298,AO298+10/Parameters!$B$6,AP298)</x:f>
        <x:v>2.463013698630137</x:v>
      </x:c>
      <x:c r="AR298" s="41" t="n">
        <x:f>IF(OR(E298="Interest Rate",E298="Credit"),(EXP(-Parameters!$B$7*AO298)-EXP(-Parameters!$B$7*AQ298))/Parameters!$B$7,1)</x:f>
        <x:v>1</x:v>
      </x:c>
      <x:c r="AS298" s="40" t="n">
        <x:f>IF(OR(E298="Interest Rate",E298="Credit"),ABS(Q298)*AR298,IF(E298="FX",IF(Q298&gt;0,Q298,MAX(ABS(R298),ABS(S298),ABS(Q298))),ABS(Q298)))</x:f>
        <x:v>39000000</x:v>
      </x:c>
      <x:c r="AT298" s="42" t="n">
        <x:f>IF(OR(E298="Interest Rate",E298="FX"),VLOOKUP(E298,Parameters!$M$4:$N$11,2,FALSE),IF(E298="Credit",VLOOKUP(IF(LOWER(K298)="index","Credit Index","Credit Single Name"),Parameters!$M$4:$N$11,2,FALSE),IF(E298="Equity",VLOOKUP(IF(LOWER(K298)="index","Equity Index","Equity Single Name"),Parameters!$M$4:$N$11,2,FALSE),IF(E298="Commodity",VLOOKUP(IF(F298="Electricity","Commodity Electricity","Commodity Other"),Parameters!$M$4:$N$11,2,FALSE),1))))</x:f>
        <x:v>0.75</x:v>
      </x:c>
      <x:c r="AU298" s="27" t="n">
        <x:f>IF(W298="B",1,-1)</x:f>
        <x:v>1</x:v>
      </x:c>
      <x:c r="AV298" s="27" t="n">
        <x:f>IF(OR(AA298="",M298=""),MAX(AE298,1/365),MAX((AA298-M298)/365,1/365))</x:f>
        <x:v>1.8465753424657534</x:v>
      </x:c>
      <x:c r="AW298" s="41" t="n">
        <x:f>IF(OR(Z298&lt;=0,Y298&lt;=0,AT298&lt;=0,AV298&lt;=0),"",(LN(Z298/Y298)+0.5*AT298^2*AV298)/(AT298*SQRT(AV298)))</x:f>
        <x:v>0.34718092709346265</x:v>
      </x:c>
      <x:c r="AX298" s="41" t="n">
        <x:f>IF(AND(X298&lt;&gt;"C",X298&lt;&gt;"P"),AU298,IF(AW298="",AU298,IF(X298="C",AU298*0.5*(1+ERF(AW298/SQRT(2))),-AU298*0.5*(1+ERF(-AW298/SQRT(2))))))</x:f>
        <x:v>-0.36422769935676247</x:v>
      </x:c>
      <x:c r="AY298" s="41" t="n">
        <x:f>IF(AJ298="M",1.5*SQRT(MAX(IF(U298="Y",5,10),IF(V298="",10,V298))/Parameters!$B$6),SQRT(MIN(MAX(AE298,10/Parameters!$B$6),1)))</x:f>
        <x:v>0.30000000000000004</x:v>
      </x:c>
      <x:c r="AZ298" s="40" t="n">
        <x:f>AS298*AX298*AY298</x:f>
        <x:v>-4261464.082474121</x:v>
      </x:c>
      <x:c r="BA298" s="40" t="n">
        <x:f>'Python_Trade_Output'!AZ298</x:f>
        <x:v>-4261464.082474121</x:v>
      </x:c>
      <x:c r="BB298" s="43" t="n">
        <x:f>AZ298-BA298</x:f>
        <x:v>0</x:v>
      </x:c>
    </x:row>
    <x:row r="299">
      <x:c r="A299" s="27" t="str">
        <x:f>'Inputs_Trades'!D299</x:f>
        <x:v>IND-000296</x:v>
      </x:c>
      <x:c r="B299" s="27" t="str">
        <x:f>'Inputs_Trades'!B299</x:f>
        <x:v>IND_REGIONAL_BANK_001</x:v>
      </x:c>
      <x:c r="C299" s="27" t="n">
        <x:f>'Inputs_Trades'!C299</x:f>
        <x:v>3194</x:v>
      </x:c>
      <x:c r="D299" s="27" t="str">
        <x:f>'Inputs_Trades'!E299</x:f>
        <x:v>Equity Index Option</x:v>
      </x:c>
      <x:c r="E299" s="27" t="str">
        <x:f>'Inputs_Trades'!F299</x:f>
        <x:v>Equity</x:v>
      </x:c>
      <x:c r="F299" s="27" t="str">
        <x:f>'Inputs_Trades'!G299</x:f>
        <x:v>Index</x:v>
      </x:c>
      <x:c r="G299" s="27" t="str">
        <x:f>'Inputs_Trades'!J299</x:f>
        <x:v>USD</x:v>
      </x:c>
      <x:c r="H299" s="27" t="str">
        <x:f>'Inputs_Trades'!H299</x:f>
        <x:v>USD</x:v>
      </x:c>
      <x:c r="I299" s="27" t="n">
        <x:f>'Inputs_Trades'!I299</x:f>
        <x:v>0</x:v>
      </x:c>
      <x:c r="J299" s="27" t="str">
        <x:f>'Inputs_Trades'!M299</x:f>
        <x:v>EQUITY_INDEX_05</x:v>
      </x:c>
      <x:c r="K299" s="27" t="str">
        <x:f>'Inputs_Trades'!N299</x:f>
        <x:v>Index</x:v>
      </x:c>
      <x:c r="L299" s="27" t="n">
        <x:f>'Inputs_Trades'!O299</x:f>
        <x:v>0</x:v>
      </x:c>
      <x:c r="M299" s="39" t="n">
        <x:f>'Inputs_Trades'!A299</x:f>
        <x:v>45702</x:v>
      </x:c>
      <x:c r="N299" s="39" t="n">
        <x:f>'Inputs_Trades'!P299</x:f>
        <x:v>46181</x:v>
      </x:c>
      <x:c r="O299" s="39" t="n">
        <x:f>'Inputs_Trades'!Q299</x:f>
        <x:v>45257</x:v>
      </x:c>
      <x:c r="P299" s="39" t="n">
        <x:f>'Inputs_Trades'!R299</x:f>
        <x:v>46181</x:v>
      </x:c>
      <x:c r="Q299" s="40" t="n">
        <x:f>'Inputs_Trades'!U299</x:f>
        <x:v>48300000</x:v>
      </x:c>
      <x:c r="R299" s="40" t="n">
        <x:f>'Inputs_Trades'!S299</x:f>
        <x:v>48300000</x:v>
      </x:c>
      <x:c r="S299" s="40" t="n">
        <x:f>'Inputs_Trades'!T299</x:f>
        <x:v>0</x:v>
      </x:c>
      <x:c r="T299" s="27" t="str">
        <x:f>'Inputs_Trades'!V299</x:f>
        <x:v>M</x:v>
      </x:c>
      <x:c r="U299" s="27" t="str">
        <x:f>'Inputs_Trades'!W299</x:f>
        <x:v>N</x:v>
      </x:c>
      <x:c r="V299" s="27" t="n">
        <x:f>'Inputs_Trades'!X299</x:f>
        <x:v>10</x:v>
      </x:c>
      <x:c r="W299" s="27" t="str">
        <x:f>'Inputs_Trades'!Y299</x:f>
        <x:v>B</x:v>
      </x:c>
      <x:c r="X299" s="27" t="str">
        <x:f>'Inputs_Trades'!AA299</x:f>
        <x:v>C</x:v>
      </x:c>
      <x:c r="Y299" s="27" t="n">
        <x:f>'Inputs_Trades'!AB299</x:f>
        <x:v>111.625</x:v>
      </x:c>
      <x:c r="Z299" s="27" t="n">
        <x:f>'Inputs_Trades'!AC299</x:f>
        <x:v>125</x:v>
      </x:c>
      <x:c r="AA299" s="39" t="n">
        <x:f>'Inputs_Trades'!Z299</x:f>
        <x:v>46061</x:v>
      </x:c>
      <x:c r="AB299" s="40" t="n">
        <x:f>'Inputs_Trades'!AD299</x:f>
        <x:v>-136930.5</x:v>
      </x:c>
      <x:c r="AC299" s="27" t="n">
        <x:f>'Inputs_Trades'!K299</x:f>
        <x:v>0</x:v>
      </x:c>
      <x:c r="AD299" s="27" t="n">
        <x:f>N299-M299</x:f>
        <x:v>479</x:v>
      </x:c>
      <x:c r="AE299" s="41" t="n">
        <x:f>AD299/365</x:f>
        <x:v>1.3123287671232877</x:v>
      </x:c>
      <x:c r="AF299" s="27" t="str">
        <x:f>IF(AE299&lt;1,"&lt;1Y",IF(AE299&lt;=5,"1Y-5Y","&gt;5Y"))</x:f>
        <x:v>1Y-5Y</x:v>
      </x:c>
      <x:c r="AG299" s="27" t="str">
        <x:f>IF(E299="Commodity",IFERROR(VLOOKUP(F299,Parameters!$P$4:$Q$12,2,FALSE),"Other"),"")</x:f>
      </x:c>
      <x:c r="AH299" s="27" t="str">
        <x:f>IF(F299="","Unknown",F299)</x:f>
        <x:v>Index</x:v>
      </x:c>
      <x:c r="AI299" s="27" t="str">
        <x:f>IF(E299="Interest Rate",G299&amp;IF(OR(LOWER(AC299)="basis",LOWER(AC299)="volatility"),"_"&amp;AC299,""),IF(E299="FX",IF(H299&lt;I299,H299&amp;"/"&amp;I299,I299&amp;"/"&amp;H299)&amp;IF(OR(LOWER(AC299)="basis",LOWER(AC299)="volatility"),"_"&amp;AC299,""),IF(OR(E299="Credit",E299="Equity"),J299&amp;IF(OR(LOWER(AC299)="basis",LOWER(AC299)="volatility"),"_"&amp;AC299,""),IF(E299="Commodity",AG299&amp;IF(OR(LOWER(AC299)="basis",LOWER(AC299)="volatility"),"_"&amp;AC299,""),"UNKNOWN"))))</x:f>
        <x:v>EQUITY_INDEX_05</x:v>
      </x:c>
      <x:c r="AJ299" s="27" t="str">
        <x:f>T299</x:f>
        <x:v>M</x:v>
      </x:c>
      <x:c r="AK299" s="41" t="n">
        <x:f>IF(E299="Interest Rate",VLOOKUP("Interest Rate",Parameters!$D$4:$E$12,2,FALSE),IF(E299="FX",VLOOKUP("FX",Parameters!$D$4:$E$12,2,FALSE),IF(E299="Credit",IFERROR(VLOOKUP(L299,Parameters!$G$4:$H$12,2,FALSE),VLOOKUP("BBB",Parameters!$G$4:$H$12,2,FALSE)),IF(E299="Equity",VLOOKUP(IF(LOWER(K299)="index","Equity Index","Equity Single Name"),Parameters!$D$4:$E$12,2,FALSE),IF(E299="Commodity",VLOOKUP(IFERROR(VLOOKUP(F299,Parameters!$S$4:$T$12,2,FALSE),"Commodity Other"),Parameters!$D$4:$E$12,2,FALSE),0)))))</x:f>
        <x:v>0.2</x:v>
      </x:c>
      <x:c r="AL299" s="42" t="n">
        <x:f>IF(LOWER(AC299)="basis",Parameters!$B$8,IF(LOWER(AC299)="volatility",Parameters!$B$9,1))</x:f>
        <x:v>1</x:v>
      </x:c>
      <x:c r="AM299" s="41" t="n">
        <x:f>AK299*AL299</x:f>
        <x:v>0.2</x:v>
      </x:c>
      <x:c r="AN299" s="42" t="n">
        <x:f>IF(E299="Credit",VLOOKUP(IF(LOWER(K299)="index","Credit Index","Credit Single Name"),Parameters!$J$4:$K$8,2,FALSE),IF(E299="Equity",VLOOKUP(IF(LOWER(K299)="index","Equity Index","Equity Single Name"),Parameters!$J$4:$K$8,2,FALSE),IF(E299="Commodity",VLOOKUP("Commodity",Parameters!$J$4:$K$8,2,FALSE),"")))</x:f>
        <x:v>0.8</x:v>
      </x:c>
      <x:c r="AO299" s="27" t="n">
        <x:f>MAX((O299-M299)/365,0)</x:f>
        <x:v>0</x:v>
      </x:c>
      <x:c r="AP299" s="27" t="n">
        <x:f>MAX((P299-M299)/365,10/Parameters!$B$6)</x:f>
        <x:v>1.3123287671232877</x:v>
      </x:c>
      <x:c r="AQ299" s="27" t="n">
        <x:f>IF(AP299&lt;=AO299,AO299+10/Parameters!$B$6,AP299)</x:f>
        <x:v>1.3123287671232877</x:v>
      </x:c>
      <x:c r="AR299" s="41" t="n">
        <x:f>IF(OR(E299="Interest Rate",E299="Credit"),(EXP(-Parameters!$B$7*AO299)-EXP(-Parameters!$B$7*AQ299))/Parameters!$B$7,1)</x:f>
        <x:v>1</x:v>
      </x:c>
      <x:c r="AS299" s="40" t="n">
        <x:f>IF(OR(E299="Interest Rate",E299="Credit"),ABS(Q299)*AR299,IF(E299="FX",IF(Q299&gt;0,Q299,MAX(ABS(R299),ABS(S299),ABS(Q299))),ABS(Q299)))</x:f>
        <x:v>48300000</x:v>
      </x:c>
      <x:c r="AT299" s="42" t="n">
        <x:f>IF(OR(E299="Interest Rate",E299="FX"),VLOOKUP(E299,Parameters!$M$4:$N$11,2,FALSE),IF(E299="Credit",VLOOKUP(IF(LOWER(K299)="index","Credit Index","Credit Single Name"),Parameters!$M$4:$N$11,2,FALSE),IF(E299="Equity",VLOOKUP(IF(LOWER(K299)="index","Equity Index","Equity Single Name"),Parameters!$M$4:$N$11,2,FALSE),IF(E299="Commodity",VLOOKUP(IF(F299="Electricity","Commodity Electricity","Commodity Other"),Parameters!$M$4:$N$11,2,FALSE),1))))</x:f>
        <x:v>0.75</x:v>
      </x:c>
      <x:c r="AU299" s="27" t="n">
        <x:f>IF(W299="B",1,-1)</x:f>
        <x:v>1</x:v>
      </x:c>
      <x:c r="AV299" s="27" t="n">
        <x:f>IF(OR(AA299="",M299=""),MAX(AE299,1/365),MAX((AA299-M299)/365,1/365))</x:f>
        <x:v>0.9835616438356164</x:v>
      </x:c>
      <x:c r="AW299" s="41" t="n">
        <x:f>IF(OR(Z299&lt;=0,Y299&lt;=0,AT299&lt;=0,AV299&lt;=0),"",(LN(Z299/Y299)+0.5*AT299^2*AV299)/(AT299*SQRT(AV299)))</x:f>
        <x:v>0.5240523415821623</x:v>
      </x:c>
      <x:c r="AX299" s="41" t="n">
        <x:f>IF(AND(X299&lt;&gt;"C",X299&lt;&gt;"P"),AU299,IF(AW299="",AU299,IF(X299="C",AU299*0.5*(1+ERF(AW299/SQRT(2))),-AU299*0.5*(1+ERF(-AW299/SQRT(2))))))</x:f>
        <x:v>0.6998789324215098</x:v>
      </x:c>
      <x:c r="AY299" s="41" t="n">
        <x:f>IF(AJ299="M",1.5*SQRT(MAX(IF(U299="Y",5,10),IF(V299="",10,V299))/Parameters!$B$6),SQRT(MIN(MAX(AE299,10/Parameters!$B$6),1)))</x:f>
        <x:v>0.30000000000000004</x:v>
      </x:c>
      <x:c r="AZ299" s="40" t="n">
        <x:f>AS299*AX299*AY299</x:f>
        <x:v>10141245.730787678</x:v>
      </x:c>
      <x:c r="BA299" s="40" t="n">
        <x:f>'Python_Trade_Output'!AZ299</x:f>
        <x:v>10141245.730787678</x:v>
      </x:c>
      <x:c r="BB299" s="43" t="n">
        <x:f>AZ299-BA299</x:f>
        <x:v>0</x:v>
      </x:c>
    </x:row>
    <x:row r="300">
      <x:c r="A300" s="27" t="str">
        <x:f>'Inputs_Trades'!D300</x:f>
        <x:v>IND-000297</x:v>
      </x:c>
      <x:c r="B300" s="27" t="str">
        <x:f>'Inputs_Trades'!B300</x:f>
        <x:v>IND_INSURER_001</x:v>
      </x:c>
      <x:c r="C300" s="27" t="n">
        <x:f>'Inputs_Trades'!C300</x:f>
        <x:v>3390</x:v>
      </x:c>
      <x:c r="D300" s="27" t="str">
        <x:f>'Inputs_Trades'!E300</x:f>
        <x:v>Equity Index Option</x:v>
      </x:c>
      <x:c r="E300" s="27" t="str">
        <x:f>'Inputs_Trades'!F300</x:f>
        <x:v>Equity</x:v>
      </x:c>
      <x:c r="F300" s="27" t="str">
        <x:f>'Inputs_Trades'!G300</x:f>
        <x:v>Index</x:v>
      </x:c>
      <x:c r="G300" s="27" t="str">
        <x:f>'Inputs_Trades'!J300</x:f>
        <x:v>USD</x:v>
      </x:c>
      <x:c r="H300" s="27" t="str">
        <x:f>'Inputs_Trades'!H300</x:f>
        <x:v>USD</x:v>
      </x:c>
      <x:c r="I300" s="27" t="n">
        <x:f>'Inputs_Trades'!I300</x:f>
        <x:v>0</x:v>
      </x:c>
      <x:c r="J300" s="27" t="str">
        <x:f>'Inputs_Trades'!M300</x:f>
        <x:v>EQUITY_INDEX_25</x:v>
      </x:c>
      <x:c r="K300" s="27" t="str">
        <x:f>'Inputs_Trades'!N300</x:f>
        <x:v>Index</x:v>
      </x:c>
      <x:c r="L300" s="27" t="n">
        <x:f>'Inputs_Trades'!O300</x:f>
        <x:v>0</x:v>
      </x:c>
      <x:c r="M300" s="39" t="n">
        <x:f>'Inputs_Trades'!A300</x:f>
        <x:v>45702</x:v>
      </x:c>
      <x:c r="N300" s="39" t="n">
        <x:f>'Inputs_Trades'!P300</x:f>
        <x:v>46373</x:v>
      </x:c>
      <x:c r="O300" s="39" t="n">
        <x:f>'Inputs_Trades'!Q300</x:f>
        <x:v>45170</x:v>
      </x:c>
      <x:c r="P300" s="39" t="n">
        <x:f>'Inputs_Trades'!R300</x:f>
        <x:v>46373</x:v>
      </x:c>
      <x:c r="Q300" s="40" t="n">
        <x:f>'Inputs_Trades'!U300</x:f>
        <x:v>79400000</x:v>
      </x:c>
      <x:c r="R300" s="40" t="n">
        <x:f>'Inputs_Trades'!S300</x:f>
        <x:v>79400000</x:v>
      </x:c>
      <x:c r="S300" s="40" t="n">
        <x:f>'Inputs_Trades'!T300</x:f>
        <x:v>0</x:v>
      </x:c>
      <x:c r="T300" s="27" t="str">
        <x:f>'Inputs_Trades'!V300</x:f>
        <x:v>U</x:v>
      </x:c>
      <x:c r="U300" s="27" t="str">
        <x:f>'Inputs_Trades'!W300</x:f>
        <x:v>N</x:v>
      </x:c>
      <x:c r="V300" s="27" t="n">
        <x:f>'Inputs_Trades'!X300</x:f>
        <x:v>0</x:v>
      </x:c>
      <x:c r="W300" s="27" t="str">
        <x:f>'Inputs_Trades'!Y300</x:f>
        <x:v>S</x:v>
      </x:c>
      <x:c r="X300" s="27" t="str">
        <x:f>'Inputs_Trades'!AA300</x:f>
        <x:v>C</x:v>
      </x:c>
      <x:c r="Y300" s="27" t="n">
        <x:f>'Inputs_Trades'!AB300</x:f>
        <x:v>118.784</x:v>
      </x:c>
      <x:c r="Z300" s="27" t="n">
        <x:f>'Inputs_Trades'!AC300</x:f>
        <x:v>116</x:v>
      </x:c>
      <x:c r="AA300" s="39" t="n">
        <x:f>'Inputs_Trades'!Z300</x:f>
        <x:v>46205</x:v>
      </x:c>
      <x:c r="AB300" s="40" t="n">
        <x:f>'Inputs_Trades'!AD300</x:f>
        <x:v>3237138</x:v>
      </x:c>
      <x:c r="AC300" s="27" t="n">
        <x:f>'Inputs_Trades'!K300</x:f>
        <x:v>0</x:v>
      </x:c>
      <x:c r="AD300" s="27" t="n">
        <x:f>N300-M300</x:f>
        <x:v>671</x:v>
      </x:c>
      <x:c r="AE300" s="41" t="n">
        <x:f>AD300/365</x:f>
        <x:v>1.8383561643835618</x:v>
      </x:c>
      <x:c r="AF300" s="27" t="str">
        <x:f>IF(AE300&lt;1,"&lt;1Y",IF(AE300&lt;=5,"1Y-5Y","&gt;5Y"))</x:f>
        <x:v>1Y-5Y</x:v>
      </x:c>
      <x:c r="AG300" s="27" t="str">
        <x:f>IF(E300="Commodity",IFERROR(VLOOKUP(F300,Parameters!$P$4:$Q$12,2,FALSE),"Other"),"")</x:f>
      </x:c>
      <x:c r="AH300" s="27" t="str">
        <x:f>IF(F300="","Unknown",F300)</x:f>
        <x:v>Index</x:v>
      </x:c>
      <x:c r="AI300" s="27" t="str">
        <x:f>IF(E300="Interest Rate",G300&amp;IF(OR(LOWER(AC300)="basis",LOWER(AC300)="volatility"),"_"&amp;AC300,""),IF(E300="FX",IF(H300&lt;I300,H300&amp;"/"&amp;I300,I300&amp;"/"&amp;H300)&amp;IF(OR(LOWER(AC300)="basis",LOWER(AC300)="volatility"),"_"&amp;AC300,""),IF(OR(E300="Credit",E300="Equity"),J300&amp;IF(OR(LOWER(AC300)="basis",LOWER(AC300)="volatility"),"_"&amp;AC300,""),IF(E300="Commodity",AG300&amp;IF(OR(LOWER(AC300)="basis",LOWER(AC300)="volatility"),"_"&amp;AC300,""),"UNKNOWN"))))</x:f>
        <x:v>EQUITY_INDEX_25</x:v>
      </x:c>
      <x:c r="AJ300" s="27" t="str">
        <x:f>T300</x:f>
        <x:v>U</x:v>
      </x:c>
      <x:c r="AK300" s="41" t="n">
        <x:f>IF(E300="Interest Rate",VLOOKUP("Interest Rate",Parameters!$D$4:$E$12,2,FALSE),IF(E300="FX",VLOOKUP("FX",Parameters!$D$4:$E$12,2,FALSE),IF(E300="Credit",IFERROR(VLOOKUP(L300,Parameters!$G$4:$H$12,2,FALSE),VLOOKUP("BBB",Parameters!$G$4:$H$12,2,FALSE)),IF(E300="Equity",VLOOKUP(IF(LOWER(K300)="index","Equity Index","Equity Single Name"),Parameters!$D$4:$E$12,2,FALSE),IF(E300="Commodity",VLOOKUP(IFERROR(VLOOKUP(F300,Parameters!$S$4:$T$12,2,FALSE),"Commodity Other"),Parameters!$D$4:$E$12,2,FALSE),0)))))</x:f>
        <x:v>0.2</x:v>
      </x:c>
      <x:c r="AL300" s="42" t="n">
        <x:f>IF(LOWER(AC300)="basis",Parameters!$B$8,IF(LOWER(AC300)="volatility",Parameters!$B$9,1))</x:f>
        <x:v>1</x:v>
      </x:c>
      <x:c r="AM300" s="41" t="n">
        <x:f>AK300*AL300</x:f>
        <x:v>0.2</x:v>
      </x:c>
      <x:c r="AN300" s="42" t="n">
        <x:f>IF(E300="Credit",VLOOKUP(IF(LOWER(K300)="index","Credit Index","Credit Single Name"),Parameters!$J$4:$K$8,2,FALSE),IF(E300="Equity",VLOOKUP(IF(LOWER(K300)="index","Equity Index","Equity Single Name"),Parameters!$J$4:$K$8,2,FALSE),IF(E300="Commodity",VLOOKUP("Commodity",Parameters!$J$4:$K$8,2,FALSE),"")))</x:f>
        <x:v>0.8</x:v>
      </x:c>
      <x:c r="AO300" s="27" t="n">
        <x:f>MAX((O300-M300)/365,0)</x:f>
        <x:v>0</x:v>
      </x:c>
      <x:c r="AP300" s="27" t="n">
        <x:f>MAX((P300-M300)/365,10/Parameters!$B$6)</x:f>
        <x:v>1.8383561643835618</x:v>
      </x:c>
      <x:c r="AQ300" s="27" t="n">
        <x:f>IF(AP300&lt;=AO300,AO300+10/Parameters!$B$6,AP300)</x:f>
        <x:v>1.8383561643835618</x:v>
      </x:c>
      <x:c r="AR300" s="41" t="n">
        <x:f>IF(OR(E300="Interest Rate",E300="Credit"),(EXP(-Parameters!$B$7*AO300)-EXP(-Parameters!$B$7*AQ300))/Parameters!$B$7,1)</x:f>
        <x:v>1</x:v>
      </x:c>
      <x:c r="AS300" s="40" t="n">
        <x:f>IF(OR(E300="Interest Rate",E300="Credit"),ABS(Q300)*AR300,IF(E300="FX",IF(Q300&gt;0,Q300,MAX(ABS(R300),ABS(S300),ABS(Q300))),ABS(Q300)))</x:f>
        <x:v>79400000</x:v>
      </x:c>
      <x:c r="AT300" s="42" t="n">
        <x:f>IF(OR(E300="Interest Rate",E300="FX"),VLOOKUP(E300,Parameters!$M$4:$N$11,2,FALSE),IF(E300="Credit",VLOOKUP(IF(LOWER(K300)="index","Credit Index","Credit Single Name"),Parameters!$M$4:$N$11,2,FALSE),IF(E300="Equity",VLOOKUP(IF(LOWER(K300)="index","Equity Index","Equity Single Name"),Parameters!$M$4:$N$11,2,FALSE),IF(E300="Commodity",VLOOKUP(IF(F300="Electricity","Commodity Electricity","Commodity Other"),Parameters!$M$4:$N$11,2,FALSE),1))))</x:f>
        <x:v>0.75</x:v>
      </x:c>
      <x:c r="AU300" s="27" t="n">
        <x:f>IF(W300="B",1,-1)</x:f>
        <x:v>-1</x:v>
      </x:c>
      <x:c r="AV300" s="27" t="n">
        <x:f>IF(OR(AA300="",M300=""),MAX(AE300,1/365),MAX((AA300-M300)/365,1/365))</x:f>
        <x:v>1.378082191780822</x:v>
      </x:c>
      <x:c r="AW300" s="41" t="n">
        <x:f>IF(OR(Z300&lt;=0,Y300&lt;=0,AT300&lt;=0,AV300&lt;=0),"",(LN(Z300/Y300)+0.5*AT300^2*AV300)/(AT300*SQRT(AV300)))</x:f>
        <x:v>0.41328185746898116</x:v>
      </x:c>
      <x:c r="AX300" s="41" t="n">
        <x:f>IF(AND(X300&lt;&gt;"C",X300&lt;&gt;"P"),AU300,IF(AW300="",AU300,IF(X300="C",AU300*0.5*(1+ERF(AW300/SQRT(2))),-AU300*0.5*(1+ERF(-AW300/SQRT(2))))))</x:f>
        <x:v>-0.6602999397273812</x:v>
      </x:c>
      <x:c r="AY300" s="41" t="n">
        <x:f>IF(AJ300="M",1.5*SQRT(MAX(IF(U300="Y",5,10),IF(V300="",10,V300))/Parameters!$B$6),SQRT(MIN(MAX(AE300,10/Parameters!$B$6),1)))</x:f>
        <x:v>1</x:v>
      </x:c>
      <x:c r="AZ300" s="40" t="n">
        <x:f>AS300*AX300*AY300</x:f>
        <x:v>-52427815.21435407</x:v>
      </x:c>
      <x:c r="BA300" s="40" t="n">
        <x:f>'Python_Trade_Output'!AZ300</x:f>
        <x:v>-52427815.21435407</x:v>
      </x:c>
      <x:c r="BB300" s="43" t="n">
        <x:f>AZ300-BA300</x:f>
        <x:v>0</x:v>
      </x:c>
    </x:row>
    <x:row r="301">
      <x:c r="A301" s="27" t="str">
        <x:f>'Inputs_Trades'!D301</x:f>
        <x:v>IND-000298</x:v>
      </x:c>
      <x:c r="B301" s="27" t="str">
        <x:f>'Inputs_Trades'!B301</x:f>
        <x:v>IND_BANK_002</x:v>
      </x:c>
      <x:c r="C301" s="27" t="n">
        <x:f>'Inputs_Trades'!C301</x:f>
        <x:v>3386</x:v>
      </x:c>
      <x:c r="D301" s="27" t="str">
        <x:f>'Inputs_Trades'!E301</x:f>
        <x:v>Equity Index Option</x:v>
      </x:c>
      <x:c r="E301" s="27" t="str">
        <x:f>'Inputs_Trades'!F301</x:f>
        <x:v>Equity</x:v>
      </x:c>
      <x:c r="F301" s="27" t="str">
        <x:f>'Inputs_Trades'!G301</x:f>
        <x:v>Index</x:v>
      </x:c>
      <x:c r="G301" s="27" t="str">
        <x:f>'Inputs_Trades'!J301</x:f>
        <x:v>USD</x:v>
      </x:c>
      <x:c r="H301" s="27" t="str">
        <x:f>'Inputs_Trades'!H301</x:f>
        <x:v>USD</x:v>
      </x:c>
      <x:c r="I301" s="27" t="n">
        <x:f>'Inputs_Trades'!I301</x:f>
        <x:v>0</x:v>
      </x:c>
      <x:c r="J301" s="27" t="str">
        <x:f>'Inputs_Trades'!M301</x:f>
        <x:v>EQUITY_INDEX_01</x:v>
      </x:c>
      <x:c r="K301" s="27" t="str">
        <x:f>'Inputs_Trades'!N301</x:f>
        <x:v>Index</x:v>
      </x:c>
      <x:c r="L301" s="27" t="n">
        <x:f>'Inputs_Trades'!O301</x:f>
        <x:v>0</x:v>
      </x:c>
      <x:c r="M301" s="39" t="n">
        <x:f>'Inputs_Trades'!A301</x:f>
        <x:v>45702</x:v>
      </x:c>
      <x:c r="N301" s="39" t="n">
        <x:f>'Inputs_Trades'!P301</x:f>
        <x:v>47370</x:v>
      </x:c>
      <x:c r="O301" s="39" t="n">
        <x:f>'Inputs_Trades'!Q301</x:f>
        <x:v>45520</x:v>
      </x:c>
      <x:c r="P301" s="39" t="n">
        <x:f>'Inputs_Trades'!R301</x:f>
        <x:v>47370</x:v>
      </x:c>
      <x:c r="Q301" s="40" t="n">
        <x:f>'Inputs_Trades'!U301</x:f>
        <x:v>12800000</x:v>
      </x:c>
      <x:c r="R301" s="40" t="n">
        <x:f>'Inputs_Trades'!S301</x:f>
        <x:v>12800000</x:v>
      </x:c>
      <x:c r="S301" s="40" t="n">
        <x:f>'Inputs_Trades'!T301</x:f>
        <x:v>0</x:v>
      </x:c>
      <x:c r="T301" s="27" t="str">
        <x:f>'Inputs_Trades'!V301</x:f>
        <x:v>M</x:v>
      </x:c>
      <x:c r="U301" s="27" t="str">
        <x:f>'Inputs_Trades'!W301</x:f>
        <x:v>N</x:v>
      </x:c>
      <x:c r="V301" s="27" t="n">
        <x:f>'Inputs_Trades'!X301</x:f>
        <x:v>10</x:v>
      </x:c>
      <x:c r="W301" s="27" t="str">
        <x:f>'Inputs_Trades'!Y301</x:f>
        <x:v>B</x:v>
      </x:c>
      <x:c r="X301" s="27" t="str">
        <x:f>'Inputs_Trades'!AA301</x:f>
        <x:v>C</x:v>
      </x:c>
      <x:c r="Y301" s="27" t="n">
        <x:f>'Inputs_Trades'!AB301</x:f>
        <x:v>97.328</x:v>
      </x:c>
      <x:c r="Z301" s="27" t="n">
        <x:f>'Inputs_Trades'!AC301</x:f>
        <x:v>112</x:v>
      </x:c>
      <x:c r="AA301" s="39" t="n">
        <x:f>'Inputs_Trades'!Z301</x:f>
        <x:v>46953</x:v>
      </x:c>
      <x:c r="AB301" s="40" t="n">
        <x:f>'Inputs_Trades'!AD301</x:f>
        <x:v>-511488</x:v>
      </x:c>
      <x:c r="AC301" s="27" t="n">
        <x:f>'Inputs_Trades'!K301</x:f>
        <x:v>0</x:v>
      </x:c>
      <x:c r="AD301" s="27" t="n">
        <x:f>N301-M301</x:f>
        <x:v>1668</x:v>
      </x:c>
      <x:c r="AE301" s="41" t="n">
        <x:f>AD301/365</x:f>
        <x:v>4.5698630136986305</x:v>
      </x:c>
      <x:c r="AF301" s="27" t="str">
        <x:f>IF(AE301&lt;1,"&lt;1Y",IF(AE301&lt;=5,"1Y-5Y","&gt;5Y"))</x:f>
        <x:v>1Y-5Y</x:v>
      </x:c>
      <x:c r="AG301" s="27" t="str">
        <x:f>IF(E301="Commodity",IFERROR(VLOOKUP(F301,Parameters!$P$4:$Q$12,2,FALSE),"Other"),"")</x:f>
      </x:c>
      <x:c r="AH301" s="27" t="str">
        <x:f>IF(F301="","Unknown",F301)</x:f>
        <x:v>Index</x:v>
      </x:c>
      <x:c r="AI301" s="27" t="str">
        <x:f>IF(E301="Interest Rate",G301&amp;IF(OR(LOWER(AC301)="basis",LOWER(AC301)="volatility"),"_"&amp;AC301,""),IF(E301="FX",IF(H301&lt;I301,H301&amp;"/"&amp;I301,I301&amp;"/"&amp;H301)&amp;IF(OR(LOWER(AC301)="basis",LOWER(AC301)="volatility"),"_"&amp;AC301,""),IF(OR(E301="Credit",E301="Equity"),J301&amp;IF(OR(LOWER(AC301)="basis",LOWER(AC301)="volatility"),"_"&amp;AC301,""),IF(E301="Commodity",AG301&amp;IF(OR(LOWER(AC301)="basis",LOWER(AC301)="volatility"),"_"&amp;AC301,""),"UNKNOWN"))))</x:f>
        <x:v>EQUITY_INDEX_01</x:v>
      </x:c>
      <x:c r="AJ301" s="27" t="str">
        <x:f>T301</x:f>
        <x:v>M</x:v>
      </x:c>
      <x:c r="AK301" s="41" t="n">
        <x:f>IF(E301="Interest Rate",VLOOKUP("Interest Rate",Parameters!$D$4:$E$12,2,FALSE),IF(E301="FX",VLOOKUP("FX",Parameters!$D$4:$E$12,2,FALSE),IF(E301="Credit",IFERROR(VLOOKUP(L301,Parameters!$G$4:$H$12,2,FALSE),VLOOKUP("BBB",Parameters!$G$4:$H$12,2,FALSE)),IF(E301="Equity",VLOOKUP(IF(LOWER(K301)="index","Equity Index","Equity Single Name"),Parameters!$D$4:$E$12,2,FALSE),IF(E301="Commodity",VLOOKUP(IFERROR(VLOOKUP(F301,Parameters!$S$4:$T$12,2,FALSE),"Commodity Other"),Parameters!$D$4:$E$12,2,FALSE),0)))))</x:f>
        <x:v>0.2</x:v>
      </x:c>
      <x:c r="AL301" s="42" t="n">
        <x:f>IF(LOWER(AC301)="basis",Parameters!$B$8,IF(LOWER(AC301)="volatility",Parameters!$B$9,1))</x:f>
        <x:v>1</x:v>
      </x:c>
      <x:c r="AM301" s="41" t="n">
        <x:f>AK301*AL301</x:f>
        <x:v>0.2</x:v>
      </x:c>
      <x:c r="AN301" s="42" t="n">
        <x:f>IF(E301="Credit",VLOOKUP(IF(LOWER(K301)="index","Credit Index","Credit Single Name"),Parameters!$J$4:$K$8,2,FALSE),IF(E301="Equity",VLOOKUP(IF(LOWER(K301)="index","Equity Index","Equity Single Name"),Parameters!$J$4:$K$8,2,FALSE),IF(E301="Commodity",VLOOKUP("Commodity",Parameters!$J$4:$K$8,2,FALSE),"")))</x:f>
        <x:v>0.8</x:v>
      </x:c>
      <x:c r="AO301" s="27" t="n">
        <x:f>MAX((O301-M301)/365,0)</x:f>
        <x:v>0</x:v>
      </x:c>
      <x:c r="AP301" s="27" t="n">
        <x:f>MAX((P301-M301)/365,10/Parameters!$B$6)</x:f>
        <x:v>4.5698630136986305</x:v>
      </x:c>
      <x:c r="AQ301" s="27" t="n">
        <x:f>IF(AP301&lt;=AO301,AO301+10/Parameters!$B$6,AP301)</x:f>
        <x:v>4.5698630136986305</x:v>
      </x:c>
      <x:c r="AR301" s="41" t="n">
        <x:f>IF(OR(E301="Interest Rate",E301="Credit"),(EXP(-Parameters!$B$7*AO301)-EXP(-Parameters!$B$7*AQ301))/Parameters!$B$7,1)</x:f>
        <x:v>1</x:v>
      </x:c>
      <x:c r="AS301" s="40" t="n">
        <x:f>IF(OR(E301="Interest Rate",E301="Credit"),ABS(Q301)*AR301,IF(E301="FX",IF(Q301&gt;0,Q301,MAX(ABS(R301),ABS(S301),ABS(Q301))),ABS(Q301)))</x:f>
        <x:v>12800000</x:v>
      </x:c>
      <x:c r="AT301" s="42" t="n">
        <x:f>IF(OR(E301="Interest Rate",E301="FX"),VLOOKUP(E301,Parameters!$M$4:$N$11,2,FALSE),IF(E301="Credit",VLOOKUP(IF(LOWER(K301)="index","Credit Index","Credit Single Name"),Parameters!$M$4:$N$11,2,FALSE),IF(E301="Equity",VLOOKUP(IF(LOWER(K301)="index","Equity Index","Equity Single Name"),Parameters!$M$4:$N$11,2,FALSE),IF(E301="Commodity",VLOOKUP(IF(F301="Electricity","Commodity Electricity","Commodity Other"),Parameters!$M$4:$N$11,2,FALSE),1))))</x:f>
        <x:v>0.75</x:v>
      </x:c>
      <x:c r="AU301" s="27" t="n">
        <x:f>IF(W301="B",1,-1)</x:f>
        <x:v>1</x:v>
      </x:c>
      <x:c r="AV301" s="27" t="n">
        <x:f>IF(OR(AA301="",M301=""),MAX(AE301,1/365),MAX((AA301-M301)/365,1/365))</x:f>
        <x:v>3.4273972602739726</x:v>
      </x:c>
      <x:c r="AW301" s="41" t="n">
        <x:f>IF(OR(Z301&lt;=0,Y301&lt;=0,AT301&lt;=0,AV301&lt;=0),"",(LN(Z301/Y301)+0.5*AT301^2*AV301)/(AT301*SQRT(AV301)))</x:f>
        <x:v>0.7953717906045643</x:v>
      </x:c>
      <x:c r="AX301" s="41" t="n">
        <x:f>IF(AND(X301&lt;&gt;"C",X301&lt;&gt;"P"),AU301,IF(AW301="",AU301,IF(X301="C",AU301*0.5*(1+ERF(AW301/SQRT(2))),-AU301*0.5*(1+ERF(-AW301/SQRT(2))))))</x:f>
        <x:v>0.7868013678693943</x:v>
      </x:c>
      <x:c r="AY301" s="41" t="n">
        <x:f>IF(AJ301="M",1.5*SQRT(MAX(IF(U301="Y",5,10),IF(V301="",10,V301))/Parameters!$B$6),SQRT(MIN(MAX(AE301,10/Parameters!$B$6),1)))</x:f>
        <x:v>0.30000000000000004</x:v>
      </x:c>
      <x:c r="AZ301" s="40" t="n">
        <x:f>AS301*AX301*AY301</x:f>
        <x:v>3021317.2526184744</x:v>
      </x:c>
      <x:c r="BA301" s="40" t="n">
        <x:f>'Python_Trade_Output'!AZ301</x:f>
        <x:v>3021317.252618474</x:v>
      </x:c>
      <x:c r="BB301" s="43" t="n">
        <x:f>AZ301-BA301</x:f>
        <x:v>4.656612873077393e-10</x:v>
      </x:c>
    </x:row>
  </x:sheetData>
  <x:mergeCells>
    <x:mergeCell ref="A1:BB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</x:cols>
  <x:sheetData>
    <x:row r="1" ht="22.5" customHeight="1">
      <x:c r="A1" s="26" t="str">
        <x:v>Credit / Equity Entity Correlation Helper</x:v>
      </x:c>
      <x:c r="B1" s="26" t="str">
        <x:v>Credit / Equity Entity Correlation Helper</x:v>
      </x:c>
      <x:c r="C1" s="26" t="str">
        <x:v>Credit / Equity Entity Correlation Helper</x:v>
      </x:c>
      <x:c r="D1" s="26" t="str">
        <x:v>Credit / Equity Entity Correlation Helper</x:v>
      </x:c>
      <x:c r="E1" s="26" t="str">
        <x:v>Credit / Equity Entity Correlation Helper</x:v>
      </x:c>
      <x:c r="F1" s="26" t="str">
        <x:v>Credit / Equity Entity Correlation Helper</x:v>
      </x:c>
      <x:c r="G1" s="26" t="str">
        <x:v>Credit / Equity Entity Correlation Helper</x:v>
      </x:c>
      <x:c r="H1" s="26" t="str">
        <x:v>Credit / Equity Entity Correlation Helper</x:v>
      </x:c>
      <x:c r="I1" s="26" t="str">
        <x:v>Credit / Equity Entity Correlation Helper</x:v>
      </x:c>
      <x:c r="J1" s="26" t="str">
        <x:v>Credit / Equity Entity Correlation Helper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</x:row>
    <x:row r="3">
      <x:c r="A3" s="28" t="str">
        <x:v>Counterparty ID</x:v>
      </x:c>
      <x:c r="B3" s="28" t="str">
        <x:v>Netting Set ID</x:v>
      </x:c>
      <x:c r="C3" s="28" t="str">
        <x:v>Asset Class</x:v>
      </x:c>
      <x:c r="D3" s="28" t="str">
        <x:v>Hedging Set</x:v>
      </x:c>
      <x:c r="E3" s="28" t="str">
        <x:v>Effective Notional</x:v>
      </x:c>
      <x:c r="F3" s="28" t="str">
        <x:v>Supervisory Factor</x:v>
      </x:c>
      <x:c r="G3" s="28" t="str">
        <x:v>Correlation</x:v>
      </x:c>
      <x:c r="H3" s="28" t="str">
        <x:v>Entity AddOn</x:v>
      </x:c>
      <x:c r="I3" s="28" t="str">
        <x:v>Systematic Component</x:v>
      </x:c>
      <x:c r="J3" s="28" t="str">
        <x:v>Idiosyncratic Component</x:v>
      </x:c>
    </x:row>
    <x:row r="4">
      <x:c r="A4" s="27" t="str">
        <x:v>IND_REGIONAL_BANK_001</x:v>
      </x:c>
      <x:c r="B4" s="27" t="str">
        <x:v>3161</x:v>
      </x:c>
      <x:c r="C4" s="27" t="str">
        <x:v>Credit</x:v>
      </x:c>
      <x:c r="D4" s="27" t="str">
        <x:v>CREDIT_INDEX_29</x:v>
      </x:c>
      <x:c r="E4" s="40" t="n">
        <x:f>SUMIFS(Trade_Calc!$AZ$4:$AZ$301,Trade_Calc!$B$4:$B$301,A4,Trade_Calc!$C$4:$C$301,B4,Trade_Calc!$E$4:$E$301,C4,Trade_Calc!$AI$4:$AI$301,D4)</x:f>
        <x:v>70259349.40420032</x:v>
      </x:c>
      <x:c r="F4" s="41" t="n">
        <x:f>AVERAGEIFS(Trade_Calc!$AM$4:$AM$301,Trade_Calc!$B$4:$B$301,A4,Trade_Calc!$C$4:$C$301,B4,Trade_Calc!$E$4:$E$301,C4,Trade_Calc!$AI$4:$AI$301,D4)</x:f>
        <x:v>0.016</x:v>
      </x:c>
      <x:c r="G4" s="42" t="n">
        <x:v>0.5</x:v>
      </x:c>
      <x:c r="H4" s="40" t="n">
        <x:f>E4*F4</x:f>
        <x:v>1124149.590467205</x:v>
      </x:c>
      <x:c r="I4" s="40" t="n">
        <x:f>G4*H4</x:f>
        <x:v>562074.7952336025</x:v>
      </x:c>
      <x:c r="J4" s="40" t="n">
        <x:f>(1-G4^2)*H4^2</x:f>
        <x:v>947784226310.6885</x:v>
      </x:c>
    </x:row>
    <x:row r="5">
      <x:c r="A5" s="27" t="str">
        <x:v>IND_BANK_002</x:v>
      </x:c>
      <x:c r="B5" s="27" t="str">
        <x:v>3341</x:v>
      </x:c>
      <x:c r="C5" s="27" t="str">
        <x:v>Credit</x:v>
      </x:c>
      <x:c r="D5" s="27" t="str">
        <x:v>CREDIT_INDEX_13</x:v>
      </x:c>
      <x:c r="E5" s="40" t="n">
        <x:f>SUMIFS(Trade_Calc!$AZ$4:$AZ$301,Trade_Calc!$B$4:$B$301,A5,Trade_Calc!$C$4:$C$301,B5,Trade_Calc!$E$4:$E$301,C5,Trade_Calc!$AI$4:$AI$301,D5)</x:f>
        <x:v>93790352.9848245</x:v>
      </x:c>
      <x:c r="F5" s="41" t="n">
        <x:f>AVERAGEIFS(Trade_Calc!$AM$4:$AM$301,Trade_Calc!$B$4:$B$301,A5,Trade_Calc!$C$4:$C$301,B5,Trade_Calc!$E$4:$E$301,C5,Trade_Calc!$AI$4:$AI$301,D5)</x:f>
        <x:v>0.0038</x:v>
      </x:c>
      <x:c r="G5" s="42" t="n">
        <x:v>0.5</x:v>
      </x:c>
      <x:c r="H5" s="40" t="n">
        <x:f>E5*F5</x:f>
        <x:v>356403.34134233306</x:v>
      </x:c>
      <x:c r="I5" s="40" t="n">
        <x:f>G5*H5</x:f>
        <x:v>178201.67067116653</x:v>
      </x:c>
      <x:c r="J5" s="40" t="n">
        <x:f>(1-G5^2)*H5^2</x:f>
        <x:v>95267506289.98468</x:v>
      </x:c>
    </x:row>
    <x:row r="6">
      <x:c r="A6" s="27" t="str">
        <x:v>IND_INSURER_001</x:v>
      </x:c>
      <x:c r="B6" s="27" t="str">
        <x:v>3338</x:v>
      </x:c>
      <x:c r="C6" s="27" t="str">
        <x:v>Credit</x:v>
      </x:c>
      <x:c r="D6" s="27" t="str">
        <x:v>CREDIT_INDEX_01</x:v>
      </x:c>
      <x:c r="E6" s="40" t="n">
        <x:f>SUMIFS(Trade_Calc!$AZ$4:$AZ$301,Trade_Calc!$B$4:$B$301,A6,Trade_Calc!$C$4:$C$301,B6,Trade_Calc!$E$4:$E$301,C6,Trade_Calc!$AI$4:$AI$301,D6)</x:f>
        <x:v>63317487.92049878</x:v>
      </x:c>
      <x:c r="F6" s="41" t="n">
        <x:f>AVERAGEIFS(Trade_Calc!$AM$4:$AM$301,Trade_Calc!$B$4:$B$301,A6,Trade_Calc!$C$4:$C$301,B6,Trade_Calc!$E$4:$E$301,C6,Trade_Calc!$AI$4:$AI$301,D6)</x:f>
        <x:v>0.0038</x:v>
      </x:c>
      <x:c r="G6" s="42" t="n">
        <x:v>0.5</x:v>
      </x:c>
      <x:c r="H6" s="40" t="n">
        <x:f>E6*F6</x:f>
        <x:v>240606.45409789536</x:v>
      </x:c>
      <x:c r="I6" s="40" t="n">
        <x:f>G6*H6</x:f>
        <x:v>120303.22704894768</x:v>
      </x:c>
      <x:c r="J6" s="40" t="n">
        <x:f>(1-G6^2)*H6^2</x:f>
        <x:v>43418599315.171974</x:v>
      </x:c>
    </x:row>
    <x:row r="7">
      <x:c r="A7" s="27" t="str">
        <x:v>IND_ASSET_MANAGER_001</x:v>
      </x:c>
      <x:c r="B7" s="27" t="str">
        <x:v>3277</x:v>
      </x:c>
      <x:c r="C7" s="27" t="str">
        <x:v>Credit</x:v>
      </x:c>
      <x:c r="D7" s="27" t="str">
        <x:v>CREDIT_INDEX_21</x:v>
      </x:c>
      <x:c r="E7" s="40" t="n">
        <x:f>SUMIFS(Trade_Calc!$AZ$4:$AZ$301,Trade_Calc!$B$4:$B$301,A7,Trade_Calc!$C$4:$C$301,B7,Trade_Calc!$E$4:$E$301,C7,Trade_Calc!$AI$4:$AI$301,D7)</x:f>
        <x:v>-189720956.016822</x:v>
      </x:c>
      <x:c r="F7" s="41" t="n">
        <x:f>AVERAGEIFS(Trade_Calc!$AM$4:$AM$301,Trade_Calc!$B$4:$B$301,A7,Trade_Calc!$C$4:$C$301,B7,Trade_Calc!$E$4:$E$301,C7,Trade_Calc!$AI$4:$AI$301,D7)</x:f>
        <x:v>0.0054</x:v>
      </x:c>
      <x:c r="G7" s="42" t="n">
        <x:v>0.5</x:v>
      </x:c>
      <x:c r="H7" s="40" t="n">
        <x:f>E7*F7</x:f>
        <x:v>-1024493.1624908389</x:v>
      </x:c>
      <x:c r="I7" s="40" t="n">
        <x:f>G7*H7</x:f>
        <x:v>-512246.58124541945</x:v>
      </x:c>
      <x:c r="J7" s="40" t="n">
        <x:f>(1-G7^2)*H7^2</x:f>
        <x:v>787189679992.8604</x:v>
      </x:c>
    </x:row>
    <x:row r="8">
      <x:c r="A8" s="27" t="str">
        <x:v>IND_PENSION_001</x:v>
      </x:c>
      <x:c r="B8" s="27" t="str">
        <x:v>3242</x:v>
      </x:c>
      <x:c r="C8" s="27" t="str">
        <x:v>Credit</x:v>
      </x:c>
      <x:c r="D8" s="27" t="str">
        <x:v>CREDIT_INDEX_21</x:v>
      </x:c>
      <x:c r="E8" s="40" t="n">
        <x:f>SUMIFS(Trade_Calc!$AZ$4:$AZ$301,Trade_Calc!$B$4:$B$301,A8,Trade_Calc!$C$4:$C$301,B8,Trade_Calc!$E$4:$E$301,C8,Trade_Calc!$AI$4:$AI$301,D8)</x:f>
        <x:v>24432191.93066174</x:v>
      </x:c>
      <x:c r="F8" s="41" t="n">
        <x:f>AVERAGEIFS(Trade_Calc!$AM$4:$AM$301,Trade_Calc!$B$4:$B$301,A8,Trade_Calc!$C$4:$C$301,B8,Trade_Calc!$E$4:$E$301,C8,Trade_Calc!$AI$4:$AI$301,D8)</x:f>
        <x:v>0.0054</x:v>
      </x:c>
      <x:c r="G8" s="42" t="n">
        <x:v>0.5</x:v>
      </x:c>
      <x:c r="H8" s="40" t="n">
        <x:f>E8*F8</x:f>
        <x:v>131933.83642557342</x:v>
      </x:c>
      <x:c r="I8" s="40" t="n">
        <x:f>G8*H8</x:f>
        <x:v>65966.91821278671</x:v>
      </x:c>
      <x:c r="J8" s="40" t="n">
        <x:f>(1-G8^2)*H8^2</x:f>
        <x:v>13054902895.477472</x:v>
      </x:c>
    </x:row>
    <x:row r="9">
      <x:c r="A9" s="27" t="str">
        <x:v>IND_HEDGE_FUND_001</x:v>
      </x:c>
      <x:c r="B9" s="27" t="str">
        <x:v>3289</x:v>
      </x:c>
      <x:c r="C9" s="27" t="str">
        <x:v>Credit</x:v>
      </x:c>
      <x:c r="D9" s="27" t="str">
        <x:v>CREDIT_NAME_16</x:v>
      </x:c>
      <x:c r="E9" s="40" t="n">
        <x:f>SUMIFS(Trade_Calc!$AZ$4:$AZ$301,Trade_Calc!$B$4:$B$301,A9,Trade_Calc!$C$4:$C$301,B9,Trade_Calc!$E$4:$E$301,C9,Trade_Calc!$AI$4:$AI$301,D9)</x:f>
        <x:v>-53721535.033433914</x:v>
      </x:c>
      <x:c r="F9" s="41" t="n">
        <x:f>AVERAGEIFS(Trade_Calc!$AM$4:$AM$301,Trade_Calc!$B$4:$B$301,A9,Trade_Calc!$C$4:$C$301,B9,Trade_Calc!$E$4:$E$301,C9,Trade_Calc!$AI$4:$AI$301,D9)</x:f>
        <x:v>0.0106</x:v>
      </x:c>
      <x:c r="G9" s="42" t="n">
        <x:v>0.5</x:v>
      </x:c>
      <x:c r="H9" s="40" t="n">
        <x:f>E9*F9</x:f>
        <x:v>-569448.2713543995</x:v>
      </x:c>
      <x:c r="I9" s="40" t="n">
        <x:f>G9*H9</x:f>
        <x:v>-284724.13567719975</x:v>
      </x:c>
      <x:c r="J9" s="40" t="n">
        <x:f>(1-G9^2)*H9^2</x:f>
        <x:v>243203500311.38535</x:v>
      </x:c>
    </x:row>
    <x:row r="10">
      <x:c r="A10" s="27" t="str">
        <x:v>IND_CLEARING_MEMBER_001</x:v>
      </x:c>
      <x:c r="B10" s="27" t="str">
        <x:v>3116</x:v>
      </x:c>
      <x:c r="C10" s="27" t="str">
        <x:v>Credit</x:v>
      </x:c>
      <x:c r="D10" s="27" t="str">
        <x:v>CREDIT_NAME_16</x:v>
      </x:c>
      <x:c r="E10" s="40" t="n">
        <x:f>SUMIFS(Trade_Calc!$AZ$4:$AZ$301,Trade_Calc!$B$4:$B$301,A10,Trade_Calc!$C$4:$C$301,B10,Trade_Calc!$E$4:$E$301,C10,Trade_Calc!$AI$4:$AI$301,D10)</x:f>
        <x:v>-86615937.48625618</x:v>
      </x:c>
      <x:c r="F10" s="41" t="n">
        <x:f>AVERAGEIFS(Trade_Calc!$AM$4:$AM$301,Trade_Calc!$B$4:$B$301,A10,Trade_Calc!$C$4:$C$301,B10,Trade_Calc!$E$4:$E$301,C10,Trade_Calc!$AI$4:$AI$301,D10)</x:f>
        <x:v>0.0106</x:v>
      </x:c>
      <x:c r="G10" s="42" t="n">
        <x:v>0.5</x:v>
      </x:c>
      <x:c r="H10" s="40" t="n">
        <x:f>E10*F10</x:f>
        <x:v>-918128.9373543155</x:v>
      </x:c>
      <x:c r="I10" s="40" t="n">
        <x:f>G10*H10</x:f>
        <x:v>-459064.46867715777</x:v>
      </x:c>
      <x:c r="J10" s="40" t="n">
        <x:f>(1-G10^2)*H10^2</x:f>
        <x:v>632220559205.5234</x:v>
      </x:c>
    </x:row>
    <x:row r="11">
      <x:c r="A11" s="27" t="str">
        <x:v>IND_BANK_001</x:v>
      </x:c>
      <x:c r="B11" s="27" t="str">
        <x:v>3372</x:v>
      </x:c>
      <x:c r="C11" s="27" t="str">
        <x:v>Credit</x:v>
      </x:c>
      <x:c r="D11" s="27" t="str">
        <x:v>CREDIT_NAME_06</x:v>
      </x:c>
      <x:c r="E11" s="40" t="n">
        <x:f>SUMIFS(Trade_Calc!$AZ$4:$AZ$301,Trade_Calc!$B$4:$B$301,A11,Trade_Calc!$C$4:$C$301,B11,Trade_Calc!$E$4:$E$301,C11,Trade_Calc!$AI$4:$AI$301,D11)</x:f>
        <x:v>164134735.45378718</x:v>
      </x:c>
      <x:c r="F11" s="41" t="n">
        <x:f>AVERAGEIFS(Trade_Calc!$AM$4:$AM$301,Trade_Calc!$B$4:$B$301,A11,Trade_Calc!$C$4:$C$301,B11,Trade_Calc!$E$4:$E$301,C11,Trade_Calc!$AI$4:$AI$301,D11)</x:f>
        <x:v>0.0038</x:v>
      </x:c>
      <x:c r="G11" s="42" t="n">
        <x:v>0.5</x:v>
      </x:c>
      <x:c r="H11" s="40" t="n">
        <x:f>E11*F11</x:f>
        <x:v>623711.9947243913</x:v>
      </x:c>
      <x:c r="I11" s="40" t="n">
        <x:f>G11*H11</x:f>
        <x:v>311855.99736219563</x:v>
      </x:c>
      <x:c r="J11" s="40" t="n">
        <x:f>(1-G11^2)*H11^2</x:f>
        <x:v>291762489272.3093</x:v>
      </x:c>
    </x:row>
    <x:row r="12">
      <x:c r="A12" s="27" t="str">
        <x:v>IND_REGIONAL_BANK_001</x:v>
      </x:c>
      <x:c r="B12" s="27" t="str">
        <x:v>3161</x:v>
      </x:c>
      <x:c r="C12" s="27" t="str">
        <x:v>Credit</x:v>
      </x:c>
      <x:c r="D12" s="27" t="str">
        <x:v>CREDIT_INDEX_05</x:v>
      </x:c>
      <x:c r="E12" s="40" t="n">
        <x:f>SUMIFS(Trade_Calc!$AZ$4:$AZ$301,Trade_Calc!$B$4:$B$301,A12,Trade_Calc!$C$4:$C$301,B12,Trade_Calc!$E$4:$E$301,C12,Trade_Calc!$AI$4:$AI$301,D12)</x:f>
        <x:v>7123491.233095061</x:v>
      </x:c>
      <x:c r="F12" s="41" t="n">
        <x:f>AVERAGEIFS(Trade_Calc!$AM$4:$AM$301,Trade_Calc!$B$4:$B$301,A12,Trade_Calc!$C$4:$C$301,B12,Trade_Calc!$E$4:$E$301,C12,Trade_Calc!$AI$4:$AI$301,D12)</x:f>
        <x:v>0.016</x:v>
      </x:c>
      <x:c r="G12" s="42" t="n">
        <x:v>0.5</x:v>
      </x:c>
      <x:c r="H12" s="40" t="n">
        <x:f>E12*F12</x:f>
        <x:v>113975.85972952098</x:v>
      </x:c>
      <x:c r="I12" s="40" t="n">
        <x:f>G12*H12</x:f>
        <x:v>56987.92986476049</x:v>
      </x:c>
      <x:c r="J12" s="40" t="n">
        <x:f>(1-G12^2)*H12^2</x:f>
        <x:v>9742872450.81258</x:v>
      </x:c>
    </x:row>
    <x:row r="13">
      <x:c r="A13" s="27" t="str">
        <x:v>IND_ASSET_MANAGER_001</x:v>
      </x:c>
      <x:c r="B13" s="27" t="str">
        <x:v>3277</x:v>
      </x:c>
      <x:c r="C13" s="27" t="str">
        <x:v>Credit</x:v>
      </x:c>
      <x:c r="D13" s="27" t="str">
        <x:v>CREDIT_INDEX_27</x:v>
      </x:c>
      <x:c r="E13" s="40" t="n">
        <x:f>SUMIFS(Trade_Calc!$AZ$4:$AZ$301,Trade_Calc!$B$4:$B$301,A13,Trade_Calc!$C$4:$C$301,B13,Trade_Calc!$E$4:$E$301,C13,Trade_Calc!$AI$4:$AI$301,D13)</x:f>
        <x:v>102104075.48203689</x:v>
      </x:c>
      <x:c r="F13" s="41" t="n">
        <x:f>AVERAGEIFS(Trade_Calc!$AM$4:$AM$301,Trade_Calc!$B$4:$B$301,A13,Trade_Calc!$C$4:$C$301,B13,Trade_Calc!$E$4:$E$301,C13,Trade_Calc!$AI$4:$AI$301,D13)</x:f>
        <x:v>0.0054</x:v>
      </x:c>
      <x:c r="G13" s="42" t="n">
        <x:v>0.5</x:v>
      </x:c>
      <x:c r="H13" s="40" t="n">
        <x:f>E13*F13</x:f>
        <x:v>551362.0076029992</x:v>
      </x:c>
      <x:c r="I13" s="40" t="n">
        <x:f>G13*H13</x:f>
        <x:v>275681.0038014996</x:v>
      </x:c>
      <x:c r="J13" s="40" t="n">
        <x:f>(1-G13^2)*H13^2</x:f>
        <x:v>228000047571.00732</x:v>
      </x:c>
    </x:row>
    <x:row r="14">
      <x:c r="A14" s="27" t="str">
        <x:v>IND_CORPORATE_001</x:v>
      </x:c>
      <x:c r="B14" s="27" t="str">
        <x:v>3015</x:v>
      </x:c>
      <x:c r="C14" s="27" t="str">
        <x:v>Credit</x:v>
      </x:c>
      <x:c r="D14" s="27" t="str">
        <x:v>CREDIT_INDEX_17</x:v>
      </x:c>
      <x:c r="E14" s="40" t="n">
        <x:f>SUMIFS(Trade_Calc!$AZ$4:$AZ$301,Trade_Calc!$B$4:$B$301,A14,Trade_Calc!$C$4:$C$301,B14,Trade_Calc!$E$4:$E$301,C14,Trade_Calc!$AI$4:$AI$301,D14)</x:f>
        <x:v>31319141.48078555</x:v>
      </x:c>
      <x:c r="F14" s="41" t="n">
        <x:f>AVERAGEIFS(Trade_Calc!$AM$4:$AM$301,Trade_Calc!$B$4:$B$301,A14,Trade_Calc!$C$4:$C$301,B14,Trade_Calc!$E$4:$E$301,C14,Trade_Calc!$AI$4:$AI$301,D14)</x:f>
        <x:v>0.016</x:v>
      </x:c>
      <x:c r="G14" s="42" t="n">
        <x:v>0.5</x:v>
      </x:c>
      <x:c r="H14" s="40" t="n">
        <x:f>E14*F14</x:f>
        <x:v>501106.2636925688</x:v>
      </x:c>
      <x:c r="I14" s="40" t="n">
        <x:f>G14*H14</x:f>
        <x:v>250553.1318462844</x:v>
      </x:c>
      <x:c r="J14" s="40" t="n">
        <x:f>(1-G14^2)*H14^2</x:f>
        <x:v>188330615633.94473</x:v>
      </x:c>
    </x:row>
    <x:row r="15">
      <x:c r="A15" s="27" t="str">
        <x:v>IND_PENSION_001</x:v>
      </x:c>
      <x:c r="B15" s="27" t="str">
        <x:v>3036</x:v>
      </x:c>
      <x:c r="C15" s="27" t="str">
        <x:v>Credit</x:v>
      </x:c>
      <x:c r="D15" s="27" t="str">
        <x:v>CREDIT_NAME_27</x:v>
      </x:c>
      <x:c r="E15" s="40" t="n">
        <x:f>SUMIFS(Trade_Calc!$AZ$4:$AZ$301,Trade_Calc!$B$4:$B$301,A15,Trade_Calc!$C$4:$C$301,B15,Trade_Calc!$E$4:$E$301,C15,Trade_Calc!$AI$4:$AI$301,D15)</x:f>
        <x:v>15122453.888170576</x:v>
      </x:c>
      <x:c r="F15" s="41" t="n">
        <x:f>AVERAGEIFS(Trade_Calc!$AM$4:$AM$301,Trade_Calc!$B$4:$B$301,A15,Trade_Calc!$C$4:$C$301,B15,Trade_Calc!$E$4:$E$301,C15,Trade_Calc!$AI$4:$AI$301,D15)</x:f>
        <x:v>0.0054</x:v>
      </x:c>
      <x:c r="G15" s="42" t="n">
        <x:v>0.5</x:v>
      </x:c>
      <x:c r="H15" s="40" t="n">
        <x:f>E15*F15</x:f>
        <x:v>81661.25099612112</x:v>
      </x:c>
      <x:c r="I15" s="40" t="n">
        <x:f>G15*H15</x:f>
        <x:v>40830.62549806056</x:v>
      </x:c>
      <x:c r="J15" s="40" t="n">
        <x:f>(1-G15^2)*H15^2</x:f>
        <x:v>5001419935.68862</x:v>
      </x:c>
    </x:row>
    <x:row r="16">
      <x:c r="A16" s="27" t="str">
        <x:v>IND_CORPORATE_001</x:v>
      </x:c>
      <x:c r="B16" s="27" t="str">
        <x:v>3041</x:v>
      </x:c>
      <x:c r="C16" s="27" t="str">
        <x:v>Credit</x:v>
      </x:c>
      <x:c r="D16" s="27" t="str">
        <x:v>CREDIT_NAME_29</x:v>
      </x:c>
      <x:c r="E16" s="40" t="n">
        <x:f>SUMIFS(Trade_Calc!$AZ$4:$AZ$301,Trade_Calc!$B$4:$B$301,A16,Trade_Calc!$C$4:$C$301,B16,Trade_Calc!$E$4:$E$301,C16,Trade_Calc!$AI$4:$AI$301,D16)</x:f>
        <x:v>9243457.603108859</x:v>
      </x:c>
      <x:c r="F16" s="41" t="n">
        <x:f>AVERAGEIFS(Trade_Calc!$AM$4:$AM$301,Trade_Calc!$B$4:$B$301,A16,Trade_Calc!$C$4:$C$301,B16,Trade_Calc!$E$4:$E$301,C16,Trade_Calc!$AI$4:$AI$301,D16)</x:f>
        <x:v>0.016</x:v>
      </x:c>
      <x:c r="G16" s="42" t="n">
        <x:v>0.5</x:v>
      </x:c>
      <x:c r="H16" s="40" t="n">
        <x:f>E16*F16</x:f>
        <x:v>147895.32164974173</x:v>
      </x:c>
      <x:c r="I16" s="40" t="n">
        <x:f>G16*H16</x:f>
        <x:v>73947.66082487087</x:v>
      </x:c>
      <x:c r="J16" s="40" t="n">
        <x:f>(1-G16^2)*H16^2</x:f>
        <x:v>16404769624.410423</x:v>
      </x:c>
    </x:row>
    <x:row r="17">
      <x:c r="A17" s="27" t="str">
        <x:v>IND_REGIONAL_BANK_001</x:v>
      </x:c>
      <x:c r="B17" s="27" t="str">
        <x:v>3161</x:v>
      </x:c>
      <x:c r="C17" s="27" t="str">
        <x:v>Credit</x:v>
      </x:c>
      <x:c r="D17" s="27" t="str">
        <x:v>CREDIT_NAME_29</x:v>
      </x:c>
      <x:c r="E17" s="40" t="n">
        <x:f>SUMIFS(Trade_Calc!$AZ$4:$AZ$301,Trade_Calc!$B$4:$B$301,A17,Trade_Calc!$C$4:$C$301,B17,Trade_Calc!$E$4:$E$301,C17,Trade_Calc!$AI$4:$AI$301,D17)</x:f>
        <x:v>-91812846.26423147</x:v>
      </x:c>
      <x:c r="F17" s="41" t="n">
        <x:f>AVERAGEIFS(Trade_Calc!$AM$4:$AM$301,Trade_Calc!$B$4:$B$301,A17,Trade_Calc!$C$4:$C$301,B17,Trade_Calc!$E$4:$E$301,C17,Trade_Calc!$AI$4:$AI$301,D17)</x:f>
        <x:v>0.016</x:v>
      </x:c>
      <x:c r="G17" s="42" t="n">
        <x:v>0.5</x:v>
      </x:c>
      <x:c r="H17" s="40" t="n">
        <x:f>E17*F17</x:f>
        <x:v>-1469005.5402277035</x:v>
      </x:c>
      <x:c r="I17" s="40" t="n">
        <x:f>G17*H17</x:f>
        <x:v>-734502.7701138518</x:v>
      </x:c>
      <x:c r="J17" s="40" t="n">
        <x:f>(1-G17^2)*H17^2</x:f>
        <x:v>1618482957914.7651</x:v>
      </x:c>
    </x:row>
    <x:row r="18">
      <x:c r="A18" s="27" t="str">
        <x:v>IND_SOVEREIGN_001</x:v>
      </x:c>
      <x:c r="B18" s="27" t="str">
        <x:v>3281</x:v>
      </x:c>
      <x:c r="C18" s="27" t="str">
        <x:v>Credit</x:v>
      </x:c>
      <x:c r="D18" s="27" t="str">
        <x:v>CREDIT_NAME_14</x:v>
      </x:c>
      <x:c r="E18" s="40" t="n">
        <x:f>SUMIFS(Trade_Calc!$AZ$4:$AZ$301,Trade_Calc!$B$4:$B$301,A18,Trade_Calc!$C$4:$C$301,B18,Trade_Calc!$E$4:$E$301,C18,Trade_Calc!$AI$4:$AI$301,D18)</x:f>
        <x:v>-375873223.1148903</x:v>
      </x:c>
      <x:c r="F18" s="41" t="n">
        <x:f>AVERAGEIFS(Trade_Calc!$AM$4:$AM$301,Trade_Calc!$B$4:$B$301,A18,Trade_Calc!$C$4:$C$301,B18,Trade_Calc!$E$4:$E$301,C18,Trade_Calc!$AI$4:$AI$301,D18)</x:f>
        <x:v>0.0042</x:v>
      </x:c>
      <x:c r="G18" s="42" t="n">
        <x:v>0.5</x:v>
      </x:c>
      <x:c r="H18" s="40" t="n">
        <x:f>E18*F18</x:f>
        <x:v>-1578667.5370825392</x:v>
      </x:c>
      <x:c r="I18" s="40" t="n">
        <x:f>G18*H18</x:f>
        <x:v>-789333.7685412696</x:v>
      </x:c>
      <x:c r="J18" s="40" t="n">
        <x:f>(1-G18^2)*H18^2</x:f>
        <x:v>1869143394478.6875</x:v>
      </x:c>
    </x:row>
    <x:row r="19">
      <x:c r="A19" s="27" t="str">
        <x:v>IND_REGIONAL_BANK_001</x:v>
      </x:c>
      <x:c r="B19" s="27" t="str">
        <x:v>3237</x:v>
      </x:c>
      <x:c r="C19" s="27" t="str">
        <x:v>Credit</x:v>
      </x:c>
      <x:c r="D19" s="27" t="str">
        <x:v>CREDIT_NAME_11</x:v>
      </x:c>
      <x:c r="E19" s="40" t="n">
        <x:f>SUMIFS(Trade_Calc!$AZ$4:$AZ$301,Trade_Calc!$B$4:$B$301,A19,Trade_Calc!$C$4:$C$301,B19,Trade_Calc!$E$4:$E$301,C19,Trade_Calc!$AI$4:$AI$301,D19)</x:f>
        <x:v>-1819424.8398793454</x:v>
      </x:c>
      <x:c r="F19" s="41" t="n">
        <x:f>AVERAGEIFS(Trade_Calc!$AM$4:$AM$301,Trade_Calc!$B$4:$B$301,A19,Trade_Calc!$C$4:$C$301,B19,Trade_Calc!$E$4:$E$301,C19,Trade_Calc!$AI$4:$AI$301,D19)</x:f>
        <x:v>0.016</x:v>
      </x:c>
      <x:c r="G19" s="42" t="n">
        <x:v>0.5</x:v>
      </x:c>
      <x:c r="H19" s="40" t="n">
        <x:f>E19*F19</x:f>
        <x:v>-29110.797438069527</x:v>
      </x:c>
      <x:c r="I19" s="40" t="n">
        <x:f>G19*H19</x:f>
        <x:v>-14555.398719034763</x:v>
      </x:c>
      <x:c r="J19" s="40" t="n">
        <x:f>(1-G19^2)*H19^2</x:f>
        <x:v>635578895.6102365</x:v>
      </x:c>
    </x:row>
    <x:row r="20">
      <x:c r="A20" s="27" t="str">
        <x:v>IND_CORPORATE_001</x:v>
      </x:c>
      <x:c r="B20" s="27" t="str">
        <x:v>3041</x:v>
      </x:c>
      <x:c r="C20" s="27" t="str">
        <x:v>Credit</x:v>
      </x:c>
      <x:c r="D20" s="27" t="str">
        <x:v>CREDIT_NAME_11</x:v>
      </x:c>
      <x:c r="E20" s="40" t="n">
        <x:f>SUMIFS(Trade_Calc!$AZ$4:$AZ$301,Trade_Calc!$B$4:$B$301,A20,Trade_Calc!$C$4:$C$301,B20,Trade_Calc!$E$4:$E$301,C20,Trade_Calc!$AI$4:$AI$301,D20)</x:f>
        <x:v>2719527.112663855</x:v>
      </x:c>
      <x:c r="F20" s="41" t="n">
        <x:f>AVERAGEIFS(Trade_Calc!$AM$4:$AM$301,Trade_Calc!$B$4:$B$301,A20,Trade_Calc!$C$4:$C$301,B20,Trade_Calc!$E$4:$E$301,C20,Trade_Calc!$AI$4:$AI$301,D20)</x:f>
        <x:v>0.016</x:v>
      </x:c>
      <x:c r="G20" s="42" t="n">
        <x:v>0.5</x:v>
      </x:c>
      <x:c r="H20" s="40" t="n">
        <x:f>E20*F20</x:f>
        <x:v>43512.43380262168</x:v>
      </x:c>
      <x:c r="I20" s="40" t="n">
        <x:f>G20*H20</x:f>
        <x:v>21756.21690131084</x:v>
      </x:c>
      <x:c r="J20" s="40" t="n">
        <x:f>(1-G20^2)*H20^2</x:f>
        <x:v>1419998921.57065</x:v>
      </x:c>
    </x:row>
    <x:row r="21">
      <x:c r="A21" s="27" t="str">
        <x:v>IND_CORPORATE_001</x:v>
      </x:c>
      <x:c r="B21" s="27" t="str">
        <x:v>3041</x:v>
      </x:c>
      <x:c r="C21" s="27" t="str">
        <x:v>Credit</x:v>
      </x:c>
      <x:c r="D21" s="27" t="str">
        <x:v>CREDIT_NAME_05</x:v>
      </x:c>
      <x:c r="E21" s="40" t="n">
        <x:f>SUMIFS(Trade_Calc!$AZ$4:$AZ$301,Trade_Calc!$B$4:$B$301,A21,Trade_Calc!$C$4:$C$301,B21,Trade_Calc!$E$4:$E$301,C21,Trade_Calc!$AI$4:$AI$301,D21)</x:f>
        <x:v>-33452258.24751144</x:v>
      </x:c>
      <x:c r="F21" s="41" t="n">
        <x:f>AVERAGEIFS(Trade_Calc!$AM$4:$AM$301,Trade_Calc!$B$4:$B$301,A21,Trade_Calc!$C$4:$C$301,B21,Trade_Calc!$E$4:$E$301,C21,Trade_Calc!$AI$4:$AI$301,D21)</x:f>
        <x:v>0.016</x:v>
      </x:c>
      <x:c r="G21" s="42" t="n">
        <x:v>0.5</x:v>
      </x:c>
      <x:c r="H21" s="40" t="n">
        <x:f>E21*F21</x:f>
        <x:v>-535236.131960183</x:v>
      </x:c>
      <x:c r="I21" s="40" t="n">
        <x:f>G21*H21</x:f>
        <x:v>-267618.0659800915</x:v>
      </x:c>
      <x:c r="J21" s="40" t="n">
        <x:f>(1-G21^2)*H21^2</x:f>
        <x:v>214858287716.77386</x:v>
      </x:c>
    </x:row>
    <x:row r="22">
      <x:c r="A22" s="27" t="str">
        <x:v>IND_HEDGE_FUND_001</x:v>
      </x:c>
      <x:c r="B22" s="27" t="str">
        <x:v>3338</x:v>
      </x:c>
      <x:c r="C22" s="27" t="str">
        <x:v>Credit</x:v>
      </x:c>
      <x:c r="D22" s="27" t="str">
        <x:v>CREDIT_NAME_10</x:v>
      </x:c>
      <x:c r="E22" s="40" t="n">
        <x:f>SUMIFS(Trade_Calc!$AZ$4:$AZ$301,Trade_Calc!$B$4:$B$301,A22,Trade_Calc!$C$4:$C$301,B22,Trade_Calc!$E$4:$E$301,C22,Trade_Calc!$AI$4:$AI$301,D22)</x:f>
        <x:v>-100931267.61734526</x:v>
      </x:c>
      <x:c r="F22" s="41" t="n">
        <x:f>AVERAGEIFS(Trade_Calc!$AM$4:$AM$301,Trade_Calc!$B$4:$B$301,A22,Trade_Calc!$C$4:$C$301,B22,Trade_Calc!$E$4:$E$301,C22,Trade_Calc!$AI$4:$AI$301,D22)</x:f>
        <x:v>0.0106</x:v>
      </x:c>
      <x:c r="G22" s="42" t="n">
        <x:v>0.5</x:v>
      </x:c>
      <x:c r="H22" s="40" t="n">
        <x:f>E22*F22</x:f>
        <x:v>-1069871.4367438597</x:v>
      </x:c>
      <x:c r="I22" s="40" t="n">
        <x:f>G22*H22</x:f>
        <x:v>-534935.7183719298</x:v>
      </x:c>
      <x:c r="J22" s="40" t="n">
        <x:f>(1-G22^2)*H22^2</x:f>
        <x:v>858468668370.278</x:v>
      </x:c>
    </x:row>
    <x:row r="23">
      <x:c r="A23" s="27" t="str">
        <x:v>IND_REGIONAL_BANK_001</x:v>
      </x:c>
      <x:c r="B23" s="27" t="str">
        <x:v>3161</x:v>
      </x:c>
      <x:c r="C23" s="27" t="str">
        <x:v>Credit</x:v>
      </x:c>
      <x:c r="D23" s="27" t="str">
        <x:v>CREDIT_NAME_17</x:v>
      </x:c>
      <x:c r="E23" s="40" t="n">
        <x:f>SUMIFS(Trade_Calc!$AZ$4:$AZ$301,Trade_Calc!$B$4:$B$301,A23,Trade_Calc!$C$4:$C$301,B23,Trade_Calc!$E$4:$E$301,C23,Trade_Calc!$AI$4:$AI$301,D23)</x:f>
        <x:v>-334877085.6249315</x:v>
      </x:c>
      <x:c r="F23" s="41" t="n">
        <x:f>AVERAGEIFS(Trade_Calc!$AM$4:$AM$301,Trade_Calc!$B$4:$B$301,A23,Trade_Calc!$C$4:$C$301,B23,Trade_Calc!$E$4:$E$301,C23,Trade_Calc!$AI$4:$AI$301,D23)</x:f>
        <x:v>0.016</x:v>
      </x:c>
      <x:c r="G23" s="42" t="n">
        <x:v>0.5</x:v>
      </x:c>
      <x:c r="H23" s="40" t="n">
        <x:f>E23*F23</x:f>
        <x:v>-5358033.369998904</x:v>
      </x:c>
      <x:c r="I23" s="40" t="n">
        <x:f>G23*H23</x:f>
        <x:v>-2679016.684999452</x:v>
      </x:c>
      <x:c r="J23" s="40" t="n">
        <x:f>(1-G23^2)*H23^2</x:f>
        <x:v>21531391195516.36</x:v>
      </x:c>
    </x:row>
    <x:row r="24">
      <x:c r="A24" s="27" t="str">
        <x:v>IND_SOVEREIGN_001</x:v>
      </x:c>
      <x:c r="B24" s="27" t="str">
        <x:v>3042</x:v>
      </x:c>
      <x:c r="C24" s="27" t="str">
        <x:v>Credit</x:v>
      </x:c>
      <x:c r="D24" s="27" t="str">
        <x:v>CREDIT_NAME_08</x:v>
      </x:c>
      <x:c r="E24" s="40" t="n">
        <x:f>SUMIFS(Trade_Calc!$AZ$4:$AZ$301,Trade_Calc!$B$4:$B$301,A24,Trade_Calc!$C$4:$C$301,B24,Trade_Calc!$E$4:$E$301,C24,Trade_Calc!$AI$4:$AI$301,D24)</x:f>
        <x:v>107219211.80037467</x:v>
      </x:c>
      <x:c r="F24" s="41" t="n">
        <x:f>AVERAGEIFS(Trade_Calc!$AM$4:$AM$301,Trade_Calc!$B$4:$B$301,A24,Trade_Calc!$C$4:$C$301,B24,Trade_Calc!$E$4:$E$301,C24,Trade_Calc!$AI$4:$AI$301,D24)</x:f>
        <x:v>0.0042</x:v>
      </x:c>
      <x:c r="G24" s="42" t="n">
        <x:v>0.5</x:v>
      </x:c>
      <x:c r="H24" s="40" t="n">
        <x:f>E24*F24</x:f>
        <x:v>450320.6895615736</x:v>
      </x:c>
      <x:c r="I24" s="40" t="n">
        <x:f>G24*H24</x:f>
        <x:v>225160.3447807868</x:v>
      </x:c>
      <x:c r="J24" s="40" t="n">
        <x:f>(1-G24^2)*H24^2</x:f>
        <x:v>152091542585.40836</x:v>
      </x:c>
    </x:row>
    <x:row r="25">
      <x:c r="A25" s="27" t="str">
        <x:v>IND_CORPORATE_001</x:v>
      </x:c>
      <x:c r="B25" s="27" t="str">
        <x:v>3041</x:v>
      </x:c>
      <x:c r="C25" s="27" t="str">
        <x:v>Credit</x:v>
      </x:c>
      <x:c r="D25" s="27" t="str">
        <x:v>CREDIT_INDEX_29</x:v>
      </x:c>
      <x:c r="E25" s="40" t="n">
        <x:f>SUMIFS(Trade_Calc!$AZ$4:$AZ$301,Trade_Calc!$B$4:$B$301,A25,Trade_Calc!$C$4:$C$301,B25,Trade_Calc!$E$4:$E$301,C25,Trade_Calc!$AI$4:$AI$301,D25)</x:f>
        <x:v>-195964409.9905634</x:v>
      </x:c>
      <x:c r="F25" s="41" t="n">
        <x:f>AVERAGEIFS(Trade_Calc!$AM$4:$AM$301,Trade_Calc!$B$4:$B$301,A25,Trade_Calc!$C$4:$C$301,B25,Trade_Calc!$E$4:$E$301,C25,Trade_Calc!$AI$4:$AI$301,D25)</x:f>
        <x:v>0.016</x:v>
      </x:c>
      <x:c r="G25" s="42" t="n">
        <x:v>0.8</x:v>
      </x:c>
      <x:c r="H25" s="40" t="n">
        <x:f>E25*F25</x:f>
        <x:v>-3135430.5598490145</x:v>
      </x:c>
      <x:c r="I25" s="40" t="n">
        <x:f>G25*H25</x:f>
        <x:v>-2508344.4478792115</x:v>
      </x:c>
      <x:c r="J25" s="40" t="n">
        <x:f>(1-G25^2)*H25^2</x:f>
        <x:v>3539132926428.6367</x:v>
      </x:c>
    </x:row>
    <x:row r="26">
      <x:c r="A26" s="27" t="str">
        <x:v>IND_PENSION_001</x:v>
      </x:c>
      <x:c r="B26" s="27" t="str">
        <x:v>3036</x:v>
      </x:c>
      <x:c r="C26" s="27" t="str">
        <x:v>Credit</x:v>
      </x:c>
      <x:c r="D26" s="27" t="str">
        <x:v>CREDIT_INDEX_21</x:v>
      </x:c>
      <x:c r="E26" s="40" t="n">
        <x:f>SUMIFS(Trade_Calc!$AZ$4:$AZ$301,Trade_Calc!$B$4:$B$301,A26,Trade_Calc!$C$4:$C$301,B26,Trade_Calc!$E$4:$E$301,C26,Trade_Calc!$AI$4:$AI$301,D26)</x:f>
        <x:v>-300297151.41752845</x:v>
      </x:c>
      <x:c r="F26" s="41" t="n">
        <x:f>AVERAGEIFS(Trade_Calc!$AM$4:$AM$301,Trade_Calc!$B$4:$B$301,A26,Trade_Calc!$C$4:$C$301,B26,Trade_Calc!$E$4:$E$301,C26,Trade_Calc!$AI$4:$AI$301,D26)</x:f>
        <x:v>0.0054</x:v>
      </x:c>
      <x:c r="G26" s="42" t="n">
        <x:v>0.8</x:v>
      </x:c>
      <x:c r="H26" s="40" t="n">
        <x:f>E26*F26</x:f>
        <x:v>-1621604.6176546537</x:v>
      </x:c>
      <x:c r="I26" s="40" t="n">
        <x:f>G26*H26</x:f>
        <x:v>-1297283.694123723</x:v>
      </x:c>
      <x:c r="J26" s="40" t="n">
        <x:f>(1-G26^2)*H26^2</x:f>
        <x:v>946656552959.602</x:v>
      </x:c>
    </x:row>
    <x:row r="27">
      <x:c r="A27" s="27" t="str">
        <x:v>IND_REGIONAL_BANK_001</x:v>
      </x:c>
      <x:c r="B27" s="27" t="str">
        <x:v>3237</x:v>
      </x:c>
      <x:c r="C27" s="27" t="str">
        <x:v>Credit</x:v>
      </x:c>
      <x:c r="D27" s="27" t="str">
        <x:v>CREDIT_INDEX_29</x:v>
      </x:c>
      <x:c r="E27" s="40" t="n">
        <x:f>SUMIFS(Trade_Calc!$AZ$4:$AZ$301,Trade_Calc!$B$4:$B$301,A27,Trade_Calc!$C$4:$C$301,B27,Trade_Calc!$E$4:$E$301,C27,Trade_Calc!$AI$4:$AI$301,D27)</x:f>
        <x:v>-244522020.71954012</x:v>
      </x:c>
      <x:c r="F27" s="41" t="n">
        <x:f>AVERAGEIFS(Trade_Calc!$AM$4:$AM$301,Trade_Calc!$B$4:$B$301,A27,Trade_Calc!$C$4:$C$301,B27,Trade_Calc!$E$4:$E$301,C27,Trade_Calc!$AI$4:$AI$301,D27)</x:f>
        <x:v>0.016</x:v>
      </x:c>
      <x:c r="G27" s="42" t="n">
        <x:v>0.8</x:v>
      </x:c>
      <x:c r="H27" s="40" t="n">
        <x:f>E27*F27</x:f>
        <x:v>-3912352.331512642</x:v>
      </x:c>
      <x:c r="I27" s="40" t="n">
        <x:f>G27*H27</x:f>
        <x:v>-3129881.865210114</x:v>
      </x:c>
      <x:c r="J27" s="40" t="n">
        <x:f>(1-G27^2)*H27^2</x:f>
        <x:v>5510340275721.265</x:v>
      </x:c>
    </x:row>
    <x:row r="28">
      <x:c r="A28" s="27" t="str">
        <x:v>IND_INSURER_001</x:v>
      </x:c>
      <x:c r="B28" s="27" t="str">
        <x:v>3338</x:v>
      </x:c>
      <x:c r="C28" s="27" t="str">
        <x:v>Credit</x:v>
      </x:c>
      <x:c r="D28" s="27" t="str">
        <x:v>CREDIT_INDEX_07</x:v>
      </x:c>
      <x:c r="E28" s="40" t="n">
        <x:f>SUMIFS(Trade_Calc!$AZ$4:$AZ$301,Trade_Calc!$B$4:$B$301,A28,Trade_Calc!$C$4:$C$301,B28,Trade_Calc!$E$4:$E$301,C28,Trade_Calc!$AI$4:$AI$301,D28)</x:f>
        <x:v>-176761687.54788545</x:v>
      </x:c>
      <x:c r="F28" s="41" t="n">
        <x:f>AVERAGEIFS(Trade_Calc!$AM$4:$AM$301,Trade_Calc!$B$4:$B$301,A28,Trade_Calc!$C$4:$C$301,B28,Trade_Calc!$E$4:$E$301,C28,Trade_Calc!$AI$4:$AI$301,D28)</x:f>
        <x:v>0.0038</x:v>
      </x:c>
      <x:c r="G28" s="42" t="n">
        <x:v>0.8</x:v>
      </x:c>
      <x:c r="H28" s="40" t="n">
        <x:f>E28*F28</x:f>
        <x:v>-671694.4126819647</x:v>
      </x:c>
      <x:c r="I28" s="40" t="n">
        <x:f>G28*H28</x:f>
        <x:v>-537355.5301455718</x:v>
      </x:c>
      <x:c r="J28" s="40" t="n">
        <x:f>(1-G28^2)*H28^2</x:f>
        <x:v>162422418250.14096</x:v>
      </x:c>
    </x:row>
    <x:row r="29">
      <x:c r="A29" s="27" t="str">
        <x:v>IND_CORPORATE_002</x:v>
      </x:c>
      <x:c r="B29" s="27" t="str">
        <x:v>3389</x:v>
      </x:c>
      <x:c r="C29" s="27" t="str">
        <x:v>Credit</x:v>
      </x:c>
      <x:c r="D29" s="27" t="str">
        <x:v>CREDIT_INDEX_24</x:v>
      </x:c>
      <x:c r="E29" s="40" t="n">
        <x:f>SUMIFS(Trade_Calc!$AZ$4:$AZ$301,Trade_Calc!$B$4:$B$301,A29,Trade_Calc!$C$4:$C$301,B29,Trade_Calc!$E$4:$E$301,C29,Trade_Calc!$AI$4:$AI$301,D29)</x:f>
        <x:v>104021308.17641422</x:v>
      </x:c>
      <x:c r="F29" s="41" t="n">
        <x:f>AVERAGEIFS(Trade_Calc!$AM$4:$AM$301,Trade_Calc!$B$4:$B$301,A29,Trade_Calc!$C$4:$C$301,B29,Trade_Calc!$E$4:$E$301,C29,Trade_Calc!$AI$4:$AI$301,D29)</x:f>
        <x:v>0.0038</x:v>
      </x:c>
      <x:c r="G29" s="42" t="n">
        <x:v>0.8</x:v>
      </x:c>
      <x:c r="H29" s="40" t="n">
        <x:f>E29*F29</x:f>
        <x:v>395280.971070374</x:v>
      </x:c>
      <x:c r="I29" s="40" t="n">
        <x:f>G29*H29</x:f>
        <x:v>316224.77685629926</x:v>
      </x:c>
      <x:c r="J29" s="40" t="n">
        <x:f>(1-G29^2)*H29^2</x:f>
        <x:v>56248936592.52161</x:v>
      </x:c>
    </x:row>
    <x:row r="30">
      <x:c r="A30" s="27" t="str">
        <x:v>IND_BANK_002</x:v>
      </x:c>
      <x:c r="B30" s="27" t="str">
        <x:v>3341</x:v>
      </x:c>
      <x:c r="C30" s="27" t="str">
        <x:v>Credit</x:v>
      </x:c>
      <x:c r="D30" s="27" t="str">
        <x:v>CREDIT_INDEX_25</x:v>
      </x:c>
      <x:c r="E30" s="40" t="n">
        <x:f>SUMIFS(Trade_Calc!$AZ$4:$AZ$301,Trade_Calc!$B$4:$B$301,A30,Trade_Calc!$C$4:$C$301,B30,Trade_Calc!$E$4:$E$301,C30,Trade_Calc!$AI$4:$AI$301,D30)</x:f>
        <x:v>-8286552.555351866</x:v>
      </x:c>
      <x:c r="F30" s="41" t="n">
        <x:f>AVERAGEIFS(Trade_Calc!$AM$4:$AM$301,Trade_Calc!$B$4:$B$301,A30,Trade_Calc!$C$4:$C$301,B30,Trade_Calc!$E$4:$E$301,C30,Trade_Calc!$AI$4:$AI$301,D30)</x:f>
        <x:v>0.0038</x:v>
      </x:c>
      <x:c r="G30" s="42" t="n">
        <x:v>0.8</x:v>
      </x:c>
      <x:c r="H30" s="40" t="n">
        <x:f>E30*F30</x:f>
        <x:v>-31488.899710337093</x:v>
      </x:c>
      <x:c r="I30" s="40" t="n">
        <x:f>G30*H30</x:f>
        <x:v>-25191.119768269677</x:v>
      </x:c>
      <x:c r="J30" s="40" t="n">
        <x:f>(1-G30^2)*H30^2</x:f>
        <x:v>356958289.7883602</x:v>
      </x:c>
    </x:row>
    <x:row r="31">
      <x:c r="A31" s="27" t="str">
        <x:v>IND_CORPORATE_002</x:v>
      </x:c>
      <x:c r="B31" s="27" t="str">
        <x:v>3389</x:v>
      </x:c>
      <x:c r="C31" s="27" t="str">
        <x:v>Credit</x:v>
      </x:c>
      <x:c r="D31" s="27" t="str">
        <x:v>CREDIT_INDEX_12</x:v>
      </x:c>
      <x:c r="E31" s="40" t="n">
        <x:f>SUMIFS(Trade_Calc!$AZ$4:$AZ$301,Trade_Calc!$B$4:$B$301,A31,Trade_Calc!$C$4:$C$301,B31,Trade_Calc!$E$4:$E$301,C31,Trade_Calc!$AI$4:$AI$301,D31)</x:f>
        <x:v>106035174.31601527</x:v>
      </x:c>
      <x:c r="F31" s="41" t="n">
        <x:f>AVERAGEIFS(Trade_Calc!$AM$4:$AM$301,Trade_Calc!$B$4:$B$301,A31,Trade_Calc!$C$4:$C$301,B31,Trade_Calc!$E$4:$E$301,C31,Trade_Calc!$AI$4:$AI$301,D31)</x:f>
        <x:v>0.0038</x:v>
      </x:c>
      <x:c r="G31" s="42" t="n">
        <x:v>0.8</x:v>
      </x:c>
      <x:c r="H31" s="40" t="n">
        <x:f>E31*F31</x:f>
        <x:v>402933.662400858</x:v>
      </x:c>
      <x:c r="I31" s="40" t="n">
        <x:f>G31*H31</x:f>
        <x:v>322346.9299206864</x:v>
      </x:c>
      <x:c r="J31" s="40" t="n">
        <x:f>(1-G31^2)*H31^2</x:f>
        <x:v>58447993066.476685</x:v>
      </x:c>
    </x:row>
    <x:row r="32">
      <x:c r="A32" s="27" t="str">
        <x:v>IND_HEDGE_FUND_001</x:v>
      </x:c>
      <x:c r="B32" s="27" t="str">
        <x:v>3289</x:v>
      </x:c>
      <x:c r="C32" s="27" t="str">
        <x:v>Credit</x:v>
      </x:c>
      <x:c r="D32" s="27" t="str">
        <x:v>CREDIT_INDEX_28</x:v>
      </x:c>
      <x:c r="E32" s="40" t="n">
        <x:f>SUMIFS(Trade_Calc!$AZ$4:$AZ$301,Trade_Calc!$B$4:$B$301,A32,Trade_Calc!$C$4:$C$301,B32,Trade_Calc!$E$4:$E$301,C32,Trade_Calc!$AI$4:$AI$301,D32)</x:f>
        <x:v>116552330.40613936</x:v>
      </x:c>
      <x:c r="F32" s="41" t="n">
        <x:f>AVERAGEIFS(Trade_Calc!$AM$4:$AM$301,Trade_Calc!$B$4:$B$301,A32,Trade_Calc!$C$4:$C$301,B32,Trade_Calc!$E$4:$E$301,C32,Trade_Calc!$AI$4:$AI$301,D32)</x:f>
        <x:v>0.0106</x:v>
      </x:c>
      <x:c r="G32" s="42" t="n">
        <x:v>0.8</x:v>
      </x:c>
      <x:c r="H32" s="40" t="n">
        <x:f>E32*F32</x:f>
        <x:v>1235454.702305077</x:v>
      </x:c>
      <x:c r="I32" s="40" t="n">
        <x:f>G32*H32</x:f>
        <x:v>988363.7618440618</x:v>
      </x:c>
      <x:c r="J32" s="40" t="n">
        <x:f>(1-G32^2)*H32^2</x:f>
        <x:v>549485395721.18146</x:v>
      </x:c>
    </x:row>
    <x:row r="33">
      <x:c r="A33" s="27" t="str">
        <x:v>IND_HEDGE_FUND_001</x:v>
      </x:c>
      <x:c r="B33" s="27" t="str">
        <x:v>3289</x:v>
      </x:c>
      <x:c r="C33" s="27" t="str">
        <x:v>Credit</x:v>
      </x:c>
      <x:c r="D33" s="27" t="str">
        <x:v>CREDIT_INDEX_04</x:v>
      </x:c>
      <x:c r="E33" s="40" t="n">
        <x:f>SUMIFS(Trade_Calc!$AZ$4:$AZ$301,Trade_Calc!$B$4:$B$301,A33,Trade_Calc!$C$4:$C$301,B33,Trade_Calc!$E$4:$E$301,C33,Trade_Calc!$AI$4:$AI$301,D33)</x:f>
        <x:v>2679367.699075118</x:v>
      </x:c>
      <x:c r="F33" s="41" t="n">
        <x:f>AVERAGEIFS(Trade_Calc!$AM$4:$AM$301,Trade_Calc!$B$4:$B$301,A33,Trade_Calc!$C$4:$C$301,B33,Trade_Calc!$E$4:$E$301,C33,Trade_Calc!$AI$4:$AI$301,D33)</x:f>
        <x:v>0.0106</x:v>
      </x:c>
      <x:c r="G33" s="42" t="n">
        <x:v>0.8</x:v>
      </x:c>
      <x:c r="H33" s="40" t="n">
        <x:f>E33*F33</x:f>
        <x:v>28401.297610196252</x:v>
      </x:c>
      <x:c r="I33" s="40" t="n">
        <x:f>G33*H33</x:f>
        <x:v>22721.038088157</x:v>
      </x:c>
      <x:c r="J33" s="40" t="n">
        <x:f>(1-G33^2)*H33^2</x:f>
        <x:v>290388134.13945806</x:v>
      </x:c>
    </x:row>
    <x:row r="34">
      <x:c r="A34" s="27" t="str">
        <x:v>IND_CLEARING_MEMBER_001</x:v>
      </x:c>
      <x:c r="B34" s="27" t="str">
        <x:v>3108</x:v>
      </x:c>
      <x:c r="C34" s="27" t="str">
        <x:v>Equity</x:v>
      </x:c>
      <x:c r="D34" s="27" t="str">
        <x:v>EQUITY_NAME_04</x:v>
      </x:c>
      <x:c r="E34" s="40" t="n">
        <x:f>SUMIFS(Trade_Calc!$AZ$4:$AZ$301,Trade_Calc!$B$4:$B$301,A34,Trade_Calc!$C$4:$C$301,B34,Trade_Calc!$E$4:$E$301,C34,Trade_Calc!$AI$4:$AI$301,D34)</x:f>
        <x:v>19560000.000000004</x:v>
      </x:c>
      <x:c r="F34" s="41" t="n">
        <x:f>AVERAGEIFS(Trade_Calc!$AM$4:$AM$301,Trade_Calc!$B$4:$B$301,A34,Trade_Calc!$C$4:$C$301,B34,Trade_Calc!$E$4:$E$301,C34,Trade_Calc!$AI$4:$AI$301,D34)</x:f>
        <x:v>0.32</x:v>
      </x:c>
      <x:c r="G34" s="42" t="n">
        <x:v>0.5</x:v>
      </x:c>
      <x:c r="H34" s="40" t="n">
        <x:f>E34*F34</x:f>
        <x:v>6259200.000000001</x:v>
      </x:c>
      <x:c r="I34" s="40" t="n">
        <x:f>G34*H34</x:f>
        <x:v>3129600.0000000005</x:v>
      </x:c>
      <x:c r="J34" s="40" t="n">
        <x:f>(1-G34^2)*H34^2</x:f>
        <x:v>29383188480000.008</x:v>
      </x:c>
    </x:row>
    <x:row r="35">
      <x:c r="A35" s="27" t="str">
        <x:v>IND_CLEARING_MEMBER_001</x:v>
      </x:c>
      <x:c r="B35" s="27" t="str">
        <x:v>3161</x:v>
      </x:c>
      <x:c r="C35" s="27" t="str">
        <x:v>Equity</x:v>
      </x:c>
      <x:c r="D35" s="27" t="str">
        <x:v>EQUITY_NAME_16</x:v>
      </x:c>
      <x:c r="E35" s="40" t="n">
        <x:f>SUMIFS(Trade_Calc!$AZ$4:$AZ$301,Trade_Calc!$B$4:$B$301,A35,Trade_Calc!$C$4:$C$301,B35,Trade_Calc!$E$4:$E$301,C35,Trade_Calc!$AI$4:$AI$301,D35)</x:f>
        <x:v>43900000</x:v>
      </x:c>
      <x:c r="F35" s="41" t="n">
        <x:f>AVERAGEIFS(Trade_Calc!$AM$4:$AM$301,Trade_Calc!$B$4:$B$301,A35,Trade_Calc!$C$4:$C$301,B35,Trade_Calc!$E$4:$E$301,C35,Trade_Calc!$AI$4:$AI$301,D35)</x:f>
        <x:v>0.32</x:v>
      </x:c>
      <x:c r="G35" s="42" t="n">
        <x:v>0.5</x:v>
      </x:c>
      <x:c r="H35" s="40" t="n">
        <x:f>E35*F35</x:f>
        <x:v>14048000</x:v>
      </x:c>
      <x:c r="I35" s="40" t="n">
        <x:f>G35*H35</x:f>
        <x:v>7024000</x:v>
      </x:c>
      <x:c r="J35" s="40" t="n">
        <x:f>(1-G35^2)*H35^2</x:f>
        <x:v>148009728000000</x:v>
      </x:c>
    </x:row>
    <x:row r="36">
      <x:c r="A36" s="27" t="str">
        <x:v>IND_BROKER_001</x:v>
      </x:c>
      <x:c r="B36" s="27" t="str">
        <x:v>3276</x:v>
      </x:c>
      <x:c r="C36" s="27" t="str">
        <x:v>Equity</x:v>
      </x:c>
      <x:c r="D36" s="27" t="str">
        <x:v>EQUITY_NAME_14</x:v>
      </x:c>
      <x:c r="E36" s="40" t="n">
        <x:f>SUMIFS(Trade_Calc!$AZ$4:$AZ$301,Trade_Calc!$B$4:$B$301,A36,Trade_Calc!$C$4:$C$301,B36,Trade_Calc!$E$4:$E$301,C36,Trade_Calc!$AI$4:$AI$301,D36)</x:f>
        <x:v>41058255.63957124</x:v>
      </x:c>
      <x:c r="F36" s="41" t="n">
        <x:f>AVERAGEIFS(Trade_Calc!$AM$4:$AM$301,Trade_Calc!$B$4:$B$301,A36,Trade_Calc!$C$4:$C$301,B36,Trade_Calc!$E$4:$E$301,C36,Trade_Calc!$AI$4:$AI$301,D36)</x:f>
        <x:v>0.32</x:v>
      </x:c>
      <x:c r="G36" s="42" t="n">
        <x:v>0.5</x:v>
      </x:c>
      <x:c r="H36" s="40" t="n">
        <x:f>E36*F36</x:f>
        <x:v>13138641.804662798</x:v>
      </x:c>
      <x:c r="I36" s="40" t="n">
        <x:f>G36*H36</x:f>
        <x:v>6569320.902331399</x:v>
      </x:c>
      <x:c r="J36" s="40" t="n">
        <x:f>(1-G36^2)*H36^2</x:f>
        <x:v>129467931353424.69</x:v>
      </x:c>
    </x:row>
    <x:row r="37">
      <x:c r="A37" s="27" t="str">
        <x:v>IND_CLEARING_MEMBER_001</x:v>
      </x:c>
      <x:c r="B37" s="27" t="str">
        <x:v>3108</x:v>
      </x:c>
      <x:c r="C37" s="27" t="str">
        <x:v>Equity</x:v>
      </x:c>
      <x:c r="D37" s="27" t="str">
        <x:v>EQUITY_NAME_22</x:v>
      </x:c>
      <x:c r="E37" s="40" t="n">
        <x:f>SUMIFS(Trade_Calc!$AZ$4:$AZ$301,Trade_Calc!$B$4:$B$301,A37,Trade_Calc!$C$4:$C$301,B37,Trade_Calc!$E$4:$E$301,C37,Trade_Calc!$AI$4:$AI$301,D37)</x:f>
        <x:v>7590000.000000001</x:v>
      </x:c>
      <x:c r="F37" s="41" t="n">
        <x:f>AVERAGEIFS(Trade_Calc!$AM$4:$AM$301,Trade_Calc!$B$4:$B$301,A37,Trade_Calc!$C$4:$C$301,B37,Trade_Calc!$E$4:$E$301,C37,Trade_Calc!$AI$4:$AI$301,D37)</x:f>
        <x:v>0.32</x:v>
      </x:c>
      <x:c r="G37" s="42" t="n">
        <x:v>0.5</x:v>
      </x:c>
      <x:c r="H37" s="40" t="n">
        <x:f>E37*F37</x:f>
        <x:v>2428800.0000000005</x:v>
      </x:c>
      <x:c r="I37" s="40" t="n">
        <x:f>G37*H37</x:f>
        <x:v>1214400.0000000002</x:v>
      </x:c>
      <x:c r="J37" s="40" t="n">
        <x:f>(1-G37^2)*H37^2</x:f>
        <x:v>4424302080000.002</x:v>
      </x:c>
    </x:row>
    <x:row r="38">
      <x:c r="A38" s="27" t="str">
        <x:v>IND_CORPORATE_001</x:v>
      </x:c>
      <x:c r="B38" s="27" t="str">
        <x:v>3380</x:v>
      </x:c>
      <x:c r="C38" s="27" t="str">
        <x:v>Equity</x:v>
      </x:c>
      <x:c r="D38" s="27" t="str">
        <x:v>EQUITY_NAME_11</x:v>
      </x:c>
      <x:c r="E38" s="40" t="n">
        <x:f>SUMIFS(Trade_Calc!$AZ$4:$AZ$301,Trade_Calc!$B$4:$B$301,A38,Trade_Calc!$C$4:$C$301,B38,Trade_Calc!$E$4:$E$301,C38,Trade_Calc!$AI$4:$AI$301,D38)</x:f>
        <x:v>-1500000</x:v>
      </x:c>
      <x:c r="F38" s="41" t="n">
        <x:f>AVERAGEIFS(Trade_Calc!$AM$4:$AM$301,Trade_Calc!$B$4:$B$301,A38,Trade_Calc!$C$4:$C$301,B38,Trade_Calc!$E$4:$E$301,C38,Trade_Calc!$AI$4:$AI$301,D38)</x:f>
        <x:v>0.32</x:v>
      </x:c>
      <x:c r="G38" s="42" t="n">
        <x:v>0.5</x:v>
      </x:c>
      <x:c r="H38" s="40" t="n">
        <x:f>E38*F38</x:f>
        <x:v>-480000</x:v>
      </x:c>
      <x:c r="I38" s="40" t="n">
        <x:f>G38*H38</x:f>
        <x:v>-240000</x:v>
      </x:c>
      <x:c r="J38" s="40" t="n">
        <x:f>(1-G38^2)*H38^2</x:f>
        <x:v>172800000000</x:v>
      </x:c>
    </x:row>
    <x:row r="39">
      <x:c r="A39" s="27" t="str">
        <x:v>IND_BANK_002</x:v>
      </x:c>
      <x:c r="B39" s="27" t="str">
        <x:v>3386</x:v>
      </x:c>
      <x:c r="C39" s="27" t="str">
        <x:v>Equity</x:v>
      </x:c>
      <x:c r="D39" s="27" t="str">
        <x:v>EQUITY_NAME_13</x:v>
      </x:c>
      <x:c r="E39" s="40" t="n">
        <x:f>SUMIFS(Trade_Calc!$AZ$4:$AZ$301,Trade_Calc!$B$4:$B$301,A39,Trade_Calc!$C$4:$C$301,B39,Trade_Calc!$E$4:$E$301,C39,Trade_Calc!$AI$4:$AI$301,D39)</x:f>
        <x:v>2250000.0000000005</x:v>
      </x:c>
      <x:c r="F39" s="41" t="n">
        <x:f>AVERAGEIFS(Trade_Calc!$AM$4:$AM$301,Trade_Calc!$B$4:$B$301,A39,Trade_Calc!$C$4:$C$301,B39,Trade_Calc!$E$4:$E$301,C39,Trade_Calc!$AI$4:$AI$301,D39)</x:f>
        <x:v>0.32</x:v>
      </x:c>
      <x:c r="G39" s="42" t="n">
        <x:v>0.5</x:v>
      </x:c>
      <x:c r="H39" s="40" t="n">
        <x:f>E39*F39</x:f>
        <x:v>720000.0000000001</x:v>
      </x:c>
      <x:c r="I39" s="40" t="n">
        <x:f>G39*H39</x:f>
        <x:v>360000.00000000006</x:v>
      </x:c>
      <x:c r="J39" s="40" t="n">
        <x:f>(1-G39^2)*H39^2</x:f>
        <x:v>388800000000.0001</x:v>
      </x:c>
    </x:row>
    <x:row r="40">
      <x:c r="A40" s="27" t="str">
        <x:v>IND_HEDGE_FUND_001</x:v>
      </x:c>
      <x:c r="B40" s="27" t="str">
        <x:v>3040</x:v>
      </x:c>
      <x:c r="C40" s="27" t="str">
        <x:v>Equity</x:v>
      </x:c>
      <x:c r="D40" s="27" t="str">
        <x:v>EQUITY_NAME_16</x:v>
      </x:c>
      <x:c r="E40" s="40" t="n">
        <x:f>SUMIFS(Trade_Calc!$AZ$4:$AZ$301,Trade_Calc!$B$4:$B$301,A40,Trade_Calc!$C$4:$C$301,B40,Trade_Calc!$E$4:$E$301,C40,Trade_Calc!$AI$4:$AI$301,D40)</x:f>
        <x:v>-8190000.000000001</x:v>
      </x:c>
      <x:c r="F40" s="41" t="n">
        <x:f>AVERAGEIFS(Trade_Calc!$AM$4:$AM$301,Trade_Calc!$B$4:$B$301,A40,Trade_Calc!$C$4:$C$301,B40,Trade_Calc!$E$4:$E$301,C40,Trade_Calc!$AI$4:$AI$301,D40)</x:f>
        <x:v>0.32</x:v>
      </x:c>
      <x:c r="G40" s="42" t="n">
        <x:v>0.5</x:v>
      </x:c>
      <x:c r="H40" s="40" t="n">
        <x:f>E40*F40</x:f>
        <x:v>-2620800.0000000005</x:v>
      </x:c>
      <x:c r="I40" s="40" t="n">
        <x:f>G40*H40</x:f>
        <x:v>-1310400.0000000002</x:v>
      </x:c>
      <x:c r="J40" s="40" t="n">
        <x:f>(1-G40^2)*H40^2</x:f>
        <x:v>5151444480000.002</x:v>
      </x:c>
    </x:row>
    <x:row r="41">
      <x:c r="A41" s="27" t="str">
        <x:v>IND_REGIONAL_BANK_001</x:v>
      </x:c>
      <x:c r="B41" s="27" t="str">
        <x:v>3194</x:v>
      </x:c>
      <x:c r="C41" s="27" t="str">
        <x:v>Equity</x:v>
      </x:c>
      <x:c r="D41" s="27" t="str">
        <x:v>EQUITY_NAME_23</x:v>
      </x:c>
      <x:c r="E41" s="40" t="n">
        <x:f>SUMIFS(Trade_Calc!$AZ$4:$AZ$301,Trade_Calc!$B$4:$B$301,A41,Trade_Calc!$C$4:$C$301,B41,Trade_Calc!$E$4:$E$301,C41,Trade_Calc!$AI$4:$AI$301,D41)</x:f>
        <x:v>-2880000.0000000005</x:v>
      </x:c>
      <x:c r="F41" s="41" t="n">
        <x:f>AVERAGEIFS(Trade_Calc!$AM$4:$AM$301,Trade_Calc!$B$4:$B$301,A41,Trade_Calc!$C$4:$C$301,B41,Trade_Calc!$E$4:$E$301,C41,Trade_Calc!$AI$4:$AI$301,D41)</x:f>
        <x:v>0.32</x:v>
      </x:c>
      <x:c r="G41" s="42" t="n">
        <x:v>0.5</x:v>
      </x:c>
      <x:c r="H41" s="40" t="n">
        <x:f>E41*F41</x:f>
        <x:v>-921600.0000000001</x:v>
      </x:c>
      <x:c r="I41" s="40" t="n">
        <x:f>G41*H41</x:f>
        <x:v>-460800.00000000006</x:v>
      </x:c>
      <x:c r="J41" s="40" t="n">
        <x:f>(1-G41^2)*H41^2</x:f>
        <x:v>637009920000.0002</x:v>
      </x:c>
    </x:row>
    <x:row r="42">
      <x:c r="A42" s="27" t="str">
        <x:v>IND_SOVEREIGN_001</x:v>
      </x:c>
      <x:c r="B42" s="27" t="str">
        <x:v>3296</x:v>
      </x:c>
      <x:c r="C42" s="27" t="str">
        <x:v>Equity</x:v>
      </x:c>
      <x:c r="D42" s="27" t="str">
        <x:v>EQUITY_NAME_14</x:v>
      </x:c>
      <x:c r="E42" s="40" t="n">
        <x:f>SUMIFS(Trade_Calc!$AZ$4:$AZ$301,Trade_Calc!$B$4:$B$301,A42,Trade_Calc!$C$4:$C$301,B42,Trade_Calc!$E$4:$E$301,C42,Trade_Calc!$AI$4:$AI$301,D42)</x:f>
        <x:v>12420000.000000002</x:v>
      </x:c>
      <x:c r="F42" s="41" t="n">
        <x:f>AVERAGEIFS(Trade_Calc!$AM$4:$AM$301,Trade_Calc!$B$4:$B$301,A42,Trade_Calc!$C$4:$C$301,B42,Trade_Calc!$E$4:$E$301,C42,Trade_Calc!$AI$4:$AI$301,D42)</x:f>
        <x:v>0.32</x:v>
      </x:c>
      <x:c r="G42" s="42" t="n">
        <x:v>0.5</x:v>
      </x:c>
      <x:c r="H42" s="40" t="n">
        <x:f>E42*F42</x:f>
        <x:v>3974400.0000000005</x:v>
      </x:c>
      <x:c r="I42" s="40" t="n">
        <x:f>G42*H42</x:f>
        <x:v>1987200.0000000002</x:v>
      </x:c>
      <x:c r="J42" s="40" t="n">
        <x:f>(1-G42^2)*H42^2</x:f>
        <x:v>11846891520000.004</x:v>
      </x:c>
    </x:row>
    <x:row r="43">
      <x:c r="A43" s="27" t="str">
        <x:v>IND_PENSION_001</x:v>
      </x:c>
      <x:c r="B43" s="27" t="str">
        <x:v>3121</x:v>
      </x:c>
      <x:c r="C43" s="27" t="str">
        <x:v>Equity</x:v>
      </x:c>
      <x:c r="D43" s="27" t="str">
        <x:v>EQUITY_NAME_27</x:v>
      </x:c>
      <x:c r="E43" s="40" t="n">
        <x:f>SUMIFS(Trade_Calc!$AZ$4:$AZ$301,Trade_Calc!$B$4:$B$301,A43,Trade_Calc!$C$4:$C$301,B43,Trade_Calc!$E$4:$E$301,C43,Trade_Calc!$AI$4:$AI$301,D43)</x:f>
        <x:v>11610000.000000002</x:v>
      </x:c>
      <x:c r="F43" s="41" t="n">
        <x:f>AVERAGEIFS(Trade_Calc!$AM$4:$AM$301,Trade_Calc!$B$4:$B$301,A43,Trade_Calc!$C$4:$C$301,B43,Trade_Calc!$E$4:$E$301,C43,Trade_Calc!$AI$4:$AI$301,D43)</x:f>
        <x:v>0.32</x:v>
      </x:c>
      <x:c r="G43" s="42" t="n">
        <x:v>0.5</x:v>
      </x:c>
      <x:c r="H43" s="40" t="n">
        <x:f>E43*F43</x:f>
        <x:v>3715200.0000000005</x:v>
      </x:c>
      <x:c r="I43" s="40" t="n">
        <x:f>G43*H43</x:f>
        <x:v>1857600.0000000002</x:v>
      </x:c>
      <x:c r="J43" s="40" t="n">
        <x:f>(1-G43^2)*H43^2</x:f>
        <x:v>10352033280000.004</x:v>
      </x:c>
    </x:row>
    <x:row r="44">
      <x:c r="A44" s="27" t="str">
        <x:v>IND_REGIONAL_BANK_001</x:v>
      </x:c>
      <x:c r="B44" s="27" t="str">
        <x:v>3194</x:v>
      </x:c>
      <x:c r="C44" s="27" t="str">
        <x:v>Equity</x:v>
      </x:c>
      <x:c r="D44" s="27" t="str">
        <x:v>EQUITY_NAME_11</x:v>
      </x:c>
      <x:c r="E44" s="40" t="n">
        <x:f>SUMIFS(Trade_Calc!$AZ$4:$AZ$301,Trade_Calc!$B$4:$B$301,A44,Trade_Calc!$C$4:$C$301,B44,Trade_Calc!$E$4:$E$301,C44,Trade_Calc!$AI$4:$AI$301,D44)</x:f>
        <x:v>-11580000.000000002</x:v>
      </x:c>
      <x:c r="F44" s="41" t="n">
        <x:f>AVERAGEIFS(Trade_Calc!$AM$4:$AM$301,Trade_Calc!$B$4:$B$301,A44,Trade_Calc!$C$4:$C$301,B44,Trade_Calc!$E$4:$E$301,C44,Trade_Calc!$AI$4:$AI$301,D44)</x:f>
        <x:v>0.32</x:v>
      </x:c>
      <x:c r="G44" s="42" t="n">
        <x:v>0.5</x:v>
      </x:c>
      <x:c r="H44" s="40" t="n">
        <x:f>E44*F44</x:f>
        <x:v>-3705600.0000000005</x:v>
      </x:c>
      <x:c r="I44" s="40" t="n">
        <x:f>G44*H44</x:f>
        <x:v>-1852800.0000000002</x:v>
      </x:c>
      <x:c r="J44" s="40" t="n">
        <x:f>(1-G44^2)*H44^2</x:f>
        <x:v>10298603520000.004</x:v>
      </x:c>
    </x:row>
    <x:row r="45">
      <x:c r="A45" s="27" t="str">
        <x:v>IND_BROKER_001</x:v>
      </x:c>
      <x:c r="B45" s="27" t="str">
        <x:v>3195</x:v>
      </x:c>
      <x:c r="C45" s="27" t="str">
        <x:v>Equity</x:v>
      </x:c>
      <x:c r="D45" s="27" t="str">
        <x:v>EQUITY_NAME_02</x:v>
      </x:c>
      <x:c r="E45" s="40" t="n">
        <x:f>SUMIFS(Trade_Calc!$AZ$4:$AZ$301,Trade_Calc!$B$4:$B$301,A45,Trade_Calc!$C$4:$C$301,B45,Trade_Calc!$E$4:$E$301,C45,Trade_Calc!$AI$4:$AI$301,D45)</x:f>
        <x:v>12990000.000000002</x:v>
      </x:c>
      <x:c r="F45" s="41" t="n">
        <x:f>AVERAGEIFS(Trade_Calc!$AM$4:$AM$301,Trade_Calc!$B$4:$B$301,A45,Trade_Calc!$C$4:$C$301,B45,Trade_Calc!$E$4:$E$301,C45,Trade_Calc!$AI$4:$AI$301,D45)</x:f>
        <x:v>0.32</x:v>
      </x:c>
      <x:c r="G45" s="42" t="n">
        <x:v>0.5</x:v>
      </x:c>
      <x:c r="H45" s="40" t="n">
        <x:f>E45*F45</x:f>
        <x:v>4156800.0000000005</x:v>
      </x:c>
      <x:c r="I45" s="40" t="n">
        <x:f>G45*H45</x:f>
        <x:v>2078400.0000000002</x:v>
      </x:c>
      <x:c r="J45" s="40" t="n">
        <x:f>(1-G45^2)*H45^2</x:f>
        <x:v>12959239680000.004</x:v>
      </x:c>
    </x:row>
    <x:row r="46">
      <x:c r="A46" s="27" t="str">
        <x:v>IND_BANK_002</x:v>
      </x:c>
      <x:c r="B46" s="27" t="str">
        <x:v>3090</x:v>
      </x:c>
      <x:c r="C46" s="27" t="str">
        <x:v>Equity</x:v>
      </x:c>
      <x:c r="D46" s="27" t="str">
        <x:v>EQUITY_NAME_13</x:v>
      </x:c>
      <x:c r="E46" s="40" t="n">
        <x:f>SUMIFS(Trade_Calc!$AZ$4:$AZ$301,Trade_Calc!$B$4:$B$301,A46,Trade_Calc!$C$4:$C$301,B46,Trade_Calc!$E$4:$E$301,C46,Trade_Calc!$AI$4:$AI$301,D46)</x:f>
        <x:v>14701583.178188855</x:v>
      </x:c>
      <x:c r="F46" s="41" t="n">
        <x:f>AVERAGEIFS(Trade_Calc!$AM$4:$AM$301,Trade_Calc!$B$4:$B$301,A46,Trade_Calc!$C$4:$C$301,B46,Trade_Calc!$E$4:$E$301,C46,Trade_Calc!$AI$4:$AI$301,D46)</x:f>
        <x:v>0.32</x:v>
      </x:c>
      <x:c r="G46" s="42" t="n">
        <x:v>0.5</x:v>
      </x:c>
      <x:c r="H46" s="40" t="n">
        <x:f>E46*F46</x:f>
        <x:v>4704506.617020434</x:v>
      </x:c>
      <x:c r="I46" s="40" t="n">
        <x:f>G46*H46</x:f>
        <x:v>2352253.308510217</x:v>
      </x:c>
      <x:c r="J46" s="40" t="n">
        <x:f>(1-G46^2)*H46^2</x:f>
        <x:v>16599286882191.785</x:v>
      </x:c>
    </x:row>
    <x:row r="47">
      <x:c r="A47" s="27" t="str">
        <x:v>IND_PENSION_001</x:v>
      </x:c>
      <x:c r="B47" s="27" t="str">
        <x:v>3121</x:v>
      </x:c>
      <x:c r="C47" s="27" t="str">
        <x:v>Equity</x:v>
      </x:c>
      <x:c r="D47" s="27" t="str">
        <x:v>EQUITY_NAME_09</x:v>
      </x:c>
      <x:c r="E47" s="40" t="n">
        <x:f>SUMIFS(Trade_Calc!$AZ$4:$AZ$301,Trade_Calc!$B$4:$B$301,A47,Trade_Calc!$C$4:$C$301,B47,Trade_Calc!$E$4:$E$301,C47,Trade_Calc!$AI$4:$AI$301,D47)</x:f>
        <x:v>-360000.00000000006</x:v>
      </x:c>
      <x:c r="F47" s="41" t="n">
        <x:f>AVERAGEIFS(Trade_Calc!$AM$4:$AM$301,Trade_Calc!$B$4:$B$301,A47,Trade_Calc!$C$4:$C$301,B47,Trade_Calc!$E$4:$E$301,C47,Trade_Calc!$AI$4:$AI$301,D47)</x:f>
        <x:v>0.32</x:v>
      </x:c>
      <x:c r="G47" s="42" t="n">
        <x:v>0.5</x:v>
      </x:c>
      <x:c r="H47" s="40" t="n">
        <x:f>E47*F47</x:f>
        <x:v>-115200.00000000001</x:v>
      </x:c>
      <x:c r="I47" s="40" t="n">
        <x:f>G47*H47</x:f>
        <x:v>-57600.00000000001</x:v>
      </x:c>
      <x:c r="J47" s="40" t="n">
        <x:f>(1-G47^2)*H47^2</x:f>
        <x:v>9953280000.000004</x:v>
      </x:c>
    </x:row>
    <x:row r="48">
      <x:c r="A48" s="27" t="str">
        <x:v>IND_CORPORATE_002</x:v>
      </x:c>
      <x:c r="B48" s="27" t="str">
        <x:v>3331</x:v>
      </x:c>
      <x:c r="C48" s="27" t="str">
        <x:v>Equity</x:v>
      </x:c>
      <x:c r="D48" s="27" t="str">
        <x:v>EQUITY_INDEX_00</x:v>
      </x:c>
      <x:c r="E48" s="40" t="n">
        <x:f>SUMIFS(Trade_Calc!$AZ$4:$AZ$301,Trade_Calc!$B$4:$B$301,A48,Trade_Calc!$C$4:$C$301,B48,Trade_Calc!$E$4:$E$301,C48,Trade_Calc!$AI$4:$AI$301,D48)</x:f>
        <x:v>-620888.5420302574</x:v>
      </x:c>
      <x:c r="F48" s="41" t="n">
        <x:f>AVERAGEIFS(Trade_Calc!$AM$4:$AM$301,Trade_Calc!$B$4:$B$301,A48,Trade_Calc!$C$4:$C$301,B48,Trade_Calc!$E$4:$E$301,C48,Trade_Calc!$AI$4:$AI$301,D48)</x:f>
        <x:v>0.2</x:v>
      </x:c>
      <x:c r="G48" s="42" t="n">
        <x:v>0.8</x:v>
      </x:c>
      <x:c r="H48" s="40" t="n">
        <x:f>E48*F48</x:f>
        <x:v>-124177.70840605149</x:v>
      </x:c>
      <x:c r="I48" s="40" t="n">
        <x:f>G48*H48</x:f>
        <x:v>-99342.1667248412</x:v>
      </x:c>
      <x:c r="J48" s="40" t="n">
        <x:f>(1-G48^2)*H48^2</x:f>
        <x:v>5551237175.392204</x:v>
      </x:c>
    </x:row>
    <x:row r="49">
      <x:c r="A49" s="27" t="str">
        <x:v>IND_BANK_002</x:v>
      </x:c>
      <x:c r="B49" s="27" t="str">
        <x:v>3386</x:v>
      </x:c>
      <x:c r="C49" s="27" t="str">
        <x:v>Equity</x:v>
      </x:c>
      <x:c r="D49" s="27" t="str">
        <x:v>EQUITY_INDEX_13</x:v>
      </x:c>
      <x:c r="E49" s="40" t="n">
        <x:f>SUMIFS(Trade_Calc!$AZ$4:$AZ$301,Trade_Calc!$B$4:$B$301,A49,Trade_Calc!$C$4:$C$301,B49,Trade_Calc!$E$4:$E$301,C49,Trade_Calc!$AI$4:$AI$301,D49)</x:f>
        <x:v>11944571.608575003</x:v>
      </x:c>
      <x:c r="F49" s="41" t="n">
        <x:f>AVERAGEIFS(Trade_Calc!$AM$4:$AM$301,Trade_Calc!$B$4:$B$301,A49,Trade_Calc!$C$4:$C$301,B49,Trade_Calc!$E$4:$E$301,C49,Trade_Calc!$AI$4:$AI$301,D49)</x:f>
        <x:v>0.2</x:v>
      </x:c>
      <x:c r="G49" s="42" t="n">
        <x:v>0.8</x:v>
      </x:c>
      <x:c r="H49" s="40" t="n">
        <x:f>E49*F49</x:f>
        <x:v>2388914.3217150006</x:v>
      </x:c>
      <x:c r="I49" s="40" t="n">
        <x:f>G49*H49</x:f>
        <x:v>1911131.4573720004</x:v>
      </x:c>
      <x:c r="J49" s="40" t="n">
        <x:f>(1-G49^2)*H49^2</x:f>
        <x:v>2054488189138.214</x:v>
      </x:c>
    </x:row>
    <x:row r="50">
      <x:c r="A50" s="27" t="str">
        <x:v>IND_CLEARING_MEMBER_001</x:v>
      </x:c>
      <x:c r="B50" s="27" t="str">
        <x:v>3108</x:v>
      </x:c>
      <x:c r="C50" s="27" t="str">
        <x:v>Equity</x:v>
      </x:c>
      <x:c r="D50" s="27" t="str">
        <x:v>EQUITY_INDEX_28</x:v>
      </x:c>
      <x:c r="E50" s="40" t="n">
        <x:f>SUMIFS(Trade_Calc!$AZ$4:$AZ$301,Trade_Calc!$B$4:$B$301,A50,Trade_Calc!$C$4:$C$301,B50,Trade_Calc!$E$4:$E$301,C50,Trade_Calc!$AI$4:$AI$301,D50)</x:f>
        <x:v>3968946.044797665</x:v>
      </x:c>
      <x:c r="F50" s="41" t="n">
        <x:f>AVERAGEIFS(Trade_Calc!$AM$4:$AM$301,Trade_Calc!$B$4:$B$301,A50,Trade_Calc!$C$4:$C$301,B50,Trade_Calc!$E$4:$E$301,C50,Trade_Calc!$AI$4:$AI$301,D50)</x:f>
        <x:v>0.2</x:v>
      </x:c>
      <x:c r="G50" s="42" t="n">
        <x:v>0.8</x:v>
      </x:c>
      <x:c r="H50" s="40" t="n">
        <x:f>E50*F50</x:f>
        <x:v>793789.208959533</x:v>
      </x:c>
      <x:c r="I50" s="40" t="n">
        <x:f>G50*H50</x:f>
        <x:v>635031.3671676265</x:v>
      </x:c>
      <x:c r="J50" s="40" t="n">
        <x:f>(1-G50^2)*H50^2</x:f>
        <x:v>226836470973.81635</x:v>
      </x:c>
    </x:row>
    <x:row r="51">
      <x:c r="A51" s="27" t="str">
        <x:v>IND_BROKER_001</x:v>
      </x:c>
      <x:c r="B51" s="27" t="str">
        <x:v>3276</x:v>
      </x:c>
      <x:c r="C51" s="27" t="str">
        <x:v>Equity</x:v>
      </x:c>
      <x:c r="D51" s="27" t="str">
        <x:v>EQUITY_INDEX_26</x:v>
      </x:c>
      <x:c r="E51" s="40" t="n">
        <x:f>SUMIFS(Trade_Calc!$AZ$4:$AZ$301,Trade_Calc!$B$4:$B$301,A51,Trade_Calc!$C$4:$C$301,B51,Trade_Calc!$E$4:$E$301,C51,Trade_Calc!$AI$4:$AI$301,D51)</x:f>
        <x:v>11439607.92183744</x:v>
      </x:c>
      <x:c r="F51" s="41" t="n">
        <x:f>AVERAGEIFS(Trade_Calc!$AM$4:$AM$301,Trade_Calc!$B$4:$B$301,A51,Trade_Calc!$C$4:$C$301,B51,Trade_Calc!$E$4:$E$301,C51,Trade_Calc!$AI$4:$AI$301,D51)</x:f>
        <x:v>0.2</x:v>
      </x:c>
      <x:c r="G51" s="42" t="n">
        <x:v>0.8</x:v>
      </x:c>
      <x:c r="H51" s="40" t="n">
        <x:f>E51*F51</x:f>
        <x:v>2287921.584367488</x:v>
      </x:c>
      <x:c r="I51" s="40" t="n">
        <x:f>G51*H51</x:f>
        <x:v>1830337.2674939905</x:v>
      </x:c>
      <x:c r="J51" s="40" t="n">
        <x:f>(1-G51^2)*H51^2</x:f>
        <x:v>1884450663437.2686</x:v>
      </x:c>
    </x:row>
    <x:row r="52">
      <x:c r="A52" s="27" t="str">
        <x:v>IND_CLEARING_MEMBER_001</x:v>
      </x:c>
      <x:c r="B52" s="27" t="str">
        <x:v>3161</x:v>
      </x:c>
      <x:c r="C52" s="27" t="str">
        <x:v>Equity</x:v>
      </x:c>
      <x:c r="D52" s="27" t="str">
        <x:v>EQUITY_INDEX_22</x:v>
      </x:c>
      <x:c r="E52" s="40" t="n">
        <x:f>SUMIFS(Trade_Calc!$AZ$4:$AZ$301,Trade_Calc!$B$4:$B$301,A52,Trade_Calc!$C$4:$C$301,B52,Trade_Calc!$E$4:$E$301,C52,Trade_Calc!$AI$4:$AI$301,D52)</x:f>
        <x:v>13286295.164885076</x:v>
      </x:c>
      <x:c r="F52" s="41" t="n">
        <x:f>AVERAGEIFS(Trade_Calc!$AM$4:$AM$301,Trade_Calc!$B$4:$B$301,A52,Trade_Calc!$C$4:$C$301,B52,Trade_Calc!$E$4:$E$301,C52,Trade_Calc!$AI$4:$AI$301,D52)</x:f>
        <x:v>0.2</x:v>
      </x:c>
      <x:c r="G52" s="42" t="n">
        <x:v>0.8</x:v>
      </x:c>
      <x:c r="H52" s="40" t="n">
        <x:f>E52*F52</x:f>
        <x:v>2657259.0329770152</x:v>
      </x:c>
      <x:c r="I52" s="40" t="n">
        <x:f>G52*H52</x:f>
        <x:v>2125807.2263816125</x:v>
      </x:c>
      <x:c r="J52" s="40" t="n">
        <x:f>(1-G52^2)*H52^2</x:f>
        <x:v>2541969204601.658</x:v>
      </x:c>
    </x:row>
    <x:row r="53">
      <x:c r="A53" s="27" t="str">
        <x:v>IND_BANK_002</x:v>
      </x:c>
      <x:c r="B53" s="27" t="str">
        <x:v>3090</x:v>
      </x:c>
      <x:c r="C53" s="27" t="str">
        <x:v>Equity</x:v>
      </x:c>
      <x:c r="D53" s="27" t="str">
        <x:v>EQUITY_INDEX_01</x:v>
      </x:c>
      <x:c r="E53" s="40" t="n">
        <x:f>SUMIFS(Trade_Calc!$AZ$4:$AZ$301,Trade_Calc!$B$4:$B$301,A53,Trade_Calc!$C$4:$C$301,B53,Trade_Calc!$E$4:$E$301,C53,Trade_Calc!$AI$4:$AI$301,D53)</x:f>
        <x:v>10480050.185126673</x:v>
      </x:c>
      <x:c r="F53" s="41" t="n">
        <x:f>AVERAGEIFS(Trade_Calc!$AM$4:$AM$301,Trade_Calc!$B$4:$B$301,A53,Trade_Calc!$C$4:$C$301,B53,Trade_Calc!$E$4:$E$301,C53,Trade_Calc!$AI$4:$AI$301,D53)</x:f>
        <x:v>0.2</x:v>
      </x:c>
      <x:c r="G53" s="42" t="n">
        <x:v>0.8</x:v>
      </x:c>
      <x:c r="H53" s="40" t="n">
        <x:f>E53*F53</x:f>
        <x:v>2096010.0370253348</x:v>
      </x:c>
      <x:c r="I53" s="40" t="n">
        <x:f>G53*H53</x:f>
        <x:v>1676808.029620268</x:v>
      </x:c>
      <x:c r="J53" s="40" t="n">
        <x:f>(1-G53^2)*H53^2</x:f>
        <x:v>1581572907111.9397</x:v>
      </x:c>
    </x:row>
    <x:row r="54">
      <x:c r="A54" s="27" t="str">
        <x:v>IND_ASSET_MANAGER_001</x:v>
      </x:c>
      <x:c r="B54" s="27" t="str">
        <x:v>3167</x:v>
      </x:c>
      <x:c r="C54" s="27" t="str">
        <x:v>Equity</x:v>
      </x:c>
      <x:c r="D54" s="27" t="str">
        <x:v>EQUITY_INDEX_15</x:v>
      </x:c>
      <x:c r="E54" s="40" t="n">
        <x:f>SUMIFS(Trade_Calc!$AZ$4:$AZ$301,Trade_Calc!$B$4:$B$301,A54,Trade_Calc!$C$4:$C$301,B54,Trade_Calc!$E$4:$E$301,C54,Trade_Calc!$AI$4:$AI$301,D54)</x:f>
        <x:v>-4261464.082474121</x:v>
      </x:c>
      <x:c r="F54" s="41" t="n">
        <x:f>AVERAGEIFS(Trade_Calc!$AM$4:$AM$301,Trade_Calc!$B$4:$B$301,A54,Trade_Calc!$C$4:$C$301,B54,Trade_Calc!$E$4:$E$301,C54,Trade_Calc!$AI$4:$AI$301,D54)</x:f>
        <x:v>0.2</x:v>
      </x:c>
      <x:c r="G54" s="42" t="n">
        <x:v>0.8</x:v>
      </x:c>
      <x:c r="H54" s="40" t="n">
        <x:f>E54*F54</x:f>
        <x:v>-852292.8164948242</x:v>
      </x:c>
      <x:c r="I54" s="40" t="n">
        <x:f>G54*H54</x:f>
        <x:v>-681834.2531958595</x:v>
      </x:c>
      <x:c r="J54" s="40" t="n">
        <x:f>(1-G54^2)*H54^2</x:f>
        <x:v>261505096217.52478</x:v>
      </x:c>
    </x:row>
    <x:row r="55">
      <x:c r="A55" s="27" t="str">
        <x:v>IND_REGIONAL_BANK_001</x:v>
      </x:c>
      <x:c r="B55" s="27" t="str">
        <x:v>3194</x:v>
      </x:c>
      <x:c r="C55" s="27" t="str">
        <x:v>Equity</x:v>
      </x:c>
      <x:c r="D55" s="27" t="str">
        <x:v>EQUITY_INDEX_05</x:v>
      </x:c>
      <x:c r="E55" s="40" t="n">
        <x:f>SUMIFS(Trade_Calc!$AZ$4:$AZ$301,Trade_Calc!$B$4:$B$301,A55,Trade_Calc!$C$4:$C$301,B55,Trade_Calc!$E$4:$E$301,C55,Trade_Calc!$AI$4:$AI$301,D55)</x:f>
        <x:v>10141245.730787678</x:v>
      </x:c>
      <x:c r="F55" s="41" t="n">
        <x:f>AVERAGEIFS(Trade_Calc!$AM$4:$AM$301,Trade_Calc!$B$4:$B$301,A55,Trade_Calc!$C$4:$C$301,B55,Trade_Calc!$E$4:$E$301,C55,Trade_Calc!$AI$4:$AI$301,D55)</x:f>
        <x:v>0.2</x:v>
      </x:c>
      <x:c r="G55" s="42" t="n">
        <x:v>0.8</x:v>
      </x:c>
      <x:c r="H55" s="40" t="n">
        <x:f>E55*F55</x:f>
        <x:v>2028249.1461575357</x:v>
      </x:c>
      <x:c r="I55" s="40" t="n">
        <x:f>G55*H55</x:f>
        <x:v>1622599.3169260286</x:v>
      </x:c>
      <x:c r="J55" s="40" t="n">
        <x:f>(1-G55^2)*H55^2</x:f>
        <x:v>1480966055599.9578</x:v>
      </x:c>
    </x:row>
    <x:row r="56">
      <x:c r="A56" s="27" t="str">
        <x:v>IND_INSURER_001</x:v>
      </x:c>
      <x:c r="B56" s="27" t="str">
        <x:v>3390</x:v>
      </x:c>
      <x:c r="C56" s="27" t="str">
        <x:v>Equity</x:v>
      </x:c>
      <x:c r="D56" s="27" t="str">
        <x:v>EQUITY_INDEX_25</x:v>
      </x:c>
      <x:c r="E56" s="40" t="n">
        <x:f>SUMIFS(Trade_Calc!$AZ$4:$AZ$301,Trade_Calc!$B$4:$B$301,A56,Trade_Calc!$C$4:$C$301,B56,Trade_Calc!$E$4:$E$301,C56,Trade_Calc!$AI$4:$AI$301,D56)</x:f>
        <x:v>-52427815.21435407</x:v>
      </x:c>
      <x:c r="F56" s="41" t="n">
        <x:f>AVERAGEIFS(Trade_Calc!$AM$4:$AM$301,Trade_Calc!$B$4:$B$301,A56,Trade_Calc!$C$4:$C$301,B56,Trade_Calc!$E$4:$E$301,C56,Trade_Calc!$AI$4:$AI$301,D56)</x:f>
        <x:v>0.2</x:v>
      </x:c>
      <x:c r="G56" s="42" t="n">
        <x:v>0.8</x:v>
      </x:c>
      <x:c r="H56" s="40" t="n">
        <x:f>E56*F56</x:f>
        <x:v>-10485563.042870814</x:v>
      </x:c>
      <x:c r="I56" s="40" t="n">
        <x:f>G56*H56</x:f>
        <x:v>-8388450.434296652</x:v>
      </x:c>
      <x:c r="J56" s="40" t="n">
        <x:f>(1-G56^2)*H56^2</x:f>
        <x:v>39580931637366.555</x:v>
      </x:c>
    </x:row>
    <x:row r="57">
      <x:c r="A57" s="27" t="str">
        <x:v>IND_BANK_002</x:v>
      </x:c>
      <x:c r="B57" s="27" t="str">
        <x:v>3386</x:v>
      </x:c>
      <x:c r="C57" s="27" t="str">
        <x:v>Equity</x:v>
      </x:c>
      <x:c r="D57" s="27" t="str">
        <x:v>EQUITY_INDEX_01</x:v>
      </x:c>
      <x:c r="E57" s="40" t="n">
        <x:f>SUMIFS(Trade_Calc!$AZ$4:$AZ$301,Trade_Calc!$B$4:$B$301,A57,Trade_Calc!$C$4:$C$301,B57,Trade_Calc!$E$4:$E$301,C57,Trade_Calc!$AI$4:$AI$301,D57)</x:f>
        <x:v>3021317.2526184744</x:v>
      </x:c>
      <x:c r="F57" s="41" t="n">
        <x:f>AVERAGEIFS(Trade_Calc!$AM$4:$AM$301,Trade_Calc!$B$4:$B$301,A57,Trade_Calc!$C$4:$C$301,B57,Trade_Calc!$E$4:$E$301,C57,Trade_Calc!$AI$4:$AI$301,D57)</x:f>
        <x:v>0.2</x:v>
      </x:c>
      <x:c r="G57" s="42" t="n">
        <x:v>0.8</x:v>
      </x:c>
      <x:c r="H57" s="40" t="n">
        <x:f>E57*F57</x:f>
        <x:v>604263.4505236949</x:v>
      </x:c>
      <x:c r="I57" s="40" t="n">
        <x:f>G57*H57</x:f>
        <x:v>483410.76041895594</x:v>
      </x:c>
      <x:c r="J57" s="40" t="n">
        <x:f>(1-G57^2)*H57^2</x:f>
        <x:v>131448354349.96861</x:v>
      </x:c>
    </x:row>
  </x:sheetData>
  <x:mergeCells>
    <x:mergeCell ref="A1:J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</x:cols>
  <x:sheetData>
    <x:row r="1" ht="22.5" customHeight="1">
      <x:c r="A1" s="26" t="str">
        <x:v>Commodity Type Correlation Helper</x:v>
      </x:c>
      <x:c r="B1" s="26" t="str">
        <x:v>Commodity Type Correlation Helper</x:v>
      </x:c>
      <x:c r="C1" s="26" t="str">
        <x:v>Commodity Type Correlation Helper</x:v>
      </x:c>
      <x:c r="D1" s="26" t="str">
        <x:v>Commodity Type Correlation Helper</x:v>
      </x:c>
      <x:c r="E1" s="26" t="str">
        <x:v>Commodity Type Correlation Helper</x:v>
      </x:c>
      <x:c r="F1" s="26" t="str">
        <x:v>Commodity Type Correlation Helper</x:v>
      </x:c>
      <x:c r="G1" s="26" t="str">
        <x:v>Commodity Type Correlation Helper</x:v>
      </x:c>
      <x:c r="H1" s="26" t="str">
        <x:v>Commodity Type Correlation Helper</x:v>
      </x:c>
      <x:c r="I1" s="26" t="str">
        <x:v>Commodity Type Correlation Helper</x:v>
      </x:c>
      <x:c r="J1" s="26" t="str">
        <x:v>Commodity Type Correlation Helper</x:v>
      </x:c>
      <x:c r="K1" s="26" t="str">
        <x:v>Commodity Type Correlation Helper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</x:row>
    <x:row r="3">
      <x:c r="A3" s="28" t="str">
        <x:v>Counterparty ID</x:v>
      </x:c>
      <x:c r="B3" s="28" t="str">
        <x:v>Netting Set ID</x:v>
      </x:c>
      <x:c r="C3" s="28" t="str">
        <x:v>Asset Class</x:v>
      </x:c>
      <x:c r="D3" s="28" t="str">
        <x:v>Hedging Set</x:v>
      </x:c>
      <x:c r="E3" s="28" t="str">
        <x:v>Commodity Type</x:v>
      </x:c>
      <x:c r="F3" s="28" t="str">
        <x:v>Effective Notional</x:v>
      </x:c>
      <x:c r="G3" s="28" t="str">
        <x:v>Supervisory Factor</x:v>
      </x:c>
      <x:c r="H3" s="28" t="str">
        <x:v>Correlation</x:v>
      </x:c>
      <x:c r="I3" s="28" t="str">
        <x:v>Type AddOn</x:v>
      </x:c>
      <x:c r="J3" s="28" t="str">
        <x:v>Systematic Component</x:v>
      </x:c>
      <x:c r="K3" s="28" t="str">
        <x:v>Idiosyncratic Component</x:v>
      </x:c>
    </x:row>
    <x:row r="4">
      <x:c r="A4" s="27" t="str">
        <x:v>IND_CORPORATE_001</x:v>
      </x:c>
      <x:c r="B4" s="27" t="str">
        <x:v>3100</x:v>
      </x:c>
      <x:c r="C4" s="27" t="str">
        <x:v>Commodity</x:v>
      </x:c>
      <x:c r="D4" s="27" t="str">
        <x:v>Metals</x:v>
      </x:c>
      <x:c r="E4" s="27" t="str">
        <x:v>Gold</x:v>
      </x:c>
      <x:c r="F4" s="40" t="n">
        <x:f>SUMIFS(Trade_Calc!$AZ$4:$AZ$301,Trade_Calc!$B$4:$B$301,A4,Trade_Calc!$C$4:$C$301,B4,Trade_Calc!$E$4:$E$301,C4,Trade_Calc!$AI$4:$AI$301,D4,Trade_Calc!$AH$4:$AH$301,E4)</x:f>
        <x:v>-3750000</x:v>
      </x:c>
      <x:c r="G4" s="41" t="n">
        <x:f>AVERAGEIFS(Trade_Calc!$AM$4:$AM$301,Trade_Calc!$B$4:$B$301,A4,Trade_Calc!$C$4:$C$301,B4,Trade_Calc!$E$4:$E$301,C4,Trade_Calc!$AI$4:$AI$301,D4,Trade_Calc!$AH$4:$AH$301,E4)</x:f>
        <x:v>0.18</x:v>
      </x:c>
      <x:c r="H4" s="42" t="n">
        <x:f>VLOOKUP("Commodity",Parameters!$J$4:$K$8,2,FALSE)</x:f>
        <x:v>0.4</x:v>
      </x:c>
      <x:c r="I4" s="40" t="n">
        <x:f>F4*G4</x:f>
        <x:v>-675000</x:v>
      </x:c>
      <x:c r="J4" s="40" t="n">
        <x:f>H4*I4</x:f>
        <x:v>-270000</x:v>
      </x:c>
      <x:c r="K4" s="40" t="n">
        <x:f>(1-H4^2)*I4^2</x:f>
        <x:v>382725000000</x:v>
      </x:c>
    </x:row>
    <x:row r="5">
      <x:c r="A5" s="27" t="str">
        <x:v>IND_PENSION_001</x:v>
      </x:c>
      <x:c r="B5" s="27" t="str">
        <x:v>3113</x:v>
      </x:c>
      <x:c r="C5" s="27" t="str">
        <x:v>Commodity</x:v>
      </x:c>
      <x:c r="D5" s="27" t="str">
        <x:v>Metals</x:v>
      </x:c>
      <x:c r="E5" s="27" t="str">
        <x:v>Gold</x:v>
      </x:c>
      <x:c r="F5" s="40" t="n">
        <x:f>SUMIFS(Trade_Calc!$AZ$4:$AZ$301,Trade_Calc!$B$4:$B$301,A5,Trade_Calc!$C$4:$C$301,B5,Trade_Calc!$E$4:$E$301,C5,Trade_Calc!$AI$4:$AI$301,D5,Trade_Calc!$AH$4:$AH$301,E5)</x:f>
        <x:v>53580000.00000001</x:v>
      </x:c>
      <x:c r="G5" s="41" t="n">
        <x:f>AVERAGEIFS(Trade_Calc!$AM$4:$AM$301,Trade_Calc!$B$4:$B$301,A5,Trade_Calc!$C$4:$C$301,B5,Trade_Calc!$E$4:$E$301,C5,Trade_Calc!$AI$4:$AI$301,D5,Trade_Calc!$AH$4:$AH$301,E5)</x:f>
        <x:v>0.18</x:v>
      </x:c>
      <x:c r="H5" s="42" t="n">
        <x:f>VLOOKUP("Commodity",Parameters!$J$4:$K$8,2,FALSE)</x:f>
        <x:v>0.4</x:v>
      </x:c>
      <x:c r="I5" s="40" t="n">
        <x:f>F5*G5</x:f>
        <x:v>9644400.000000002</x:v>
      </x:c>
      <x:c r="J5" s="40" t="n">
        <x:f>H5*I5</x:f>
        <x:v>3857760.000000001</x:v>
      </x:c>
      <x:c r="K5" s="40" t="n">
        <x:f>(1-H5^2)*I5^2</x:f>
        <x:v>78132139142400.02</x:v>
      </x:c>
    </x:row>
    <x:row r="6">
      <x:c r="A6" s="27" t="str">
        <x:v>IND_CORPORATE_001</x:v>
      </x:c>
      <x:c r="B6" s="27" t="str">
        <x:v>3358</x:v>
      </x:c>
      <x:c r="C6" s="27" t="str">
        <x:v>Commodity</x:v>
      </x:c>
      <x:c r="D6" s="27" t="str">
        <x:v>Metals</x:v>
      </x:c>
      <x:c r="E6" s="27" t="str">
        <x:v>Gold</x:v>
      </x:c>
      <x:c r="F6" s="40" t="n">
        <x:f>SUMIFS(Trade_Calc!$AZ$4:$AZ$301,Trade_Calc!$B$4:$B$301,A6,Trade_Calc!$C$4:$C$301,B6,Trade_Calc!$E$4:$E$301,C6,Trade_Calc!$AI$4:$AI$301,D6,Trade_Calc!$AH$4:$AH$301,E6)</x:f>
        <x:v>-10200000</x:v>
      </x:c>
      <x:c r="G6" s="41" t="n">
        <x:f>AVERAGEIFS(Trade_Calc!$AM$4:$AM$301,Trade_Calc!$B$4:$B$301,A6,Trade_Calc!$C$4:$C$301,B6,Trade_Calc!$E$4:$E$301,C6,Trade_Calc!$AI$4:$AI$301,D6,Trade_Calc!$AH$4:$AH$301,E6)</x:f>
        <x:v>0.18</x:v>
      </x:c>
      <x:c r="H6" s="42" t="n">
        <x:f>VLOOKUP("Commodity",Parameters!$J$4:$K$8,2,FALSE)</x:f>
        <x:v>0.4</x:v>
      </x:c>
      <x:c r="I6" s="40" t="n">
        <x:f>F6*G6</x:f>
        <x:v>-1836000</x:v>
      </x:c>
      <x:c r="J6" s="40" t="n">
        <x:f>H6*I6</x:f>
        <x:v>-734400</x:v>
      </x:c>
      <x:c r="K6" s="40" t="n">
        <x:f>(1-H6^2)*I6^2</x:f>
        <x:v>2831552640000</x:v>
      </x:c>
    </x:row>
    <x:row r="7">
      <x:c r="A7" s="27" t="str">
        <x:v>IND_PENSION_001</x:v>
      </x:c>
      <x:c r="B7" s="27" t="str">
        <x:v>3060</x:v>
      </x:c>
      <x:c r="C7" s="27" t="str">
        <x:v>Commodity</x:v>
      </x:c>
      <x:c r="D7" s="27" t="str">
        <x:v>Metals</x:v>
      </x:c>
      <x:c r="E7" s="27" t="str">
        <x:v>Gold</x:v>
      </x:c>
      <x:c r="F7" s="40" t="n">
        <x:f>SUMIFS(Trade_Calc!$AZ$4:$AZ$301,Trade_Calc!$B$4:$B$301,A7,Trade_Calc!$C$4:$C$301,B7,Trade_Calc!$E$4:$E$301,C7,Trade_Calc!$AI$4:$AI$301,D7,Trade_Calc!$AH$4:$AH$301,E7)</x:f>
        <x:v>-109777358.39944655</x:v>
      </x:c>
      <x:c r="G7" s="41" t="n">
        <x:f>AVERAGEIFS(Trade_Calc!$AM$4:$AM$301,Trade_Calc!$B$4:$B$301,A7,Trade_Calc!$C$4:$C$301,B7,Trade_Calc!$E$4:$E$301,C7,Trade_Calc!$AI$4:$AI$301,D7,Trade_Calc!$AH$4:$AH$301,E7)</x:f>
        <x:v>0.18000000000000002</x:v>
      </x:c>
      <x:c r="H7" s="42" t="n">
        <x:f>VLOOKUP("Commodity",Parameters!$J$4:$K$8,2,FALSE)</x:f>
        <x:v>0.4</x:v>
      </x:c>
      <x:c r="I7" s="40" t="n">
        <x:f>F7*G7</x:f>
        <x:v>-19759924.51190038</x:v>
      </x:c>
      <x:c r="J7" s="40" t="n">
        <x:f>H7*I7</x:f>
        <x:v>-7903969.8047601525</x:v>
      </x:c>
      <x:c r="K7" s="40" t="n">
        <x:f>(1-H7^2)*I7^2</x:f>
        <x:v>327981878041441.25</x:v>
      </x:c>
    </x:row>
    <x:row r="8">
      <x:c r="A8" s="27" t="str">
        <x:v>IND_ASSET_MANAGER_001</x:v>
      </x:c>
      <x:c r="B8" s="27" t="str">
        <x:v>3205</x:v>
      </x:c>
      <x:c r="C8" s="27" t="str">
        <x:v>Commodity</x:v>
      </x:c>
      <x:c r="D8" s="27" t="str">
        <x:v>Metals</x:v>
      </x:c>
      <x:c r="E8" s="27" t="str">
        <x:v>Gold</x:v>
      </x:c>
      <x:c r="F8" s="40" t="n">
        <x:f>SUMIFS(Trade_Calc!$AZ$4:$AZ$301,Trade_Calc!$B$4:$B$301,A8,Trade_Calc!$C$4:$C$301,B8,Trade_Calc!$E$4:$E$301,C8,Trade_Calc!$AI$4:$AI$301,D8,Trade_Calc!$AH$4:$AH$301,E8)</x:f>
        <x:v>-89900000</x:v>
      </x:c>
      <x:c r="G8" s="41" t="n">
        <x:f>AVERAGEIFS(Trade_Calc!$AM$4:$AM$301,Trade_Calc!$B$4:$B$301,A8,Trade_Calc!$C$4:$C$301,B8,Trade_Calc!$E$4:$E$301,C8,Trade_Calc!$AI$4:$AI$301,D8,Trade_Calc!$AH$4:$AH$301,E8)</x:f>
        <x:v>0.18</x:v>
      </x:c>
      <x:c r="H8" s="42" t="n">
        <x:f>VLOOKUP("Commodity",Parameters!$J$4:$K$8,2,FALSE)</x:f>
        <x:v>0.4</x:v>
      </x:c>
      <x:c r="I8" s="40" t="n">
        <x:f>F8*G8</x:f>
        <x:v>-16182000</x:v>
      </x:c>
      <x:c r="J8" s="40" t="n">
        <x:f>H8*I8</x:f>
        <x:v>-6472800</x:v>
      </x:c>
      <x:c r="K8" s="40" t="n">
        <x:f>(1-H8^2)*I8^2</x:f>
        <x:v>219959984160000</x:v>
      </x:c>
    </x:row>
    <x:row r="9">
      <x:c r="A9" s="27" t="str">
        <x:v>IND_BANK_001</x:v>
      </x:c>
      <x:c r="B9" s="27" t="str">
        <x:v>3172</x:v>
      </x:c>
      <x:c r="C9" s="27" t="str">
        <x:v>Commodity</x:v>
      </x:c>
      <x:c r="D9" s="27" t="str">
        <x:v>Metals</x:v>
      </x:c>
      <x:c r="E9" s="27" t="str">
        <x:v>Gold</x:v>
      </x:c>
      <x:c r="F9" s="40" t="n">
        <x:f>SUMIFS(Trade_Calc!$AZ$4:$AZ$301,Trade_Calc!$B$4:$B$301,A9,Trade_Calc!$C$4:$C$301,B9,Trade_Calc!$E$4:$E$301,C9,Trade_Calc!$AI$4:$AI$301,D9,Trade_Calc!$AH$4:$AH$301,E9)</x:f>
        <x:v>5670000.000000001</x:v>
      </x:c>
      <x:c r="G9" s="41" t="n">
        <x:f>AVERAGEIFS(Trade_Calc!$AM$4:$AM$301,Trade_Calc!$B$4:$B$301,A9,Trade_Calc!$C$4:$C$301,B9,Trade_Calc!$E$4:$E$301,C9,Trade_Calc!$AI$4:$AI$301,D9,Trade_Calc!$AH$4:$AH$301,E9)</x:f>
        <x:v>0.18</x:v>
      </x:c>
      <x:c r="H9" s="42" t="n">
        <x:f>VLOOKUP("Commodity",Parameters!$J$4:$K$8,2,FALSE)</x:f>
        <x:v>0.4</x:v>
      </x:c>
      <x:c r="I9" s="40" t="n">
        <x:f>F9*G9</x:f>
        <x:v>1020600.0000000001</x:v>
      </x:c>
      <x:c r="J9" s="40" t="n">
        <x:f>H9*I9</x:f>
        <x:v>408240.00000000006</x:v>
      </x:c>
      <x:c r="K9" s="40" t="n">
        <x:f>(1-H9^2)*I9^2</x:f>
        <x:v>874964462400.0001</x:v>
      </x:c>
    </x:row>
    <x:row r="10">
      <x:c r="A10" s="27" t="str">
        <x:v>IND_BANK_002</x:v>
      </x:c>
      <x:c r="B10" s="27" t="str">
        <x:v>3323</x:v>
      </x:c>
      <x:c r="C10" s="27" t="str">
        <x:v>Commodity</x:v>
      </x:c>
      <x:c r="D10" s="27" t="str">
        <x:v>Metals</x:v>
      </x:c>
      <x:c r="E10" s="27" t="str">
        <x:v>Gold</x:v>
      </x:c>
      <x:c r="F10" s="40" t="n">
        <x:f>SUMIFS(Trade_Calc!$AZ$4:$AZ$301,Trade_Calc!$B$4:$B$301,A10,Trade_Calc!$C$4:$C$301,B10,Trade_Calc!$E$4:$E$301,C10,Trade_Calc!$AI$4:$AI$301,D10,Trade_Calc!$AH$4:$AH$301,E10)</x:f>
        <x:v>6200000</x:v>
      </x:c>
      <x:c r="G10" s="41" t="n">
        <x:f>AVERAGEIFS(Trade_Calc!$AM$4:$AM$301,Trade_Calc!$B$4:$B$301,A10,Trade_Calc!$C$4:$C$301,B10,Trade_Calc!$E$4:$E$301,C10,Trade_Calc!$AI$4:$AI$301,D10,Trade_Calc!$AH$4:$AH$301,E10)</x:f>
        <x:v>0.18</x:v>
      </x:c>
      <x:c r="H10" s="42" t="n">
        <x:f>VLOOKUP("Commodity",Parameters!$J$4:$K$8,2,FALSE)</x:f>
        <x:v>0.4</x:v>
      </x:c>
      <x:c r="I10" s="40" t="n">
        <x:f>F10*G10</x:f>
        <x:v>1116000</x:v>
      </x:c>
      <x:c r="J10" s="40" t="n">
        <x:f>H10*I10</x:f>
        <x:v>446400</x:v>
      </x:c>
      <x:c r="K10" s="40" t="n">
        <x:f>(1-H10^2)*I10^2</x:f>
        <x:v>1046183040000</x:v>
      </x:c>
    </x:row>
    <x:row r="11">
      <x:c r="A11" s="27" t="str">
        <x:v>IND_REGIONAL_BANK_001</x:v>
      </x:c>
      <x:c r="B11" s="27" t="str">
        <x:v>3082</x:v>
      </x:c>
      <x:c r="C11" s="27" t="str">
        <x:v>Commodity</x:v>
      </x:c>
      <x:c r="D11" s="27" t="str">
        <x:v>Metals</x:v>
      </x:c>
      <x:c r="E11" s="27" t="str">
        <x:v>Gold</x:v>
      </x:c>
      <x:c r="F11" s="40" t="n">
        <x:f>SUMIFS(Trade_Calc!$AZ$4:$AZ$301,Trade_Calc!$B$4:$B$301,A11,Trade_Calc!$C$4:$C$301,B11,Trade_Calc!$E$4:$E$301,C11,Trade_Calc!$AI$4:$AI$301,D11,Trade_Calc!$AH$4:$AH$301,E11)</x:f>
        <x:v>-29730000.000000004</x:v>
      </x:c>
      <x:c r="G11" s="41" t="n">
        <x:f>AVERAGEIFS(Trade_Calc!$AM$4:$AM$301,Trade_Calc!$B$4:$B$301,A11,Trade_Calc!$C$4:$C$301,B11,Trade_Calc!$E$4:$E$301,C11,Trade_Calc!$AI$4:$AI$301,D11,Trade_Calc!$AH$4:$AH$301,E11)</x:f>
        <x:v>0.18</x:v>
      </x:c>
      <x:c r="H11" s="42" t="n">
        <x:f>VLOOKUP("Commodity",Parameters!$J$4:$K$8,2,FALSE)</x:f>
        <x:v>0.4</x:v>
      </x:c>
      <x:c r="I11" s="40" t="n">
        <x:f>F11*G11</x:f>
        <x:v>-5351400.000000001</x:v>
      </x:c>
      <x:c r="J11" s="40" t="n">
        <x:f>H11*I11</x:f>
        <x:v>-2140560.0000000005</x:v>
      </x:c>
      <x:c r="K11" s="40" t="n">
        <x:f>(1-H11^2)*I11^2</x:f>
        <x:v>24055484846400.008</x:v>
      </x:c>
    </x:row>
    <x:row r="12">
      <x:c r="A12" s="27" t="str">
        <x:v>IND_BANK_002</x:v>
      </x:c>
      <x:c r="B12" s="27" t="str">
        <x:v>3259</x:v>
      </x:c>
      <x:c r="C12" s="27" t="str">
        <x:v>Commodity</x:v>
      </x:c>
      <x:c r="D12" s="27" t="str">
        <x:v>Metals</x:v>
      </x:c>
      <x:c r="E12" s="27" t="str">
        <x:v>Gold</x:v>
      </x:c>
      <x:c r="F12" s="40" t="n">
        <x:f>SUMIFS(Trade_Calc!$AZ$4:$AZ$301,Trade_Calc!$B$4:$B$301,A12,Trade_Calc!$C$4:$C$301,B12,Trade_Calc!$E$4:$E$301,C12,Trade_Calc!$AI$4:$AI$301,D12,Trade_Calc!$AH$4:$AH$301,E12)</x:f>
        <x:v>23272637.04081649</x:v>
      </x:c>
      <x:c r="G12" s="41" t="n">
        <x:f>AVERAGEIFS(Trade_Calc!$AM$4:$AM$301,Trade_Calc!$B$4:$B$301,A12,Trade_Calc!$C$4:$C$301,B12,Trade_Calc!$E$4:$E$301,C12,Trade_Calc!$AI$4:$AI$301,D12,Trade_Calc!$AH$4:$AH$301,E12)</x:f>
        <x:v>0.18</x:v>
      </x:c>
      <x:c r="H12" s="42" t="n">
        <x:f>VLOOKUP("Commodity",Parameters!$J$4:$K$8,2,FALSE)</x:f>
        <x:v>0.4</x:v>
      </x:c>
      <x:c r="I12" s="40" t="n">
        <x:f>F12*G12</x:f>
        <x:v>4189074.667346968</x:v>
      </x:c>
      <x:c r="J12" s="40" t="n">
        <x:f>H12*I12</x:f>
        <x:v>1675629.8669387873</x:v>
      </x:c>
      <x:c r="K12" s="40" t="n">
        <x:f>(1-H12^2)*I12^2</x:f>
        <x:v>14740611117630.81</x:v>
      </x:c>
    </x:row>
    <x:row r="13">
      <x:c r="A13" s="27" t="str">
        <x:v>IND_INSURER_001</x:v>
      </x:c>
      <x:c r="B13" s="27" t="str">
        <x:v>3257</x:v>
      </x:c>
      <x:c r="C13" s="27" t="str">
        <x:v>Commodity</x:v>
      </x:c>
      <x:c r="D13" s="27" t="str">
        <x:v>Metals</x:v>
      </x:c>
      <x:c r="E13" s="27" t="str">
        <x:v>Gold</x:v>
      </x:c>
      <x:c r="F13" s="40" t="n">
        <x:f>SUMIFS(Trade_Calc!$AZ$4:$AZ$301,Trade_Calc!$B$4:$B$301,A13,Trade_Calc!$C$4:$C$301,B13,Trade_Calc!$E$4:$E$301,C13,Trade_Calc!$AI$4:$AI$301,D13,Trade_Calc!$AH$4:$AH$301,E13)</x:f>
        <x:v>21000000.000000004</x:v>
      </x:c>
      <x:c r="G13" s="41" t="n">
        <x:f>AVERAGEIFS(Trade_Calc!$AM$4:$AM$301,Trade_Calc!$B$4:$B$301,A13,Trade_Calc!$C$4:$C$301,B13,Trade_Calc!$E$4:$E$301,C13,Trade_Calc!$AI$4:$AI$301,D13,Trade_Calc!$AH$4:$AH$301,E13)</x:f>
        <x:v>0.18</x:v>
      </x:c>
      <x:c r="H13" s="42" t="n">
        <x:f>VLOOKUP("Commodity",Parameters!$J$4:$K$8,2,FALSE)</x:f>
        <x:v>0.4</x:v>
      </x:c>
      <x:c r="I13" s="40" t="n">
        <x:f>F13*G13</x:f>
        <x:v>3780000.0000000005</x:v>
      </x:c>
      <x:c r="J13" s="40" t="n">
        <x:f>H13*I13</x:f>
        <x:v>1512000.0000000002</x:v>
      </x:c>
      <x:c r="K13" s="40" t="n">
        <x:f>(1-H13^2)*I13^2</x:f>
        <x:v>12002256000000.002</x:v>
      </x:c>
    </x:row>
    <x:row r="14">
      <x:c r="A14" s="27" t="str">
        <x:v>IND_CORPORATE_002</x:v>
      </x:c>
      <x:c r="B14" s="27" t="str">
        <x:v>3130</x:v>
      </x:c>
      <x:c r="C14" s="27" t="str">
        <x:v>Commodity</x:v>
      </x:c>
      <x:c r="D14" s="27" t="str">
        <x:v>Metals</x:v>
      </x:c>
      <x:c r="E14" s="27" t="str">
        <x:v>Gold</x:v>
      </x:c>
      <x:c r="F14" s="40" t="n">
        <x:f>SUMIFS(Trade_Calc!$AZ$4:$AZ$301,Trade_Calc!$B$4:$B$301,A14,Trade_Calc!$C$4:$C$301,B14,Trade_Calc!$E$4:$E$301,C14,Trade_Calc!$AI$4:$AI$301,D14,Trade_Calc!$AH$4:$AH$301,E14)</x:f>
        <x:v>-12136329.822279092</x:v>
      </x:c>
      <x:c r="G14" s="41" t="n">
        <x:f>AVERAGEIFS(Trade_Calc!$AM$4:$AM$301,Trade_Calc!$B$4:$B$301,A14,Trade_Calc!$C$4:$C$301,B14,Trade_Calc!$E$4:$E$301,C14,Trade_Calc!$AI$4:$AI$301,D14,Trade_Calc!$AH$4:$AH$301,E14)</x:f>
        <x:v>0.18</x:v>
      </x:c>
      <x:c r="H14" s="42" t="n">
        <x:f>VLOOKUP("Commodity",Parameters!$J$4:$K$8,2,FALSE)</x:f>
        <x:v>0.4</x:v>
      </x:c>
      <x:c r="I14" s="40" t="n">
        <x:f>F14*G14</x:f>
        <x:v>-2184539.3680102364</x:v>
      </x:c>
      <x:c r="J14" s="40" t="n">
        <x:f>H14*I14</x:f>
        <x:v>-873815.7472040947</x:v>
      </x:c>
      <x:c r="K14" s="40" t="n">
        <x:f>(1-H14^2)*I14^2</x:f>
        <x:v>4008658290324.7134</x:v>
      </x:c>
    </x:row>
    <x:row r="15">
      <x:c r="A15" s="27" t="str">
        <x:v>IND_BANK_001</x:v>
      </x:c>
      <x:c r="B15" s="27" t="str">
        <x:v>3348</x:v>
      </x:c>
      <x:c r="C15" s="27" t="str">
        <x:v>Commodity</x:v>
      </x:c>
      <x:c r="D15" s="27" t="str">
        <x:v>Metals</x:v>
      </x:c>
      <x:c r="E15" s="27" t="str">
        <x:v>Gold</x:v>
      </x:c>
      <x:c r="F15" s="40" t="n">
        <x:f>SUMIFS(Trade_Calc!$AZ$4:$AZ$301,Trade_Calc!$B$4:$B$301,A15,Trade_Calc!$C$4:$C$301,B15,Trade_Calc!$E$4:$E$301,C15,Trade_Calc!$AI$4:$AI$301,D15,Trade_Calc!$AH$4:$AH$301,E15)</x:f>
        <x:v>51600000</x:v>
      </x:c>
      <x:c r="G15" s="41" t="n">
        <x:f>AVERAGEIFS(Trade_Calc!$AM$4:$AM$301,Trade_Calc!$B$4:$B$301,A15,Trade_Calc!$C$4:$C$301,B15,Trade_Calc!$E$4:$E$301,C15,Trade_Calc!$AI$4:$AI$301,D15,Trade_Calc!$AH$4:$AH$301,E15)</x:f>
        <x:v>0.18</x:v>
      </x:c>
      <x:c r="H15" s="42" t="n">
        <x:f>VLOOKUP("Commodity",Parameters!$J$4:$K$8,2,FALSE)</x:f>
        <x:v>0.4</x:v>
      </x:c>
      <x:c r="I15" s="40" t="n">
        <x:f>F15*G15</x:f>
        <x:v>9288000</x:v>
      </x:c>
      <x:c r="J15" s="40" t="n">
        <x:f>H15*I15</x:f>
        <x:v>3715200</x:v>
      </x:c>
      <x:c r="K15" s="40" t="n">
        <x:f>(1-H15^2)*I15^2</x:f>
        <x:v>72464232960000</x:v>
      </x:c>
    </x:row>
    <x:row r="16">
      <x:c r="A16" s="27" t="str">
        <x:v>IND_CORPORATE_002</x:v>
      </x:c>
      <x:c r="B16" s="27" t="str">
        <x:v>3126</x:v>
      </x:c>
      <x:c r="C16" s="27" t="str">
        <x:v>Commodity</x:v>
      </x:c>
      <x:c r="D16" s="27" t="str">
        <x:v>Metals</x:v>
      </x:c>
      <x:c r="E16" s="27" t="str">
        <x:v>Gold</x:v>
      </x:c>
      <x:c r="F16" s="40" t="n">
        <x:f>SUMIFS(Trade_Calc!$AZ$4:$AZ$301,Trade_Calc!$B$4:$B$301,A16,Trade_Calc!$C$4:$C$301,B16,Trade_Calc!$E$4:$E$301,C16,Trade_Calc!$AI$4:$AI$301,D16,Trade_Calc!$AH$4:$AH$301,E16)</x:f>
        <x:v>2190000.0000000005</x:v>
      </x:c>
      <x:c r="G16" s="41" t="n">
        <x:f>AVERAGEIFS(Trade_Calc!$AM$4:$AM$301,Trade_Calc!$B$4:$B$301,A16,Trade_Calc!$C$4:$C$301,B16,Trade_Calc!$E$4:$E$301,C16,Trade_Calc!$AI$4:$AI$301,D16,Trade_Calc!$AH$4:$AH$301,E16)</x:f>
        <x:v>0.18</x:v>
      </x:c>
      <x:c r="H16" s="42" t="n">
        <x:f>VLOOKUP("Commodity",Parameters!$J$4:$K$8,2,FALSE)</x:f>
        <x:v>0.4</x:v>
      </x:c>
      <x:c r="I16" s="40" t="n">
        <x:f>F16*G16</x:f>
        <x:v>394200.00000000006</x:v>
      </x:c>
      <x:c r="J16" s="40" t="n">
        <x:f>H16*I16</x:f>
        <x:v>157680.00000000003</x:v>
      </x:c>
      <x:c r="K16" s="40" t="n">
        <x:f>(1-H16^2)*I16^2</x:f>
        <x:v>130530657600.00005</x:v>
      </x:c>
    </x:row>
    <x:row r="17">
      <x:c r="A17" s="27" t="str">
        <x:v>IND_CLEARING_MEMBER_001</x:v>
      </x:c>
      <x:c r="B17" s="27" t="str">
        <x:v>3340</x:v>
      </x:c>
      <x:c r="C17" s="27" t="str">
        <x:v>Commodity</x:v>
      </x:c>
      <x:c r="D17" s="27" t="str">
        <x:v>Metals</x:v>
      </x:c>
      <x:c r="E17" s="27" t="str">
        <x:v>Gold</x:v>
      </x:c>
      <x:c r="F17" s="40" t="n">
        <x:f>SUMIFS(Trade_Calc!$AZ$4:$AZ$301,Trade_Calc!$B$4:$B$301,A17,Trade_Calc!$C$4:$C$301,B17,Trade_Calc!$E$4:$E$301,C17,Trade_Calc!$AI$4:$AI$301,D17,Trade_Calc!$AH$4:$AH$301,E17)</x:f>
        <x:v>-900000.0000000001</x:v>
      </x:c>
      <x:c r="G17" s="41" t="n">
        <x:f>AVERAGEIFS(Trade_Calc!$AM$4:$AM$301,Trade_Calc!$B$4:$B$301,A17,Trade_Calc!$C$4:$C$301,B17,Trade_Calc!$E$4:$E$301,C17,Trade_Calc!$AI$4:$AI$301,D17,Trade_Calc!$AH$4:$AH$301,E17)</x:f>
        <x:v>0.18</x:v>
      </x:c>
      <x:c r="H17" s="42" t="n">
        <x:f>VLOOKUP("Commodity",Parameters!$J$4:$K$8,2,FALSE)</x:f>
        <x:v>0.4</x:v>
      </x:c>
      <x:c r="I17" s="40" t="n">
        <x:f>F17*G17</x:f>
        <x:v>-162000.00000000003</x:v>
      </x:c>
      <x:c r="J17" s="40" t="n">
        <x:f>H17*I17</x:f>
        <x:v>-64800.000000000015</x:v>
      </x:c>
      <x:c r="K17" s="40" t="n">
        <x:f>(1-H17^2)*I17^2</x:f>
        <x:v>22044960000.000004</x:v>
      </x:c>
    </x:row>
    <x:row r="18">
      <x:c r="A18" s="27" t="str">
        <x:v>IND_HEDGE_FUND_001</x:v>
      </x:c>
      <x:c r="B18" s="27" t="str">
        <x:v>3109</x:v>
      </x:c>
      <x:c r="C18" s="27" t="str">
        <x:v>Commodity</x:v>
      </x:c>
      <x:c r="D18" s="27" t="str">
        <x:v>Metals</x:v>
      </x:c>
      <x:c r="E18" s="27" t="str">
        <x:v>Gold</x:v>
      </x:c>
      <x:c r="F18" s="40" t="n">
        <x:f>SUMIFS(Trade_Calc!$AZ$4:$AZ$301,Trade_Calc!$B$4:$B$301,A18,Trade_Calc!$C$4:$C$301,B18,Trade_Calc!$E$4:$E$301,C18,Trade_Calc!$AI$4:$AI$301,D18,Trade_Calc!$AH$4:$AH$301,E18)</x:f>
        <x:v>19503064.313356407</x:v>
      </x:c>
      <x:c r="G18" s="41" t="n">
        <x:f>AVERAGEIFS(Trade_Calc!$AM$4:$AM$301,Trade_Calc!$B$4:$B$301,A18,Trade_Calc!$C$4:$C$301,B18,Trade_Calc!$E$4:$E$301,C18,Trade_Calc!$AI$4:$AI$301,D18,Trade_Calc!$AH$4:$AH$301,E18)</x:f>
        <x:v>0.18000000000000002</x:v>
      </x:c>
      <x:c r="H18" s="42" t="n">
        <x:f>VLOOKUP("Commodity",Parameters!$J$4:$K$8,2,FALSE)</x:f>
        <x:v>0.4</x:v>
      </x:c>
      <x:c r="I18" s="40" t="n">
        <x:f>F18*G18</x:f>
        <x:v>3510551.576404154</x:v>
      </x:c>
      <x:c r="J18" s="40" t="n">
        <x:f>H18*I18</x:f>
        <x:v>1404220.6305616617</x:v>
      </x:c>
      <x:c r="K18" s="40" t="n">
        <x:f>(1-H18^2)*I18^2</x:f>
        <x:v>10352136791298.7</x:v>
      </x:c>
    </x:row>
    <x:row r="19">
      <x:c r="A19" s="27" t="str">
        <x:v>IND_ASSET_MANAGER_001</x:v>
      </x:c>
      <x:c r="B19" s="27" t="str">
        <x:v>3331</x:v>
      </x:c>
      <x:c r="C19" s="27" t="str">
        <x:v>Commodity</x:v>
      </x:c>
      <x:c r="D19" s="27" t="str">
        <x:v>Metals</x:v>
      </x:c>
      <x:c r="E19" s="27" t="str">
        <x:v>Gold</x:v>
      </x:c>
      <x:c r="F19" s="40" t="n">
        <x:f>SUMIFS(Trade_Calc!$AZ$4:$AZ$301,Trade_Calc!$B$4:$B$301,A19,Trade_Calc!$C$4:$C$301,B19,Trade_Calc!$E$4:$E$301,C19,Trade_Calc!$AI$4:$AI$301,D19,Trade_Calc!$AH$4:$AH$301,E19)</x:f>
        <x:v>-9814872.8923353</x:v>
      </x:c>
      <x:c r="G19" s="41" t="n">
        <x:f>AVERAGEIFS(Trade_Calc!$AM$4:$AM$301,Trade_Calc!$B$4:$B$301,A19,Trade_Calc!$C$4:$C$301,B19,Trade_Calc!$E$4:$E$301,C19,Trade_Calc!$AI$4:$AI$301,D19,Trade_Calc!$AH$4:$AH$301,E19)</x:f>
        <x:v>0.18000000000000002</x:v>
      </x:c>
      <x:c r="H19" s="42" t="n">
        <x:f>VLOOKUP("Commodity",Parameters!$J$4:$K$8,2,FALSE)</x:f>
        <x:v>0.4</x:v>
      </x:c>
      <x:c r="I19" s="40" t="n">
        <x:f>F19*G19</x:f>
        <x:v>-1766677.120620354</x:v>
      </x:c>
      <x:c r="J19" s="40" t="n">
        <x:f>H19*I19</x:f>
        <x:v>-706670.8482481417</x:v>
      </x:c>
      <x:c r="K19" s="40" t="n">
        <x:f>(1-H19^2)*I19^2</x:f>
        <x:v>2621764360759.6772</x:v>
      </x:c>
    </x:row>
    <x:row r="20">
      <x:c r="A20" s="27" t="str">
        <x:v>IND_SOVEREIGN_001</x:v>
      </x:c>
      <x:c r="B20" s="27" t="str">
        <x:v>3357</x:v>
      </x:c>
      <x:c r="C20" s="27" t="str">
        <x:v>Commodity</x:v>
      </x:c>
      <x:c r="D20" s="27" t="str">
        <x:v>Metals</x:v>
      </x:c>
      <x:c r="E20" s="27" t="str">
        <x:v>Gold</x:v>
      </x:c>
      <x:c r="F20" s="40" t="n">
        <x:f>SUMIFS(Trade_Calc!$AZ$4:$AZ$301,Trade_Calc!$B$4:$B$301,A20,Trade_Calc!$C$4:$C$301,B20,Trade_Calc!$E$4:$E$301,C20,Trade_Calc!$AI$4:$AI$301,D20,Trade_Calc!$AH$4:$AH$301,E20)</x:f>
        <x:v>-1580491.678727371</x:v>
      </x:c>
      <x:c r="G20" s="41" t="n">
        <x:f>AVERAGEIFS(Trade_Calc!$AM$4:$AM$301,Trade_Calc!$B$4:$B$301,A20,Trade_Calc!$C$4:$C$301,B20,Trade_Calc!$E$4:$E$301,C20,Trade_Calc!$AI$4:$AI$301,D20,Trade_Calc!$AH$4:$AH$301,E20)</x:f>
        <x:v>0.18</x:v>
      </x:c>
      <x:c r="H20" s="42" t="n">
        <x:f>VLOOKUP("Commodity",Parameters!$J$4:$K$8,2,FALSE)</x:f>
        <x:v>0.4</x:v>
      </x:c>
      <x:c r="I20" s="40" t="n">
        <x:f>F20*G20</x:f>
        <x:v>-284488.5021709268</x:v>
      </x:c>
      <x:c r="J20" s="40" t="n">
        <x:f>H20*I20</x:f>
        <x:v>-113795.40086837072</x:v>
      </x:c>
      <x:c r="K20" s="40" t="n">
        <x:f>(1-H20^2)*I20^2</x:f>
        <x:v>67984314608.66422</x:v>
      </x:c>
    </x:row>
    <x:row r="21">
      <x:c r="A21" s="27" t="str">
        <x:v>IND_CLEARING_MEMBER_001</x:v>
      </x:c>
      <x:c r="B21" s="27" t="str">
        <x:v>3186</x:v>
      </x:c>
      <x:c r="C21" s="27" t="str">
        <x:v>Commodity</x:v>
      </x:c>
      <x:c r="D21" s="27" t="str">
        <x:v>Metals</x:v>
      </x:c>
      <x:c r="E21" s="27" t="str">
        <x:v>Gold</x:v>
      </x:c>
      <x:c r="F21" s="40" t="n">
        <x:f>SUMIFS(Trade_Calc!$AZ$4:$AZ$301,Trade_Calc!$B$4:$B$301,A21,Trade_Calc!$C$4:$C$301,B21,Trade_Calc!$E$4:$E$301,C21,Trade_Calc!$AI$4:$AI$301,D21,Trade_Calc!$AH$4:$AH$301,E21)</x:f>
        <x:v>13165719.081212154</x:v>
      </x:c>
      <x:c r="G21" s="41" t="n">
        <x:f>AVERAGEIFS(Trade_Calc!$AM$4:$AM$301,Trade_Calc!$B$4:$B$301,A21,Trade_Calc!$C$4:$C$301,B21,Trade_Calc!$E$4:$E$301,C21,Trade_Calc!$AI$4:$AI$301,D21,Trade_Calc!$AH$4:$AH$301,E21)</x:f>
        <x:v>0.18</x:v>
      </x:c>
      <x:c r="H21" s="42" t="n">
        <x:f>VLOOKUP("Commodity",Parameters!$J$4:$K$8,2,FALSE)</x:f>
        <x:v>0.4</x:v>
      </x:c>
      <x:c r="I21" s="40" t="n">
        <x:f>F21*G21</x:f>
        <x:v>2369829.4346181876</x:v>
      </x:c>
      <x:c r="J21" s="40" t="n">
        <x:f>H21*I21</x:f>
        <x:v>947931.7738472751</x:v>
      </x:c>
      <x:c r="K21" s="40" t="n">
        <x:f>(1-H21^2)*I21^2</x:f>
        <x:v>4717516901313.518</x:v>
      </x:c>
    </x:row>
    <x:row r="22">
      <x:c r="A22" s="27" t="str">
        <x:v>IND_SOVEREIGN_001</x:v>
      </x:c>
      <x:c r="B22" s="27" t="str">
        <x:v>3126</x:v>
      </x:c>
      <x:c r="C22" s="27" t="str">
        <x:v>Commodity</x:v>
      </x:c>
      <x:c r="D22" s="27" t="str">
        <x:v>Metals</x:v>
      </x:c>
      <x:c r="E22" s="27" t="str">
        <x:v>Gold</x:v>
      </x:c>
      <x:c r="F22" s="40" t="n">
        <x:f>SUMIFS(Trade_Calc!$AZ$4:$AZ$301,Trade_Calc!$B$4:$B$301,A22,Trade_Calc!$C$4:$C$301,B22,Trade_Calc!$E$4:$E$301,C22,Trade_Calc!$AI$4:$AI$301,D22,Trade_Calc!$AH$4:$AH$301,E22)</x:f>
        <x:v>-16711584.854981186</x:v>
      </x:c>
      <x:c r="G22" s="41" t="n">
        <x:f>AVERAGEIFS(Trade_Calc!$AM$4:$AM$301,Trade_Calc!$B$4:$B$301,A22,Trade_Calc!$C$4:$C$301,B22,Trade_Calc!$E$4:$E$301,C22,Trade_Calc!$AI$4:$AI$301,D22,Trade_Calc!$AH$4:$AH$301,E22)</x:f>
        <x:v>0.18</x:v>
      </x:c>
      <x:c r="H22" s="42" t="n">
        <x:f>VLOOKUP("Commodity",Parameters!$J$4:$K$8,2,FALSE)</x:f>
        <x:v>0.4</x:v>
      </x:c>
      <x:c r="I22" s="40" t="n">
        <x:f>F22*G22</x:f>
        <x:v>-3008085.273896613</x:v>
      </x:c>
      <x:c r="J22" s="40" t="n">
        <x:f>H22*I22</x:f>
        <x:v>-1203234.1095586454</x:v>
      </x:c>
      <x:c r="K22" s="40" t="n">
        <x:f>(1-H22^2)*I22^2</x:f>
        <x:v>7600804692628.276</x:v>
      </x:c>
    </x:row>
    <x:row r="23">
      <x:c r="A23" s="27" t="str">
        <x:v>IND_ASSET_MANAGER_001</x:v>
      </x:c>
      <x:c r="B23" s="27" t="str">
        <x:v>3331</x:v>
      </x:c>
      <x:c r="C23" s="27" t="str">
        <x:v>Commodity</x:v>
      </x:c>
      <x:c r="D23" s="27" t="str">
        <x:v>Energy</x:v>
      </x:c>
      <x:c r="E23" s="27" t="str">
        <x:v>Oil</x:v>
      </x:c>
      <x:c r="F23" s="40" t="n">
        <x:f>SUMIFS(Trade_Calc!$AZ$4:$AZ$301,Trade_Calc!$B$4:$B$301,A23,Trade_Calc!$C$4:$C$301,B23,Trade_Calc!$E$4:$E$301,C23,Trade_Calc!$AI$4:$AI$301,D23,Trade_Calc!$AH$4:$AH$301,E23)</x:f>
        <x:v>1080000.0000000002</x:v>
      </x:c>
      <x:c r="G23" s="41" t="n">
        <x:f>AVERAGEIFS(Trade_Calc!$AM$4:$AM$301,Trade_Calc!$B$4:$B$301,A23,Trade_Calc!$C$4:$C$301,B23,Trade_Calc!$E$4:$E$301,C23,Trade_Calc!$AI$4:$AI$301,D23,Trade_Calc!$AH$4:$AH$301,E23)</x:f>
        <x:v>0.18</x:v>
      </x:c>
      <x:c r="H23" s="42" t="n">
        <x:f>VLOOKUP("Commodity",Parameters!$J$4:$K$8,2,FALSE)</x:f>
        <x:v>0.4</x:v>
      </x:c>
      <x:c r="I23" s="40" t="n">
        <x:f>F23*G23</x:f>
        <x:v>194400.00000000003</x:v>
      </x:c>
      <x:c r="J23" s="40" t="n">
        <x:f>H23*I23</x:f>
        <x:v>77760.00000000001</x:v>
      </x:c>
      <x:c r="K23" s="40" t="n">
        <x:f>(1-H23^2)*I23^2</x:f>
        <x:v>31744742400.000004</x:v>
      </x:c>
    </x:row>
    <x:row r="24">
      <x:c r="A24" s="27" t="str">
        <x:v>IND_HEDGE_FUND_001</x:v>
      </x:c>
      <x:c r="B24" s="27" t="str">
        <x:v>3109</x:v>
      </x:c>
      <x:c r="C24" s="27" t="str">
        <x:v>Commodity</x:v>
      </x:c>
      <x:c r="D24" s="27" t="str">
        <x:v>Energy</x:v>
      </x:c>
      <x:c r="E24" s="27" t="str">
        <x:v>Oil</x:v>
      </x:c>
      <x:c r="F24" s="40" t="n">
        <x:f>SUMIFS(Trade_Calc!$AZ$4:$AZ$301,Trade_Calc!$B$4:$B$301,A24,Trade_Calc!$C$4:$C$301,B24,Trade_Calc!$E$4:$E$301,C24,Trade_Calc!$AI$4:$AI$301,D24,Trade_Calc!$AH$4:$AH$301,E24)</x:f>
        <x:v>-330000.00000000006</x:v>
      </x:c>
      <x:c r="G24" s="41" t="n">
        <x:f>AVERAGEIFS(Trade_Calc!$AM$4:$AM$301,Trade_Calc!$B$4:$B$301,A24,Trade_Calc!$C$4:$C$301,B24,Trade_Calc!$E$4:$E$301,C24,Trade_Calc!$AI$4:$AI$301,D24,Trade_Calc!$AH$4:$AH$301,E24)</x:f>
        <x:v>0.18</x:v>
      </x:c>
      <x:c r="H24" s="42" t="n">
        <x:f>VLOOKUP("Commodity",Parameters!$J$4:$K$8,2,FALSE)</x:f>
        <x:v>0.4</x:v>
      </x:c>
      <x:c r="I24" s="40" t="n">
        <x:f>F24*G24</x:f>
        <x:v>-59400.00000000001</x:v>
      </x:c>
      <x:c r="J24" s="40" t="n">
        <x:f>H24*I24</x:f>
        <x:v>-23760.000000000004</x:v>
      </x:c>
      <x:c r="K24" s="40" t="n">
        <x:f>(1-H24^2)*I24^2</x:f>
        <x:v>2963822400.0000005</x:v>
      </x:c>
    </x:row>
    <x:row r="25">
      <x:c r="A25" s="27" t="str">
        <x:v>IND_INSURER_001</x:v>
      </x:c>
      <x:c r="B25" s="27" t="str">
        <x:v>3257</x:v>
      </x:c>
      <x:c r="C25" s="27" t="str">
        <x:v>Commodity</x:v>
      </x:c>
      <x:c r="D25" s="27" t="str">
        <x:v>Energy</x:v>
      </x:c>
      <x:c r="E25" s="27" t="str">
        <x:v>Oil</x:v>
      </x:c>
      <x:c r="F25" s="40" t="n">
        <x:f>SUMIFS(Trade_Calc!$AZ$4:$AZ$301,Trade_Calc!$B$4:$B$301,A25,Trade_Calc!$C$4:$C$301,B25,Trade_Calc!$E$4:$E$301,C25,Trade_Calc!$AI$4:$AI$301,D25,Trade_Calc!$AH$4:$AH$301,E25)</x:f>
        <x:v>1440000.0000000002</x:v>
      </x:c>
      <x:c r="G25" s="41" t="n">
        <x:f>AVERAGEIFS(Trade_Calc!$AM$4:$AM$301,Trade_Calc!$B$4:$B$301,A25,Trade_Calc!$C$4:$C$301,B25,Trade_Calc!$E$4:$E$301,C25,Trade_Calc!$AI$4:$AI$301,D25,Trade_Calc!$AH$4:$AH$301,E25)</x:f>
        <x:v>0.18</x:v>
      </x:c>
      <x:c r="H25" s="42" t="n">
        <x:f>VLOOKUP("Commodity",Parameters!$J$4:$K$8,2,FALSE)</x:f>
        <x:v>0.4</x:v>
      </x:c>
      <x:c r="I25" s="40" t="n">
        <x:f>F25*G25</x:f>
        <x:v>259200.00000000003</x:v>
      </x:c>
      <x:c r="J25" s="40" t="n">
        <x:f>H25*I25</x:f>
        <x:v>103680.00000000001</x:v>
      </x:c>
      <x:c r="K25" s="40" t="n">
        <x:f>(1-H25^2)*I25^2</x:f>
        <x:v>56435097600.00001</x:v>
      </x:c>
    </x:row>
    <x:row r="26">
      <x:c r="A26" s="27" t="str">
        <x:v>IND_PENSION_001</x:v>
      </x:c>
      <x:c r="B26" s="27" t="str">
        <x:v>3113</x:v>
      </x:c>
      <x:c r="C26" s="27" t="str">
        <x:v>Commodity</x:v>
      </x:c>
      <x:c r="D26" s="27" t="str">
        <x:v>Energy</x:v>
      </x:c>
      <x:c r="E26" s="27" t="str">
        <x:v>Oil</x:v>
      </x:c>
      <x:c r="F26" s="40" t="n">
        <x:f>SUMIFS(Trade_Calc!$AZ$4:$AZ$301,Trade_Calc!$B$4:$B$301,A26,Trade_Calc!$C$4:$C$301,B26,Trade_Calc!$E$4:$E$301,C26,Trade_Calc!$AI$4:$AI$301,D26,Trade_Calc!$AH$4:$AH$301,E26)</x:f>
        <x:v>-1470000.0000000002</x:v>
      </x:c>
      <x:c r="G26" s="41" t="n">
        <x:f>AVERAGEIFS(Trade_Calc!$AM$4:$AM$301,Trade_Calc!$B$4:$B$301,A26,Trade_Calc!$C$4:$C$301,B26,Trade_Calc!$E$4:$E$301,C26,Trade_Calc!$AI$4:$AI$301,D26,Trade_Calc!$AH$4:$AH$301,E26)</x:f>
        <x:v>0.18</x:v>
      </x:c>
      <x:c r="H26" s="42" t="n">
        <x:f>VLOOKUP("Commodity",Parameters!$J$4:$K$8,2,FALSE)</x:f>
        <x:v>0.4</x:v>
      </x:c>
      <x:c r="I26" s="40" t="n">
        <x:f>F26*G26</x:f>
        <x:v>-264600.00000000006</x:v>
      </x:c>
      <x:c r="J26" s="40" t="n">
        <x:f>H26*I26</x:f>
        <x:v>-105840.00000000003</x:v>
      </x:c>
      <x:c r="K26" s="40" t="n">
        <x:f>(1-H26^2)*I26^2</x:f>
        <x:v>58811054400.00002</x:v>
      </x:c>
    </x:row>
    <x:row r="27">
      <x:c r="A27" s="27" t="str">
        <x:v>IND_ASSET_MANAGER_001</x:v>
      </x:c>
      <x:c r="B27" s="27" t="str">
        <x:v>3205</x:v>
      </x:c>
      <x:c r="C27" s="27" t="str">
        <x:v>Commodity</x:v>
      </x:c>
      <x:c r="D27" s="27" t="str">
        <x:v>Energy</x:v>
      </x:c>
      <x:c r="E27" s="27" t="str">
        <x:v>Oil</x:v>
      </x:c>
      <x:c r="F27" s="40" t="n">
        <x:f>SUMIFS(Trade_Calc!$AZ$4:$AZ$301,Trade_Calc!$B$4:$B$301,A27,Trade_Calc!$C$4:$C$301,B27,Trade_Calc!$E$4:$E$301,C27,Trade_Calc!$AI$4:$AI$301,D27,Trade_Calc!$AH$4:$AH$301,E27)</x:f>
        <x:v>-43200000</x:v>
      </x:c>
      <x:c r="G27" s="41" t="n">
        <x:f>AVERAGEIFS(Trade_Calc!$AM$4:$AM$301,Trade_Calc!$B$4:$B$301,A27,Trade_Calc!$C$4:$C$301,B27,Trade_Calc!$E$4:$E$301,C27,Trade_Calc!$AI$4:$AI$301,D27,Trade_Calc!$AH$4:$AH$301,E27)</x:f>
        <x:v>0.18</x:v>
      </x:c>
      <x:c r="H27" s="42" t="n">
        <x:f>VLOOKUP("Commodity",Parameters!$J$4:$K$8,2,FALSE)</x:f>
        <x:v>0.4</x:v>
      </x:c>
      <x:c r="I27" s="40" t="n">
        <x:f>F27*G27</x:f>
        <x:v>-7776000</x:v>
      </x:c>
      <x:c r="J27" s="40" t="n">
        <x:f>H27*I27</x:f>
        <x:v>-3110400</x:v>
      </x:c>
      <x:c r="K27" s="40" t="n">
        <x:f>(1-H27^2)*I27^2</x:f>
        <x:v>50791587840000</x:v>
      </x:c>
    </x:row>
    <x:row r="28">
      <x:c r="A28" s="27" t="str">
        <x:v>IND_BANK_002</x:v>
      </x:c>
      <x:c r="B28" s="27" t="str">
        <x:v>3259</x:v>
      </x:c>
      <x:c r="C28" s="27" t="str">
        <x:v>Commodity</x:v>
      </x:c>
      <x:c r="D28" s="27" t="str">
        <x:v>Energy</x:v>
      </x:c>
      <x:c r="E28" s="27" t="str">
        <x:v>Oil</x:v>
      </x:c>
      <x:c r="F28" s="40" t="n">
        <x:f>SUMIFS(Trade_Calc!$AZ$4:$AZ$301,Trade_Calc!$B$4:$B$301,A28,Trade_Calc!$C$4:$C$301,B28,Trade_Calc!$E$4:$E$301,C28,Trade_Calc!$AI$4:$AI$301,D28,Trade_Calc!$AH$4:$AH$301,E28)</x:f>
        <x:v>-4050000.0000000005</x:v>
      </x:c>
      <x:c r="G28" s="41" t="n">
        <x:f>AVERAGEIFS(Trade_Calc!$AM$4:$AM$301,Trade_Calc!$B$4:$B$301,A28,Trade_Calc!$C$4:$C$301,B28,Trade_Calc!$E$4:$E$301,C28,Trade_Calc!$AI$4:$AI$301,D28,Trade_Calc!$AH$4:$AH$301,E28)</x:f>
        <x:v>0.18</x:v>
      </x:c>
      <x:c r="H28" s="42" t="n">
        <x:f>VLOOKUP("Commodity",Parameters!$J$4:$K$8,2,FALSE)</x:f>
        <x:v>0.4</x:v>
      </x:c>
      <x:c r="I28" s="40" t="n">
        <x:f>F28*G28</x:f>
        <x:v>-729000</x:v>
      </x:c>
      <x:c r="J28" s="40" t="n">
        <x:f>H28*I28</x:f>
        <x:v>-291600</x:v>
      </x:c>
      <x:c r="K28" s="40" t="n">
        <x:f>(1-H28^2)*I28^2</x:f>
        <x:v>446410440000</x:v>
      </x:c>
    </x:row>
    <x:row r="29">
      <x:c r="A29" s="27" t="str">
        <x:v>IND_CORPORATE_001</x:v>
      </x:c>
      <x:c r="B29" s="27" t="str">
        <x:v>3100</x:v>
      </x:c>
      <x:c r="C29" s="27" t="str">
        <x:v>Commodity</x:v>
      </x:c>
      <x:c r="D29" s="27" t="str">
        <x:v>Energy</x:v>
      </x:c>
      <x:c r="E29" s="27" t="str">
        <x:v>Oil</x:v>
      </x:c>
      <x:c r="F29" s="40" t="n">
        <x:f>SUMIFS(Trade_Calc!$AZ$4:$AZ$301,Trade_Calc!$B$4:$B$301,A29,Trade_Calc!$C$4:$C$301,B29,Trade_Calc!$E$4:$E$301,C29,Trade_Calc!$AI$4:$AI$301,D29,Trade_Calc!$AH$4:$AH$301,E29)</x:f>
        <x:v>1590000.0000000002</x:v>
      </x:c>
      <x:c r="G29" s="41" t="n">
        <x:f>AVERAGEIFS(Trade_Calc!$AM$4:$AM$301,Trade_Calc!$B$4:$B$301,A29,Trade_Calc!$C$4:$C$301,B29,Trade_Calc!$E$4:$E$301,C29,Trade_Calc!$AI$4:$AI$301,D29,Trade_Calc!$AH$4:$AH$301,E29)</x:f>
        <x:v>0.18</x:v>
      </x:c>
      <x:c r="H29" s="42" t="n">
        <x:f>VLOOKUP("Commodity",Parameters!$J$4:$K$8,2,FALSE)</x:f>
        <x:v>0.4</x:v>
      </x:c>
      <x:c r="I29" s="40" t="n">
        <x:f>F29*G29</x:f>
        <x:v>286200.00000000006</x:v>
      </x:c>
      <x:c r="J29" s="40" t="n">
        <x:f>H29*I29</x:f>
        <x:v>114480.00000000003</x:v>
      </x:c>
      <x:c r="K29" s="40" t="n">
        <x:f>(1-H29^2)*I29^2</x:f>
        <x:v>68804769600.00003</x:v>
      </x:c>
    </x:row>
    <x:row r="30">
      <x:c r="A30" s="27" t="str">
        <x:v>IND_CLEARING_MEMBER_001</x:v>
      </x:c>
      <x:c r="B30" s="27" t="str">
        <x:v>3186</x:v>
      </x:c>
      <x:c r="C30" s="27" t="str">
        <x:v>Commodity</x:v>
      </x:c>
      <x:c r="D30" s="27" t="str">
        <x:v>Energy</x:v>
      </x:c>
      <x:c r="E30" s="27" t="str">
        <x:v>Oil</x:v>
      </x:c>
      <x:c r="F30" s="40" t="n">
        <x:f>SUMIFS(Trade_Calc!$AZ$4:$AZ$301,Trade_Calc!$B$4:$B$301,A30,Trade_Calc!$C$4:$C$301,B30,Trade_Calc!$E$4:$E$301,C30,Trade_Calc!$AI$4:$AI$301,D30,Trade_Calc!$AH$4:$AH$301,E30)</x:f>
        <x:v>18800000</x:v>
      </x:c>
      <x:c r="G30" s="41" t="n">
        <x:f>AVERAGEIFS(Trade_Calc!$AM$4:$AM$301,Trade_Calc!$B$4:$B$301,A30,Trade_Calc!$C$4:$C$301,B30,Trade_Calc!$E$4:$E$301,C30,Trade_Calc!$AI$4:$AI$301,D30,Trade_Calc!$AH$4:$AH$301,E30)</x:f>
        <x:v>0.18</x:v>
      </x:c>
      <x:c r="H30" s="42" t="n">
        <x:f>VLOOKUP("Commodity",Parameters!$J$4:$K$8,2,FALSE)</x:f>
        <x:v>0.4</x:v>
      </x:c>
      <x:c r="I30" s="40" t="n">
        <x:f>F30*G30</x:f>
        <x:v>3384000</x:v>
      </x:c>
      <x:c r="J30" s="40" t="n">
        <x:f>H30*I30</x:f>
        <x:v>1353600</x:v>
      </x:c>
      <x:c r="K30" s="40" t="n">
        <x:f>(1-H30^2)*I30^2</x:f>
        <x:v>9619223040000</x:v>
      </x:c>
    </x:row>
    <x:row r="31">
      <x:c r="A31" s="27" t="str">
        <x:v>IND_CORPORATE_002</x:v>
      </x:c>
      <x:c r="B31" s="27" t="str">
        <x:v>3126</x:v>
      </x:c>
      <x:c r="C31" s="27" t="str">
        <x:v>Commodity</x:v>
      </x:c>
      <x:c r="D31" s="27" t="str">
        <x:v>Energy</x:v>
      </x:c>
      <x:c r="E31" s="27" t="str">
        <x:v>Oil</x:v>
      </x:c>
      <x:c r="F31" s="40" t="n">
        <x:f>SUMIFS(Trade_Calc!$AZ$4:$AZ$301,Trade_Calc!$B$4:$B$301,A31,Trade_Calc!$C$4:$C$301,B31,Trade_Calc!$E$4:$E$301,C31,Trade_Calc!$AI$4:$AI$301,D31,Trade_Calc!$AH$4:$AH$301,E31)</x:f>
        <x:v>9210000.000000002</x:v>
      </x:c>
      <x:c r="G31" s="41" t="n">
        <x:f>AVERAGEIFS(Trade_Calc!$AM$4:$AM$301,Trade_Calc!$B$4:$B$301,A31,Trade_Calc!$C$4:$C$301,B31,Trade_Calc!$E$4:$E$301,C31,Trade_Calc!$AI$4:$AI$301,D31,Trade_Calc!$AH$4:$AH$301,E31)</x:f>
        <x:v>0.18</x:v>
      </x:c>
      <x:c r="H31" s="42" t="n">
        <x:f>VLOOKUP("Commodity",Parameters!$J$4:$K$8,2,FALSE)</x:f>
        <x:v>0.4</x:v>
      </x:c>
      <x:c r="I31" s="40" t="n">
        <x:f>F31*G31</x:f>
        <x:v>1657800.0000000002</x:v>
      </x:c>
      <x:c r="J31" s="40" t="n">
        <x:f>H31*I31</x:f>
        <x:v>663120.0000000001</x:v>
      </x:c>
      <x:c r="K31" s="40" t="n">
        <x:f>(1-H31^2)*I31^2</x:f>
        <x:v>2308572705600.001</x:v>
      </x:c>
    </x:row>
    <x:row r="32">
      <x:c r="A32" s="27" t="str">
        <x:v>IND_REGIONAL_BANK_001</x:v>
      </x:c>
      <x:c r="B32" s="27" t="str">
        <x:v>3082</x:v>
      </x:c>
      <x:c r="C32" s="27" t="str">
        <x:v>Commodity</x:v>
      </x:c>
      <x:c r="D32" s="27" t="str">
        <x:v>Energy</x:v>
      </x:c>
      <x:c r="E32" s="27" t="str">
        <x:v>Electricity</x:v>
      </x:c>
      <x:c r="F32" s="40" t="n">
        <x:f>SUMIFS(Trade_Calc!$AZ$4:$AZ$301,Trade_Calc!$B$4:$B$301,A32,Trade_Calc!$C$4:$C$301,B32,Trade_Calc!$E$4:$E$301,C32,Trade_Calc!$AI$4:$AI$301,D32,Trade_Calc!$AH$4:$AH$301,E32)</x:f>
        <x:v>2130000.0000000005</x:v>
      </x:c>
      <x:c r="G32" s="41" t="n">
        <x:f>AVERAGEIFS(Trade_Calc!$AM$4:$AM$301,Trade_Calc!$B$4:$B$301,A32,Trade_Calc!$C$4:$C$301,B32,Trade_Calc!$E$4:$E$301,C32,Trade_Calc!$AI$4:$AI$301,D32,Trade_Calc!$AH$4:$AH$301,E32)</x:f>
        <x:v>0.4</x:v>
      </x:c>
      <x:c r="H32" s="42" t="n">
        <x:f>VLOOKUP("Commodity",Parameters!$J$4:$K$8,2,FALSE)</x:f>
        <x:v>0.4</x:v>
      </x:c>
      <x:c r="I32" s="40" t="n">
        <x:f>F32*G32</x:f>
        <x:v>852000.0000000002</x:v>
      </x:c>
      <x:c r="J32" s="40" t="n">
        <x:f>H32*I32</x:f>
        <x:v>340800.0000000001</x:v>
      </x:c>
      <x:c r="K32" s="40" t="n">
        <x:f>(1-H32^2)*I32^2</x:f>
        <x:v>609759360000.0002</x:v>
      </x:c>
    </x:row>
    <x:row r="33">
      <x:c r="A33" s="27" t="str">
        <x:v>IND_SOVEREIGN_001</x:v>
      </x:c>
      <x:c r="B33" s="27" t="str">
        <x:v>3126</x:v>
      </x:c>
      <x:c r="C33" s="27" t="str">
        <x:v>Commodity</x:v>
      </x:c>
      <x:c r="D33" s="27" t="str">
        <x:v>Energy</x:v>
      </x:c>
      <x:c r="E33" s="27" t="str">
        <x:v>Electricity</x:v>
      </x:c>
      <x:c r="F33" s="40" t="n">
        <x:f>SUMIFS(Trade_Calc!$AZ$4:$AZ$301,Trade_Calc!$B$4:$B$301,A33,Trade_Calc!$C$4:$C$301,B33,Trade_Calc!$E$4:$E$301,C33,Trade_Calc!$AI$4:$AI$301,D33,Trade_Calc!$AH$4:$AH$301,E33)</x:f>
        <x:v>16800000</x:v>
      </x:c>
      <x:c r="G33" s="41" t="n">
        <x:f>AVERAGEIFS(Trade_Calc!$AM$4:$AM$301,Trade_Calc!$B$4:$B$301,A33,Trade_Calc!$C$4:$C$301,B33,Trade_Calc!$E$4:$E$301,C33,Trade_Calc!$AI$4:$AI$301,D33,Trade_Calc!$AH$4:$AH$301,E33)</x:f>
        <x:v>0.4</x:v>
      </x:c>
      <x:c r="H33" s="42" t="n">
        <x:f>VLOOKUP("Commodity",Parameters!$J$4:$K$8,2,FALSE)</x:f>
        <x:v>0.4</x:v>
      </x:c>
      <x:c r="I33" s="40" t="n">
        <x:f>F33*G33</x:f>
        <x:v>6720000</x:v>
      </x:c>
      <x:c r="J33" s="40" t="n">
        <x:f>H33*I33</x:f>
        <x:v>2688000</x:v>
      </x:c>
      <x:c r="K33" s="40" t="n">
        <x:f>(1-H33^2)*I33^2</x:f>
        <x:v>37933056000000</x:v>
      </x:c>
    </x:row>
    <x:row r="34">
      <x:c r="A34" s="27" t="str">
        <x:v>IND_CLEARING_MEMBER_001</x:v>
      </x:c>
      <x:c r="B34" s="27" t="str">
        <x:v>3340</x:v>
      </x:c>
      <x:c r="C34" s="27" t="str">
        <x:v>Commodity</x:v>
      </x:c>
      <x:c r="D34" s="27" t="str">
        <x:v>Energy</x:v>
      </x:c>
      <x:c r="E34" s="27" t="str">
        <x:v>Electricity</x:v>
      </x:c>
      <x:c r="F34" s="40" t="n">
        <x:f>SUMIFS(Trade_Calc!$AZ$4:$AZ$301,Trade_Calc!$B$4:$B$301,A34,Trade_Calc!$C$4:$C$301,B34,Trade_Calc!$E$4:$E$301,C34,Trade_Calc!$AI$4:$AI$301,D34,Trade_Calc!$AH$4:$AH$301,E34)</x:f>
        <x:v>-3180000.0000000005</x:v>
      </x:c>
      <x:c r="G34" s="41" t="n">
        <x:f>AVERAGEIFS(Trade_Calc!$AM$4:$AM$301,Trade_Calc!$B$4:$B$301,A34,Trade_Calc!$C$4:$C$301,B34,Trade_Calc!$E$4:$E$301,C34,Trade_Calc!$AI$4:$AI$301,D34,Trade_Calc!$AH$4:$AH$301,E34)</x:f>
        <x:v>0.4</x:v>
      </x:c>
      <x:c r="H34" s="42" t="n">
        <x:f>VLOOKUP("Commodity",Parameters!$J$4:$K$8,2,FALSE)</x:f>
        <x:v>0.4</x:v>
      </x:c>
      <x:c r="I34" s="40" t="n">
        <x:f>F34*G34</x:f>
        <x:v>-1272000.0000000002</x:v>
      </x:c>
      <x:c r="J34" s="40" t="n">
        <x:f>H34*I34</x:f>
        <x:v>-508800.0000000001</x:v>
      </x:c>
      <x:c r="K34" s="40" t="n">
        <x:f>(1-H34^2)*I34^2</x:f>
        <x:v>1359106560000.0002</x:v>
      </x:c>
    </x:row>
    <x:row r="35">
      <x:c r="A35" s="27" t="str">
        <x:v>IND_SOVEREIGN_001</x:v>
      </x:c>
      <x:c r="B35" s="27" t="str">
        <x:v>3357</x:v>
      </x:c>
      <x:c r="C35" s="27" t="str">
        <x:v>Commodity</x:v>
      </x:c>
      <x:c r="D35" s="27" t="str">
        <x:v>Energy</x:v>
      </x:c>
      <x:c r="E35" s="27" t="str">
        <x:v>Electricity</x:v>
      </x:c>
      <x:c r="F35" s="40" t="n">
        <x:f>SUMIFS(Trade_Calc!$AZ$4:$AZ$301,Trade_Calc!$B$4:$B$301,A35,Trade_Calc!$C$4:$C$301,B35,Trade_Calc!$E$4:$E$301,C35,Trade_Calc!$AI$4:$AI$301,D35,Trade_Calc!$AH$4:$AH$301,E35)</x:f>
        <x:v>15720000.000000002</x:v>
      </x:c>
      <x:c r="G35" s="41" t="n">
        <x:f>AVERAGEIFS(Trade_Calc!$AM$4:$AM$301,Trade_Calc!$B$4:$B$301,A35,Trade_Calc!$C$4:$C$301,B35,Trade_Calc!$E$4:$E$301,C35,Trade_Calc!$AI$4:$AI$301,D35,Trade_Calc!$AH$4:$AH$301,E35)</x:f>
        <x:v>0.4</x:v>
      </x:c>
      <x:c r="H35" s="42" t="n">
        <x:f>VLOOKUP("Commodity",Parameters!$J$4:$K$8,2,FALSE)</x:f>
        <x:v>0.4</x:v>
      </x:c>
      <x:c r="I35" s="40" t="n">
        <x:f>F35*G35</x:f>
        <x:v>6288000.000000001</x:v>
      </x:c>
      <x:c r="J35" s="40" t="n">
        <x:f>H35*I35</x:f>
        <x:v>2515200.0000000005</x:v>
      </x:c>
      <x:c r="K35" s="40" t="n">
        <x:f>(1-H35^2)*I35^2</x:f>
        <x:v>33212712960000.004</x:v>
      </x:c>
    </x:row>
    <x:row r="36">
      <x:c r="A36" s="27" t="str">
        <x:v>IND_ASSET_MANAGER_001</x:v>
      </x:c>
      <x:c r="B36" s="27" t="str">
        <x:v>3331</x:v>
      </x:c>
      <x:c r="C36" s="27" t="str">
        <x:v>Commodity</x:v>
      </x:c>
      <x:c r="D36" s="27" t="str">
        <x:v>Energy</x:v>
      </x:c>
      <x:c r="E36" s="27" t="str">
        <x:v>Electricity</x:v>
      </x:c>
      <x:c r="F36" s="40" t="n">
        <x:f>SUMIFS(Trade_Calc!$AZ$4:$AZ$301,Trade_Calc!$B$4:$B$301,A36,Trade_Calc!$C$4:$C$301,B36,Trade_Calc!$E$4:$E$301,C36,Trade_Calc!$AI$4:$AI$301,D36,Trade_Calc!$AH$4:$AH$301,E36)</x:f>
        <x:v>1980000.0000000002</x:v>
      </x:c>
      <x:c r="G36" s="41" t="n">
        <x:f>AVERAGEIFS(Trade_Calc!$AM$4:$AM$301,Trade_Calc!$B$4:$B$301,A36,Trade_Calc!$C$4:$C$301,B36,Trade_Calc!$E$4:$E$301,C36,Trade_Calc!$AI$4:$AI$301,D36,Trade_Calc!$AH$4:$AH$301,E36)</x:f>
        <x:v>0.4</x:v>
      </x:c>
      <x:c r="H36" s="42" t="n">
        <x:f>VLOOKUP("Commodity",Parameters!$J$4:$K$8,2,FALSE)</x:f>
        <x:v>0.4</x:v>
      </x:c>
      <x:c r="I36" s="40" t="n">
        <x:f>F36*G36</x:f>
        <x:v>792000.0000000001</x:v>
      </x:c>
      <x:c r="J36" s="40" t="n">
        <x:f>H36*I36</x:f>
        <x:v>316800.00000000006</x:v>
      </x:c>
      <x:c r="K36" s="40" t="n">
        <x:f>(1-H36^2)*I36^2</x:f>
        <x:v>526901760000.0002</x:v>
      </x:c>
    </x:row>
    <x:row r="37">
      <x:c r="A37" s="27" t="str">
        <x:v>IND_BANK_001</x:v>
      </x:c>
      <x:c r="B37" s="27" t="str">
        <x:v>3172</x:v>
      </x:c>
      <x:c r="C37" s="27" t="str">
        <x:v>Commodity</x:v>
      </x:c>
      <x:c r="D37" s="27" t="str">
        <x:v>Energy</x:v>
      </x:c>
      <x:c r="E37" s="27" t="str">
        <x:v>Electricity</x:v>
      </x:c>
      <x:c r="F37" s="40" t="n">
        <x:f>SUMIFS(Trade_Calc!$AZ$4:$AZ$301,Trade_Calc!$B$4:$B$301,A37,Trade_Calc!$C$4:$C$301,B37,Trade_Calc!$E$4:$E$301,C37,Trade_Calc!$AI$4:$AI$301,D37,Trade_Calc!$AH$4:$AH$301,E37)</x:f>
        <x:v>14220000.000000002</x:v>
      </x:c>
      <x:c r="G37" s="41" t="n">
        <x:f>AVERAGEIFS(Trade_Calc!$AM$4:$AM$301,Trade_Calc!$B$4:$B$301,A37,Trade_Calc!$C$4:$C$301,B37,Trade_Calc!$E$4:$E$301,C37,Trade_Calc!$AI$4:$AI$301,D37,Trade_Calc!$AH$4:$AH$301,E37)</x:f>
        <x:v>0.4</x:v>
      </x:c>
      <x:c r="H37" s="42" t="n">
        <x:f>VLOOKUP("Commodity",Parameters!$J$4:$K$8,2,FALSE)</x:f>
        <x:v>0.4</x:v>
      </x:c>
      <x:c r="I37" s="40" t="n">
        <x:f>F37*G37</x:f>
        <x:v>5688000.000000001</x:v>
      </x:c>
      <x:c r="J37" s="40" t="n">
        <x:f>H37*I37</x:f>
        <x:v>2275200.0000000005</x:v>
      </x:c>
      <x:c r="K37" s="40" t="n">
        <x:f>(1-H37^2)*I37^2</x:f>
        <x:v>27176808960000.008</x:v>
      </x:c>
    </x:row>
  </x:sheetData>
  <x:mergeCells>
    <x:mergeCell ref="A1:K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  <x:col min="14" max="14" width="16.25" hidden="0" customWidth="1"/>
  </x:cols>
  <x:sheetData>
    <x:row r="1" ht="22.5" customHeight="1">
      <x:c r="A1" s="26" t="str">
        <x:v>Asset-Class Add-On Recalculation</x:v>
      </x:c>
      <x:c r="B1" s="26" t="str">
        <x:v>Asset-Class Add-On Recalculation</x:v>
      </x:c>
      <x:c r="C1" s="26" t="str">
        <x:v>Asset-Class Add-On Recalculation</x:v>
      </x:c>
      <x:c r="D1" s="26" t="str">
        <x:v>Asset-Class Add-On Recalculation</x:v>
      </x:c>
      <x:c r="E1" s="26" t="str">
        <x:v>Asset-Class Add-On Recalculation</x:v>
      </x:c>
      <x:c r="F1" s="26" t="str">
        <x:v>Asset-Class Add-On Recalculation</x:v>
      </x:c>
      <x:c r="G1" s="26" t="str">
        <x:v>Asset-Class Add-On Recalculation</x:v>
      </x:c>
      <x:c r="H1" s="26" t="str">
        <x:v>Asset-Class Add-On Recalculation</x:v>
      </x:c>
      <x:c r="I1" s="26" t="str">
        <x:v>Asset-Class Add-On Recalculation</x:v>
      </x:c>
      <x:c r="J1" s="26" t="str">
        <x:v>Asset-Class Add-On Recalculation</x:v>
      </x:c>
      <x:c r="K1" s="26" t="str">
        <x:v>Asset-Class Add-On Recalculation</x:v>
      </x:c>
      <x:c r="L1" s="26" t="str">
        <x:v>Asset-Class Add-On Recalculation</x:v>
      </x:c>
      <x:c r="M1" s="26" t="str">
        <x:v>Asset-Class Add-On Recalculation</x:v>
      </x:c>
      <x:c r="N1" s="26" t="str">
        <x:v>Asset-Class Add-On Recalculation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A3" s="28" t="str">
        <x:v>Counterparty ID</x:v>
      </x:c>
      <x:c r="B3" s="28" t="str">
        <x:v>Netting Set ID</x:v>
      </x:c>
      <x:c r="C3" s="28" t="str">
        <x:v>Asset Class</x:v>
      </x:c>
      <x:c r="D3" s="28" t="str">
        <x:v>Hedging Set</x:v>
      </x:c>
      <x:c r="E3" s="28" t="str">
        <x:v>Aggregation Level</x:v>
      </x:c>
      <x:c r="F3" s="28" t="str">
        <x:v>D1 / Sum Effective</x:v>
      </x:c>
      <x:c r="G3" s="28" t="str">
        <x:v>D2</x:v>
      </x:c>
      <x:c r="H3" s="28" t="str">
        <x:v>D3</x:v>
      </x:c>
      <x:c r="I3" s="28" t="str">
        <x:v>Excel Aggregated Effective Notional</x:v>
      </x:c>
      <x:c r="J3" s="28" t="str">
        <x:v>Excel AddOn Exposure</x:v>
      </x:c>
      <x:c r="K3" s="28" t="str">
        <x:v>Python Aggregated Effective Notional</x:v>
      </x:c>
      <x:c r="L3" s="28" t="str">
        <x:v>Python AddOn Exposure</x:v>
      </x:c>
      <x:c r="M3" s="28" t="str">
        <x:v>Diff AddOn</x:v>
      </x:c>
      <x:c r="N3" s="28" t="str">
        <x:v>Pass?</x:v>
      </x:c>
    </x:row>
    <x:row r="4">
      <x:c r="A4" s="27" t="str">
        <x:v>IND_ASSET_MANAGER_001</x:v>
      </x:c>
      <x:c r="B4" s="27" t="str">
        <x:v>3050</x:v>
      </x:c>
      <x:c r="C4" s="27" t="str">
        <x:v>Interest Rate</x:v>
      </x:c>
      <x:c r="D4" s="27" t="str">
        <x:v>CNY</x:v>
      </x:c>
      <x:c r="E4" s="27" t="str">
        <x:v>IR currency and maturity bucket</x:v>
      </x:c>
      <x:c r="F4" s="40" t="n">
        <x:f>SUMIFS(Trade_Calc!$AZ$4:$AZ$301,Trade_Calc!$B$4:$B$301,A4,Trade_Calc!$C$4:$C$301,B4,Trade_Calc!$E$4:$E$301,"Interest Rate",Trade_Calc!$AI$4:$AI$301,D4,Trade_Calc!$AE$4:$AE$301,"&lt;1")</x:f>
        <x:v>-4807189.127887864</x:v>
      </x:c>
      <x:c r="G4" s="40" t="n">
        <x:f>SUMIFS(Trade_Calc!$AZ$4:$AZ$301,Trade_Calc!$B$4:$B$301,A4,Trade_Calc!$C$4:$C$301,B4,Trade_Calc!$E$4:$E$301,"Interest Rate",Trade_Calc!$AI$4:$AI$301,D4,Trade_Calc!$AE$4:$AE$301,"&gt;=1",Trade_Calc!$AE$4:$AE$301,"&lt;=5")</x:f>
        <x:v>-14692289.536039088</x:v>
      </x:c>
      <x:c r="H4" s="40" t="n">
        <x:f>SUMIFS(Trade_Calc!$AZ$4:$AZ$301,Trade_Calc!$B$4:$B$301,A4,Trade_Calc!$C$4:$C$301,B4,Trade_Calc!$E$4:$E$301,"Interest Rate",Trade_Calc!$AI$4:$AI$301,D4,Trade_Calc!$AE$4:$AE$301,"&gt;5")</x:f>
        <x:v>0</x:v>
      </x:c>
      <x:c r="I4" s="40" t="n">
        <x:f>SQRT(MAX(F4^2+G4^2+H4^2+1.4*F4*G4+1.4*G4*H4+0.6*F4*H4,0))</x:f>
        <x:v>18380764.38704565</x:v>
      </x:c>
      <x:c r="J4" s="43" t="n">
        <x:f>I4*VLOOKUP("Interest Rate",Parameters!$D$4:$E$12,2,FALSE)</x:f>
        <x:v>91903.82193522826</x:v>
      </x:c>
      <x:c r="K4" s="40" t="n">
        <x:v>18380764.38704565</x:v>
      </x:c>
      <x:c r="L4" s="43" t="n">
        <x:v>91903.82193522826</x:v>
      </x:c>
      <x:c r="M4" s="43" t="n">
        <x:f>J4-L4</x:f>
        <x:v>0</x:v>
      </x:c>
      <x:c r="N4" s="27" t="str">
        <x:f>IF(ABS(M4)&lt;0.01,"OK","CHECK")</x:f>
        <x:v>OK</x:v>
      </x:c>
    </x:row>
    <x:row r="5">
      <x:c r="A5" s="27" t="str">
        <x:v>IND_ASSET_MANAGER_001</x:v>
      </x:c>
      <x:c r="B5" s="27" t="str">
        <x:v>3050</x:v>
      </x:c>
      <x:c r="C5" s="27" t="str">
        <x:v>Interest Rate</x:v>
      </x:c>
      <x:c r="D5" s="27" t="str">
        <x:v>JPY</x:v>
      </x:c>
      <x:c r="E5" s="27" t="str">
        <x:v>IR currency and maturity bucket</x:v>
      </x:c>
      <x:c r="F5" s="40" t="n">
        <x:f>SUMIFS(Trade_Calc!$AZ$4:$AZ$301,Trade_Calc!$B$4:$B$301,A5,Trade_Calc!$C$4:$C$301,B5,Trade_Calc!$E$4:$E$301,"Interest Rate",Trade_Calc!$AI$4:$AI$301,D5,Trade_Calc!$AE$4:$AE$301,"&lt;1")</x:f>
        <x:v>0</x:v>
      </x:c>
      <x:c r="G5" s="40" t="n">
        <x:f>SUMIFS(Trade_Calc!$AZ$4:$AZ$301,Trade_Calc!$B$4:$B$301,A5,Trade_Calc!$C$4:$C$301,B5,Trade_Calc!$E$4:$E$301,"Interest Rate",Trade_Calc!$AI$4:$AI$301,D5,Trade_Calc!$AE$4:$AE$301,"&gt;=1",Trade_Calc!$AE$4:$AE$301,"&lt;=5")</x:f>
        <x:v>-11085757.053639669</x:v>
      </x:c>
      <x:c r="H5" s="40" t="n">
        <x:f>SUMIFS(Trade_Calc!$AZ$4:$AZ$301,Trade_Calc!$B$4:$B$301,A5,Trade_Calc!$C$4:$C$301,B5,Trade_Calc!$E$4:$E$301,"Interest Rate",Trade_Calc!$AI$4:$AI$301,D5,Trade_Calc!$AE$4:$AE$301,"&gt;5")</x:f>
        <x:v>0</x:v>
      </x:c>
      <x:c r="I5" s="40" t="n">
        <x:f>SQRT(MAX(F5^2+G5^2+H5^2+1.4*F5*G5+1.4*G5*H5+0.6*F5*H5,0))</x:f>
        <x:v>11085757.053639669</x:v>
      </x:c>
      <x:c r="J5" s="43" t="n">
        <x:f>I5*VLOOKUP("Interest Rate",Parameters!$D$4:$E$12,2,FALSE)</x:f>
        <x:v>55428.78526819835</x:v>
      </x:c>
      <x:c r="K5" s="40" t="n">
        <x:v>11085757.053639669</x:v>
      </x:c>
      <x:c r="L5" s="43" t="n">
        <x:v>55428.78526819835</x:v>
      </x:c>
      <x:c r="M5" s="43" t="n">
        <x:f>J5-L5</x:f>
        <x:v>0</x:v>
      </x:c>
      <x:c r="N5" s="27" t="str">
        <x:f>IF(ABS(M5)&lt;0.01,"OK","CHECK")</x:f>
        <x:v>OK</x:v>
      </x:c>
    </x:row>
    <x:row r="6">
      <x:c r="A6" s="27" t="str">
        <x:v>IND_ASSET_MANAGER_001</x:v>
      </x:c>
      <x:c r="B6" s="27" t="str">
        <x:v>3050</x:v>
      </x:c>
      <x:c r="C6" s="27" t="str">
        <x:v>Interest Rate</x:v>
      </x:c>
      <x:c r="D6" s="27" t="str">
        <x:v>USD</x:v>
      </x:c>
      <x:c r="E6" s="27" t="str">
        <x:v>IR currency and maturity bucket</x:v>
      </x:c>
      <x:c r="F6" s="40" t="n">
        <x:f>SUMIFS(Trade_Calc!$AZ$4:$AZ$301,Trade_Calc!$B$4:$B$301,A6,Trade_Calc!$C$4:$C$301,B6,Trade_Calc!$E$4:$E$301,"Interest Rate",Trade_Calc!$AI$4:$AI$301,D6,Trade_Calc!$AE$4:$AE$301,"&lt;1")</x:f>
        <x:v>0</x:v>
      </x:c>
      <x:c r="G6" s="40" t="n">
        <x:f>SUMIFS(Trade_Calc!$AZ$4:$AZ$301,Trade_Calc!$B$4:$B$301,A6,Trade_Calc!$C$4:$C$301,B6,Trade_Calc!$E$4:$E$301,"Interest Rate",Trade_Calc!$AI$4:$AI$301,D6,Trade_Calc!$AE$4:$AE$301,"&gt;=1",Trade_Calc!$AE$4:$AE$301,"&lt;=5")</x:f>
        <x:v>-1098750224.2364006</x:v>
      </x:c>
      <x:c r="H6" s="40" t="n">
        <x:f>SUMIFS(Trade_Calc!$AZ$4:$AZ$301,Trade_Calc!$B$4:$B$301,A6,Trade_Calc!$C$4:$C$301,B6,Trade_Calc!$E$4:$E$301,"Interest Rate",Trade_Calc!$AI$4:$AI$301,D6,Trade_Calc!$AE$4:$AE$301,"&gt;5")</x:f>
        <x:v>682967590.9761654</x:v>
      </x:c>
      <x:c r="I6" s="40" t="n">
        <x:f>SQRT(MAX(F6^2+G6^2+H6^2+1.4*F6*G6+1.4*G6*H6+0.6*F6*H6,0))</x:f>
        <x:v>789380563.7077526</x:v>
      </x:c>
      <x:c r="J6" s="43" t="n">
        <x:f>I6*VLOOKUP("Interest Rate",Parameters!$D$4:$E$12,2,FALSE)</x:f>
        <x:v>3946902.818538763</x:v>
      </x:c>
      <x:c r="K6" s="40" t="n">
        <x:v>789380563.7077526</x:v>
      </x:c>
      <x:c r="L6" s="43" t="n">
        <x:v>3946902.818538763</x:v>
      </x:c>
      <x:c r="M6" s="43" t="n">
        <x:f>J6-L6</x:f>
        <x:v>0</x:v>
      </x:c>
      <x:c r="N6" s="27" t="str">
        <x:f>IF(ABS(M6)&lt;0.01,"OK","CHECK")</x:f>
        <x:v>OK</x:v>
      </x:c>
    </x:row>
    <x:row r="7">
      <x:c r="A7" s="27" t="str">
        <x:v>IND_ASSET_MANAGER_001</x:v>
      </x:c>
      <x:c r="B7" s="27" t="str">
        <x:v>3222</x:v>
      </x:c>
      <x:c r="C7" s="27" t="str">
        <x:v>Interest Rate</x:v>
      </x:c>
      <x:c r="D7" s="27" t="str">
        <x:v>CNY</x:v>
      </x:c>
      <x:c r="E7" s="27" t="str">
        <x:v>IR currency and maturity bucket</x:v>
      </x:c>
      <x:c r="F7" s="40" t="n">
        <x:f>SUMIFS(Trade_Calc!$AZ$4:$AZ$301,Trade_Calc!$B$4:$B$301,A7,Trade_Calc!$C$4:$C$301,B7,Trade_Calc!$E$4:$E$301,"Interest Rate",Trade_Calc!$AI$4:$AI$301,D7,Trade_Calc!$AE$4:$AE$301,"&lt;1")</x:f>
        <x:v>39699830.248940036</x:v>
      </x:c>
      <x:c r="G7" s="40" t="n">
        <x:f>SUMIFS(Trade_Calc!$AZ$4:$AZ$301,Trade_Calc!$B$4:$B$301,A7,Trade_Calc!$C$4:$C$301,B7,Trade_Calc!$E$4:$E$301,"Interest Rate",Trade_Calc!$AI$4:$AI$301,D7,Trade_Calc!$AE$4:$AE$301,"&gt;=1",Trade_Calc!$AE$4:$AE$301,"&lt;=5")</x:f>
        <x:v>0</x:v>
      </x:c>
      <x:c r="H7" s="40" t="n">
        <x:f>SUMIFS(Trade_Calc!$AZ$4:$AZ$301,Trade_Calc!$B$4:$B$301,A7,Trade_Calc!$C$4:$C$301,B7,Trade_Calc!$E$4:$E$301,"Interest Rate",Trade_Calc!$AI$4:$AI$301,D7,Trade_Calc!$AE$4:$AE$301,"&gt;5")</x:f>
        <x:v>0</x:v>
      </x:c>
      <x:c r="I7" s="40" t="n">
        <x:f>SQRT(MAX(F7^2+G7^2+H7^2+1.4*F7*G7+1.4*G7*H7+0.6*F7*H7,0))</x:f>
        <x:v>39699830.248940036</x:v>
      </x:c>
      <x:c r="J7" s="43" t="n">
        <x:f>I7*VLOOKUP("Interest Rate",Parameters!$D$4:$E$12,2,FALSE)</x:f>
        <x:v>198499.1512447002</x:v>
      </x:c>
      <x:c r="K7" s="40" t="n">
        <x:v>39699830.248940036</x:v>
      </x:c>
      <x:c r="L7" s="43" t="n">
        <x:v>198499.1512447002</x:v>
      </x:c>
      <x:c r="M7" s="43" t="n">
        <x:f>J7-L7</x:f>
        <x:v>0</x:v>
      </x:c>
      <x:c r="N7" s="27" t="str">
        <x:f>IF(ABS(M7)&lt;0.01,"OK","CHECK")</x:f>
        <x:v>OK</x:v>
      </x:c>
    </x:row>
    <x:row r="8">
      <x:c r="A8" s="27" t="str">
        <x:v>IND_ASSET_MANAGER_001</x:v>
      </x:c>
      <x:c r="B8" s="27" t="str">
        <x:v>3222</x:v>
      </x:c>
      <x:c r="C8" s="27" t="str">
        <x:v>Interest Rate</x:v>
      </x:c>
      <x:c r="D8" s="27" t="str">
        <x:v>JPY</x:v>
      </x:c>
      <x:c r="E8" s="27" t="str">
        <x:v>IR currency and maturity bucket</x:v>
      </x:c>
      <x:c r="F8" s="40" t="n">
        <x:f>SUMIFS(Trade_Calc!$AZ$4:$AZ$301,Trade_Calc!$B$4:$B$301,A8,Trade_Calc!$C$4:$C$301,B8,Trade_Calc!$E$4:$E$301,"Interest Rate",Trade_Calc!$AI$4:$AI$301,D8,Trade_Calc!$AE$4:$AE$301,"&lt;1")</x:f>
        <x:v>0</x:v>
      </x:c>
      <x:c r="G8" s="40" t="n">
        <x:f>SUMIFS(Trade_Calc!$AZ$4:$AZ$301,Trade_Calc!$B$4:$B$301,A8,Trade_Calc!$C$4:$C$301,B8,Trade_Calc!$E$4:$E$301,"Interest Rate",Trade_Calc!$AI$4:$AI$301,D8,Trade_Calc!$AE$4:$AE$301,"&gt;=1",Trade_Calc!$AE$4:$AE$301,"&lt;=5")</x:f>
        <x:v>-132293200.62913989</x:v>
      </x:c>
      <x:c r="H8" s="40" t="n">
        <x:f>SUMIFS(Trade_Calc!$AZ$4:$AZ$301,Trade_Calc!$B$4:$B$301,A8,Trade_Calc!$C$4:$C$301,B8,Trade_Calc!$E$4:$E$301,"Interest Rate",Trade_Calc!$AI$4:$AI$301,D8,Trade_Calc!$AE$4:$AE$301,"&gt;5")</x:f>
        <x:v>0</x:v>
      </x:c>
      <x:c r="I8" s="40" t="n">
        <x:f>SQRT(MAX(F8^2+G8^2+H8^2+1.4*F8*G8+1.4*G8*H8+0.6*F8*H8,0))</x:f>
        <x:v>132293200.62913989</x:v>
      </x:c>
      <x:c r="J8" s="43" t="n">
        <x:f>I8*VLOOKUP("Interest Rate",Parameters!$D$4:$E$12,2,FALSE)</x:f>
        <x:v>661466.0031456994</x:v>
      </x:c>
      <x:c r="K8" s="40" t="n">
        <x:v>132293200.62913989</x:v>
      </x:c>
      <x:c r="L8" s="43" t="n">
        <x:v>661466.0031456994</x:v>
      </x:c>
      <x:c r="M8" s="43" t="n">
        <x:f>J8-L8</x:f>
        <x:v>0</x:v>
      </x:c>
      <x:c r="N8" s="27" t="str">
        <x:f>IF(ABS(M8)&lt;0.01,"OK","CHECK")</x:f>
        <x:v>OK</x:v>
      </x:c>
    </x:row>
    <x:row r="9">
      <x:c r="A9" s="27" t="str">
        <x:v>IND_BANK_001</x:v>
      </x:c>
      <x:c r="B9" s="27" t="str">
        <x:v>3219</x:v>
      </x:c>
      <x:c r="C9" s="27" t="str">
        <x:v>Interest Rate</x:v>
      </x:c>
      <x:c r="D9" s="27" t="str">
        <x:v>CNY</x:v>
      </x:c>
      <x:c r="E9" s="27" t="str">
        <x:v>IR currency and maturity bucket</x:v>
      </x:c>
      <x:c r="F9" s="40" t="n">
        <x:f>SUMIFS(Trade_Calc!$AZ$4:$AZ$301,Trade_Calc!$B$4:$B$301,A9,Trade_Calc!$C$4:$C$301,B9,Trade_Calc!$E$4:$E$301,"Interest Rate",Trade_Calc!$AI$4:$AI$301,D9,Trade_Calc!$AE$4:$AE$301,"&lt;1")</x:f>
        <x:v>-7316443.156941667</x:v>
      </x:c>
      <x:c r="G9" s="40" t="n">
        <x:f>SUMIFS(Trade_Calc!$AZ$4:$AZ$301,Trade_Calc!$B$4:$B$301,A9,Trade_Calc!$C$4:$C$301,B9,Trade_Calc!$E$4:$E$301,"Interest Rate",Trade_Calc!$AI$4:$AI$301,D9,Trade_Calc!$AE$4:$AE$301,"&gt;=1",Trade_Calc!$AE$4:$AE$301,"&lt;=5")</x:f>
        <x:v>-472380277.3276795</x:v>
      </x:c>
      <x:c r="H9" s="40" t="n">
        <x:f>SUMIFS(Trade_Calc!$AZ$4:$AZ$301,Trade_Calc!$B$4:$B$301,A9,Trade_Calc!$C$4:$C$301,B9,Trade_Calc!$E$4:$E$301,"Interest Rate",Trade_Calc!$AI$4:$AI$301,D9,Trade_Calc!$AE$4:$AE$301,"&gt;5")</x:f>
        <x:v>-1669033239.256545</x:v>
      </x:c>
      <x:c r="I9" s="40" t="n">
        <x:f>SQRT(MAX(F9^2+G9^2+H9^2+1.4*F9*G9+1.4*G9*H9+0.6*F9*H9,0))</x:f>
        <x:v>2030965233.9743264</x:v>
      </x:c>
      <x:c r="J9" s="43" t="n">
        <x:f>I9*VLOOKUP("Interest Rate",Parameters!$D$4:$E$12,2,FALSE)</x:f>
        <x:v>10154826.169871632</x:v>
      </x:c>
      <x:c r="K9" s="40" t="n">
        <x:v>2030965233.9743264</x:v>
      </x:c>
      <x:c r="L9" s="43" t="n">
        <x:v>10154826.169871632</x:v>
      </x:c>
      <x:c r="M9" s="43" t="n">
        <x:f>J9-L9</x:f>
        <x:v>0</x:v>
      </x:c>
      <x:c r="N9" s="27" t="str">
        <x:f>IF(ABS(M9)&lt;0.01,"OK","CHECK")</x:f>
        <x:v>OK</x:v>
      </x:c>
    </x:row>
    <x:row r="10">
      <x:c r="A10" s="27" t="str">
        <x:v>IND_BANK_001</x:v>
      </x:c>
      <x:c r="B10" s="27" t="str">
        <x:v>3219</x:v>
      </x:c>
      <x:c r="C10" s="27" t="str">
        <x:v>Interest Rate</x:v>
      </x:c>
      <x:c r="D10" s="27" t="str">
        <x:v>CNY_Basis</x:v>
      </x:c>
      <x:c r="E10" s="27" t="str">
        <x:v>IR currency and maturity bucket</x:v>
      </x:c>
      <x:c r="F10" s="40" t="n">
        <x:f>SUMIFS(Trade_Calc!$AZ$4:$AZ$301,Trade_Calc!$B$4:$B$301,A10,Trade_Calc!$C$4:$C$301,B10,Trade_Calc!$E$4:$E$301,"Interest Rate",Trade_Calc!$AI$4:$AI$301,D10,Trade_Calc!$AE$4:$AE$301,"&lt;1")</x:f>
        <x:v>0</x:v>
      </x:c>
      <x:c r="G10" s="40" t="n">
        <x:f>SUMIFS(Trade_Calc!$AZ$4:$AZ$301,Trade_Calc!$B$4:$B$301,A10,Trade_Calc!$C$4:$C$301,B10,Trade_Calc!$E$4:$E$301,"Interest Rate",Trade_Calc!$AI$4:$AI$301,D10,Trade_Calc!$AE$4:$AE$301,"&gt;=1",Trade_Calc!$AE$4:$AE$301,"&lt;=5")</x:f>
        <x:v>0</x:v>
      </x:c>
      <x:c r="H10" s="40" t="n">
        <x:f>SUMIFS(Trade_Calc!$AZ$4:$AZ$301,Trade_Calc!$B$4:$B$301,A10,Trade_Calc!$C$4:$C$301,B10,Trade_Calc!$E$4:$E$301,"Interest Rate",Trade_Calc!$AI$4:$AI$301,D10,Trade_Calc!$AE$4:$AE$301,"&gt;5")</x:f>
        <x:v>-845214791.3644533</x:v>
      </x:c>
      <x:c r="I10" s="40" t="n">
        <x:f>SQRT(MAX(F10^2+G10^2+H10^2+1.4*F10*G10+1.4*G10*H10+0.6*F10*H10,0))</x:f>
        <x:v>845214791.3644533</x:v>
      </x:c>
      <x:c r="J10" s="43" t="n">
        <x:f>I10*VLOOKUP("Interest Rate",Parameters!$D$4:$E$12,2,FALSE)</x:f>
        <x:v>4226073.956822267</x:v>
      </x:c>
      <x:c r="K10" s="40" t="n">
        <x:v>845214791.3644533</x:v>
      </x:c>
      <x:c r="L10" s="43" t="n">
        <x:v>4226073.956822267</x:v>
      </x:c>
      <x:c r="M10" s="43" t="n">
        <x:f>J10-L10</x:f>
        <x:v>0</x:v>
      </x:c>
      <x:c r="N10" s="27" t="str">
        <x:f>IF(ABS(M10)&lt;0.01,"OK","CHECK")</x:f>
        <x:v>OK</x:v>
      </x:c>
    </x:row>
    <x:row r="11">
      <x:c r="A11" s="27" t="str">
        <x:v>IND_BANK_001</x:v>
      </x:c>
      <x:c r="B11" s="27" t="str">
        <x:v>3324</x:v>
      </x:c>
      <x:c r="C11" s="27" t="str">
        <x:v>Interest Rate</x:v>
      </x:c>
      <x:c r="D11" s="27" t="str">
        <x:v>USD</x:v>
      </x:c>
      <x:c r="E11" s="27" t="str">
        <x:v>IR currency and maturity bucket</x:v>
      </x:c>
      <x:c r="F11" s="40" t="n">
        <x:f>SUMIFS(Trade_Calc!$AZ$4:$AZ$301,Trade_Calc!$B$4:$B$301,A11,Trade_Calc!$C$4:$C$301,B11,Trade_Calc!$E$4:$E$301,"Interest Rate",Trade_Calc!$AI$4:$AI$301,D11,Trade_Calc!$AE$4:$AE$301,"&lt;1")</x:f>
        <x:v>0</x:v>
      </x:c>
      <x:c r="G11" s="40" t="n">
        <x:f>SUMIFS(Trade_Calc!$AZ$4:$AZ$301,Trade_Calc!$B$4:$B$301,A11,Trade_Calc!$C$4:$C$301,B11,Trade_Calc!$E$4:$E$301,"Interest Rate",Trade_Calc!$AI$4:$AI$301,D11,Trade_Calc!$AE$4:$AE$301,"&gt;=1",Trade_Calc!$AE$4:$AE$301,"&lt;=5")</x:f>
        <x:v>0</x:v>
      </x:c>
      <x:c r="H11" s="40" t="n">
        <x:f>SUMIFS(Trade_Calc!$AZ$4:$AZ$301,Trade_Calc!$B$4:$B$301,A11,Trade_Calc!$C$4:$C$301,B11,Trade_Calc!$E$4:$E$301,"Interest Rate",Trade_Calc!$AI$4:$AI$301,D11,Trade_Calc!$AE$4:$AE$301,"&gt;5")</x:f>
        <x:v>-160982095.4642525</x:v>
      </x:c>
      <x:c r="I11" s="40" t="n">
        <x:f>SQRT(MAX(F11^2+G11^2+H11^2+1.4*F11*G11+1.4*G11*H11+0.6*F11*H11,0))</x:f>
        <x:v>160982095.4642525</x:v>
      </x:c>
      <x:c r="J11" s="43" t="n">
        <x:f>I11*VLOOKUP("Interest Rate",Parameters!$D$4:$E$12,2,FALSE)</x:f>
        <x:v>804910.4773212625</x:v>
      </x:c>
      <x:c r="K11" s="40" t="n">
        <x:v>160982095.4642525</x:v>
      </x:c>
      <x:c r="L11" s="43" t="n">
        <x:v>804910.4773212625</x:v>
      </x:c>
      <x:c r="M11" s="43" t="n">
        <x:f>J11-L11</x:f>
        <x:v>0</x:v>
      </x:c>
      <x:c r="N11" s="27" t="str">
        <x:f>IF(ABS(M11)&lt;0.01,"OK","CHECK")</x:f>
        <x:v>OK</x:v>
      </x:c>
    </x:row>
    <x:row r="12">
      <x:c r="A12" s="27" t="str">
        <x:v>IND_BANK_002</x:v>
      </x:c>
      <x:c r="B12" s="27" t="str">
        <x:v>3049</x:v>
      </x:c>
      <x:c r="C12" s="27" t="str">
        <x:v>Interest Rate</x:v>
      </x:c>
      <x:c r="D12" s="27" t="str">
        <x:v>EUR</x:v>
      </x:c>
      <x:c r="E12" s="27" t="str">
        <x:v>IR currency and maturity bucket</x:v>
      </x:c>
      <x:c r="F12" s="40" t="n">
        <x:f>SUMIFS(Trade_Calc!$AZ$4:$AZ$301,Trade_Calc!$B$4:$B$301,A12,Trade_Calc!$C$4:$C$301,B12,Trade_Calc!$E$4:$E$301,"Interest Rate",Trade_Calc!$AI$4:$AI$301,D12,Trade_Calc!$AE$4:$AE$301,"&lt;1")</x:f>
        <x:v>0</x:v>
      </x:c>
      <x:c r="G12" s="40" t="n">
        <x:f>SUMIFS(Trade_Calc!$AZ$4:$AZ$301,Trade_Calc!$B$4:$B$301,A12,Trade_Calc!$C$4:$C$301,B12,Trade_Calc!$E$4:$E$301,"Interest Rate",Trade_Calc!$AI$4:$AI$301,D12,Trade_Calc!$AE$4:$AE$301,"&gt;=1",Trade_Calc!$AE$4:$AE$301,"&lt;=5")</x:f>
        <x:v>97549901.7422721</x:v>
      </x:c>
      <x:c r="H12" s="40" t="n">
        <x:f>SUMIFS(Trade_Calc!$AZ$4:$AZ$301,Trade_Calc!$B$4:$B$301,A12,Trade_Calc!$C$4:$C$301,B12,Trade_Calc!$E$4:$E$301,"Interest Rate",Trade_Calc!$AI$4:$AI$301,D12,Trade_Calc!$AE$4:$AE$301,"&gt;5")</x:f>
        <x:v>858606105.4968395</x:v>
      </x:c>
      <x:c r="I12" s="40" t="n">
        <x:f>SQRT(MAX(F12^2+G12^2+H12^2+1.4*F12*G12+1.4*G12*H12+0.6*F12*H12,0))</x:f>
        <x:v>929505322.9775077</x:v>
      </x:c>
      <x:c r="J12" s="43" t="n">
        <x:f>I12*VLOOKUP("Interest Rate",Parameters!$D$4:$E$12,2,FALSE)</x:f>
        <x:v>4647526.614887538</x:v>
      </x:c>
      <x:c r="K12" s="40" t="n">
        <x:v>929505322.9775077</x:v>
      </x:c>
      <x:c r="L12" s="43" t="n">
        <x:v>4647526.614887538</x:v>
      </x:c>
      <x:c r="M12" s="43" t="n">
        <x:f>J12-L12</x:f>
        <x:v>0</x:v>
      </x:c>
      <x:c r="N12" s="27" t="str">
        <x:f>IF(ABS(M12)&lt;0.01,"OK","CHECK")</x:f>
        <x:v>OK</x:v>
      </x:c>
    </x:row>
    <x:row r="13">
      <x:c r="A13" s="27" t="str">
        <x:v>IND_BANK_002</x:v>
      </x:c>
      <x:c r="B13" s="27" t="str">
        <x:v>3049</x:v>
      </x:c>
      <x:c r="C13" s="27" t="str">
        <x:v>Interest Rate</x:v>
      </x:c>
      <x:c r="D13" s="27" t="str">
        <x:v>USD</x:v>
      </x:c>
      <x:c r="E13" s="27" t="str">
        <x:v>IR currency and maturity bucket</x:v>
      </x:c>
      <x:c r="F13" s="40" t="n">
        <x:f>SUMIFS(Trade_Calc!$AZ$4:$AZ$301,Trade_Calc!$B$4:$B$301,A13,Trade_Calc!$C$4:$C$301,B13,Trade_Calc!$E$4:$E$301,"Interest Rate",Trade_Calc!$AI$4:$AI$301,D13,Trade_Calc!$AE$4:$AE$301,"&lt;1")</x:f>
        <x:v>0</x:v>
      </x:c>
      <x:c r="G13" s="40" t="n">
        <x:f>SUMIFS(Trade_Calc!$AZ$4:$AZ$301,Trade_Calc!$B$4:$B$301,A13,Trade_Calc!$C$4:$C$301,B13,Trade_Calc!$E$4:$E$301,"Interest Rate",Trade_Calc!$AI$4:$AI$301,D13,Trade_Calc!$AE$4:$AE$301,"&gt;=1",Trade_Calc!$AE$4:$AE$301,"&lt;=5")</x:f>
        <x:v>-58651009.86594176</x:v>
      </x:c>
      <x:c r="H13" s="40" t="n">
        <x:f>SUMIFS(Trade_Calc!$AZ$4:$AZ$301,Trade_Calc!$B$4:$B$301,A13,Trade_Calc!$C$4:$C$301,B13,Trade_Calc!$E$4:$E$301,"Interest Rate",Trade_Calc!$AI$4:$AI$301,D13,Trade_Calc!$AE$4:$AE$301,"&gt;5")</x:f>
        <x:v>-2892784444.45178</x:v>
      </x:c>
      <x:c r="I13" s="40" t="n">
        <x:f>SQRT(MAX(F13^2+G13^2+H13^2+1.4*F13*G13+1.4*G13*H13+0.6*F13*H13,0))</x:f>
        <x:v>2934139124.7874913</x:v>
      </x:c>
      <x:c r="J13" s="43" t="n">
        <x:f>I13*VLOOKUP("Interest Rate",Parameters!$D$4:$E$12,2,FALSE)</x:f>
        <x:v>14670695.623937458</x:v>
      </x:c>
      <x:c r="K13" s="40" t="n">
        <x:v>2934139124.7874913</x:v>
      </x:c>
      <x:c r="L13" s="43" t="n">
        <x:v>14670695.623937458</x:v>
      </x:c>
      <x:c r="M13" s="43" t="n">
        <x:f>J13-L13</x:f>
        <x:v>0</x:v>
      </x:c>
      <x:c r="N13" s="27" t="str">
        <x:f>IF(ABS(M13)&lt;0.01,"OK","CHECK")</x:f>
        <x:v>OK</x:v>
      </x:c>
    </x:row>
    <x:row r="14">
      <x:c r="A14" s="27" t="str">
        <x:v>IND_BANK_002</x:v>
      </x:c>
      <x:c r="B14" s="27" t="str">
        <x:v>3132</x:v>
      </x:c>
      <x:c r="C14" s="27" t="str">
        <x:v>Interest Rate</x:v>
      </x:c>
      <x:c r="D14" s="27" t="str">
        <x:v>USD</x:v>
      </x:c>
      <x:c r="E14" s="27" t="str">
        <x:v>IR currency and maturity bucket</x:v>
      </x:c>
      <x:c r="F14" s="40" t="n">
        <x:f>SUMIFS(Trade_Calc!$AZ$4:$AZ$301,Trade_Calc!$B$4:$B$301,A14,Trade_Calc!$C$4:$C$301,B14,Trade_Calc!$E$4:$E$301,"Interest Rate",Trade_Calc!$AI$4:$AI$301,D14,Trade_Calc!$AE$4:$AE$301,"&lt;1")</x:f>
        <x:v>110263020.43218578</x:v>
      </x:c>
      <x:c r="G14" s="40" t="n">
        <x:f>SUMIFS(Trade_Calc!$AZ$4:$AZ$301,Trade_Calc!$B$4:$B$301,A14,Trade_Calc!$C$4:$C$301,B14,Trade_Calc!$E$4:$E$301,"Interest Rate",Trade_Calc!$AI$4:$AI$301,D14,Trade_Calc!$AE$4:$AE$301,"&gt;=1",Trade_Calc!$AE$4:$AE$301,"&lt;=5")</x:f>
        <x:v>408037920.2994907</x:v>
      </x:c>
      <x:c r="H14" s="40" t="n">
        <x:f>SUMIFS(Trade_Calc!$AZ$4:$AZ$301,Trade_Calc!$B$4:$B$301,A14,Trade_Calc!$C$4:$C$301,B14,Trade_Calc!$E$4:$E$301,"Interest Rate",Trade_Calc!$AI$4:$AI$301,D14,Trade_Calc!$AE$4:$AE$301,"&gt;5")</x:f>
        <x:v>542386523.9711965</x:v>
      </x:c>
      <x:c r="I14" s="40" t="n">
        <x:f>SQRT(MAX(F14^2+G14^2+H14^2+1.4*F14*G14+1.4*G14*H14+0.6*F14*H14,0))</x:f>
        <x:v>938907446.5480925</x:v>
      </x:c>
      <x:c r="J14" s="43" t="n">
        <x:f>I14*VLOOKUP("Interest Rate",Parameters!$D$4:$E$12,2,FALSE)</x:f>
        <x:v>4694537.232740463</x:v>
      </x:c>
      <x:c r="K14" s="40" t="n">
        <x:v>938907446.5480925</x:v>
      </x:c>
      <x:c r="L14" s="43" t="n">
        <x:v>4694537.232740463</x:v>
      </x:c>
      <x:c r="M14" s="43" t="n">
        <x:f>J14-L14</x:f>
        <x:v>0</x:v>
      </x:c>
      <x:c r="N14" s="27" t="str">
        <x:f>IF(ABS(M14)&lt;0.01,"OK","CHECK")</x:f>
        <x:v>OK</x:v>
      </x:c>
    </x:row>
    <x:row r="15">
      <x:c r="A15" s="27" t="str">
        <x:v>IND_BROKER_001</x:v>
      </x:c>
      <x:c r="B15" s="27" t="str">
        <x:v>3220</x:v>
      </x:c>
      <x:c r="C15" s="27" t="str">
        <x:v>Interest Rate</x:v>
      </x:c>
      <x:c r="D15" s="27" t="str">
        <x:v>EUR</x:v>
      </x:c>
      <x:c r="E15" s="27" t="str">
        <x:v>IR currency and maturity bucket</x:v>
      </x:c>
      <x:c r="F15" s="40" t="n">
        <x:f>SUMIFS(Trade_Calc!$AZ$4:$AZ$301,Trade_Calc!$B$4:$B$301,A15,Trade_Calc!$C$4:$C$301,B15,Trade_Calc!$E$4:$E$301,"Interest Rate",Trade_Calc!$AI$4:$AI$301,D15,Trade_Calc!$AE$4:$AE$301,"&lt;1")</x:f>
        <x:v>0</x:v>
      </x:c>
      <x:c r="G15" s="40" t="n">
        <x:f>SUMIFS(Trade_Calc!$AZ$4:$AZ$301,Trade_Calc!$B$4:$B$301,A15,Trade_Calc!$C$4:$C$301,B15,Trade_Calc!$E$4:$E$301,"Interest Rate",Trade_Calc!$AI$4:$AI$301,D15,Trade_Calc!$AE$4:$AE$301,"&gt;=1",Trade_Calc!$AE$4:$AE$301,"&lt;=5")</x:f>
        <x:v>-193884592.26671502</x:v>
      </x:c>
      <x:c r="H15" s="40" t="n">
        <x:f>SUMIFS(Trade_Calc!$AZ$4:$AZ$301,Trade_Calc!$B$4:$B$301,A15,Trade_Calc!$C$4:$C$301,B15,Trade_Calc!$E$4:$E$301,"Interest Rate",Trade_Calc!$AI$4:$AI$301,D15,Trade_Calc!$AE$4:$AE$301,"&gt;5")</x:f>
        <x:v>0</x:v>
      </x:c>
      <x:c r="I15" s="40" t="n">
        <x:f>SQRT(MAX(F15^2+G15^2+H15^2+1.4*F15*G15+1.4*G15*H15+0.6*F15*H15,0))</x:f>
        <x:v>193884592.26671502</x:v>
      </x:c>
      <x:c r="J15" s="43" t="n">
        <x:f>I15*VLOOKUP("Interest Rate",Parameters!$D$4:$E$12,2,FALSE)</x:f>
        <x:v>969422.9613335751</x:v>
      </x:c>
      <x:c r="K15" s="40" t="n">
        <x:v>193884592.26671505</x:v>
      </x:c>
      <x:c r="L15" s="43" t="n">
        <x:v>969422.9613335753</x:v>
      </x:c>
      <x:c r="M15" s="43" t="n">
        <x:f>J15-L15</x:f>
        <x:v>-2.3283064365386963e-10</x:v>
      </x:c>
      <x:c r="N15" s="27" t="str">
        <x:f>IF(ABS(M15)&lt;0.01,"OK","CHECK")</x:f>
        <x:v>OK</x:v>
      </x:c>
    </x:row>
    <x:row r="16">
      <x:c r="A16" s="27" t="str">
        <x:v>IND_BROKER_001</x:v>
      </x:c>
      <x:c r="B16" s="27" t="str">
        <x:v>3332</x:v>
      </x:c>
      <x:c r="C16" s="27" t="str">
        <x:v>Interest Rate</x:v>
      </x:c>
      <x:c r="D16" s="27" t="str">
        <x:v>CNY</x:v>
      </x:c>
      <x:c r="E16" s="27" t="str">
        <x:v>IR currency and maturity bucket</x:v>
      </x:c>
      <x:c r="F16" s="40" t="n">
        <x:f>SUMIFS(Trade_Calc!$AZ$4:$AZ$301,Trade_Calc!$B$4:$B$301,A16,Trade_Calc!$C$4:$C$301,B16,Trade_Calc!$E$4:$E$301,"Interest Rate",Trade_Calc!$AI$4:$AI$301,D16,Trade_Calc!$AE$4:$AE$301,"&lt;1")</x:f>
        <x:v>0</x:v>
      </x:c>
      <x:c r="G16" s="40" t="n">
        <x:f>SUMIFS(Trade_Calc!$AZ$4:$AZ$301,Trade_Calc!$B$4:$B$301,A16,Trade_Calc!$C$4:$C$301,B16,Trade_Calc!$E$4:$E$301,"Interest Rate",Trade_Calc!$AI$4:$AI$301,D16,Trade_Calc!$AE$4:$AE$301,"&gt;=1",Trade_Calc!$AE$4:$AE$301,"&lt;=5")</x:f>
        <x:v>-7195002.098357229</x:v>
      </x:c>
      <x:c r="H16" s="40" t="n">
        <x:f>SUMIFS(Trade_Calc!$AZ$4:$AZ$301,Trade_Calc!$B$4:$B$301,A16,Trade_Calc!$C$4:$C$301,B16,Trade_Calc!$E$4:$E$301,"Interest Rate",Trade_Calc!$AI$4:$AI$301,D16,Trade_Calc!$AE$4:$AE$301,"&gt;5")</x:f>
        <x:v>0</x:v>
      </x:c>
      <x:c r="I16" s="40" t="n">
        <x:f>SQRT(MAX(F16^2+G16^2+H16^2+1.4*F16*G16+1.4*G16*H16+0.6*F16*H16,0))</x:f>
        <x:v>7195002.098357229</x:v>
      </x:c>
      <x:c r="J16" s="43" t="n">
        <x:f>I16*VLOOKUP("Interest Rate",Parameters!$D$4:$E$12,2,FALSE)</x:f>
        <x:v>35975.010491786146</x:v>
      </x:c>
      <x:c r="K16" s="40" t="n">
        <x:v>7195002.098357229</x:v>
      </x:c>
      <x:c r="L16" s="43" t="n">
        <x:v>35975.010491786146</x:v>
      </x:c>
      <x:c r="M16" s="43" t="n">
        <x:f>J16-L16</x:f>
        <x:v>0</x:v>
      </x:c>
      <x:c r="N16" s="27" t="str">
        <x:f>IF(ABS(M16)&lt;0.01,"OK","CHECK")</x:f>
        <x:v>OK</x:v>
      </x:c>
    </x:row>
    <x:row r="17">
      <x:c r="A17" s="27" t="str">
        <x:v>IND_BROKER_001</x:v>
      </x:c>
      <x:c r="B17" s="27" t="str">
        <x:v>3332</x:v>
      </x:c>
      <x:c r="C17" s="27" t="str">
        <x:v>Interest Rate</x:v>
      </x:c>
      <x:c r="D17" s="27" t="str">
        <x:v>EUR</x:v>
      </x:c>
      <x:c r="E17" s="27" t="str">
        <x:v>IR currency and maturity bucket</x:v>
      </x:c>
      <x:c r="F17" s="40" t="n">
        <x:f>SUMIFS(Trade_Calc!$AZ$4:$AZ$301,Trade_Calc!$B$4:$B$301,A17,Trade_Calc!$C$4:$C$301,B17,Trade_Calc!$E$4:$E$301,"Interest Rate",Trade_Calc!$AI$4:$AI$301,D17,Trade_Calc!$AE$4:$AE$301,"&lt;1")</x:f>
        <x:v>-2625398.2680674996</x:v>
      </x:c>
      <x:c r="G17" s="40" t="n">
        <x:f>SUMIFS(Trade_Calc!$AZ$4:$AZ$301,Trade_Calc!$B$4:$B$301,A17,Trade_Calc!$C$4:$C$301,B17,Trade_Calc!$E$4:$E$301,"Interest Rate",Trade_Calc!$AI$4:$AI$301,D17,Trade_Calc!$AE$4:$AE$301,"&gt;=1",Trade_Calc!$AE$4:$AE$301,"&lt;=5")</x:f>
        <x:v>76920877.53515601</x:v>
      </x:c>
      <x:c r="H17" s="40" t="n">
        <x:f>SUMIFS(Trade_Calc!$AZ$4:$AZ$301,Trade_Calc!$B$4:$B$301,A17,Trade_Calc!$C$4:$C$301,B17,Trade_Calc!$E$4:$E$301,"Interest Rate",Trade_Calc!$AI$4:$AI$301,D17,Trade_Calc!$AE$4:$AE$301,"&gt;5")</x:f>
        <x:v>0</x:v>
      </x:c>
      <x:c r="I17" s="40" t="n">
        <x:f>SQRT(MAX(F17^2+G17^2+H17^2+1.4*F17*G17+1.4*G17*H17+0.6*F17*H17,0))</x:f>
        <x:v>75106504.3969016</x:v>
      </x:c>
      <x:c r="J17" s="43" t="n">
        <x:f>I17*VLOOKUP("Interest Rate",Parameters!$D$4:$E$12,2,FALSE)</x:f>
        <x:v>375532.52198450797</x:v>
      </x:c>
      <x:c r="K17" s="40" t="n">
        <x:v>75106504.3969016</x:v>
      </x:c>
      <x:c r="L17" s="43" t="n">
        <x:v>375532.52198450797</x:v>
      </x:c>
      <x:c r="M17" s="43" t="n">
        <x:f>J17-L17</x:f>
        <x:v>0</x:v>
      </x:c>
      <x:c r="N17" s="27" t="str">
        <x:f>IF(ABS(M17)&lt;0.01,"OK","CHECK")</x:f>
        <x:v>OK</x:v>
      </x:c>
    </x:row>
    <x:row r="18">
      <x:c r="A18" s="27" t="str">
        <x:v>IND_BROKER_001</x:v>
      </x:c>
      <x:c r="B18" s="27" t="str">
        <x:v>3332</x:v>
      </x:c>
      <x:c r="C18" s="27" t="str">
        <x:v>Interest Rate</x:v>
      </x:c>
      <x:c r="D18" s="27" t="str">
        <x:v>EUR_Basis</x:v>
      </x:c>
      <x:c r="E18" s="27" t="str">
        <x:v>IR currency and maturity bucket</x:v>
      </x:c>
      <x:c r="F18" s="40" t="n">
        <x:f>SUMIFS(Trade_Calc!$AZ$4:$AZ$301,Trade_Calc!$B$4:$B$301,A18,Trade_Calc!$C$4:$C$301,B18,Trade_Calc!$E$4:$E$301,"Interest Rate",Trade_Calc!$AI$4:$AI$301,D18,Trade_Calc!$AE$4:$AE$301,"&lt;1")</x:f>
        <x:v>0</x:v>
      </x:c>
      <x:c r="G18" s="40" t="n">
        <x:f>SUMIFS(Trade_Calc!$AZ$4:$AZ$301,Trade_Calc!$B$4:$B$301,A18,Trade_Calc!$C$4:$C$301,B18,Trade_Calc!$E$4:$E$301,"Interest Rate",Trade_Calc!$AI$4:$AI$301,D18,Trade_Calc!$AE$4:$AE$301,"&gt;=1",Trade_Calc!$AE$4:$AE$301,"&lt;=5")</x:f>
        <x:v>-6983450.683079381</x:v>
      </x:c>
      <x:c r="H18" s="40" t="n">
        <x:f>SUMIFS(Trade_Calc!$AZ$4:$AZ$301,Trade_Calc!$B$4:$B$301,A18,Trade_Calc!$C$4:$C$301,B18,Trade_Calc!$E$4:$E$301,"Interest Rate",Trade_Calc!$AI$4:$AI$301,D18,Trade_Calc!$AE$4:$AE$301,"&gt;5")</x:f>
        <x:v>0</x:v>
      </x:c>
      <x:c r="I18" s="40" t="n">
        <x:f>SQRT(MAX(F18^2+G18^2+H18^2+1.4*F18*G18+1.4*G18*H18+0.6*F18*H18,0))</x:f>
        <x:v>6983450.683079381</x:v>
      </x:c>
      <x:c r="J18" s="43" t="n">
        <x:f>I18*VLOOKUP("Interest Rate",Parameters!$D$4:$E$12,2,FALSE)</x:f>
        <x:v>34917.2534153969</x:v>
      </x:c>
      <x:c r="K18" s="40" t="n">
        <x:v>6983450.683079381</x:v>
      </x:c>
      <x:c r="L18" s="43" t="n">
        <x:v>34917.2534153969</x:v>
      </x:c>
      <x:c r="M18" s="43" t="n">
        <x:f>J18-L18</x:f>
        <x:v>0</x:v>
      </x:c>
      <x:c r="N18" s="27" t="str">
        <x:f>IF(ABS(M18)&lt;0.01,"OK","CHECK")</x:f>
        <x:v>OK</x:v>
      </x:c>
    </x:row>
    <x:row r="19">
      <x:c r="A19" s="27" t="str">
        <x:v>IND_BROKER_001</x:v>
      </x:c>
      <x:c r="B19" s="27" t="str">
        <x:v>3332</x:v>
      </x:c>
      <x:c r="C19" s="27" t="str">
        <x:v>Interest Rate</x:v>
      </x:c>
      <x:c r="D19" s="27" t="str">
        <x:v>USD</x:v>
      </x:c>
      <x:c r="E19" s="27" t="str">
        <x:v>IR currency and maturity bucket</x:v>
      </x:c>
      <x:c r="F19" s="40" t="n">
        <x:f>SUMIFS(Trade_Calc!$AZ$4:$AZ$301,Trade_Calc!$B$4:$B$301,A19,Trade_Calc!$C$4:$C$301,B19,Trade_Calc!$E$4:$E$301,"Interest Rate",Trade_Calc!$AI$4:$AI$301,D19,Trade_Calc!$AE$4:$AE$301,"&lt;1")</x:f>
        <x:v>0</x:v>
      </x:c>
      <x:c r="G19" s="40" t="n">
        <x:f>SUMIFS(Trade_Calc!$AZ$4:$AZ$301,Trade_Calc!$B$4:$B$301,A19,Trade_Calc!$C$4:$C$301,B19,Trade_Calc!$E$4:$E$301,"Interest Rate",Trade_Calc!$AI$4:$AI$301,D19,Trade_Calc!$AE$4:$AE$301,"&gt;=1",Trade_Calc!$AE$4:$AE$301,"&lt;=5")</x:f>
        <x:v>-22811499.018066086</x:v>
      </x:c>
      <x:c r="H19" s="40" t="n">
        <x:f>SUMIFS(Trade_Calc!$AZ$4:$AZ$301,Trade_Calc!$B$4:$B$301,A19,Trade_Calc!$C$4:$C$301,B19,Trade_Calc!$E$4:$E$301,"Interest Rate",Trade_Calc!$AI$4:$AI$301,D19,Trade_Calc!$AE$4:$AE$301,"&gt;5")</x:f>
        <x:v>0</x:v>
      </x:c>
      <x:c r="I19" s="40" t="n">
        <x:f>SQRT(MAX(F19^2+G19^2+H19^2+1.4*F19*G19+1.4*G19*H19+0.6*F19*H19,0))</x:f>
        <x:v>22811499.018066086</x:v>
      </x:c>
      <x:c r="J19" s="43" t="n">
        <x:f>I19*VLOOKUP("Interest Rate",Parameters!$D$4:$E$12,2,FALSE)</x:f>
        <x:v>114057.49509033043</x:v>
      </x:c>
      <x:c r="K19" s="40" t="n">
        <x:v>22811499.018066037</x:v>
      </x:c>
      <x:c r="L19" s="43" t="n">
        <x:v>114057.4950903302</x:v>
      </x:c>
      <x:c r="M19" s="43" t="n">
        <x:f>J19-L19</x:f>
        <x:v>2.3283064365386963e-10</x:v>
      </x:c>
      <x:c r="N19" s="27" t="str">
        <x:f>IF(ABS(M19)&lt;0.01,"OK","CHECK")</x:f>
        <x:v>OK</x:v>
      </x:c>
    </x:row>
    <x:row r="20">
      <x:c r="A20" s="27" t="str">
        <x:v>IND_CLEARING_MEMBER_001</x:v>
      </x:c>
      <x:c r="B20" s="27" t="str">
        <x:v>3020</x:v>
      </x:c>
      <x:c r="C20" s="27" t="str">
        <x:v>Interest Rate</x:v>
      </x:c>
      <x:c r="D20" s="27" t="str">
        <x:v>EUR</x:v>
      </x:c>
      <x:c r="E20" s="27" t="str">
        <x:v>IR currency and maturity bucket</x:v>
      </x:c>
      <x:c r="F20" s="40" t="n">
        <x:f>SUMIFS(Trade_Calc!$AZ$4:$AZ$301,Trade_Calc!$B$4:$B$301,A20,Trade_Calc!$C$4:$C$301,B20,Trade_Calc!$E$4:$E$301,"Interest Rate",Trade_Calc!$AI$4:$AI$301,D20,Trade_Calc!$AE$4:$AE$301,"&lt;1")</x:f>
        <x:v>0</x:v>
      </x:c>
      <x:c r="G20" s="40" t="n">
        <x:f>SUMIFS(Trade_Calc!$AZ$4:$AZ$301,Trade_Calc!$B$4:$B$301,A20,Trade_Calc!$C$4:$C$301,B20,Trade_Calc!$E$4:$E$301,"Interest Rate",Trade_Calc!$AI$4:$AI$301,D20,Trade_Calc!$AE$4:$AE$301,"&gt;=1",Trade_Calc!$AE$4:$AE$301,"&lt;=5")</x:f>
        <x:v>0</x:v>
      </x:c>
      <x:c r="H20" s="40" t="n">
        <x:f>SUMIFS(Trade_Calc!$AZ$4:$AZ$301,Trade_Calc!$B$4:$B$301,A20,Trade_Calc!$C$4:$C$301,B20,Trade_Calc!$E$4:$E$301,"Interest Rate",Trade_Calc!$AI$4:$AI$301,D20,Trade_Calc!$AE$4:$AE$301,"&gt;5")</x:f>
        <x:v>-3705740035.424672</x:v>
      </x:c>
      <x:c r="I20" s="40" t="n">
        <x:f>SQRT(MAX(F20^2+G20^2+H20^2+1.4*F20*G20+1.4*G20*H20+0.6*F20*H20,0))</x:f>
        <x:v>3705740035.424672</x:v>
      </x:c>
      <x:c r="J20" s="43" t="n">
        <x:f>I20*VLOOKUP("Interest Rate",Parameters!$D$4:$E$12,2,FALSE)</x:f>
        <x:v>18528700.17712336</x:v>
      </x:c>
      <x:c r="K20" s="40" t="n">
        <x:v>3705740035.424672</x:v>
      </x:c>
      <x:c r="L20" s="43" t="n">
        <x:v>18528700.17712336</x:v>
      </x:c>
      <x:c r="M20" s="43" t="n">
        <x:f>J20-L20</x:f>
        <x:v>0</x:v>
      </x:c>
      <x:c r="N20" s="27" t="str">
        <x:f>IF(ABS(M20)&lt;0.01,"OK","CHECK")</x:f>
        <x:v>OK</x:v>
      </x:c>
    </x:row>
    <x:row r="21">
      <x:c r="A21" s="27" t="str">
        <x:v>IND_CLEARING_MEMBER_001</x:v>
      </x:c>
      <x:c r="B21" s="27" t="str">
        <x:v>3020</x:v>
      </x:c>
      <x:c r="C21" s="27" t="str">
        <x:v>Interest Rate</x:v>
      </x:c>
      <x:c r="D21" s="27" t="str">
        <x:v>USD</x:v>
      </x:c>
      <x:c r="E21" s="27" t="str">
        <x:v>IR currency and maturity bucket</x:v>
      </x:c>
      <x:c r="F21" s="40" t="n">
        <x:f>SUMIFS(Trade_Calc!$AZ$4:$AZ$301,Trade_Calc!$B$4:$B$301,A21,Trade_Calc!$C$4:$C$301,B21,Trade_Calc!$E$4:$E$301,"Interest Rate",Trade_Calc!$AI$4:$AI$301,D21,Trade_Calc!$AE$4:$AE$301,"&lt;1")</x:f>
        <x:v>-4842657.310076798</x:v>
      </x:c>
      <x:c r="G21" s="40" t="n">
        <x:f>SUMIFS(Trade_Calc!$AZ$4:$AZ$301,Trade_Calc!$B$4:$B$301,A21,Trade_Calc!$C$4:$C$301,B21,Trade_Calc!$E$4:$E$301,"Interest Rate",Trade_Calc!$AI$4:$AI$301,D21,Trade_Calc!$AE$4:$AE$301,"&gt;=1",Trade_Calc!$AE$4:$AE$301,"&lt;=5")</x:f>
        <x:v>0</x:v>
      </x:c>
      <x:c r="H21" s="40" t="n">
        <x:f>SUMIFS(Trade_Calc!$AZ$4:$AZ$301,Trade_Calc!$B$4:$B$301,A21,Trade_Calc!$C$4:$C$301,B21,Trade_Calc!$E$4:$E$301,"Interest Rate",Trade_Calc!$AI$4:$AI$301,D21,Trade_Calc!$AE$4:$AE$301,"&gt;5")</x:f>
        <x:v>0</x:v>
      </x:c>
      <x:c r="I21" s="40" t="n">
        <x:f>SQRT(MAX(F21^2+G21^2+H21^2+1.4*F21*G21+1.4*G21*H21+0.6*F21*H21,0))</x:f>
        <x:v>4842657.310076798</x:v>
      </x:c>
      <x:c r="J21" s="43" t="n">
        <x:f>I21*VLOOKUP("Interest Rate",Parameters!$D$4:$E$12,2,FALSE)</x:f>
        <x:v>24213.286550383993</x:v>
      </x:c>
      <x:c r="K21" s="40" t="n">
        <x:v>4842657.310076798</x:v>
      </x:c>
      <x:c r="L21" s="43" t="n">
        <x:v>24213.286550383993</x:v>
      </x:c>
      <x:c r="M21" s="43" t="n">
        <x:f>J21-L21</x:f>
        <x:v>0</x:v>
      </x:c>
      <x:c r="N21" s="27" t="str">
        <x:f>IF(ABS(M21)&lt;0.01,"OK","CHECK")</x:f>
        <x:v>OK</x:v>
      </x:c>
    </x:row>
    <x:row r="22">
      <x:c r="A22" s="27" t="str">
        <x:v>IND_CLEARING_MEMBER_001</x:v>
      </x:c>
      <x:c r="B22" s="27" t="str">
        <x:v>3399</x:v>
      </x:c>
      <x:c r="C22" s="27" t="str">
        <x:v>Interest Rate</x:v>
      </x:c>
      <x:c r="D22" s="27" t="str">
        <x:v>EUR</x:v>
      </x:c>
      <x:c r="E22" s="27" t="str">
        <x:v>IR currency and maturity bucket</x:v>
      </x:c>
      <x:c r="F22" s="40" t="n">
        <x:f>SUMIFS(Trade_Calc!$AZ$4:$AZ$301,Trade_Calc!$B$4:$B$301,A22,Trade_Calc!$C$4:$C$301,B22,Trade_Calc!$E$4:$E$301,"Interest Rate",Trade_Calc!$AI$4:$AI$301,D22,Trade_Calc!$AE$4:$AE$301,"&lt;1")</x:f>
        <x:v>0</x:v>
      </x:c>
      <x:c r="G22" s="40" t="n">
        <x:f>SUMIFS(Trade_Calc!$AZ$4:$AZ$301,Trade_Calc!$B$4:$B$301,A22,Trade_Calc!$C$4:$C$301,B22,Trade_Calc!$E$4:$E$301,"Interest Rate",Trade_Calc!$AI$4:$AI$301,D22,Trade_Calc!$AE$4:$AE$301,"&gt;=1",Trade_Calc!$AE$4:$AE$301,"&lt;=5")</x:f>
        <x:v>580534779.3419008</x:v>
      </x:c>
      <x:c r="H22" s="40" t="n">
        <x:f>SUMIFS(Trade_Calc!$AZ$4:$AZ$301,Trade_Calc!$B$4:$B$301,A22,Trade_Calc!$C$4:$C$301,B22,Trade_Calc!$E$4:$E$301,"Interest Rate",Trade_Calc!$AI$4:$AI$301,D22,Trade_Calc!$AE$4:$AE$301,"&gt;5")</x:f>
        <x:v>0</x:v>
      </x:c>
      <x:c r="I22" s="40" t="n">
        <x:f>SQRT(MAX(F22^2+G22^2+H22^2+1.4*F22*G22+1.4*G22*H22+0.6*F22*H22,0))</x:f>
        <x:v>580534779.3419008</x:v>
      </x:c>
      <x:c r="J22" s="43" t="n">
        <x:f>I22*VLOOKUP("Interest Rate",Parameters!$D$4:$E$12,2,FALSE)</x:f>
        <x:v>2902673.896709504</x:v>
      </x:c>
      <x:c r="K22" s="40" t="n">
        <x:v>580534779.3418994</x:v>
      </x:c>
      <x:c r="L22" s="43" t="n">
        <x:v>2902673.896709497</x:v>
      </x:c>
      <x:c r="M22" s="43" t="n">
        <x:f>J22-L22</x:f>
        <x:v>6.984919309616089e-9</x:v>
      </x:c>
      <x:c r="N22" s="27" t="str">
        <x:f>IF(ABS(M22)&lt;0.01,"OK","CHECK")</x:f>
        <x:v>OK</x:v>
      </x:c>
    </x:row>
    <x:row r="23">
      <x:c r="A23" s="27" t="str">
        <x:v>IND_CLEARING_MEMBER_001</x:v>
      </x:c>
      <x:c r="B23" s="27" t="str">
        <x:v>3399</x:v>
      </x:c>
      <x:c r="C23" s="27" t="str">
        <x:v>Interest Rate</x:v>
      </x:c>
      <x:c r="D23" s="27" t="str">
        <x:v>USD</x:v>
      </x:c>
      <x:c r="E23" s="27" t="str">
        <x:v>IR currency and maturity bucket</x:v>
      </x:c>
      <x:c r="F23" s="40" t="n">
        <x:f>SUMIFS(Trade_Calc!$AZ$4:$AZ$301,Trade_Calc!$B$4:$B$301,A23,Trade_Calc!$C$4:$C$301,B23,Trade_Calc!$E$4:$E$301,"Interest Rate",Trade_Calc!$AI$4:$AI$301,D23,Trade_Calc!$AE$4:$AE$301,"&lt;1")</x:f>
        <x:v>0</x:v>
      </x:c>
      <x:c r="G23" s="40" t="n">
        <x:f>SUMIFS(Trade_Calc!$AZ$4:$AZ$301,Trade_Calc!$B$4:$B$301,A23,Trade_Calc!$C$4:$C$301,B23,Trade_Calc!$E$4:$E$301,"Interest Rate",Trade_Calc!$AI$4:$AI$301,D23,Trade_Calc!$AE$4:$AE$301,"&gt;=1",Trade_Calc!$AE$4:$AE$301,"&lt;=5")</x:f>
        <x:v>-624066122.1914755</x:v>
      </x:c>
      <x:c r="H23" s="40" t="n">
        <x:f>SUMIFS(Trade_Calc!$AZ$4:$AZ$301,Trade_Calc!$B$4:$B$301,A23,Trade_Calc!$C$4:$C$301,B23,Trade_Calc!$E$4:$E$301,"Interest Rate",Trade_Calc!$AI$4:$AI$301,D23,Trade_Calc!$AE$4:$AE$301,"&gt;5")</x:f>
        <x:v>0</x:v>
      </x:c>
      <x:c r="I23" s="40" t="n">
        <x:f>SQRT(MAX(F23^2+G23^2+H23^2+1.4*F23*G23+1.4*G23*H23+0.6*F23*H23,0))</x:f>
        <x:v>624066122.1914755</x:v>
      </x:c>
      <x:c r="J23" s="43" t="n">
        <x:f>I23*VLOOKUP("Interest Rate",Parameters!$D$4:$E$12,2,FALSE)</x:f>
        <x:v>3120330.6109573776</x:v>
      </x:c>
      <x:c r="K23" s="40" t="n">
        <x:v>624066122.1914761</x:v>
      </x:c>
      <x:c r="L23" s="43" t="n">
        <x:v>3120330.6109573804</x:v>
      </x:c>
      <x:c r="M23" s="43" t="n">
        <x:f>J23-L23</x:f>
        <x:v>-2.7939677238464355e-9</x:v>
      </x:c>
      <x:c r="N23" s="27" t="str">
        <x:f>IF(ABS(M23)&lt;0.01,"OK","CHECK")</x:f>
        <x:v>OK</x:v>
      </x:c>
    </x:row>
    <x:row r="24">
      <x:c r="A24" s="27" t="str">
        <x:v>IND_CORPORATE_001</x:v>
      </x:c>
      <x:c r="B24" s="27" t="str">
        <x:v>3004</x:v>
      </x:c>
      <x:c r="C24" s="27" t="str">
        <x:v>Interest Rate</x:v>
      </x:c>
      <x:c r="D24" s="27" t="str">
        <x:v>EUR</x:v>
      </x:c>
      <x:c r="E24" s="27" t="str">
        <x:v>IR currency and maturity bucket</x:v>
      </x:c>
      <x:c r="F24" s="40" t="n">
        <x:f>SUMIFS(Trade_Calc!$AZ$4:$AZ$301,Trade_Calc!$B$4:$B$301,A24,Trade_Calc!$C$4:$C$301,B24,Trade_Calc!$E$4:$E$301,"Interest Rate",Trade_Calc!$AI$4:$AI$301,D24,Trade_Calc!$AE$4:$AE$301,"&lt;1")</x:f>
        <x:v>-8003109.110665543</x:v>
      </x:c>
      <x:c r="G24" s="40" t="n">
        <x:f>SUMIFS(Trade_Calc!$AZ$4:$AZ$301,Trade_Calc!$B$4:$B$301,A24,Trade_Calc!$C$4:$C$301,B24,Trade_Calc!$E$4:$E$301,"Interest Rate",Trade_Calc!$AI$4:$AI$301,D24,Trade_Calc!$AE$4:$AE$301,"&gt;=1",Trade_Calc!$AE$4:$AE$301,"&lt;=5")</x:f>
        <x:v>-214515378.992757</x:v>
      </x:c>
      <x:c r="H24" s="40" t="n">
        <x:f>SUMIFS(Trade_Calc!$AZ$4:$AZ$301,Trade_Calc!$B$4:$B$301,A24,Trade_Calc!$C$4:$C$301,B24,Trade_Calc!$E$4:$E$301,"Interest Rate",Trade_Calc!$AI$4:$AI$301,D24,Trade_Calc!$AE$4:$AE$301,"&gt;5")</x:f>
        <x:v>0</x:v>
      </x:c>
      <x:c r="I24" s="40" t="n">
        <x:f>SQRT(MAX(F24^2+G24^2+H24^2+1.4*F24*G24+1.4*G24*H24+0.6*F24*H24,0))</x:f>
        <x:v>220191742.70947608</x:v>
      </x:c>
      <x:c r="J24" s="43" t="n">
        <x:f>I24*VLOOKUP("Interest Rate",Parameters!$D$4:$E$12,2,FALSE)</x:f>
        <x:v>1100958.7135473804</x:v>
      </x:c>
      <x:c r="K24" s="40" t="n">
        <x:v>220191742.70947608</x:v>
      </x:c>
      <x:c r="L24" s="43" t="n">
        <x:v>1100958.7135473804</x:v>
      </x:c>
      <x:c r="M24" s="43" t="n">
        <x:f>J24-L24</x:f>
        <x:v>0</x:v>
      </x:c>
      <x:c r="N24" s="27" t="str">
        <x:f>IF(ABS(M24)&lt;0.01,"OK","CHECK")</x:f>
        <x:v>OK</x:v>
      </x:c>
    </x:row>
    <x:row r="25">
      <x:c r="A25" s="27" t="str">
        <x:v>IND_CORPORATE_001</x:v>
      </x:c>
      <x:c r="B25" s="27" t="str">
        <x:v>3161</x:v>
      </x:c>
      <x:c r="C25" s="27" t="str">
        <x:v>Interest Rate</x:v>
      </x:c>
      <x:c r="D25" s="27" t="str">
        <x:v>USD</x:v>
      </x:c>
      <x:c r="E25" s="27" t="str">
        <x:v>IR currency and maturity bucket</x:v>
      </x:c>
      <x:c r="F25" s="40" t="n">
        <x:f>SUMIFS(Trade_Calc!$AZ$4:$AZ$301,Trade_Calc!$B$4:$B$301,A25,Trade_Calc!$C$4:$C$301,B25,Trade_Calc!$E$4:$E$301,"Interest Rate",Trade_Calc!$AI$4:$AI$301,D25,Trade_Calc!$AE$4:$AE$301,"&lt;1")</x:f>
        <x:v>0</x:v>
      </x:c>
      <x:c r="G25" s="40" t="n">
        <x:f>SUMIFS(Trade_Calc!$AZ$4:$AZ$301,Trade_Calc!$B$4:$B$301,A25,Trade_Calc!$C$4:$C$301,B25,Trade_Calc!$E$4:$E$301,"Interest Rate",Trade_Calc!$AI$4:$AI$301,D25,Trade_Calc!$AE$4:$AE$301,"&gt;=1",Trade_Calc!$AE$4:$AE$301,"&lt;=5")</x:f>
        <x:v>-1658904188.4095516</x:v>
      </x:c>
      <x:c r="H25" s="40" t="n">
        <x:f>SUMIFS(Trade_Calc!$AZ$4:$AZ$301,Trade_Calc!$B$4:$B$301,A25,Trade_Calc!$C$4:$C$301,B25,Trade_Calc!$E$4:$E$301,"Interest Rate",Trade_Calc!$AI$4:$AI$301,D25,Trade_Calc!$AE$4:$AE$301,"&gt;5")</x:f>
        <x:v>0</x:v>
      </x:c>
      <x:c r="I25" s="40" t="n">
        <x:f>SQRT(MAX(F25^2+G25^2+H25^2+1.4*F25*G25+1.4*G25*H25+0.6*F25*H25,0))</x:f>
        <x:v>1658904188.4095516</x:v>
      </x:c>
      <x:c r="J25" s="43" t="n">
        <x:f>I25*VLOOKUP("Interest Rate",Parameters!$D$4:$E$12,2,FALSE)</x:f>
        <x:v>8294520.942047758</x:v>
      </x:c>
      <x:c r="K25" s="40" t="n">
        <x:v>1658904188.4095516</x:v>
      </x:c>
      <x:c r="L25" s="43" t="n">
        <x:v>8294520.942047758</x:v>
      </x:c>
      <x:c r="M25" s="43" t="n">
        <x:f>J25-L25</x:f>
        <x:v>0</x:v>
      </x:c>
      <x:c r="N25" s="27" t="str">
        <x:f>IF(ABS(M25)&lt;0.01,"OK","CHECK")</x:f>
        <x:v>OK</x:v>
      </x:c>
    </x:row>
    <x:row r="26">
      <x:c r="A26" s="27" t="str">
        <x:v>IND_CORPORATE_002</x:v>
      </x:c>
      <x:c r="B26" s="27" t="str">
        <x:v>3074</x:v>
      </x:c>
      <x:c r="C26" s="27" t="str">
        <x:v>Interest Rate</x:v>
      </x:c>
      <x:c r="D26" s="27" t="str">
        <x:v>CNY</x:v>
      </x:c>
      <x:c r="E26" s="27" t="str">
        <x:v>IR currency and maturity bucket</x:v>
      </x:c>
      <x:c r="F26" s="40" t="n">
        <x:f>SUMIFS(Trade_Calc!$AZ$4:$AZ$301,Trade_Calc!$B$4:$B$301,A26,Trade_Calc!$C$4:$C$301,B26,Trade_Calc!$E$4:$E$301,"Interest Rate",Trade_Calc!$AI$4:$AI$301,D26,Trade_Calc!$AE$4:$AE$301,"&lt;1")</x:f>
        <x:v>-69878080.68185833</x:v>
      </x:c>
      <x:c r="G26" s="40" t="n">
        <x:f>SUMIFS(Trade_Calc!$AZ$4:$AZ$301,Trade_Calc!$B$4:$B$301,A26,Trade_Calc!$C$4:$C$301,B26,Trade_Calc!$E$4:$E$301,"Interest Rate",Trade_Calc!$AI$4:$AI$301,D26,Trade_Calc!$AE$4:$AE$301,"&gt;=1",Trade_Calc!$AE$4:$AE$301,"&lt;=5")</x:f>
        <x:v>0</x:v>
      </x:c>
      <x:c r="H26" s="40" t="n">
        <x:f>SUMIFS(Trade_Calc!$AZ$4:$AZ$301,Trade_Calc!$B$4:$B$301,A26,Trade_Calc!$C$4:$C$301,B26,Trade_Calc!$E$4:$E$301,"Interest Rate",Trade_Calc!$AI$4:$AI$301,D26,Trade_Calc!$AE$4:$AE$301,"&gt;5")</x:f>
        <x:v>0</x:v>
      </x:c>
      <x:c r="I26" s="40" t="n">
        <x:f>SQRT(MAX(F26^2+G26^2+H26^2+1.4*F26*G26+1.4*G26*H26+0.6*F26*H26,0))</x:f>
        <x:v>69878080.68185833</x:v>
      </x:c>
      <x:c r="J26" s="43" t="n">
        <x:f>I26*VLOOKUP("Interest Rate",Parameters!$D$4:$E$12,2,FALSE)</x:f>
        <x:v>349390.40340929164</x:v>
      </x:c>
      <x:c r="K26" s="40" t="n">
        <x:v>69878080.68185832</x:v>
      </x:c>
      <x:c r="L26" s="43" t="n">
        <x:v>349390.4034092916</x:v>
      </x:c>
      <x:c r="M26" s="43" t="n">
        <x:f>J26-L26</x:f>
        <x:v>5.820766091346741e-11</x:v>
      </x:c>
      <x:c r="N26" s="27" t="str">
        <x:f>IF(ABS(M26)&lt;0.01,"OK","CHECK")</x:f>
        <x:v>OK</x:v>
      </x:c>
    </x:row>
    <x:row r="27">
      <x:c r="A27" s="27" t="str">
        <x:v>IND_CORPORATE_002</x:v>
      </x:c>
      <x:c r="B27" s="27" t="str">
        <x:v>3074</x:v>
      </x:c>
      <x:c r="C27" s="27" t="str">
        <x:v>Interest Rate</x:v>
      </x:c>
      <x:c r="D27" s="27" t="str">
        <x:v>EUR</x:v>
      </x:c>
      <x:c r="E27" s="27" t="str">
        <x:v>IR currency and maturity bucket</x:v>
      </x:c>
      <x:c r="F27" s="40" t="n">
        <x:f>SUMIFS(Trade_Calc!$AZ$4:$AZ$301,Trade_Calc!$B$4:$B$301,A27,Trade_Calc!$C$4:$C$301,B27,Trade_Calc!$E$4:$E$301,"Interest Rate",Trade_Calc!$AI$4:$AI$301,D27,Trade_Calc!$AE$4:$AE$301,"&lt;1")</x:f>
        <x:v>0</x:v>
      </x:c>
      <x:c r="G27" s="40" t="n">
        <x:f>SUMIFS(Trade_Calc!$AZ$4:$AZ$301,Trade_Calc!$B$4:$B$301,A27,Trade_Calc!$C$4:$C$301,B27,Trade_Calc!$E$4:$E$301,"Interest Rate",Trade_Calc!$AI$4:$AI$301,D27,Trade_Calc!$AE$4:$AE$301,"&gt;=1",Trade_Calc!$AE$4:$AE$301,"&lt;=5")</x:f>
        <x:v>-2320916233.294082</x:v>
      </x:c>
      <x:c r="H27" s="40" t="n">
        <x:f>SUMIFS(Trade_Calc!$AZ$4:$AZ$301,Trade_Calc!$B$4:$B$301,A27,Trade_Calc!$C$4:$C$301,B27,Trade_Calc!$E$4:$E$301,"Interest Rate",Trade_Calc!$AI$4:$AI$301,D27,Trade_Calc!$AE$4:$AE$301,"&gt;5")</x:f>
        <x:v>0</x:v>
      </x:c>
      <x:c r="I27" s="40" t="n">
        <x:f>SQRT(MAX(F27^2+G27^2+H27^2+1.4*F27*G27+1.4*G27*H27+0.6*F27*H27,0))</x:f>
        <x:v>2320916233.294082</x:v>
      </x:c>
      <x:c r="J27" s="43" t="n">
        <x:f>I27*VLOOKUP("Interest Rate",Parameters!$D$4:$E$12,2,FALSE)</x:f>
        <x:v>11604581.16647041</x:v>
      </x:c>
      <x:c r="K27" s="40" t="n">
        <x:v>2320916233.294082</x:v>
      </x:c>
      <x:c r="L27" s="43" t="n">
        <x:v>11604581.16647041</x:v>
      </x:c>
      <x:c r="M27" s="43" t="n">
        <x:f>J27-L27</x:f>
        <x:v>0</x:v>
      </x:c>
      <x:c r="N27" s="27" t="str">
        <x:f>IF(ABS(M27)&lt;0.01,"OK","CHECK")</x:f>
        <x:v>OK</x:v>
      </x:c>
    </x:row>
    <x:row r="28">
      <x:c r="A28" s="27" t="str">
        <x:v>IND_CORPORATE_002</x:v>
      </x:c>
      <x:c r="B28" s="27" t="str">
        <x:v>3074</x:v>
      </x:c>
      <x:c r="C28" s="27" t="str">
        <x:v>Interest Rate</x:v>
      </x:c>
      <x:c r="D28" s="27" t="str">
        <x:v>USD</x:v>
      </x:c>
      <x:c r="E28" s="27" t="str">
        <x:v>IR currency and maturity bucket</x:v>
      </x:c>
      <x:c r="F28" s="40" t="n">
        <x:f>SUMIFS(Trade_Calc!$AZ$4:$AZ$301,Trade_Calc!$B$4:$B$301,A28,Trade_Calc!$C$4:$C$301,B28,Trade_Calc!$E$4:$E$301,"Interest Rate",Trade_Calc!$AI$4:$AI$301,D28,Trade_Calc!$AE$4:$AE$301,"&lt;1")</x:f>
        <x:v>0</x:v>
      </x:c>
      <x:c r="G28" s="40" t="n">
        <x:f>SUMIFS(Trade_Calc!$AZ$4:$AZ$301,Trade_Calc!$B$4:$B$301,A28,Trade_Calc!$C$4:$C$301,B28,Trade_Calc!$E$4:$E$301,"Interest Rate",Trade_Calc!$AI$4:$AI$301,D28,Trade_Calc!$AE$4:$AE$301,"&gt;=1",Trade_Calc!$AE$4:$AE$301,"&lt;=5")</x:f>
        <x:v>-202697511.6099439</x:v>
      </x:c>
      <x:c r="H28" s="40" t="n">
        <x:f>SUMIFS(Trade_Calc!$AZ$4:$AZ$301,Trade_Calc!$B$4:$B$301,A28,Trade_Calc!$C$4:$C$301,B28,Trade_Calc!$E$4:$E$301,"Interest Rate",Trade_Calc!$AI$4:$AI$301,D28,Trade_Calc!$AE$4:$AE$301,"&gt;5")</x:f>
        <x:v>-2771900903.440838</x:v>
      </x:c>
      <x:c r="I28" s="40" t="n">
        <x:f>SQRT(MAX(F28^2+G28^2+H28^2+1.4*F28*G28+1.4*G28*H28+0.6*F28*H28,0))</x:f>
        <x:v>2917382608.0047393</x:v>
      </x:c>
      <x:c r="J28" s="43" t="n">
        <x:f>I28*VLOOKUP("Interest Rate",Parameters!$D$4:$E$12,2,FALSE)</x:f>
        <x:v>14586913.040023698</x:v>
      </x:c>
      <x:c r="K28" s="40" t="n">
        <x:v>2917382608.0047393</x:v>
      </x:c>
      <x:c r="L28" s="43" t="n">
        <x:v>14586913.040023698</x:v>
      </x:c>
      <x:c r="M28" s="43" t="n">
        <x:f>J28-L28</x:f>
        <x:v>0</x:v>
      </x:c>
      <x:c r="N28" s="27" t="str">
        <x:f>IF(ABS(M28)&lt;0.01,"OK","CHECK")</x:f>
        <x:v>OK</x:v>
      </x:c>
    </x:row>
    <x:row r="29">
      <x:c r="A29" s="27" t="str">
        <x:v>IND_CORPORATE_002</x:v>
      </x:c>
      <x:c r="B29" s="27" t="str">
        <x:v>3273</x:v>
      </x:c>
      <x:c r="C29" s="27" t="str">
        <x:v>Interest Rate</x:v>
      </x:c>
      <x:c r="D29" s="27" t="str">
        <x:v>EUR</x:v>
      </x:c>
      <x:c r="E29" s="27" t="str">
        <x:v>IR currency and maturity bucket</x:v>
      </x:c>
      <x:c r="F29" s="40" t="n">
        <x:f>SUMIFS(Trade_Calc!$AZ$4:$AZ$301,Trade_Calc!$B$4:$B$301,A29,Trade_Calc!$C$4:$C$301,B29,Trade_Calc!$E$4:$E$301,"Interest Rate",Trade_Calc!$AI$4:$AI$301,D29,Trade_Calc!$AE$4:$AE$301,"&lt;1")</x:f>
        <x:v>0</x:v>
      </x:c>
      <x:c r="G29" s="40" t="n">
        <x:f>SUMIFS(Trade_Calc!$AZ$4:$AZ$301,Trade_Calc!$B$4:$B$301,A29,Trade_Calc!$C$4:$C$301,B29,Trade_Calc!$E$4:$E$301,"Interest Rate",Trade_Calc!$AI$4:$AI$301,D29,Trade_Calc!$AE$4:$AE$301,"&gt;=1",Trade_Calc!$AE$4:$AE$301,"&lt;=5")</x:f>
        <x:v>2301189652.8412814</x:v>
      </x:c>
      <x:c r="H29" s="40" t="n">
        <x:f>SUMIFS(Trade_Calc!$AZ$4:$AZ$301,Trade_Calc!$B$4:$B$301,A29,Trade_Calc!$C$4:$C$301,B29,Trade_Calc!$E$4:$E$301,"Interest Rate",Trade_Calc!$AI$4:$AI$301,D29,Trade_Calc!$AE$4:$AE$301,"&gt;5")</x:f>
        <x:v>0</x:v>
      </x:c>
      <x:c r="I29" s="40" t="n">
        <x:f>SQRT(MAX(F29^2+G29^2+H29^2+1.4*F29*G29+1.4*G29*H29+0.6*F29*H29,0))</x:f>
        <x:v>2301189652.8412814</x:v>
      </x:c>
      <x:c r="J29" s="43" t="n">
        <x:f>I29*VLOOKUP("Interest Rate",Parameters!$D$4:$E$12,2,FALSE)</x:f>
        <x:v>11505948.264206408</x:v>
      </x:c>
      <x:c r="K29" s="40" t="n">
        <x:v>2301189652.8412814</x:v>
      </x:c>
      <x:c r="L29" s="43" t="n">
        <x:v>11505948.264206408</x:v>
      </x:c>
      <x:c r="M29" s="43" t="n">
        <x:f>J29-L29</x:f>
        <x:v>0</x:v>
      </x:c>
      <x:c r="N29" s="27" t="str">
        <x:f>IF(ABS(M29)&lt;0.01,"OK","CHECK")</x:f>
        <x:v>OK</x:v>
      </x:c>
    </x:row>
    <x:row r="30">
      <x:c r="A30" s="27" t="str">
        <x:v>IND_HEDGE_FUND_001</x:v>
      </x:c>
      <x:c r="B30" s="27" t="str">
        <x:v>3012</x:v>
      </x:c>
      <x:c r="C30" s="27" t="str">
        <x:v>Interest Rate</x:v>
      </x:c>
      <x:c r="D30" s="27" t="str">
        <x:v>CNY</x:v>
      </x:c>
      <x:c r="E30" s="27" t="str">
        <x:v>IR currency and maturity bucket</x:v>
      </x:c>
      <x:c r="F30" s="40" t="n">
        <x:f>SUMIFS(Trade_Calc!$AZ$4:$AZ$301,Trade_Calc!$B$4:$B$301,A30,Trade_Calc!$C$4:$C$301,B30,Trade_Calc!$E$4:$E$301,"Interest Rate",Trade_Calc!$AI$4:$AI$301,D30,Trade_Calc!$AE$4:$AE$301,"&lt;1")</x:f>
        <x:v>0</x:v>
      </x:c>
      <x:c r="G30" s="40" t="n">
        <x:f>SUMIFS(Trade_Calc!$AZ$4:$AZ$301,Trade_Calc!$B$4:$B$301,A30,Trade_Calc!$C$4:$C$301,B30,Trade_Calc!$E$4:$E$301,"Interest Rate",Trade_Calc!$AI$4:$AI$301,D30,Trade_Calc!$AE$4:$AE$301,"&gt;=1",Trade_Calc!$AE$4:$AE$301,"&lt;=5")</x:f>
        <x:v>0</x:v>
      </x:c>
      <x:c r="H30" s="40" t="n">
        <x:f>SUMIFS(Trade_Calc!$AZ$4:$AZ$301,Trade_Calc!$B$4:$B$301,A30,Trade_Calc!$C$4:$C$301,B30,Trade_Calc!$E$4:$E$301,"Interest Rate",Trade_Calc!$AI$4:$AI$301,D30,Trade_Calc!$AE$4:$AE$301,"&gt;5")</x:f>
        <x:v>-7247359621.944687</x:v>
      </x:c>
      <x:c r="I30" s="40" t="n">
        <x:f>SQRT(MAX(F30^2+G30^2+H30^2+1.4*F30*G30+1.4*G30*H30+0.6*F30*H30,0))</x:f>
        <x:v>7247359621.944687</x:v>
      </x:c>
      <x:c r="J30" s="43" t="n">
        <x:f>I30*VLOOKUP("Interest Rate",Parameters!$D$4:$E$12,2,FALSE)</x:f>
        <x:v>36236798.109723434</x:v>
      </x:c>
      <x:c r="K30" s="40" t="n">
        <x:v>7247359621.944686</x:v>
      </x:c>
      <x:c r="L30" s="43" t="n">
        <x:v>36236798.109723434</x:v>
      </x:c>
      <x:c r="M30" s="43" t="n">
        <x:f>J30-L30</x:f>
        <x:v>0</x:v>
      </x:c>
      <x:c r="N30" s="27" t="str">
        <x:f>IF(ABS(M30)&lt;0.01,"OK","CHECK")</x:f>
        <x:v>OK</x:v>
      </x:c>
    </x:row>
    <x:row r="31">
      <x:c r="A31" s="27" t="str">
        <x:v>IND_HEDGE_FUND_001</x:v>
      </x:c>
      <x:c r="B31" s="27" t="str">
        <x:v>3345</x:v>
      </x:c>
      <x:c r="C31" s="27" t="str">
        <x:v>Interest Rate</x:v>
      </x:c>
      <x:c r="D31" s="27" t="str">
        <x:v>CNY</x:v>
      </x:c>
      <x:c r="E31" s="27" t="str">
        <x:v>IR currency and maturity bucket</x:v>
      </x:c>
      <x:c r="F31" s="40" t="n">
        <x:f>SUMIFS(Trade_Calc!$AZ$4:$AZ$301,Trade_Calc!$B$4:$B$301,A31,Trade_Calc!$C$4:$C$301,B31,Trade_Calc!$E$4:$E$301,"Interest Rate",Trade_Calc!$AI$4:$AI$301,D31,Trade_Calc!$AE$4:$AE$301,"&lt;1")</x:f>
        <x:v>0</x:v>
      </x:c>
      <x:c r="G31" s="40" t="n">
        <x:f>SUMIFS(Trade_Calc!$AZ$4:$AZ$301,Trade_Calc!$B$4:$B$301,A31,Trade_Calc!$C$4:$C$301,B31,Trade_Calc!$E$4:$E$301,"Interest Rate",Trade_Calc!$AI$4:$AI$301,D31,Trade_Calc!$AE$4:$AE$301,"&gt;=1",Trade_Calc!$AE$4:$AE$301,"&lt;=5")</x:f>
        <x:v>-1410515711.383088</x:v>
      </x:c>
      <x:c r="H31" s="40" t="n">
        <x:f>SUMIFS(Trade_Calc!$AZ$4:$AZ$301,Trade_Calc!$B$4:$B$301,A31,Trade_Calc!$C$4:$C$301,B31,Trade_Calc!$E$4:$E$301,"Interest Rate",Trade_Calc!$AI$4:$AI$301,D31,Trade_Calc!$AE$4:$AE$301,"&gt;5")</x:f>
        <x:v>846389521.7790003</x:v>
      </x:c>
      <x:c r="I31" s="40" t="n">
        <x:f>SQRT(MAX(F31^2+G31^2+H31^2+1.4*F31*G31+1.4*G31*H31+0.6*F31*H31,0))</x:f>
        <x:v>1017126240.3698009</x:v>
      </x:c>
      <x:c r="J31" s="43" t="n">
        <x:f>I31*VLOOKUP("Interest Rate",Parameters!$D$4:$E$12,2,FALSE)</x:f>
        <x:v>5085631.201849005</x:v>
      </x:c>
      <x:c r="K31" s="40" t="n">
        <x:v>1017126240.3698025</x:v>
      </x:c>
      <x:c r="L31" s="43" t="n">
        <x:v>5085631.201849013</x:v>
      </x:c>
      <x:c r="M31" s="43" t="n">
        <x:f>J31-L31</x:f>
        <x:v>-7.450580596923828e-9</x:v>
      </x:c>
      <x:c r="N31" s="27" t="str">
        <x:f>IF(ABS(M31)&lt;0.01,"OK","CHECK")</x:f>
        <x:v>OK</x:v>
      </x:c>
    </x:row>
    <x:row r="32">
      <x:c r="A32" s="27" t="str">
        <x:v>IND_HEDGE_FUND_001</x:v>
      </x:c>
      <x:c r="B32" s="27" t="str">
        <x:v>3345</x:v>
      </x:c>
      <x:c r="C32" s="27" t="str">
        <x:v>Interest Rate</x:v>
      </x:c>
      <x:c r="D32" s="27" t="str">
        <x:v>USD</x:v>
      </x:c>
      <x:c r="E32" s="27" t="str">
        <x:v>IR currency and maturity bucket</x:v>
      </x:c>
      <x:c r="F32" s="40" t="n">
        <x:f>SUMIFS(Trade_Calc!$AZ$4:$AZ$301,Trade_Calc!$B$4:$B$301,A32,Trade_Calc!$C$4:$C$301,B32,Trade_Calc!$E$4:$E$301,"Interest Rate",Trade_Calc!$AI$4:$AI$301,D32,Trade_Calc!$AE$4:$AE$301,"&lt;1")</x:f>
        <x:v>101634693.05210774</x:v>
      </x:c>
      <x:c r="G32" s="40" t="n">
        <x:f>SUMIFS(Trade_Calc!$AZ$4:$AZ$301,Trade_Calc!$B$4:$B$301,A32,Trade_Calc!$C$4:$C$301,B32,Trade_Calc!$E$4:$E$301,"Interest Rate",Trade_Calc!$AI$4:$AI$301,D32,Trade_Calc!$AE$4:$AE$301,"&gt;=1",Trade_Calc!$AE$4:$AE$301,"&lt;=5")</x:f>
        <x:v>-94006246.55331986</x:v>
      </x:c>
      <x:c r="H32" s="40" t="n">
        <x:f>SUMIFS(Trade_Calc!$AZ$4:$AZ$301,Trade_Calc!$B$4:$B$301,A32,Trade_Calc!$C$4:$C$301,B32,Trade_Calc!$E$4:$E$301,"Interest Rate",Trade_Calc!$AI$4:$AI$301,D32,Trade_Calc!$AE$4:$AE$301,"&gt;5")</x:f>
        <x:v>-1614849839.5354304</x:v>
      </x:c>
      <x:c r="I32" s="40" t="n">
        <x:f>SQRT(MAX(F32^2+G32^2+H32^2+1.4*F32*G32+1.4*G32*H32+0.6*F32*H32,0))</x:f>
        <x:v>1651539970.8812766</x:v>
      </x:c>
      <x:c r="J32" s="43" t="n">
        <x:f>I32*VLOOKUP("Interest Rate",Parameters!$D$4:$E$12,2,FALSE)</x:f>
        <x:v>8257699.854406383</x:v>
      </x:c>
      <x:c r="K32" s="40" t="n">
        <x:v>1651539970.8812766</x:v>
      </x:c>
      <x:c r="L32" s="43" t="n">
        <x:v>8257699.854406383</x:v>
      </x:c>
      <x:c r="M32" s="43" t="n">
        <x:f>J32-L32</x:f>
        <x:v>0</x:v>
      </x:c>
      <x:c r="N32" s="27" t="str">
        <x:f>IF(ABS(M32)&lt;0.01,"OK","CHECK")</x:f>
        <x:v>OK</x:v>
      </x:c>
    </x:row>
    <x:row r="33">
      <x:c r="A33" s="27" t="str">
        <x:v>IND_INSURER_001</x:v>
      </x:c>
      <x:c r="B33" s="27" t="str">
        <x:v>3048</x:v>
      </x:c>
      <x:c r="C33" s="27" t="str">
        <x:v>Interest Rate</x:v>
      </x:c>
      <x:c r="D33" s="27" t="str">
        <x:v>JPY</x:v>
      </x:c>
      <x:c r="E33" s="27" t="str">
        <x:v>IR currency and maturity bucket</x:v>
      </x:c>
      <x:c r="F33" s="40" t="n">
        <x:f>SUMIFS(Trade_Calc!$AZ$4:$AZ$301,Trade_Calc!$B$4:$B$301,A33,Trade_Calc!$C$4:$C$301,B33,Trade_Calc!$E$4:$E$301,"Interest Rate",Trade_Calc!$AI$4:$AI$301,D33,Trade_Calc!$AE$4:$AE$301,"&lt;1")</x:f>
        <x:v>0</x:v>
      </x:c>
      <x:c r="G33" s="40" t="n">
        <x:f>SUMIFS(Trade_Calc!$AZ$4:$AZ$301,Trade_Calc!$B$4:$B$301,A33,Trade_Calc!$C$4:$C$301,B33,Trade_Calc!$E$4:$E$301,"Interest Rate",Trade_Calc!$AI$4:$AI$301,D33,Trade_Calc!$AE$4:$AE$301,"&gt;=1",Trade_Calc!$AE$4:$AE$301,"&lt;=5")</x:f>
        <x:v>0</x:v>
      </x:c>
      <x:c r="H33" s="40" t="n">
        <x:f>SUMIFS(Trade_Calc!$AZ$4:$AZ$301,Trade_Calc!$B$4:$B$301,A33,Trade_Calc!$C$4:$C$301,B33,Trade_Calc!$E$4:$E$301,"Interest Rate",Trade_Calc!$AI$4:$AI$301,D33,Trade_Calc!$AE$4:$AE$301,"&gt;5")</x:f>
        <x:v>-6342343919.6972065</x:v>
      </x:c>
      <x:c r="I33" s="40" t="n">
        <x:f>SQRT(MAX(F33^2+G33^2+H33^2+1.4*F33*G33+1.4*G33*H33+0.6*F33*H33,0))</x:f>
        <x:v>6342343919.6972065</x:v>
      </x:c>
      <x:c r="J33" s="43" t="n">
        <x:f>I33*VLOOKUP("Interest Rate",Parameters!$D$4:$E$12,2,FALSE)</x:f>
        <x:v>31711719.598486032</x:v>
      </x:c>
      <x:c r="K33" s="40" t="n">
        <x:v>6342343919.6972065</x:v>
      </x:c>
      <x:c r="L33" s="43" t="n">
        <x:v>31711719.598486032</x:v>
      </x:c>
      <x:c r="M33" s="43" t="n">
        <x:f>J33-L33</x:f>
        <x:v>0</x:v>
      </x:c>
      <x:c r="N33" s="27" t="str">
        <x:f>IF(ABS(M33)&lt;0.01,"OK","CHECK")</x:f>
        <x:v>OK</x:v>
      </x:c>
    </x:row>
    <x:row r="34">
      <x:c r="A34" s="27" t="str">
        <x:v>IND_INSURER_001</x:v>
      </x:c>
      <x:c r="B34" s="27" t="str">
        <x:v>3048</x:v>
      </x:c>
      <x:c r="C34" s="27" t="str">
        <x:v>Interest Rate</x:v>
      </x:c>
      <x:c r="D34" s="27" t="str">
        <x:v>USD</x:v>
      </x:c>
      <x:c r="E34" s="27" t="str">
        <x:v>IR currency and maturity bucket</x:v>
      </x:c>
      <x:c r="F34" s="40" t="n">
        <x:f>SUMIFS(Trade_Calc!$AZ$4:$AZ$301,Trade_Calc!$B$4:$B$301,A34,Trade_Calc!$C$4:$C$301,B34,Trade_Calc!$E$4:$E$301,"Interest Rate",Trade_Calc!$AI$4:$AI$301,D34,Trade_Calc!$AE$4:$AE$301,"&lt;1")</x:f>
        <x:v>-14517824.928881163</x:v>
      </x:c>
      <x:c r="G34" s="40" t="n">
        <x:f>SUMIFS(Trade_Calc!$AZ$4:$AZ$301,Trade_Calc!$B$4:$B$301,A34,Trade_Calc!$C$4:$C$301,B34,Trade_Calc!$E$4:$E$301,"Interest Rate",Trade_Calc!$AI$4:$AI$301,D34,Trade_Calc!$AE$4:$AE$301,"&gt;=1",Trade_Calc!$AE$4:$AE$301,"&lt;=5")</x:f>
        <x:v>0</x:v>
      </x:c>
      <x:c r="H34" s="40" t="n">
        <x:f>SUMIFS(Trade_Calc!$AZ$4:$AZ$301,Trade_Calc!$B$4:$B$301,A34,Trade_Calc!$C$4:$C$301,B34,Trade_Calc!$E$4:$E$301,"Interest Rate",Trade_Calc!$AI$4:$AI$301,D34,Trade_Calc!$AE$4:$AE$301,"&gt;5")</x:f>
        <x:v>0</x:v>
      </x:c>
      <x:c r="I34" s="40" t="n">
        <x:f>SQRT(MAX(F34^2+G34^2+H34^2+1.4*F34*G34+1.4*G34*H34+0.6*F34*H34,0))</x:f>
        <x:v>14517824.928881163</x:v>
      </x:c>
      <x:c r="J34" s="43" t="n">
        <x:f>I34*VLOOKUP("Interest Rate",Parameters!$D$4:$E$12,2,FALSE)</x:f>
        <x:v>72589.12464440582</x:v>
      </x:c>
      <x:c r="K34" s="40" t="n">
        <x:v>14517824.928881163</x:v>
      </x:c>
      <x:c r="L34" s="43" t="n">
        <x:v>72589.12464440582</x:v>
      </x:c>
      <x:c r="M34" s="43" t="n">
        <x:f>J34-L34</x:f>
        <x:v>0</x:v>
      </x:c>
      <x:c r="N34" s="27" t="str">
        <x:f>IF(ABS(M34)&lt;0.01,"OK","CHECK")</x:f>
        <x:v>OK</x:v>
      </x:c>
    </x:row>
    <x:row r="35">
      <x:c r="A35" s="27" t="str">
        <x:v>IND_INSURER_001</x:v>
      </x:c>
      <x:c r="B35" s="27" t="str">
        <x:v>3297</x:v>
      </x:c>
      <x:c r="C35" s="27" t="str">
        <x:v>Interest Rate</x:v>
      </x:c>
      <x:c r="D35" s="27" t="str">
        <x:v>EUR</x:v>
      </x:c>
      <x:c r="E35" s="27" t="str">
        <x:v>IR currency and maturity bucket</x:v>
      </x:c>
      <x:c r="F35" s="40" t="n">
        <x:f>SUMIFS(Trade_Calc!$AZ$4:$AZ$301,Trade_Calc!$B$4:$B$301,A35,Trade_Calc!$C$4:$C$301,B35,Trade_Calc!$E$4:$E$301,"Interest Rate",Trade_Calc!$AI$4:$AI$301,D35,Trade_Calc!$AE$4:$AE$301,"&lt;1")</x:f>
        <x:v>0</x:v>
      </x:c>
      <x:c r="G35" s="40" t="n">
        <x:f>SUMIFS(Trade_Calc!$AZ$4:$AZ$301,Trade_Calc!$B$4:$B$301,A35,Trade_Calc!$C$4:$C$301,B35,Trade_Calc!$E$4:$E$301,"Interest Rate",Trade_Calc!$AI$4:$AI$301,D35,Trade_Calc!$AE$4:$AE$301,"&gt;=1",Trade_Calc!$AE$4:$AE$301,"&lt;=5")</x:f>
        <x:v>-700585638.146548</x:v>
      </x:c>
      <x:c r="H35" s="40" t="n">
        <x:f>SUMIFS(Trade_Calc!$AZ$4:$AZ$301,Trade_Calc!$B$4:$B$301,A35,Trade_Calc!$C$4:$C$301,B35,Trade_Calc!$E$4:$E$301,"Interest Rate",Trade_Calc!$AI$4:$AI$301,D35,Trade_Calc!$AE$4:$AE$301,"&gt;5")</x:f>
        <x:v>-543579101.2293011</x:v>
      </x:c>
      <x:c r="I35" s="40" t="n">
        <x:f>SQRT(MAX(F35^2+G35^2+H35^2+1.4*F35*G35+1.4*G35*H35+0.6*F35*H35,0))</x:f>
        <x:v>1148673875.2994518</x:v>
      </x:c>
      <x:c r="J35" s="43" t="n">
        <x:f>I35*VLOOKUP("Interest Rate",Parameters!$D$4:$E$12,2,FALSE)</x:f>
        <x:v>5743369.376497259</x:v>
      </x:c>
      <x:c r="K35" s="40" t="n">
        <x:v>1148673875.2994518</x:v>
      </x:c>
      <x:c r="L35" s="43" t="n">
        <x:v>5743369.376497259</x:v>
      </x:c>
      <x:c r="M35" s="43" t="n">
        <x:f>J35-L35</x:f>
        <x:v>0</x:v>
      </x:c>
      <x:c r="N35" s="27" t="str">
        <x:f>IF(ABS(M35)&lt;0.01,"OK","CHECK")</x:f>
        <x:v>OK</x:v>
      </x:c>
    </x:row>
    <x:row r="36">
      <x:c r="A36" s="27" t="str">
        <x:v>IND_INSURER_001</x:v>
      </x:c>
      <x:c r="B36" s="27" t="str">
        <x:v>3297</x:v>
      </x:c>
      <x:c r="C36" s="27" t="str">
        <x:v>Interest Rate</x:v>
      </x:c>
      <x:c r="D36" s="27" t="str">
        <x:v>JPY</x:v>
      </x:c>
      <x:c r="E36" s="27" t="str">
        <x:v>IR currency and maturity bucket</x:v>
      </x:c>
      <x:c r="F36" s="40" t="n">
        <x:f>SUMIFS(Trade_Calc!$AZ$4:$AZ$301,Trade_Calc!$B$4:$B$301,A36,Trade_Calc!$C$4:$C$301,B36,Trade_Calc!$E$4:$E$301,"Interest Rate",Trade_Calc!$AI$4:$AI$301,D36,Trade_Calc!$AE$4:$AE$301,"&lt;1")</x:f>
        <x:v>0</x:v>
      </x:c>
      <x:c r="G36" s="40" t="n">
        <x:f>SUMIFS(Trade_Calc!$AZ$4:$AZ$301,Trade_Calc!$B$4:$B$301,A36,Trade_Calc!$C$4:$C$301,B36,Trade_Calc!$E$4:$E$301,"Interest Rate",Trade_Calc!$AI$4:$AI$301,D36,Trade_Calc!$AE$4:$AE$301,"&gt;=1",Trade_Calc!$AE$4:$AE$301,"&lt;=5")</x:f>
        <x:v>0</x:v>
      </x:c>
      <x:c r="H36" s="40" t="n">
        <x:f>SUMIFS(Trade_Calc!$AZ$4:$AZ$301,Trade_Calc!$B$4:$B$301,A36,Trade_Calc!$C$4:$C$301,B36,Trade_Calc!$E$4:$E$301,"Interest Rate",Trade_Calc!$AI$4:$AI$301,D36,Trade_Calc!$AE$4:$AE$301,"&gt;5")</x:f>
        <x:v>2587521148.047681</x:v>
      </x:c>
      <x:c r="I36" s="40" t="n">
        <x:f>SQRT(MAX(F36^2+G36^2+H36^2+1.4*F36*G36+1.4*G36*H36+0.6*F36*H36,0))</x:f>
        <x:v>2587521148.047681</x:v>
      </x:c>
      <x:c r="J36" s="43" t="n">
        <x:f>I36*VLOOKUP("Interest Rate",Parameters!$D$4:$E$12,2,FALSE)</x:f>
        <x:v>12937605.740238404</x:v>
      </x:c>
      <x:c r="K36" s="40" t="n">
        <x:v>2587521148.047681</x:v>
      </x:c>
      <x:c r="L36" s="43" t="n">
        <x:v>12937605.740238404</x:v>
      </x:c>
      <x:c r="M36" s="43" t="n">
        <x:f>J36-L36</x:f>
        <x:v>0</x:v>
      </x:c>
      <x:c r="N36" s="27" t="str">
        <x:f>IF(ABS(M36)&lt;0.01,"OK","CHECK")</x:f>
        <x:v>OK</x:v>
      </x:c>
    </x:row>
    <x:row r="37">
      <x:c r="A37" s="27" t="str">
        <x:v>IND_INSURER_001</x:v>
      </x:c>
      <x:c r="B37" s="27" t="str">
        <x:v>3297</x:v>
      </x:c>
      <x:c r="C37" s="27" t="str">
        <x:v>Interest Rate</x:v>
      </x:c>
      <x:c r="D37" s="27" t="str">
        <x:v>USD</x:v>
      </x:c>
      <x:c r="E37" s="27" t="str">
        <x:v>IR currency and maturity bucket</x:v>
      </x:c>
      <x:c r="F37" s="40" t="n">
        <x:f>SUMIFS(Trade_Calc!$AZ$4:$AZ$301,Trade_Calc!$B$4:$B$301,A37,Trade_Calc!$C$4:$C$301,B37,Trade_Calc!$E$4:$E$301,"Interest Rate",Trade_Calc!$AI$4:$AI$301,D37,Trade_Calc!$AE$4:$AE$301,"&lt;1")</x:f>
        <x:v>0</x:v>
      </x:c>
      <x:c r="G37" s="40" t="n">
        <x:f>SUMIFS(Trade_Calc!$AZ$4:$AZ$301,Trade_Calc!$B$4:$B$301,A37,Trade_Calc!$C$4:$C$301,B37,Trade_Calc!$E$4:$E$301,"Interest Rate",Trade_Calc!$AI$4:$AI$301,D37,Trade_Calc!$AE$4:$AE$301,"&gt;=1",Trade_Calc!$AE$4:$AE$301,"&lt;=5")</x:f>
        <x:v>25858612.064280003</x:v>
      </x:c>
      <x:c r="H37" s="40" t="n">
        <x:f>SUMIFS(Trade_Calc!$AZ$4:$AZ$301,Trade_Calc!$B$4:$B$301,A37,Trade_Calc!$C$4:$C$301,B37,Trade_Calc!$E$4:$E$301,"Interest Rate",Trade_Calc!$AI$4:$AI$301,D37,Trade_Calc!$AE$4:$AE$301,"&gt;5")</x:f>
        <x:v>0</x:v>
      </x:c>
      <x:c r="I37" s="40" t="n">
        <x:f>SQRT(MAX(F37^2+G37^2+H37^2+1.4*F37*G37+1.4*G37*H37+0.6*F37*H37,0))</x:f>
        <x:v>25858612.064280003</x:v>
      </x:c>
      <x:c r="J37" s="43" t="n">
        <x:f>I37*VLOOKUP("Interest Rate",Parameters!$D$4:$E$12,2,FALSE)</x:f>
        <x:v>129293.06032140001</x:v>
      </x:c>
      <x:c r="K37" s="40" t="n">
        <x:v>25858612.064280033</x:v>
      </x:c>
      <x:c r="L37" s="43" t="n">
        <x:v>129293.06032140017</x:v>
      </x:c>
      <x:c r="M37" s="43" t="n">
        <x:f>J37-L37</x:f>
        <x:v>-1.6007106751203537e-10</x:v>
      </x:c>
      <x:c r="N37" s="27" t="str">
        <x:f>IF(ABS(M37)&lt;0.01,"OK","CHECK")</x:f>
        <x:v>OK</x:v>
      </x:c>
    </x:row>
    <x:row r="38">
      <x:c r="A38" s="27" t="str">
        <x:v>IND_PENSION_001</x:v>
      </x:c>
      <x:c r="B38" s="27" t="str">
        <x:v>3103</x:v>
      </x:c>
      <x:c r="C38" s="27" t="str">
        <x:v>Interest Rate</x:v>
      </x:c>
      <x:c r="D38" s="27" t="str">
        <x:v>CNY</x:v>
      </x:c>
      <x:c r="E38" s="27" t="str">
        <x:v>IR currency and maturity bucket</x:v>
      </x:c>
      <x:c r="F38" s="40" t="n">
        <x:f>SUMIFS(Trade_Calc!$AZ$4:$AZ$301,Trade_Calc!$B$4:$B$301,A38,Trade_Calc!$C$4:$C$301,B38,Trade_Calc!$E$4:$E$301,"Interest Rate",Trade_Calc!$AI$4:$AI$301,D38,Trade_Calc!$AE$4:$AE$301,"&lt;1")</x:f>
        <x:v>-26935012.172801778</x:v>
      </x:c>
      <x:c r="G38" s="40" t="n">
        <x:f>SUMIFS(Trade_Calc!$AZ$4:$AZ$301,Trade_Calc!$B$4:$B$301,A38,Trade_Calc!$C$4:$C$301,B38,Trade_Calc!$E$4:$E$301,"Interest Rate",Trade_Calc!$AI$4:$AI$301,D38,Trade_Calc!$AE$4:$AE$301,"&gt;=1",Trade_Calc!$AE$4:$AE$301,"&lt;=5")</x:f>
        <x:v>0</x:v>
      </x:c>
      <x:c r="H38" s="40" t="n">
        <x:f>SUMIFS(Trade_Calc!$AZ$4:$AZ$301,Trade_Calc!$B$4:$B$301,A38,Trade_Calc!$C$4:$C$301,B38,Trade_Calc!$E$4:$E$301,"Interest Rate",Trade_Calc!$AI$4:$AI$301,D38,Trade_Calc!$AE$4:$AE$301,"&gt;5")</x:f>
        <x:v>0</x:v>
      </x:c>
      <x:c r="I38" s="40" t="n">
        <x:f>SQRT(MAX(F38^2+G38^2+H38^2+1.4*F38*G38+1.4*G38*H38+0.6*F38*H38,0))</x:f>
        <x:v>26935012.172801778</x:v>
      </x:c>
      <x:c r="J38" s="43" t="n">
        <x:f>I38*VLOOKUP("Interest Rate",Parameters!$D$4:$E$12,2,FALSE)</x:f>
        <x:v>134675.0608640089</x:v>
      </x:c>
      <x:c r="K38" s="40" t="n">
        <x:v>26935012.172801778</x:v>
      </x:c>
      <x:c r="L38" s="43" t="n">
        <x:v>134675.0608640089</x:v>
      </x:c>
      <x:c r="M38" s="43" t="n">
        <x:f>J38-L38</x:f>
        <x:v>0</x:v>
      </x:c>
      <x:c r="N38" s="27" t="str">
        <x:f>IF(ABS(M38)&lt;0.01,"OK","CHECK")</x:f>
        <x:v>OK</x:v>
      </x:c>
    </x:row>
    <x:row r="39">
      <x:c r="A39" s="27" t="str">
        <x:v>IND_PENSION_001</x:v>
      </x:c>
      <x:c r="B39" s="27" t="str">
        <x:v>3103</x:v>
      </x:c>
      <x:c r="C39" s="27" t="str">
        <x:v>Interest Rate</x:v>
      </x:c>
      <x:c r="D39" s="27" t="str">
        <x:v>USD</x:v>
      </x:c>
      <x:c r="E39" s="27" t="str">
        <x:v>IR currency and maturity bucket</x:v>
      </x:c>
      <x:c r="F39" s="40" t="n">
        <x:f>SUMIFS(Trade_Calc!$AZ$4:$AZ$301,Trade_Calc!$B$4:$B$301,A39,Trade_Calc!$C$4:$C$301,B39,Trade_Calc!$E$4:$E$301,"Interest Rate",Trade_Calc!$AI$4:$AI$301,D39,Trade_Calc!$AE$4:$AE$301,"&lt;1")</x:f>
        <x:v>0</x:v>
      </x:c>
      <x:c r="G39" s="40" t="n">
        <x:f>SUMIFS(Trade_Calc!$AZ$4:$AZ$301,Trade_Calc!$B$4:$B$301,A39,Trade_Calc!$C$4:$C$301,B39,Trade_Calc!$E$4:$E$301,"Interest Rate",Trade_Calc!$AI$4:$AI$301,D39,Trade_Calc!$AE$4:$AE$301,"&gt;=1",Trade_Calc!$AE$4:$AE$301,"&lt;=5")</x:f>
        <x:v>-709253962.1802199</x:v>
      </x:c>
      <x:c r="H39" s="40" t="n">
        <x:f>SUMIFS(Trade_Calc!$AZ$4:$AZ$301,Trade_Calc!$B$4:$B$301,A39,Trade_Calc!$C$4:$C$301,B39,Trade_Calc!$E$4:$E$301,"Interest Rate",Trade_Calc!$AI$4:$AI$301,D39,Trade_Calc!$AE$4:$AE$301,"&gt;5")</x:f>
        <x:v>-1148858232.4386086</x:v>
      </x:c>
      <x:c r="I39" s="40" t="n">
        <x:f>SQRT(MAX(F39^2+G39^2+H39^2+1.4*F39*G39+1.4*G39*H39+0.6*F39*H39,0))</x:f>
        <x:v>1721534657.1553333</x:v>
      </x:c>
      <x:c r="J39" s="43" t="n">
        <x:f>I39*VLOOKUP("Interest Rate",Parameters!$D$4:$E$12,2,FALSE)</x:f>
        <x:v>8607673.285776667</x:v>
      </x:c>
      <x:c r="K39" s="40" t="n">
        <x:v>1721534657.1553342</x:v>
      </x:c>
      <x:c r="L39" s="43" t="n">
        <x:v>8607673.285776671</x:v>
      </x:c>
      <x:c r="M39" s="43" t="n">
        <x:f>J39-L39</x:f>
        <x:v>-3.725290298461914e-9</x:v>
      </x:c>
      <x:c r="N39" s="27" t="str">
        <x:f>IF(ABS(M39)&lt;0.01,"OK","CHECK")</x:f>
        <x:v>OK</x:v>
      </x:c>
    </x:row>
    <x:row r="40">
      <x:c r="A40" s="27" t="str">
        <x:v>IND_PENSION_001</x:v>
      </x:c>
      <x:c r="B40" s="27" t="str">
        <x:v>3174</x:v>
      </x:c>
      <x:c r="C40" s="27" t="str">
        <x:v>Interest Rate</x:v>
      </x:c>
      <x:c r="D40" s="27" t="str">
        <x:v>CNY</x:v>
      </x:c>
      <x:c r="E40" s="27" t="str">
        <x:v>IR currency and maturity bucket</x:v>
      </x:c>
      <x:c r="F40" s="40" t="n">
        <x:f>SUMIFS(Trade_Calc!$AZ$4:$AZ$301,Trade_Calc!$B$4:$B$301,A40,Trade_Calc!$C$4:$C$301,B40,Trade_Calc!$E$4:$E$301,"Interest Rate",Trade_Calc!$AI$4:$AI$301,D40,Trade_Calc!$AE$4:$AE$301,"&lt;1")</x:f>
        <x:v>-63101369.38524069</x:v>
      </x:c>
      <x:c r="G40" s="40" t="n">
        <x:f>SUMIFS(Trade_Calc!$AZ$4:$AZ$301,Trade_Calc!$B$4:$B$301,A40,Trade_Calc!$C$4:$C$301,B40,Trade_Calc!$E$4:$E$301,"Interest Rate",Trade_Calc!$AI$4:$AI$301,D40,Trade_Calc!$AE$4:$AE$301,"&gt;=1",Trade_Calc!$AE$4:$AE$301,"&lt;=5")</x:f>
        <x:v>0</x:v>
      </x:c>
      <x:c r="H40" s="40" t="n">
        <x:f>SUMIFS(Trade_Calc!$AZ$4:$AZ$301,Trade_Calc!$B$4:$B$301,A40,Trade_Calc!$C$4:$C$301,B40,Trade_Calc!$E$4:$E$301,"Interest Rate",Trade_Calc!$AI$4:$AI$301,D40,Trade_Calc!$AE$4:$AE$301,"&gt;5")</x:f>
        <x:v>0</x:v>
      </x:c>
      <x:c r="I40" s="40" t="n">
        <x:f>SQRT(MAX(F40^2+G40^2+H40^2+1.4*F40*G40+1.4*G40*H40+0.6*F40*H40,0))</x:f>
        <x:v>63101369.38524069</x:v>
      </x:c>
      <x:c r="J40" s="43" t="n">
        <x:f>I40*VLOOKUP("Interest Rate",Parameters!$D$4:$E$12,2,FALSE)</x:f>
        <x:v>315506.84692620346</x:v>
      </x:c>
      <x:c r="K40" s="40" t="n">
        <x:v>63101369.38524069</x:v>
      </x:c>
      <x:c r="L40" s="43" t="n">
        <x:v>315506.84692620346</x:v>
      </x:c>
      <x:c r="M40" s="43" t="n">
        <x:f>J40-L40</x:f>
        <x:v>0</x:v>
      </x:c>
      <x:c r="N40" s="27" t="str">
        <x:f>IF(ABS(M40)&lt;0.01,"OK","CHECK")</x:f>
        <x:v>OK</x:v>
      </x:c>
    </x:row>
    <x:row r="41">
      <x:c r="A41" s="27" t="str">
        <x:v>IND_REGIONAL_BANK_001</x:v>
      </x:c>
      <x:c r="B41" s="27" t="str">
        <x:v>3054</x:v>
      </x:c>
      <x:c r="C41" s="27" t="str">
        <x:v>Interest Rate</x:v>
      </x:c>
      <x:c r="D41" s="27" t="str">
        <x:v>EUR</x:v>
      </x:c>
      <x:c r="E41" s="27" t="str">
        <x:v>IR currency and maturity bucket</x:v>
      </x:c>
      <x:c r="F41" s="40" t="n">
        <x:f>SUMIFS(Trade_Calc!$AZ$4:$AZ$301,Trade_Calc!$B$4:$B$301,A41,Trade_Calc!$C$4:$C$301,B41,Trade_Calc!$E$4:$E$301,"Interest Rate",Trade_Calc!$AI$4:$AI$301,D41,Trade_Calc!$AE$4:$AE$301,"&lt;1")</x:f>
        <x:v>442886069.54357845</x:v>
      </x:c>
      <x:c r="G41" s="40" t="n">
        <x:f>SUMIFS(Trade_Calc!$AZ$4:$AZ$301,Trade_Calc!$B$4:$B$301,A41,Trade_Calc!$C$4:$C$301,B41,Trade_Calc!$E$4:$E$301,"Interest Rate",Trade_Calc!$AI$4:$AI$301,D41,Trade_Calc!$AE$4:$AE$301,"&gt;=1",Trade_Calc!$AE$4:$AE$301,"&lt;=5")</x:f>
        <x:v>0</x:v>
      </x:c>
      <x:c r="H41" s="40" t="n">
        <x:f>SUMIFS(Trade_Calc!$AZ$4:$AZ$301,Trade_Calc!$B$4:$B$301,A41,Trade_Calc!$C$4:$C$301,B41,Trade_Calc!$E$4:$E$301,"Interest Rate",Trade_Calc!$AI$4:$AI$301,D41,Trade_Calc!$AE$4:$AE$301,"&gt;5")</x:f>
        <x:v>0</x:v>
      </x:c>
      <x:c r="I41" s="40" t="n">
        <x:f>SQRT(MAX(F41^2+G41^2+H41^2+1.4*F41*G41+1.4*G41*H41+0.6*F41*H41,0))</x:f>
        <x:v>442886069.54357845</x:v>
      </x:c>
      <x:c r="J41" s="43" t="n">
        <x:f>I41*VLOOKUP("Interest Rate",Parameters!$D$4:$E$12,2,FALSE)</x:f>
        <x:v>2214430.3477178924</x:v>
      </x:c>
      <x:c r="K41" s="40" t="n">
        <x:v>442886069.54357845</x:v>
      </x:c>
      <x:c r="L41" s="43" t="n">
        <x:v>2214430.3477178924</x:v>
      </x:c>
      <x:c r="M41" s="43" t="n">
        <x:f>J41-L41</x:f>
        <x:v>0</x:v>
      </x:c>
      <x:c r="N41" s="27" t="str">
        <x:f>IF(ABS(M41)&lt;0.01,"OK","CHECK")</x:f>
        <x:v>OK</x:v>
      </x:c>
    </x:row>
    <x:row r="42">
      <x:c r="A42" s="27" t="str">
        <x:v>IND_REGIONAL_BANK_001</x:v>
      </x:c>
      <x:c r="B42" s="27" t="str">
        <x:v>3054</x:v>
      </x:c>
      <x:c r="C42" s="27" t="str">
        <x:v>Interest Rate</x:v>
      </x:c>
      <x:c r="D42" s="27" t="str">
        <x:v>JPY</x:v>
      </x:c>
      <x:c r="E42" s="27" t="str">
        <x:v>IR currency and maturity bucket</x:v>
      </x:c>
      <x:c r="F42" s="40" t="n">
        <x:f>SUMIFS(Trade_Calc!$AZ$4:$AZ$301,Trade_Calc!$B$4:$B$301,A42,Trade_Calc!$C$4:$C$301,B42,Trade_Calc!$E$4:$E$301,"Interest Rate",Trade_Calc!$AI$4:$AI$301,D42,Trade_Calc!$AE$4:$AE$301,"&lt;1")</x:f>
        <x:v>0</x:v>
      </x:c>
      <x:c r="G42" s="40" t="n">
        <x:f>SUMIFS(Trade_Calc!$AZ$4:$AZ$301,Trade_Calc!$B$4:$B$301,A42,Trade_Calc!$C$4:$C$301,B42,Trade_Calc!$E$4:$E$301,"Interest Rate",Trade_Calc!$AI$4:$AI$301,D42,Trade_Calc!$AE$4:$AE$301,"&gt;=1",Trade_Calc!$AE$4:$AE$301,"&lt;=5")</x:f>
        <x:v>0</x:v>
      </x:c>
      <x:c r="H42" s="40" t="n">
        <x:f>SUMIFS(Trade_Calc!$AZ$4:$AZ$301,Trade_Calc!$B$4:$B$301,A42,Trade_Calc!$C$4:$C$301,B42,Trade_Calc!$E$4:$E$301,"Interest Rate",Trade_Calc!$AI$4:$AI$301,D42,Trade_Calc!$AE$4:$AE$301,"&gt;5")</x:f>
        <x:v>2613293148.7051926</x:v>
      </x:c>
      <x:c r="I42" s="40" t="n">
        <x:f>SQRT(MAX(F42^2+G42^2+H42^2+1.4*F42*G42+1.4*G42*H42+0.6*F42*H42,0))</x:f>
        <x:v>2613293148.7051926</x:v>
      </x:c>
      <x:c r="J42" s="43" t="n">
        <x:f>I42*VLOOKUP("Interest Rate",Parameters!$D$4:$E$12,2,FALSE)</x:f>
        <x:v>13066465.743525963</x:v>
      </x:c>
      <x:c r="K42" s="40" t="n">
        <x:v>2613293148.7051926</x:v>
      </x:c>
      <x:c r="L42" s="43" t="n">
        <x:v>13066465.743525963</x:v>
      </x:c>
      <x:c r="M42" s="43" t="n">
        <x:f>J42-L42</x:f>
        <x:v>0</x:v>
      </x:c>
      <x:c r="N42" s="27" t="str">
        <x:f>IF(ABS(M42)&lt;0.01,"OK","CHECK")</x:f>
        <x:v>OK</x:v>
      </x:c>
    </x:row>
    <x:row r="43">
      <x:c r="A43" s="27" t="str">
        <x:v>IND_REGIONAL_BANK_001</x:v>
      </x:c>
      <x:c r="B43" s="27" t="str">
        <x:v>3315</x:v>
      </x:c>
      <x:c r="C43" s="27" t="str">
        <x:v>Interest Rate</x:v>
      </x:c>
      <x:c r="D43" s="27" t="str">
        <x:v>CNY</x:v>
      </x:c>
      <x:c r="E43" s="27" t="str">
        <x:v>IR currency and maturity bucket</x:v>
      </x:c>
      <x:c r="F43" s="40" t="n">
        <x:f>SUMIFS(Trade_Calc!$AZ$4:$AZ$301,Trade_Calc!$B$4:$B$301,A43,Trade_Calc!$C$4:$C$301,B43,Trade_Calc!$E$4:$E$301,"Interest Rate",Trade_Calc!$AI$4:$AI$301,D43,Trade_Calc!$AE$4:$AE$301,"&lt;1")</x:f>
        <x:v>0</x:v>
      </x:c>
      <x:c r="G43" s="40" t="n">
        <x:f>SUMIFS(Trade_Calc!$AZ$4:$AZ$301,Trade_Calc!$B$4:$B$301,A43,Trade_Calc!$C$4:$C$301,B43,Trade_Calc!$E$4:$E$301,"Interest Rate",Trade_Calc!$AI$4:$AI$301,D43,Trade_Calc!$AE$4:$AE$301,"&gt;=1",Trade_Calc!$AE$4:$AE$301,"&lt;=5")</x:f>
        <x:v>-237649238.3697262</x:v>
      </x:c>
      <x:c r="H43" s="40" t="n">
        <x:f>SUMIFS(Trade_Calc!$AZ$4:$AZ$301,Trade_Calc!$B$4:$B$301,A43,Trade_Calc!$C$4:$C$301,B43,Trade_Calc!$E$4:$E$301,"Interest Rate",Trade_Calc!$AI$4:$AI$301,D43,Trade_Calc!$AE$4:$AE$301,"&gt;5")</x:f>
        <x:v>56817964.95844136</x:v>
      </x:c>
      <x:c r="I43" s="40" t="n">
        <x:f>SQRT(MAX(F43^2+G43^2+H43^2+1.4*F43*G43+1.4*G43*H43+0.6*F43*H43,0))</x:f>
        <x:v>201994052.1461008</x:v>
      </x:c>
      <x:c r="J43" s="43" t="n">
        <x:f>I43*VLOOKUP("Interest Rate",Parameters!$D$4:$E$12,2,FALSE)</x:f>
        <x:v>1009970.260730504</x:v>
      </x:c>
      <x:c r="K43" s="40" t="n">
        <x:v>201994052.1461008</x:v>
      </x:c>
      <x:c r="L43" s="43" t="n">
        <x:v>1009970.260730504</x:v>
      </x:c>
      <x:c r="M43" s="43" t="n">
        <x:f>J43-L43</x:f>
        <x:v>0</x:v>
      </x:c>
      <x:c r="N43" s="27" t="str">
        <x:f>IF(ABS(M43)&lt;0.01,"OK","CHECK")</x:f>
        <x:v>OK</x:v>
      </x:c>
    </x:row>
    <x:row r="44">
      <x:c r="A44" s="27" t="str">
        <x:v>IND_REGIONAL_BANK_001</x:v>
      </x:c>
      <x:c r="B44" s="27" t="str">
        <x:v>3315</x:v>
      </x:c>
      <x:c r="C44" s="27" t="str">
        <x:v>Interest Rate</x:v>
      </x:c>
      <x:c r="D44" s="27" t="str">
        <x:v>EUR</x:v>
      </x:c>
      <x:c r="E44" s="27" t="str">
        <x:v>IR currency and maturity bucket</x:v>
      </x:c>
      <x:c r="F44" s="40" t="n">
        <x:f>SUMIFS(Trade_Calc!$AZ$4:$AZ$301,Trade_Calc!$B$4:$B$301,A44,Trade_Calc!$C$4:$C$301,B44,Trade_Calc!$E$4:$E$301,"Interest Rate",Trade_Calc!$AI$4:$AI$301,D44,Trade_Calc!$AE$4:$AE$301,"&lt;1")</x:f>
        <x:v>0</x:v>
      </x:c>
      <x:c r="G44" s="40" t="n">
        <x:f>SUMIFS(Trade_Calc!$AZ$4:$AZ$301,Trade_Calc!$B$4:$B$301,A44,Trade_Calc!$C$4:$C$301,B44,Trade_Calc!$E$4:$E$301,"Interest Rate",Trade_Calc!$AI$4:$AI$301,D44,Trade_Calc!$AE$4:$AE$301,"&gt;=1",Trade_Calc!$AE$4:$AE$301,"&lt;=5")</x:f>
        <x:v>-68729063.15481716</x:v>
      </x:c>
      <x:c r="H44" s="40" t="n">
        <x:f>SUMIFS(Trade_Calc!$AZ$4:$AZ$301,Trade_Calc!$B$4:$B$301,A44,Trade_Calc!$C$4:$C$301,B44,Trade_Calc!$E$4:$E$301,"Interest Rate",Trade_Calc!$AI$4:$AI$301,D44,Trade_Calc!$AE$4:$AE$301,"&gt;5")</x:f>
        <x:v>0</x:v>
      </x:c>
      <x:c r="I44" s="40" t="n">
        <x:f>SQRT(MAX(F44^2+G44^2+H44^2+1.4*F44*G44+1.4*G44*H44+0.6*F44*H44,0))</x:f>
        <x:v>68729063.15481716</x:v>
      </x:c>
      <x:c r="J44" s="43" t="n">
        <x:f>I44*VLOOKUP("Interest Rate",Parameters!$D$4:$E$12,2,FALSE)</x:f>
        <x:v>343645.3157740858</x:v>
      </x:c>
      <x:c r="K44" s="40" t="n">
        <x:v>68729063.15481716</x:v>
      </x:c>
      <x:c r="L44" s="43" t="n">
        <x:v>343645.3157740858</x:v>
      </x:c>
      <x:c r="M44" s="43" t="n">
        <x:f>J44-L44</x:f>
        <x:v>0</x:v>
      </x:c>
      <x:c r="N44" s="27" t="str">
        <x:f>IF(ABS(M44)&lt;0.01,"OK","CHECK")</x:f>
        <x:v>OK</x:v>
      </x:c>
    </x:row>
    <x:row r="45">
      <x:c r="A45" s="27" t="str">
        <x:v>IND_REGIONAL_BANK_001</x:v>
      </x:c>
      <x:c r="B45" s="27" t="str">
        <x:v>3315</x:v>
      </x:c>
      <x:c r="C45" s="27" t="str">
        <x:v>Interest Rate</x:v>
      </x:c>
      <x:c r="D45" s="27" t="str">
        <x:v>JPY</x:v>
      </x:c>
      <x:c r="E45" s="27" t="str">
        <x:v>IR currency and maturity bucket</x:v>
      </x:c>
      <x:c r="F45" s="40" t="n">
        <x:f>SUMIFS(Trade_Calc!$AZ$4:$AZ$301,Trade_Calc!$B$4:$B$301,A45,Trade_Calc!$C$4:$C$301,B45,Trade_Calc!$E$4:$E$301,"Interest Rate",Trade_Calc!$AI$4:$AI$301,D45,Trade_Calc!$AE$4:$AE$301,"&lt;1")</x:f>
        <x:v>0</x:v>
      </x:c>
      <x:c r="G45" s="40" t="n">
        <x:f>SUMIFS(Trade_Calc!$AZ$4:$AZ$301,Trade_Calc!$B$4:$B$301,A45,Trade_Calc!$C$4:$C$301,B45,Trade_Calc!$E$4:$E$301,"Interest Rate",Trade_Calc!$AI$4:$AI$301,D45,Trade_Calc!$AE$4:$AE$301,"&gt;=1",Trade_Calc!$AE$4:$AE$301,"&lt;=5")</x:f>
        <x:v>-84167045.95561303</x:v>
      </x:c>
      <x:c r="H45" s="40" t="n">
        <x:f>SUMIFS(Trade_Calc!$AZ$4:$AZ$301,Trade_Calc!$B$4:$B$301,A45,Trade_Calc!$C$4:$C$301,B45,Trade_Calc!$E$4:$E$301,"Interest Rate",Trade_Calc!$AI$4:$AI$301,D45,Trade_Calc!$AE$4:$AE$301,"&gt;5")</x:f>
        <x:v>220996284.63095355</x:v>
      </x:c>
      <x:c r="I45" s="40" t="n">
        <x:f>SQRT(MAX(F45^2+G45^2+H45^2+1.4*F45*G45+1.4*G45*H45+0.6*F45*H45,0))</x:f>
        <x:v>172865853.25970316</x:v>
      </x:c>
      <x:c r="J45" s="43" t="n">
        <x:f>I45*VLOOKUP("Interest Rate",Parameters!$D$4:$E$12,2,FALSE)</x:f>
        <x:v>864329.2662985158</x:v>
      </x:c>
      <x:c r="K45" s="40" t="n">
        <x:v>172865853.25970322</x:v>
      </x:c>
      <x:c r="L45" s="43" t="n">
        <x:v>864329.2662985161</x:v>
      </x:c>
      <x:c r="M45" s="43" t="n">
        <x:f>J45-L45</x:f>
        <x:v>-2.3283064365386963e-10</x:v>
      </x:c>
      <x:c r="N45" s="27" t="str">
        <x:f>IF(ABS(M45)&lt;0.01,"OK","CHECK")</x:f>
        <x:v>OK</x:v>
      </x:c>
    </x:row>
    <x:row r="46">
      <x:c r="A46" s="27" t="str">
        <x:v>IND_REGIONAL_BANK_001</x:v>
      </x:c>
      <x:c r="B46" s="27" t="str">
        <x:v>3315</x:v>
      </x:c>
      <x:c r="C46" s="27" t="str">
        <x:v>Interest Rate</x:v>
      </x:c>
      <x:c r="D46" s="27" t="str">
        <x:v>USD</x:v>
      </x:c>
      <x:c r="E46" s="27" t="str">
        <x:v>IR currency and maturity bucket</x:v>
      </x:c>
      <x:c r="F46" s="40" t="n">
        <x:f>SUMIFS(Trade_Calc!$AZ$4:$AZ$301,Trade_Calc!$B$4:$B$301,A46,Trade_Calc!$C$4:$C$301,B46,Trade_Calc!$E$4:$E$301,"Interest Rate",Trade_Calc!$AI$4:$AI$301,D46,Trade_Calc!$AE$4:$AE$301,"&lt;1")</x:f>
        <x:v>0</x:v>
      </x:c>
      <x:c r="G46" s="40" t="n">
        <x:f>SUMIFS(Trade_Calc!$AZ$4:$AZ$301,Trade_Calc!$B$4:$B$301,A46,Trade_Calc!$C$4:$C$301,B46,Trade_Calc!$E$4:$E$301,"Interest Rate",Trade_Calc!$AI$4:$AI$301,D46,Trade_Calc!$AE$4:$AE$301,"&gt;=1",Trade_Calc!$AE$4:$AE$301,"&lt;=5")</x:f>
        <x:v>0</x:v>
      </x:c>
      <x:c r="H46" s="40" t="n">
        <x:f>SUMIFS(Trade_Calc!$AZ$4:$AZ$301,Trade_Calc!$B$4:$B$301,A46,Trade_Calc!$C$4:$C$301,B46,Trade_Calc!$E$4:$E$301,"Interest Rate",Trade_Calc!$AI$4:$AI$301,D46,Trade_Calc!$AE$4:$AE$301,"&gt;5")</x:f>
        <x:v>-240932423.41781121</x:v>
      </x:c>
      <x:c r="I46" s="40" t="n">
        <x:f>SQRT(MAX(F46^2+G46^2+H46^2+1.4*F46*G46+1.4*G46*H46+0.6*F46*H46,0))</x:f>
        <x:v>240932423.41781121</x:v>
      </x:c>
      <x:c r="J46" s="43" t="n">
        <x:f>I46*VLOOKUP("Interest Rate",Parameters!$D$4:$E$12,2,FALSE)</x:f>
        <x:v>1204662.1170890562</x:v>
      </x:c>
      <x:c r="K46" s="40" t="n">
        <x:v>240932423.41781145</x:v>
      </x:c>
      <x:c r="L46" s="43" t="n">
        <x:v>1204662.1170890573</x:v>
      </x:c>
      <x:c r="M46" s="43" t="n">
        <x:f>J46-L46</x:f>
        <x:v>-1.1641532182693481e-9</x:v>
      </x:c>
      <x:c r="N46" s="27" t="str">
        <x:f>IF(ABS(M46)&lt;0.01,"OK","CHECK")</x:f>
        <x:v>OK</x:v>
      </x:c>
    </x:row>
    <x:row r="47">
      <x:c r="A47" s="27" t="str">
        <x:v>IND_SOVEREIGN_001</x:v>
      </x:c>
      <x:c r="B47" s="27" t="str">
        <x:v>3065</x:v>
      </x:c>
      <x:c r="C47" s="27" t="str">
        <x:v>Interest Rate</x:v>
      </x:c>
      <x:c r="D47" s="27" t="str">
        <x:v>CNY_Basis</x:v>
      </x:c>
      <x:c r="E47" s="27" t="str">
        <x:v>IR currency and maturity bucket</x:v>
      </x:c>
      <x:c r="F47" s="40" t="n">
        <x:f>SUMIFS(Trade_Calc!$AZ$4:$AZ$301,Trade_Calc!$B$4:$B$301,A47,Trade_Calc!$C$4:$C$301,B47,Trade_Calc!$E$4:$E$301,"Interest Rate",Trade_Calc!$AI$4:$AI$301,D47,Trade_Calc!$AE$4:$AE$301,"&lt;1")</x:f>
        <x:v>0</x:v>
      </x:c>
      <x:c r="G47" s="40" t="n">
        <x:f>SUMIFS(Trade_Calc!$AZ$4:$AZ$301,Trade_Calc!$B$4:$B$301,A47,Trade_Calc!$C$4:$C$301,B47,Trade_Calc!$E$4:$E$301,"Interest Rate",Trade_Calc!$AI$4:$AI$301,D47,Trade_Calc!$AE$4:$AE$301,"&gt;=1",Trade_Calc!$AE$4:$AE$301,"&lt;=5")</x:f>
        <x:v>0</x:v>
      </x:c>
      <x:c r="H47" s="40" t="n">
        <x:f>SUMIFS(Trade_Calc!$AZ$4:$AZ$301,Trade_Calc!$B$4:$B$301,A47,Trade_Calc!$C$4:$C$301,B47,Trade_Calc!$E$4:$E$301,"Interest Rate",Trade_Calc!$AI$4:$AI$301,D47,Trade_Calc!$AE$4:$AE$301,"&gt;5")</x:f>
        <x:v>967753430.619494</x:v>
      </x:c>
      <x:c r="I47" s="40" t="n">
        <x:f>SQRT(MAX(F47^2+G47^2+H47^2+1.4*F47*G47+1.4*G47*H47+0.6*F47*H47,0))</x:f>
        <x:v>967753430.619494</x:v>
      </x:c>
      <x:c r="J47" s="43" t="n">
        <x:f>I47*VLOOKUP("Interest Rate",Parameters!$D$4:$E$12,2,FALSE)</x:f>
        <x:v>4838767.15309747</x:v>
      </x:c>
      <x:c r="K47" s="40" t="n">
        <x:v>967753430.619494</x:v>
      </x:c>
      <x:c r="L47" s="43" t="n">
        <x:v>4838767.15309747</x:v>
      </x:c>
      <x:c r="M47" s="43" t="n">
        <x:f>J47-L47</x:f>
        <x:v>0</x:v>
      </x:c>
      <x:c r="N47" s="27" t="str">
        <x:f>IF(ABS(M47)&lt;0.01,"OK","CHECK")</x:f>
        <x:v>OK</x:v>
      </x:c>
    </x:row>
    <x:row r="48">
      <x:c r="A48" s="27" t="str">
        <x:v>IND_SOVEREIGN_001</x:v>
      </x:c>
      <x:c r="B48" s="27" t="str">
        <x:v>3065</x:v>
      </x:c>
      <x:c r="C48" s="27" t="str">
        <x:v>Interest Rate</x:v>
      </x:c>
      <x:c r="D48" s="27" t="str">
        <x:v>EUR</x:v>
      </x:c>
      <x:c r="E48" s="27" t="str">
        <x:v>IR currency and maturity bucket</x:v>
      </x:c>
      <x:c r="F48" s="40" t="n">
        <x:f>SUMIFS(Trade_Calc!$AZ$4:$AZ$301,Trade_Calc!$B$4:$B$301,A48,Trade_Calc!$C$4:$C$301,B48,Trade_Calc!$E$4:$E$301,"Interest Rate",Trade_Calc!$AI$4:$AI$301,D48,Trade_Calc!$AE$4:$AE$301,"&lt;1")</x:f>
        <x:v>16494109.464911548</x:v>
      </x:c>
      <x:c r="G48" s="40" t="n">
        <x:f>SUMIFS(Trade_Calc!$AZ$4:$AZ$301,Trade_Calc!$B$4:$B$301,A48,Trade_Calc!$C$4:$C$301,B48,Trade_Calc!$E$4:$E$301,"Interest Rate",Trade_Calc!$AI$4:$AI$301,D48,Trade_Calc!$AE$4:$AE$301,"&gt;=1",Trade_Calc!$AE$4:$AE$301,"&lt;=5")</x:f>
        <x:v>111842947.1011409</x:v>
      </x:c>
      <x:c r="H48" s="40" t="n">
        <x:f>SUMIFS(Trade_Calc!$AZ$4:$AZ$301,Trade_Calc!$B$4:$B$301,A48,Trade_Calc!$C$4:$C$301,B48,Trade_Calc!$E$4:$E$301,"Interest Rate",Trade_Calc!$AI$4:$AI$301,D48,Trade_Calc!$AE$4:$AE$301,"&gt;5")</x:f>
        <x:v>0</x:v>
      </x:c>
      <x:c r="I48" s="40" t="n">
        <x:f>SQRT(MAX(F48^2+G48^2+H48^2+1.4*F48*G48+1.4*G48*H48+0.6*F48*H48,0))</x:f>
        <x:v>123949789.03015296</x:v>
      </x:c>
      <x:c r="J48" s="43" t="n">
        <x:f>I48*VLOOKUP("Interest Rate",Parameters!$D$4:$E$12,2,FALSE)</x:f>
        <x:v>619748.9451507648</x:v>
      </x:c>
      <x:c r="K48" s="40" t="n">
        <x:v>123949789.03015296</x:v>
      </x:c>
      <x:c r="L48" s="43" t="n">
        <x:v>619748.9451507648</x:v>
      </x:c>
      <x:c r="M48" s="43" t="n">
        <x:f>J48-L48</x:f>
        <x:v>0</x:v>
      </x:c>
      <x:c r="N48" s="27" t="str">
        <x:f>IF(ABS(M48)&lt;0.01,"OK","CHECK")</x:f>
        <x:v>OK</x:v>
      </x:c>
    </x:row>
    <x:row r="49">
      <x:c r="A49" s="27" t="str">
        <x:v>IND_SOVEREIGN_001</x:v>
      </x:c>
      <x:c r="B49" s="27" t="str">
        <x:v>3065</x:v>
      </x:c>
      <x:c r="C49" s="27" t="str">
        <x:v>Interest Rate</x:v>
      </x:c>
      <x:c r="D49" s="27" t="str">
        <x:v>USD</x:v>
      </x:c>
      <x:c r="E49" s="27" t="str">
        <x:v>IR currency and maturity bucket</x:v>
      </x:c>
      <x:c r="F49" s="40" t="n">
        <x:f>SUMIFS(Trade_Calc!$AZ$4:$AZ$301,Trade_Calc!$B$4:$B$301,A49,Trade_Calc!$C$4:$C$301,B49,Trade_Calc!$E$4:$E$301,"Interest Rate",Trade_Calc!$AI$4:$AI$301,D49,Trade_Calc!$AE$4:$AE$301,"&lt;1")</x:f>
        <x:v>0</x:v>
      </x:c>
      <x:c r="G49" s="40" t="n">
        <x:f>SUMIFS(Trade_Calc!$AZ$4:$AZ$301,Trade_Calc!$B$4:$B$301,A49,Trade_Calc!$C$4:$C$301,B49,Trade_Calc!$E$4:$E$301,"Interest Rate",Trade_Calc!$AI$4:$AI$301,D49,Trade_Calc!$AE$4:$AE$301,"&gt;=1",Trade_Calc!$AE$4:$AE$301,"&lt;=5")</x:f>
        <x:v>0</x:v>
      </x:c>
      <x:c r="H49" s="40" t="n">
        <x:f>SUMIFS(Trade_Calc!$AZ$4:$AZ$301,Trade_Calc!$B$4:$B$301,A49,Trade_Calc!$C$4:$C$301,B49,Trade_Calc!$E$4:$E$301,"Interest Rate",Trade_Calc!$AI$4:$AI$301,D49,Trade_Calc!$AE$4:$AE$301,"&gt;5")</x:f>
        <x:v>1166138086.7462137</x:v>
      </x:c>
      <x:c r="I49" s="40" t="n">
        <x:f>SQRT(MAX(F49^2+G49^2+H49^2+1.4*F49*G49+1.4*G49*H49+0.6*F49*H49,0))</x:f>
        <x:v>1166138086.7462137</x:v>
      </x:c>
      <x:c r="J49" s="43" t="n">
        <x:f>I49*VLOOKUP("Interest Rate",Parameters!$D$4:$E$12,2,FALSE)</x:f>
        <x:v>5830690.433731069</x:v>
      </x:c>
      <x:c r="K49" s="40" t="n">
        <x:v>1166138086.7462137</x:v>
      </x:c>
      <x:c r="L49" s="43" t="n">
        <x:v>5830690.433731069</x:v>
      </x:c>
      <x:c r="M49" s="43" t="n">
        <x:f>J49-L49</x:f>
        <x:v>0</x:v>
      </x:c>
      <x:c r="N49" s="27" t="str">
        <x:f>IF(ABS(M49)&lt;0.01,"OK","CHECK")</x:f>
        <x:v>OK</x:v>
      </x:c>
    </x:row>
    <x:row r="50">
      <x:c r="A50" s="27" t="str">
        <x:v>IND_SOVEREIGN_001</x:v>
      </x:c>
      <x:c r="B50" s="27" t="str">
        <x:v>3246</x:v>
      </x:c>
      <x:c r="C50" s="27" t="str">
        <x:v>Interest Rate</x:v>
      </x:c>
      <x:c r="D50" s="27" t="str">
        <x:v>CNY</x:v>
      </x:c>
      <x:c r="E50" s="27" t="str">
        <x:v>IR currency and maturity bucket</x:v>
      </x:c>
      <x:c r="F50" s="40" t="n">
        <x:f>SUMIFS(Trade_Calc!$AZ$4:$AZ$301,Trade_Calc!$B$4:$B$301,A50,Trade_Calc!$C$4:$C$301,B50,Trade_Calc!$E$4:$E$301,"Interest Rate",Trade_Calc!$AI$4:$AI$301,D50,Trade_Calc!$AE$4:$AE$301,"&lt;1")</x:f>
        <x:v>0</x:v>
      </x:c>
      <x:c r="G50" s="40" t="n">
        <x:f>SUMIFS(Trade_Calc!$AZ$4:$AZ$301,Trade_Calc!$B$4:$B$301,A50,Trade_Calc!$C$4:$C$301,B50,Trade_Calc!$E$4:$E$301,"Interest Rate",Trade_Calc!$AI$4:$AI$301,D50,Trade_Calc!$AE$4:$AE$301,"&gt;=1",Trade_Calc!$AE$4:$AE$301,"&lt;=5")</x:f>
        <x:v>-724346675.168389</x:v>
      </x:c>
      <x:c r="H50" s="40" t="n">
        <x:f>SUMIFS(Trade_Calc!$AZ$4:$AZ$301,Trade_Calc!$B$4:$B$301,A50,Trade_Calc!$C$4:$C$301,B50,Trade_Calc!$E$4:$E$301,"Interest Rate",Trade_Calc!$AI$4:$AI$301,D50,Trade_Calc!$AE$4:$AE$301,"&gt;5")</x:f>
        <x:v>4688168912.279838</x:v>
      </x:c>
      <x:c r="I50" s="40" t="n">
        <x:f>SQRT(MAX(F50^2+G50^2+H50^2+1.4*F50*G50+1.4*G50*H50+0.6*F50*H50,0))</x:f>
        <x:v>4213003971.747692</x:v>
      </x:c>
      <x:c r="J50" s="43" t="n">
        <x:f>I50*VLOOKUP("Interest Rate",Parameters!$D$4:$E$12,2,FALSE)</x:f>
        <x:v>21065019.85873846</x:v>
      </x:c>
      <x:c r="K50" s="40" t="n">
        <x:v>4213003971.747692</x:v>
      </x:c>
      <x:c r="L50" s="43" t="n">
        <x:v>21065019.85873846</x:v>
      </x:c>
      <x:c r="M50" s="43" t="n">
        <x:f>J50-L50</x:f>
        <x:v>0</x:v>
      </x:c>
      <x:c r="N50" s="27" t="str">
        <x:f>IF(ABS(M50)&lt;0.01,"OK","CHECK")</x:f>
        <x:v>OK</x:v>
      </x:c>
    </x:row>
    <x:row r="51">
      <x:c r="A51" s="27" t="str">
        <x:v>IND_SOVEREIGN_001</x:v>
      </x:c>
      <x:c r="B51" s="27" t="str">
        <x:v>3246</x:v>
      </x:c>
      <x:c r="C51" s="27" t="str">
        <x:v>Interest Rate</x:v>
      </x:c>
      <x:c r="D51" s="27" t="str">
        <x:v>EUR</x:v>
      </x:c>
      <x:c r="E51" s="27" t="str">
        <x:v>IR currency and maturity bucket</x:v>
      </x:c>
      <x:c r="F51" s="40" t="n">
        <x:f>SUMIFS(Trade_Calc!$AZ$4:$AZ$301,Trade_Calc!$B$4:$B$301,A51,Trade_Calc!$C$4:$C$301,B51,Trade_Calc!$E$4:$E$301,"Interest Rate",Trade_Calc!$AI$4:$AI$301,D51,Trade_Calc!$AE$4:$AE$301,"&lt;1")</x:f>
        <x:v>10244848.904150834</x:v>
      </x:c>
      <x:c r="G51" s="40" t="n">
        <x:f>SUMIFS(Trade_Calc!$AZ$4:$AZ$301,Trade_Calc!$B$4:$B$301,A51,Trade_Calc!$C$4:$C$301,B51,Trade_Calc!$E$4:$E$301,"Interest Rate",Trade_Calc!$AI$4:$AI$301,D51,Trade_Calc!$AE$4:$AE$301,"&gt;=1",Trade_Calc!$AE$4:$AE$301,"&lt;=5")</x:f>
        <x:v>20987151.28644384</x:v>
      </x:c>
      <x:c r="H51" s="40" t="n">
        <x:f>SUMIFS(Trade_Calc!$AZ$4:$AZ$301,Trade_Calc!$B$4:$B$301,A51,Trade_Calc!$C$4:$C$301,B51,Trade_Calc!$E$4:$E$301,"Interest Rate",Trade_Calc!$AI$4:$AI$301,D51,Trade_Calc!$AE$4:$AE$301,"&gt;5")</x:f>
        <x:v>0</x:v>
      </x:c>
      <x:c r="I51" s="40" t="n">
        <x:f>SQRT(MAX(F51^2+G51^2+H51^2+1.4*F51*G51+1.4*G51*H51+0.6*F51*H51,0))</x:f>
        <x:v>29093499.610572852</x:v>
      </x:c>
      <x:c r="J51" s="43" t="n">
        <x:f>I51*VLOOKUP("Interest Rate",Parameters!$D$4:$E$12,2,FALSE)</x:f>
        <x:v>145467.49805286428</x:v>
      </x:c>
      <x:c r="K51" s="40" t="n">
        <x:v>29093499.610572867</x:v>
      </x:c>
      <x:c r="L51" s="43" t="n">
        <x:v>145467.49805286434</x:v>
      </x:c>
      <x:c r="M51" s="43" t="n">
        <x:f>J51-L51</x:f>
        <x:v>-5.820766091346741e-11</x:v>
      </x:c>
      <x:c r="N51" s="27" t="str">
        <x:f>IF(ABS(M51)&lt;0.01,"OK","CHECK")</x:f>
        <x:v>OK</x:v>
      </x:c>
    </x:row>
    <x:row r="52">
      <x:c r="A52" s="27" t="str">
        <x:v>IND_ASSET_MANAGER_001</x:v>
      </x:c>
      <x:c r="B52" s="27" t="str">
        <x:v>3127</x:v>
      </x:c>
      <x:c r="C52" s="27" t="str">
        <x:v>FX</x:v>
      </x:c>
      <x:c r="D52" s="27" t="str">
        <x:v>CNH/USD</x:v>
      </x:c>
      <x:c r="E52" s="27" t="str">
        <x:v>FX currency pair</x:v>
      </x:c>
      <x:c r="F52" s="40" t="n">
        <x:f>SUMIFS(Trade_Calc!$AZ$4:$AZ$301,Trade_Calc!$B$4:$B$301,A52,Trade_Calc!$C$4:$C$301,B52,Trade_Calc!$E$4:$E$301,"FX",Trade_Calc!$AI$4:$AI$301,D52)</x:f>
        <x:v>61200000.00000001</x:v>
      </x:c>
      <x:c r="G52" s="40"/>
      <x:c r="H52" s="40"/>
      <x:c r="I52" s="40" t="n">
        <x:f>ABS(F52)</x:f>
        <x:v>61200000.00000001</x:v>
      </x:c>
      <x:c r="J52" s="43" t="n">
        <x:f>I52*VLOOKUP("FX",Parameters!$D$4:$E$12,2,FALSE)</x:f>
        <x:v>2448000.0000000005</x:v>
      </x:c>
      <x:c r="K52" s="40" t="n">
        <x:v>61200000.00000001</x:v>
      </x:c>
      <x:c r="L52" s="43" t="n">
        <x:v>2448000.0000000005</x:v>
      </x:c>
      <x:c r="M52" s="43" t="n">
        <x:f>J52-L52</x:f>
        <x:v>0</x:v>
      </x:c>
      <x:c r="N52" s="27" t="str">
        <x:f>IF(ABS(M52)&lt;0.01,"OK","CHECK")</x:f>
        <x:v>OK</x:v>
      </x:c>
    </x:row>
    <x:row r="53">
      <x:c r="A53" s="27" t="str">
        <x:v>IND_ASSET_MANAGER_001</x:v>
      </x:c>
      <x:c r="B53" s="27" t="str">
        <x:v>3127</x:v>
      </x:c>
      <x:c r="C53" s="27" t="str">
        <x:v>FX</x:v>
      </x:c>
      <x:c r="D53" s="27" t="str">
        <x:v>CNY/USD</x:v>
      </x:c>
      <x:c r="E53" s="27" t="str">
        <x:v>FX currency pair</x:v>
      </x:c>
      <x:c r="F53" s="40" t="n">
        <x:f>SUMIFS(Trade_Calc!$AZ$4:$AZ$301,Trade_Calc!$B$4:$B$301,A53,Trade_Calc!$C$4:$C$301,B53,Trade_Calc!$E$4:$E$301,"FX",Trade_Calc!$AI$4:$AI$301,D53)</x:f>
        <x:v>-16020000.000000002</x:v>
      </x:c>
      <x:c r="G53" s="40"/>
      <x:c r="H53" s="40"/>
      <x:c r="I53" s="40" t="n">
        <x:f>ABS(F53)</x:f>
        <x:v>16020000.000000002</x:v>
      </x:c>
      <x:c r="J53" s="43" t="n">
        <x:f>I53*VLOOKUP("FX",Parameters!$D$4:$E$12,2,FALSE)</x:f>
        <x:v>640800.0000000001</x:v>
      </x:c>
      <x:c r="K53" s="40" t="n">
        <x:v>16020000.000000002</x:v>
      </x:c>
      <x:c r="L53" s="43" t="n">
        <x:v>640800.0000000001</x:v>
      </x:c>
      <x:c r="M53" s="43" t="n">
        <x:f>J53-L53</x:f>
        <x:v>0</x:v>
      </x:c>
      <x:c r="N53" s="27" t="str">
        <x:f>IF(ABS(M53)&lt;0.01,"OK","CHECK")</x:f>
        <x:v>OK</x:v>
      </x:c>
    </x:row>
    <x:row r="54">
      <x:c r="A54" s="27" t="str">
        <x:v>IND_ASSET_MANAGER_001</x:v>
      </x:c>
      <x:c r="B54" s="27" t="str">
        <x:v>3127</x:v>
      </x:c>
      <x:c r="C54" s="27" t="str">
        <x:v>FX</x:v>
      </x:c>
      <x:c r="D54" s="27" t="str">
        <x:v>GBP/USD</x:v>
      </x:c>
      <x:c r="E54" s="27" t="str">
        <x:v>FX currency pair</x:v>
      </x:c>
      <x:c r="F54" s="40" t="n">
        <x:f>SUMIFS(Trade_Calc!$AZ$4:$AZ$301,Trade_Calc!$B$4:$B$301,A54,Trade_Calc!$C$4:$C$301,B54,Trade_Calc!$E$4:$E$301,"FX",Trade_Calc!$AI$4:$AI$301,D54)</x:f>
        <x:v>46800000.00000001</x:v>
      </x:c>
      <x:c r="G54" s="40"/>
      <x:c r="H54" s="40"/>
      <x:c r="I54" s="40" t="n">
        <x:f>ABS(F54)</x:f>
        <x:v>46800000.00000001</x:v>
      </x:c>
      <x:c r="J54" s="43" t="n">
        <x:f>I54*VLOOKUP("FX",Parameters!$D$4:$E$12,2,FALSE)</x:f>
        <x:v>1872000.0000000002</x:v>
      </x:c>
      <x:c r="K54" s="40" t="n">
        <x:v>46800000.00000001</x:v>
      </x:c>
      <x:c r="L54" s="43" t="n">
        <x:v>1872000.0000000002</x:v>
      </x:c>
      <x:c r="M54" s="43" t="n">
        <x:f>J54-L54</x:f>
        <x:v>0</x:v>
      </x:c>
      <x:c r="N54" s="27" t="str">
        <x:f>IF(ABS(M54)&lt;0.01,"OK","CHECK")</x:f>
        <x:v>OK</x:v>
      </x:c>
    </x:row>
    <x:row r="55">
      <x:c r="A55" s="27" t="str">
        <x:v>IND_ASSET_MANAGER_001</x:v>
      </x:c>
      <x:c r="B55" s="27" t="str">
        <x:v>3127</x:v>
      </x:c>
      <x:c r="C55" s="27" t="str">
        <x:v>FX</x:v>
      </x:c>
      <x:c r="D55" s="27" t="str">
        <x:v>JPY/USD</x:v>
      </x:c>
      <x:c r="E55" s="27" t="str">
        <x:v>FX currency pair</x:v>
      </x:c>
      <x:c r="F55" s="40" t="n">
        <x:f>SUMIFS(Trade_Calc!$AZ$4:$AZ$301,Trade_Calc!$B$4:$B$301,A55,Trade_Calc!$C$4:$C$301,B55,Trade_Calc!$E$4:$E$301,"FX",Trade_Calc!$AI$4:$AI$301,D55)</x:f>
        <x:v>328575.7398419543</x:v>
      </x:c>
      <x:c r="G55" s="40"/>
      <x:c r="H55" s="40"/>
      <x:c r="I55" s="40" t="n">
        <x:f>ABS(F55)</x:f>
        <x:v>328575.7398419543</x:v>
      </x:c>
      <x:c r="J55" s="43" t="n">
        <x:f>I55*VLOOKUP("FX",Parameters!$D$4:$E$12,2,FALSE)</x:f>
        <x:v>13143.029593678173</x:v>
      </x:c>
      <x:c r="K55" s="40" t="n">
        <x:v>328575.73984195443</x:v>
      </x:c>
      <x:c r="L55" s="43" t="n">
        <x:v>13143.029593678177</x:v>
      </x:c>
      <x:c r="M55" s="43" t="n">
        <x:f>J55-L55</x:f>
        <x:v>-3.637978807091713e-12</x:v>
      </x:c>
      <x:c r="N55" s="27" t="str">
        <x:f>IF(ABS(M55)&lt;0.01,"OK","CHECK")</x:f>
        <x:v>OK</x:v>
      </x:c>
    </x:row>
    <x:row r="56">
      <x:c r="A56" s="27" t="str">
        <x:v>IND_ASSET_MANAGER_001</x:v>
      </x:c>
      <x:c r="B56" s="27" t="str">
        <x:v>3257</x:v>
      </x:c>
      <x:c r="C56" s="27" t="str">
        <x:v>FX</x:v>
      </x:c>
      <x:c r="D56" s="27" t="str">
        <x:v>CNH/USD</x:v>
      </x:c>
      <x:c r="E56" s="27" t="str">
        <x:v>FX currency pair</x:v>
      </x:c>
      <x:c r="F56" s="40" t="n">
        <x:f>SUMIFS(Trade_Calc!$AZ$4:$AZ$301,Trade_Calc!$B$4:$B$301,A56,Trade_Calc!$C$4:$C$301,B56,Trade_Calc!$E$4:$E$301,"FX",Trade_Calc!$AI$4:$AI$301,D56)</x:f>
        <x:v>12900000</x:v>
      </x:c>
      <x:c r="G56" s="40"/>
      <x:c r="H56" s="40"/>
      <x:c r="I56" s="40" t="n">
        <x:f>ABS(F56)</x:f>
        <x:v>12900000</x:v>
      </x:c>
      <x:c r="J56" s="43" t="n">
        <x:f>I56*VLOOKUP("FX",Parameters!$D$4:$E$12,2,FALSE)</x:f>
        <x:v>516000</x:v>
      </x:c>
      <x:c r="K56" s="40" t="n">
        <x:v>12900000</x:v>
      </x:c>
      <x:c r="L56" s="43" t="n">
        <x:v>516000</x:v>
      </x:c>
      <x:c r="M56" s="43" t="n">
        <x:f>J56-L56</x:f>
        <x:v>0</x:v>
      </x:c>
      <x:c r="N56" s="27" t="str">
        <x:f>IF(ABS(M56)&lt;0.01,"OK","CHECK")</x:f>
        <x:v>OK</x:v>
      </x:c>
    </x:row>
    <x:row r="57">
      <x:c r="A57" s="27" t="str">
        <x:v>IND_BANK_001</x:v>
      </x:c>
      <x:c r="B57" s="27" t="str">
        <x:v>3142</x:v>
      </x:c>
      <x:c r="C57" s="27" t="str">
        <x:v>FX</x:v>
      </x:c>
      <x:c r="D57" s="27" t="str">
        <x:v>CNY/USD</x:v>
      </x:c>
      <x:c r="E57" s="27" t="str">
        <x:v>FX currency pair</x:v>
      </x:c>
      <x:c r="F57" s="40" t="n">
        <x:f>SUMIFS(Trade_Calc!$AZ$4:$AZ$301,Trade_Calc!$B$4:$B$301,A57,Trade_Calc!$C$4:$C$301,B57,Trade_Calc!$E$4:$E$301,"FX",Trade_Calc!$AI$4:$AI$301,D57)</x:f>
        <x:v>3279661.35891209</x:v>
      </x:c>
      <x:c r="G57" s="40"/>
      <x:c r="H57" s="40"/>
      <x:c r="I57" s="40" t="n">
        <x:f>ABS(F57)</x:f>
        <x:v>3279661.35891209</x:v>
      </x:c>
      <x:c r="J57" s="43" t="n">
        <x:f>I57*VLOOKUP("FX",Parameters!$D$4:$E$12,2,FALSE)</x:f>
        <x:v>131186.4543564836</x:v>
      </x:c>
      <x:c r="K57" s="40" t="n">
        <x:v>3279661.3589120884</x:v>
      </x:c>
      <x:c r="L57" s="43" t="n">
        <x:v>131186.45435648353</x:v>
      </x:c>
      <x:c r="M57" s="43" t="n">
        <x:f>J57-L57</x:f>
        <x:v>5.820766091346741e-11</x:v>
      </x:c>
      <x:c r="N57" s="27" t="str">
        <x:f>IF(ABS(M57)&lt;0.01,"OK","CHECK")</x:f>
        <x:v>OK</x:v>
      </x:c>
    </x:row>
    <x:row r="58">
      <x:c r="A58" s="27" t="str">
        <x:v>IND_BANK_001</x:v>
      </x:c>
      <x:c r="B58" s="27" t="str">
        <x:v>3142</x:v>
      </x:c>
      <x:c r="C58" s="27" t="str">
        <x:v>FX</x:v>
      </x:c>
      <x:c r="D58" s="27" t="str">
        <x:v>GBP/USD</x:v>
      </x:c>
      <x:c r="E58" s="27" t="str">
        <x:v>FX currency pair</x:v>
      </x:c>
      <x:c r="F58" s="40" t="n">
        <x:f>SUMIFS(Trade_Calc!$AZ$4:$AZ$301,Trade_Calc!$B$4:$B$301,A58,Trade_Calc!$C$4:$C$301,B58,Trade_Calc!$E$4:$E$301,"FX",Trade_Calc!$AI$4:$AI$301,D58)</x:f>
        <x:v>30300000.000000004</x:v>
      </x:c>
      <x:c r="G58" s="40"/>
      <x:c r="H58" s="40"/>
      <x:c r="I58" s="40" t="n">
        <x:f>ABS(F58)</x:f>
        <x:v>30300000.000000004</x:v>
      </x:c>
      <x:c r="J58" s="43" t="n">
        <x:f>I58*VLOOKUP("FX",Parameters!$D$4:$E$12,2,FALSE)</x:f>
        <x:v>1212000.0000000002</x:v>
      </x:c>
      <x:c r="K58" s="40" t="n">
        <x:v>30300000.000000004</x:v>
      </x:c>
      <x:c r="L58" s="43" t="n">
        <x:v>1212000.0000000002</x:v>
      </x:c>
      <x:c r="M58" s="43" t="n">
        <x:f>J58-L58</x:f>
        <x:v>0</x:v>
      </x:c>
      <x:c r="N58" s="27" t="str">
        <x:f>IF(ABS(M58)&lt;0.01,"OK","CHECK")</x:f>
        <x:v>OK</x:v>
      </x:c>
    </x:row>
    <x:row r="59">
      <x:c r="A59" s="27" t="str">
        <x:v>IND_BANK_001</x:v>
      </x:c>
      <x:c r="B59" s="27" t="str">
        <x:v>3142</x:v>
      </x:c>
      <x:c r="C59" s="27" t="str">
        <x:v>FX</x:v>
      </x:c>
      <x:c r="D59" s="27" t="str">
        <x:v>JPY/USD</x:v>
      </x:c>
      <x:c r="E59" s="27" t="str">
        <x:v>FX currency pair</x:v>
      </x:c>
      <x:c r="F59" s="40" t="n">
        <x:f>SUMIFS(Trade_Calc!$AZ$4:$AZ$301,Trade_Calc!$B$4:$B$301,A59,Trade_Calc!$C$4:$C$301,B59,Trade_Calc!$E$4:$E$301,"FX",Trade_Calc!$AI$4:$AI$301,D59)</x:f>
        <x:v>300000.00000000006</x:v>
      </x:c>
      <x:c r="G59" s="40"/>
      <x:c r="H59" s="40"/>
      <x:c r="I59" s="40" t="n">
        <x:f>ABS(F59)</x:f>
        <x:v>300000.00000000006</x:v>
      </x:c>
      <x:c r="J59" s="43" t="n">
        <x:f>I59*VLOOKUP("FX",Parameters!$D$4:$E$12,2,FALSE)</x:f>
        <x:v>12000.000000000002</x:v>
      </x:c>
      <x:c r="K59" s="40" t="n">
        <x:v>300000.00000000006</x:v>
      </x:c>
      <x:c r="L59" s="43" t="n">
        <x:v>12000.000000000002</x:v>
      </x:c>
      <x:c r="M59" s="43" t="n">
        <x:f>J59-L59</x:f>
        <x:v>0</x:v>
      </x:c>
      <x:c r="N59" s="27" t="str">
        <x:f>IF(ABS(M59)&lt;0.01,"OK","CHECK")</x:f>
        <x:v>OK</x:v>
      </x:c>
    </x:row>
    <x:row r="60">
      <x:c r="A60" s="27" t="str">
        <x:v>IND_BANK_001</x:v>
      </x:c>
      <x:c r="B60" s="27" t="str">
        <x:v>3214</x:v>
      </x:c>
      <x:c r="C60" s="27" t="str">
        <x:v>FX</x:v>
      </x:c>
      <x:c r="D60" s="27" t="str">
        <x:v>AUD/USD</x:v>
      </x:c>
      <x:c r="E60" s="27" t="str">
        <x:v>FX currency pair</x:v>
      </x:c>
      <x:c r="F60" s="40" t="n">
        <x:f>SUMIFS(Trade_Calc!$AZ$4:$AZ$301,Trade_Calc!$B$4:$B$301,A60,Trade_Calc!$C$4:$C$301,B60,Trade_Calc!$E$4:$E$301,"FX",Trade_Calc!$AI$4:$AI$301,D60)</x:f>
        <x:v>34600000</x:v>
      </x:c>
      <x:c r="G60" s="40"/>
      <x:c r="H60" s="40"/>
      <x:c r="I60" s="40" t="n">
        <x:f>ABS(F60)</x:f>
        <x:v>34600000</x:v>
      </x:c>
      <x:c r="J60" s="43" t="n">
        <x:f>I60*VLOOKUP("FX",Parameters!$D$4:$E$12,2,FALSE)</x:f>
        <x:v>1384000</x:v>
      </x:c>
      <x:c r="K60" s="40" t="n">
        <x:v>34600000</x:v>
      </x:c>
      <x:c r="L60" s="43" t="n">
        <x:v>1384000</x:v>
      </x:c>
      <x:c r="M60" s="43" t="n">
        <x:f>J60-L60</x:f>
        <x:v>0</x:v>
      </x:c>
      <x:c r="N60" s="27" t="str">
        <x:f>IF(ABS(M60)&lt;0.01,"OK","CHECK")</x:f>
        <x:v>OK</x:v>
      </x:c>
    </x:row>
    <x:row r="61">
      <x:c r="A61" s="27" t="str">
        <x:v>IND_BANK_001</x:v>
      </x:c>
      <x:c r="B61" s="27" t="str">
        <x:v>3214</x:v>
      </x:c>
      <x:c r="C61" s="27" t="str">
        <x:v>FX</x:v>
      </x:c>
      <x:c r="D61" s="27" t="str">
        <x:v>CNY/USD</x:v>
      </x:c>
      <x:c r="E61" s="27" t="str">
        <x:v>FX currency pair</x:v>
      </x:c>
      <x:c r="F61" s="40" t="n">
        <x:f>SUMIFS(Trade_Calc!$AZ$4:$AZ$301,Trade_Calc!$B$4:$B$301,A61,Trade_Calc!$C$4:$C$301,B61,Trade_Calc!$E$4:$E$301,"FX",Trade_Calc!$AI$4:$AI$301,D61)</x:f>
        <x:v>-89303536.92034441</x:v>
      </x:c>
      <x:c r="G61" s="40"/>
      <x:c r="H61" s="40"/>
      <x:c r="I61" s="40" t="n">
        <x:f>ABS(F61)</x:f>
        <x:v>89303536.92034441</x:v>
      </x:c>
      <x:c r="J61" s="43" t="n">
        <x:f>I61*VLOOKUP("FX",Parameters!$D$4:$E$12,2,FALSE)</x:f>
        <x:v>3572141.4768137764</x:v>
      </x:c>
      <x:c r="K61" s="40" t="n">
        <x:v>89303536.92034441</x:v>
      </x:c>
      <x:c r="L61" s="43" t="n">
        <x:v>3572141.4768137764</x:v>
      </x:c>
      <x:c r="M61" s="43" t="n">
        <x:f>J61-L61</x:f>
        <x:v>0</x:v>
      </x:c>
      <x:c r="N61" s="27" t="str">
        <x:f>IF(ABS(M61)&lt;0.01,"OK","CHECK")</x:f>
        <x:v>OK</x:v>
      </x:c>
    </x:row>
    <x:row r="62">
      <x:c r="A62" s="27" t="str">
        <x:v>IND_BANK_001</x:v>
      </x:c>
      <x:c r="B62" s="27" t="str">
        <x:v>3214</x:v>
      </x:c>
      <x:c r="C62" s="27" t="str">
        <x:v>FX</x:v>
      </x:c>
      <x:c r="D62" s="27" t="str">
        <x:v>EUR/USD</x:v>
      </x:c>
      <x:c r="E62" s="27" t="str">
        <x:v>FX currency pair</x:v>
      </x:c>
      <x:c r="F62" s="40" t="n">
        <x:f>SUMIFS(Trade_Calc!$AZ$4:$AZ$301,Trade_Calc!$B$4:$B$301,A62,Trade_Calc!$C$4:$C$301,B62,Trade_Calc!$E$4:$E$301,"FX",Trade_Calc!$AI$4:$AI$301,D62)</x:f>
        <x:v>22100000</x:v>
      </x:c>
      <x:c r="G62" s="40"/>
      <x:c r="H62" s="40"/>
      <x:c r="I62" s="40" t="n">
        <x:f>ABS(F62)</x:f>
        <x:v>22100000</x:v>
      </x:c>
      <x:c r="J62" s="43" t="n">
        <x:f>I62*VLOOKUP("FX",Parameters!$D$4:$E$12,2,FALSE)</x:f>
        <x:v>884000</x:v>
      </x:c>
      <x:c r="K62" s="40" t="n">
        <x:v>22100000</x:v>
      </x:c>
      <x:c r="L62" s="43" t="n">
        <x:v>884000</x:v>
      </x:c>
      <x:c r="M62" s="43" t="n">
        <x:f>J62-L62</x:f>
        <x:v>0</x:v>
      </x:c>
      <x:c r="N62" s="27" t="str">
        <x:f>IF(ABS(M62)&lt;0.01,"OK","CHECK")</x:f>
        <x:v>OK</x:v>
      </x:c>
    </x:row>
    <x:row r="63">
      <x:c r="A63" s="27" t="str">
        <x:v>IND_BANK_002</x:v>
      </x:c>
      <x:c r="B63" s="27" t="str">
        <x:v>3318</x:v>
      </x:c>
      <x:c r="C63" s="27" t="str">
        <x:v>FX</x:v>
      </x:c>
      <x:c r="D63" s="27" t="str">
        <x:v>EUR/USD</x:v>
      </x:c>
      <x:c r="E63" s="27" t="str">
        <x:v>FX currency pair</x:v>
      </x:c>
      <x:c r="F63" s="40" t="n">
        <x:f>SUMIFS(Trade_Calc!$AZ$4:$AZ$301,Trade_Calc!$B$4:$B$301,A63,Trade_Calc!$C$4:$C$301,B63,Trade_Calc!$E$4:$E$301,"FX",Trade_Calc!$AI$4:$AI$301,D63)</x:f>
        <x:v>114522287.24686104</x:v>
      </x:c>
      <x:c r="G63" s="40"/>
      <x:c r="H63" s="40"/>
      <x:c r="I63" s="40" t="n">
        <x:f>ABS(F63)</x:f>
        <x:v>114522287.24686104</x:v>
      </x:c>
      <x:c r="J63" s="43" t="n">
        <x:f>I63*VLOOKUP("FX",Parameters!$D$4:$E$12,2,FALSE)</x:f>
        <x:v>4580891.489874442</x:v>
      </x:c>
      <x:c r="K63" s="40" t="n">
        <x:v>114522287.24686104</x:v>
      </x:c>
      <x:c r="L63" s="43" t="n">
        <x:v>4580891.489874442</x:v>
      </x:c>
      <x:c r="M63" s="43" t="n">
        <x:f>J63-L63</x:f>
        <x:v>0</x:v>
      </x:c>
      <x:c r="N63" s="27" t="str">
        <x:f>IF(ABS(M63)&lt;0.01,"OK","CHECK")</x:f>
        <x:v>OK</x:v>
      </x:c>
    </x:row>
    <x:row r="64">
      <x:c r="A64" s="27" t="str">
        <x:v>IND_BANK_002</x:v>
      </x:c>
      <x:c r="B64" s="27" t="str">
        <x:v>3331</x:v>
      </x:c>
      <x:c r="C64" s="27" t="str">
        <x:v>FX</x:v>
      </x:c>
      <x:c r="D64" s="27" t="str">
        <x:v>AUD/USD</x:v>
      </x:c>
      <x:c r="E64" s="27" t="str">
        <x:v>FX currency pair</x:v>
      </x:c>
      <x:c r="F64" s="40" t="n">
        <x:f>SUMIFS(Trade_Calc!$AZ$4:$AZ$301,Trade_Calc!$B$4:$B$301,A64,Trade_Calc!$C$4:$C$301,B64,Trade_Calc!$E$4:$E$301,"FX",Trade_Calc!$AI$4:$AI$301,D64)</x:f>
        <x:v>-6780000.000000001</x:v>
      </x:c>
      <x:c r="G64" s="40"/>
      <x:c r="H64" s="40"/>
      <x:c r="I64" s="40" t="n">
        <x:f>ABS(F64)</x:f>
        <x:v>6780000.000000001</x:v>
      </x:c>
      <x:c r="J64" s="43" t="n">
        <x:f>I64*VLOOKUP("FX",Parameters!$D$4:$E$12,2,FALSE)</x:f>
        <x:v>271200.00000000006</x:v>
      </x:c>
      <x:c r="K64" s="40" t="n">
        <x:v>6780000.000000001</x:v>
      </x:c>
      <x:c r="L64" s="43" t="n">
        <x:v>271200.00000000006</x:v>
      </x:c>
      <x:c r="M64" s="43" t="n">
        <x:f>J64-L64</x:f>
        <x:v>0</x:v>
      </x:c>
      <x:c r="N64" s="27" t="str">
        <x:f>IF(ABS(M64)&lt;0.01,"OK","CHECK")</x:f>
        <x:v>OK</x:v>
      </x:c>
    </x:row>
    <x:row r="65">
      <x:c r="A65" s="27" t="str">
        <x:v>IND_BANK_002</x:v>
      </x:c>
      <x:c r="B65" s="27" t="str">
        <x:v>3331</x:v>
      </x:c>
      <x:c r="C65" s="27" t="str">
        <x:v>FX</x:v>
      </x:c>
      <x:c r="D65" s="27" t="str">
        <x:v>CNY/USD</x:v>
      </x:c>
      <x:c r="E65" s="27" t="str">
        <x:v>FX currency pair</x:v>
      </x:c>
      <x:c r="F65" s="40" t="n">
        <x:f>SUMIFS(Trade_Calc!$AZ$4:$AZ$301,Trade_Calc!$B$4:$B$301,A65,Trade_Calc!$C$4:$C$301,B65,Trade_Calc!$E$4:$E$301,"FX",Trade_Calc!$AI$4:$AI$301,D65)</x:f>
        <x:v>-38700000.00000001</x:v>
      </x:c>
      <x:c r="G65" s="40"/>
      <x:c r="H65" s="40"/>
      <x:c r="I65" s="40" t="n">
        <x:f>ABS(F65)</x:f>
        <x:v>38700000.00000001</x:v>
      </x:c>
      <x:c r="J65" s="43" t="n">
        <x:f>I65*VLOOKUP("FX",Parameters!$D$4:$E$12,2,FALSE)</x:f>
        <x:v>1548000.0000000002</x:v>
      </x:c>
      <x:c r="K65" s="40" t="n">
        <x:v>38700000.00000001</x:v>
      </x:c>
      <x:c r="L65" s="43" t="n">
        <x:v>1548000.0000000002</x:v>
      </x:c>
      <x:c r="M65" s="43" t="n">
        <x:f>J65-L65</x:f>
        <x:v>0</x:v>
      </x:c>
      <x:c r="N65" s="27" t="str">
        <x:f>IF(ABS(M65)&lt;0.01,"OK","CHECK")</x:f>
        <x:v>OK</x:v>
      </x:c>
    </x:row>
    <x:row r="66">
      <x:c r="A66" s="27" t="str">
        <x:v>IND_BANK_002</x:v>
      </x:c>
      <x:c r="B66" s="27" t="str">
        <x:v>3331</x:v>
      </x:c>
      <x:c r="C66" s="27" t="str">
        <x:v>FX</x:v>
      </x:c>
      <x:c r="D66" s="27" t="str">
        <x:v>EUR/USD</x:v>
      </x:c>
      <x:c r="E66" s="27" t="str">
        <x:v>FX currency pair</x:v>
      </x:c>
      <x:c r="F66" s="40" t="n">
        <x:f>SUMIFS(Trade_Calc!$AZ$4:$AZ$301,Trade_Calc!$B$4:$B$301,A66,Trade_Calc!$C$4:$C$301,B66,Trade_Calc!$E$4:$E$301,"FX",Trade_Calc!$AI$4:$AI$301,D66)</x:f>
        <x:v>57562626.28399406</x:v>
      </x:c>
      <x:c r="G66" s="40"/>
      <x:c r="H66" s="40"/>
      <x:c r="I66" s="40" t="n">
        <x:f>ABS(F66)</x:f>
        <x:v>57562626.28399406</x:v>
      </x:c>
      <x:c r="J66" s="43" t="n">
        <x:f>I66*VLOOKUP("FX",Parameters!$D$4:$E$12,2,FALSE)</x:f>
        <x:v>2302505.0513597624</x:v>
      </x:c>
      <x:c r="K66" s="40" t="n">
        <x:v>57562626.28399405</x:v>
      </x:c>
      <x:c r="L66" s="43" t="n">
        <x:v>2302505.051359762</x:v>
      </x:c>
      <x:c r="M66" s="43" t="n">
        <x:f>J66-L66</x:f>
        <x:v>4.656612873077393e-10</x:v>
      </x:c>
      <x:c r="N66" s="27" t="str">
        <x:f>IF(ABS(M66)&lt;0.01,"OK","CHECK")</x:f>
        <x:v>OK</x:v>
      </x:c>
    </x:row>
    <x:row r="67">
      <x:c r="A67" s="27" t="str">
        <x:v>IND_BANK_002</x:v>
      </x:c>
      <x:c r="B67" s="27" t="str">
        <x:v>3331</x:v>
      </x:c>
      <x:c r="C67" s="27" t="str">
        <x:v>FX</x:v>
      </x:c>
      <x:c r="D67" s="27" t="str">
        <x:v>JPY/USD</x:v>
      </x:c>
      <x:c r="E67" s="27" t="str">
        <x:v>FX currency pair</x:v>
      </x:c>
      <x:c r="F67" s="40" t="n">
        <x:f>SUMIFS(Trade_Calc!$AZ$4:$AZ$301,Trade_Calc!$B$4:$B$301,A67,Trade_Calc!$C$4:$C$301,B67,Trade_Calc!$E$4:$E$301,"FX",Trade_Calc!$AI$4:$AI$301,D67)</x:f>
        <x:v>-36900000.00000001</x:v>
      </x:c>
      <x:c r="G67" s="40"/>
      <x:c r="H67" s="40"/>
      <x:c r="I67" s="40" t="n">
        <x:f>ABS(F67)</x:f>
        <x:v>36900000.00000001</x:v>
      </x:c>
      <x:c r="J67" s="43" t="n">
        <x:f>I67*VLOOKUP("FX",Parameters!$D$4:$E$12,2,FALSE)</x:f>
        <x:v>1476000.0000000002</x:v>
      </x:c>
      <x:c r="K67" s="40" t="n">
        <x:v>36900000.00000001</x:v>
      </x:c>
      <x:c r="L67" s="43" t="n">
        <x:v>1476000.0000000002</x:v>
      </x:c>
      <x:c r="M67" s="43" t="n">
        <x:f>J67-L67</x:f>
        <x:v>0</x:v>
      </x:c>
      <x:c r="N67" s="27" t="str">
        <x:f>IF(ABS(M67)&lt;0.01,"OK","CHECK")</x:f>
        <x:v>OK</x:v>
      </x:c>
    </x:row>
    <x:row r="68">
      <x:c r="A68" s="27" t="str">
        <x:v>IND_BROKER_001</x:v>
      </x:c>
      <x:c r="B68" s="27" t="str">
        <x:v>3276</x:v>
      </x:c>
      <x:c r="C68" s="27" t="str">
        <x:v>FX</x:v>
      </x:c>
      <x:c r="D68" s="27" t="str">
        <x:v>GBP/USD</x:v>
      </x:c>
      <x:c r="E68" s="27" t="str">
        <x:v>FX currency pair</x:v>
      </x:c>
      <x:c r="F68" s="40" t="n">
        <x:f>SUMIFS(Trade_Calc!$AZ$4:$AZ$301,Trade_Calc!$B$4:$B$301,A68,Trade_Calc!$C$4:$C$301,B68,Trade_Calc!$E$4:$E$301,"FX",Trade_Calc!$AI$4:$AI$301,D68)</x:f>
        <x:v>-26783969.970942535</x:v>
      </x:c>
      <x:c r="G68" s="40"/>
      <x:c r="H68" s="40"/>
      <x:c r="I68" s="40" t="n">
        <x:f>ABS(F68)</x:f>
        <x:v>26783969.970942535</x:v>
      </x:c>
      <x:c r="J68" s="43" t="n">
        <x:f>I68*VLOOKUP("FX",Parameters!$D$4:$E$12,2,FALSE)</x:f>
        <x:v>1071358.7988377013</x:v>
      </x:c>
      <x:c r="K68" s="40" t="n">
        <x:v>26783969.97094254</x:v>
      </x:c>
      <x:c r="L68" s="43" t="n">
        <x:v>1071358.7988377016</x:v>
      </x:c>
      <x:c r="M68" s="43" t="n">
        <x:f>J68-L68</x:f>
        <x:v>-2.3283064365386963e-10</x:v>
      </x:c>
      <x:c r="N68" s="27" t="str">
        <x:f>IF(ABS(M68)&lt;0.01,"OK","CHECK")</x:f>
        <x:v>OK</x:v>
      </x:c>
    </x:row>
    <x:row r="69">
      <x:c r="A69" s="27" t="str">
        <x:v>IND_BROKER_001</x:v>
      </x:c>
      <x:c r="B69" s="27" t="str">
        <x:v>3276</x:v>
      </x:c>
      <x:c r="C69" s="27" t="str">
        <x:v>FX</x:v>
      </x:c>
      <x:c r="D69" s="27" t="str">
        <x:v>JPY/USD</x:v>
      </x:c>
      <x:c r="E69" s="27" t="str">
        <x:v>FX currency pair</x:v>
      </x:c>
      <x:c r="F69" s="40" t="n">
        <x:f>SUMIFS(Trade_Calc!$AZ$4:$AZ$301,Trade_Calc!$B$4:$B$301,A69,Trade_Calc!$C$4:$C$301,B69,Trade_Calc!$E$4:$E$301,"FX",Trade_Calc!$AI$4:$AI$301,D69)</x:f>
        <x:v>18000000.000000004</x:v>
      </x:c>
      <x:c r="G69" s="40"/>
      <x:c r="H69" s="40"/>
      <x:c r="I69" s="40" t="n">
        <x:f>ABS(F69)</x:f>
        <x:v>18000000.000000004</x:v>
      </x:c>
      <x:c r="J69" s="43" t="n">
        <x:f>I69*VLOOKUP("FX",Parameters!$D$4:$E$12,2,FALSE)</x:f>
        <x:v>720000.0000000001</x:v>
      </x:c>
      <x:c r="K69" s="40" t="n">
        <x:v>18000000.000000004</x:v>
      </x:c>
      <x:c r="L69" s="43" t="n">
        <x:v>720000.0000000001</x:v>
      </x:c>
      <x:c r="M69" s="43" t="n">
        <x:f>J69-L69</x:f>
        <x:v>0</x:v>
      </x:c>
      <x:c r="N69" s="27" t="str">
        <x:f>IF(ABS(M69)&lt;0.01,"OK","CHECK")</x:f>
        <x:v>OK</x:v>
      </x:c>
    </x:row>
    <x:row r="70">
      <x:c r="A70" s="27" t="str">
        <x:v>IND_BROKER_001</x:v>
      </x:c>
      <x:c r="B70" s="27" t="str">
        <x:v>3384</x:v>
      </x:c>
      <x:c r="C70" s="27" t="str">
        <x:v>FX</x:v>
      </x:c>
      <x:c r="D70" s="27" t="str">
        <x:v>CNY/USD</x:v>
      </x:c>
      <x:c r="E70" s="27" t="str">
        <x:v>FX currency pair</x:v>
      </x:c>
      <x:c r="F70" s="40" t="n">
        <x:f>SUMIFS(Trade_Calc!$AZ$4:$AZ$301,Trade_Calc!$B$4:$B$301,A70,Trade_Calc!$C$4:$C$301,B70,Trade_Calc!$E$4:$E$301,"FX",Trade_Calc!$AI$4:$AI$301,D70)</x:f>
        <x:v>-9400000</x:v>
      </x:c>
      <x:c r="G70" s="40"/>
      <x:c r="H70" s="40"/>
      <x:c r="I70" s="40" t="n">
        <x:f>ABS(F70)</x:f>
        <x:v>9400000</x:v>
      </x:c>
      <x:c r="J70" s="43" t="n">
        <x:f>I70*VLOOKUP("FX",Parameters!$D$4:$E$12,2,FALSE)</x:f>
        <x:v>376000</x:v>
      </x:c>
      <x:c r="K70" s="40" t="n">
        <x:v>9400000</x:v>
      </x:c>
      <x:c r="L70" s="43" t="n">
        <x:v>376000</x:v>
      </x:c>
      <x:c r="M70" s="43" t="n">
        <x:f>J70-L70</x:f>
        <x:v>0</x:v>
      </x:c>
      <x:c r="N70" s="27" t="str">
        <x:f>IF(ABS(M70)&lt;0.01,"OK","CHECK")</x:f>
        <x:v>OK</x:v>
      </x:c>
    </x:row>
    <x:row r="71">
      <x:c r="A71" s="27" t="str">
        <x:v>IND_BROKER_001</x:v>
      </x:c>
      <x:c r="B71" s="27" t="str">
        <x:v>3384</x:v>
      </x:c>
      <x:c r="C71" s="27" t="str">
        <x:v>FX</x:v>
      </x:c>
      <x:c r="D71" s="27" t="str">
        <x:v>GBP/USD</x:v>
      </x:c>
      <x:c r="E71" s="27" t="str">
        <x:v>FX currency pair</x:v>
      </x:c>
      <x:c r="F71" s="40" t="n">
        <x:f>SUMIFS(Trade_Calc!$AZ$4:$AZ$301,Trade_Calc!$B$4:$B$301,A71,Trade_Calc!$C$4:$C$301,B71,Trade_Calc!$E$4:$E$301,"FX",Trade_Calc!$AI$4:$AI$301,D71)</x:f>
        <x:v>26964728.927722123</x:v>
      </x:c>
      <x:c r="G71" s="40"/>
      <x:c r="H71" s="40"/>
      <x:c r="I71" s="40" t="n">
        <x:f>ABS(F71)</x:f>
        <x:v>26964728.927722123</x:v>
      </x:c>
      <x:c r="J71" s="43" t="n">
        <x:f>I71*VLOOKUP("FX",Parameters!$D$4:$E$12,2,FALSE)</x:f>
        <x:v>1078589.157108885</x:v>
      </x:c>
      <x:c r="K71" s="40" t="n">
        <x:v>26964728.927722123</x:v>
      </x:c>
      <x:c r="L71" s="43" t="n">
        <x:v>1078589.157108885</x:v>
      </x:c>
      <x:c r="M71" s="43" t="n">
        <x:f>J71-L71</x:f>
        <x:v>0</x:v>
      </x:c>
      <x:c r="N71" s="27" t="str">
        <x:f>IF(ABS(M71)&lt;0.01,"OK","CHECK")</x:f>
        <x:v>OK</x:v>
      </x:c>
    </x:row>
    <x:row r="72">
      <x:c r="A72" s="27" t="str">
        <x:v>IND_CLEARING_MEMBER_001</x:v>
      </x:c>
      <x:c r="B72" s="27" t="str">
        <x:v>3206</x:v>
      </x:c>
      <x:c r="C72" s="27" t="str">
        <x:v>FX</x:v>
      </x:c>
      <x:c r="D72" s="27" t="str">
        <x:v>CNY/USD</x:v>
      </x:c>
      <x:c r="E72" s="27" t="str">
        <x:v>FX currency pair</x:v>
      </x:c>
      <x:c r="F72" s="40" t="n">
        <x:f>SUMIFS(Trade_Calc!$AZ$4:$AZ$301,Trade_Calc!$B$4:$B$301,A72,Trade_Calc!$C$4:$C$301,B72,Trade_Calc!$E$4:$E$301,"FX",Trade_Calc!$AI$4:$AI$301,D72)</x:f>
        <x:v>-3930000.0000000005</x:v>
      </x:c>
      <x:c r="G72" s="40"/>
      <x:c r="H72" s="40"/>
      <x:c r="I72" s="40" t="n">
        <x:f>ABS(F72)</x:f>
        <x:v>3930000.0000000005</x:v>
      </x:c>
      <x:c r="J72" s="43" t="n">
        <x:f>I72*VLOOKUP("FX",Parameters!$D$4:$E$12,2,FALSE)</x:f>
        <x:v>157200.00000000003</x:v>
      </x:c>
      <x:c r="K72" s="40" t="n">
        <x:v>3930000.0000000005</x:v>
      </x:c>
      <x:c r="L72" s="43" t="n">
        <x:v>157200.00000000003</x:v>
      </x:c>
      <x:c r="M72" s="43" t="n">
        <x:f>J72-L72</x:f>
        <x:v>0</x:v>
      </x:c>
      <x:c r="N72" s="27" t="str">
        <x:f>IF(ABS(M72)&lt;0.01,"OK","CHECK")</x:f>
        <x:v>OK</x:v>
      </x:c>
    </x:row>
    <x:row r="73">
      <x:c r="A73" s="27" t="str">
        <x:v>IND_CLEARING_MEMBER_001</x:v>
      </x:c>
      <x:c r="B73" s="27" t="str">
        <x:v>3206</x:v>
      </x:c>
      <x:c r="C73" s="27" t="str">
        <x:v>FX</x:v>
      </x:c>
      <x:c r="D73" s="27" t="str">
        <x:v>GBP/USD</x:v>
      </x:c>
      <x:c r="E73" s="27" t="str">
        <x:v>FX currency pair</x:v>
      </x:c>
      <x:c r="F73" s="40" t="n">
        <x:f>SUMIFS(Trade_Calc!$AZ$4:$AZ$301,Trade_Calc!$B$4:$B$301,A73,Trade_Calc!$C$4:$C$301,B73,Trade_Calc!$E$4:$E$301,"FX",Trade_Calc!$AI$4:$AI$301,D73)</x:f>
        <x:v>18739976.23762832</x:v>
      </x:c>
      <x:c r="G73" s="40"/>
      <x:c r="H73" s="40"/>
      <x:c r="I73" s="40" t="n">
        <x:f>ABS(F73)</x:f>
        <x:v>18739976.23762832</x:v>
      </x:c>
      <x:c r="J73" s="43" t="n">
        <x:f>I73*VLOOKUP("FX",Parameters!$D$4:$E$12,2,FALSE)</x:f>
        <x:v>749599.0495051327</x:v>
      </x:c>
      <x:c r="K73" s="40" t="n">
        <x:v>18739976.23762832</x:v>
      </x:c>
      <x:c r="L73" s="43" t="n">
        <x:v>749599.0495051327</x:v>
      </x:c>
      <x:c r="M73" s="43" t="n">
        <x:f>J73-L73</x:f>
        <x:v>0</x:v>
      </x:c>
      <x:c r="N73" s="27" t="str">
        <x:f>IF(ABS(M73)&lt;0.01,"OK","CHECK")</x:f>
        <x:v>OK</x:v>
      </x:c>
    </x:row>
    <x:row r="74">
      <x:c r="A74" s="27" t="str">
        <x:v>IND_CLEARING_MEMBER_001</x:v>
      </x:c>
      <x:c r="B74" s="27" t="str">
        <x:v>3206</x:v>
      </x:c>
      <x:c r="C74" s="27" t="str">
        <x:v>FX</x:v>
      </x:c>
      <x:c r="D74" s="27" t="str">
        <x:v>JPY/USD</x:v>
      </x:c>
      <x:c r="E74" s="27" t="str">
        <x:v>FX currency pair</x:v>
      </x:c>
      <x:c r="F74" s="40" t="n">
        <x:f>SUMIFS(Trade_Calc!$AZ$4:$AZ$301,Trade_Calc!$B$4:$B$301,A74,Trade_Calc!$C$4:$C$301,B74,Trade_Calc!$E$4:$E$301,"FX",Trade_Calc!$AI$4:$AI$301,D74)</x:f>
        <x:v>-8100000.000000006</x:v>
      </x:c>
      <x:c r="G74" s="40"/>
      <x:c r="H74" s="40"/>
      <x:c r="I74" s="40" t="n">
        <x:f>ABS(F74)</x:f>
        <x:v>8100000.000000006</x:v>
      </x:c>
      <x:c r="J74" s="43" t="n">
        <x:f>I74*VLOOKUP("FX",Parameters!$D$4:$E$12,2,FALSE)</x:f>
        <x:v>324000.00000000023</x:v>
      </x:c>
      <x:c r="K74" s="40" t="n">
        <x:v>8100000.000000006</x:v>
      </x:c>
      <x:c r="L74" s="43" t="n">
        <x:v>324000.00000000023</x:v>
      </x:c>
      <x:c r="M74" s="43" t="n">
        <x:f>J74-L74</x:f>
        <x:v>0</x:v>
      </x:c>
      <x:c r="N74" s="27" t="str">
        <x:f>IF(ABS(M74)&lt;0.01,"OK","CHECK")</x:f>
        <x:v>OK</x:v>
      </x:c>
    </x:row>
    <x:row r="75">
      <x:c r="A75" s="27" t="str">
        <x:v>IND_CLEARING_MEMBER_001</x:v>
      </x:c>
      <x:c r="B75" s="27" t="str">
        <x:v>3288</x:v>
      </x:c>
      <x:c r="C75" s="27" t="str">
        <x:v>FX</x:v>
      </x:c>
      <x:c r="D75" s="27" t="str">
        <x:v>GBP/USD</x:v>
      </x:c>
      <x:c r="E75" s="27" t="str">
        <x:v>FX currency pair</x:v>
      </x:c>
      <x:c r="F75" s="40" t="n">
        <x:f>SUMIFS(Trade_Calc!$AZ$4:$AZ$301,Trade_Calc!$B$4:$B$301,A75,Trade_Calc!$C$4:$C$301,B75,Trade_Calc!$E$4:$E$301,"FX",Trade_Calc!$AI$4:$AI$301,D75)</x:f>
        <x:v>87863464.53111975</x:v>
      </x:c>
      <x:c r="G75" s="40"/>
      <x:c r="H75" s="40"/>
      <x:c r="I75" s="40" t="n">
        <x:f>ABS(F75)</x:f>
        <x:v>87863464.53111975</x:v>
      </x:c>
      <x:c r="J75" s="43" t="n">
        <x:f>I75*VLOOKUP("FX",Parameters!$D$4:$E$12,2,FALSE)</x:f>
        <x:v>3514538.58124479</x:v>
      </x:c>
      <x:c r="K75" s="40" t="n">
        <x:v>87863464.53111973</x:v>
      </x:c>
      <x:c r="L75" s="43" t="n">
        <x:v>3514538.5812447895</x:v>
      </x:c>
      <x:c r="M75" s="43" t="n">
        <x:f>J75-L75</x:f>
        <x:v>4.656612873077393e-10</x:v>
      </x:c>
      <x:c r="N75" s="27" t="str">
        <x:f>IF(ABS(M75)&lt;0.01,"OK","CHECK")</x:f>
        <x:v>OK</x:v>
      </x:c>
    </x:row>
    <x:row r="76">
      <x:c r="A76" s="27" t="str">
        <x:v>IND_CORPORATE_001</x:v>
      </x:c>
      <x:c r="B76" s="27" t="str">
        <x:v>3040</x:v>
      </x:c>
      <x:c r="C76" s="27" t="str">
        <x:v>FX</x:v>
      </x:c>
      <x:c r="D76" s="27" t="str">
        <x:v>EUR/USD</x:v>
      </x:c>
      <x:c r="E76" s="27" t="str">
        <x:v>FX currency pair</x:v>
      </x:c>
      <x:c r="F76" s="40" t="n">
        <x:f>SUMIFS(Trade_Calc!$AZ$4:$AZ$301,Trade_Calc!$B$4:$B$301,A76,Trade_Calc!$C$4:$C$301,B76,Trade_Calc!$E$4:$E$301,"FX",Trade_Calc!$AI$4:$AI$301,D76)</x:f>
        <x:v>-16814756.719340503</x:v>
      </x:c>
      <x:c r="G76" s="40"/>
      <x:c r="H76" s="40"/>
      <x:c r="I76" s="40" t="n">
        <x:f>ABS(F76)</x:f>
        <x:v>16814756.719340503</x:v>
      </x:c>
      <x:c r="J76" s="43" t="n">
        <x:f>I76*VLOOKUP("FX",Parameters!$D$4:$E$12,2,FALSE)</x:f>
        <x:v>672590.2687736201</x:v>
      </x:c>
      <x:c r="K76" s="40" t="n">
        <x:v>16814756.719340503</x:v>
      </x:c>
      <x:c r="L76" s="43" t="n">
        <x:v>672590.2687736201</x:v>
      </x:c>
      <x:c r="M76" s="43" t="n">
        <x:f>J76-L76</x:f>
        <x:v>0</x:v>
      </x:c>
      <x:c r="N76" s="27" t="str">
        <x:f>IF(ABS(M76)&lt;0.01,"OK","CHECK")</x:f>
        <x:v>OK</x:v>
      </x:c>
    </x:row>
    <x:row r="77">
      <x:c r="A77" s="27" t="str">
        <x:v>IND_CORPORATE_001</x:v>
      </x:c>
      <x:c r="B77" s="27" t="str">
        <x:v>3040</x:v>
      </x:c>
      <x:c r="C77" s="27" t="str">
        <x:v>FX</x:v>
      </x:c>
      <x:c r="D77" s="27" t="str">
        <x:v>JPY/USD</x:v>
      </x:c>
      <x:c r="E77" s="27" t="str">
        <x:v>FX currency pair</x:v>
      </x:c>
      <x:c r="F77" s="40" t="n">
        <x:f>SUMIFS(Trade_Calc!$AZ$4:$AZ$301,Trade_Calc!$B$4:$B$301,A77,Trade_Calc!$C$4:$C$301,B77,Trade_Calc!$E$4:$E$301,"FX",Trade_Calc!$AI$4:$AI$301,D77)</x:f>
        <x:v>300000.00000000006</x:v>
      </x:c>
      <x:c r="G77" s="40"/>
      <x:c r="H77" s="40"/>
      <x:c r="I77" s="40" t="n">
        <x:f>ABS(F77)</x:f>
        <x:v>300000.00000000006</x:v>
      </x:c>
      <x:c r="J77" s="43" t="n">
        <x:f>I77*VLOOKUP("FX",Parameters!$D$4:$E$12,2,FALSE)</x:f>
        <x:v>12000.000000000002</x:v>
      </x:c>
      <x:c r="K77" s="40" t="n">
        <x:v>300000.00000000006</x:v>
      </x:c>
      <x:c r="L77" s="43" t="n">
        <x:v>12000.000000000002</x:v>
      </x:c>
      <x:c r="M77" s="43" t="n">
        <x:f>J77-L77</x:f>
        <x:v>0</x:v>
      </x:c>
      <x:c r="N77" s="27" t="str">
        <x:f>IF(ABS(M77)&lt;0.01,"OK","CHECK")</x:f>
        <x:v>OK</x:v>
      </x:c>
    </x:row>
    <x:row r="78">
      <x:c r="A78" s="27" t="str">
        <x:v>IND_CORPORATE_001</x:v>
      </x:c>
      <x:c r="B78" s="27" t="str">
        <x:v>3092</x:v>
      </x:c>
      <x:c r="C78" s="27" t="str">
        <x:v>FX</x:v>
      </x:c>
      <x:c r="D78" s="27" t="str">
        <x:v>EUR/USD</x:v>
      </x:c>
      <x:c r="E78" s="27" t="str">
        <x:v>FX currency pair</x:v>
      </x:c>
      <x:c r="F78" s="40" t="n">
        <x:f>SUMIFS(Trade_Calc!$AZ$4:$AZ$301,Trade_Calc!$B$4:$B$301,A78,Trade_Calc!$C$4:$C$301,B78,Trade_Calc!$E$4:$E$301,"FX",Trade_Calc!$AI$4:$AI$301,D78)</x:f>
        <x:v>-17892440.027011592</x:v>
      </x:c>
      <x:c r="G78" s="40"/>
      <x:c r="H78" s="40"/>
      <x:c r="I78" s="40" t="n">
        <x:f>ABS(F78)</x:f>
        <x:v>17892440.027011592</x:v>
      </x:c>
      <x:c r="J78" s="43" t="n">
        <x:f>I78*VLOOKUP("FX",Parameters!$D$4:$E$12,2,FALSE)</x:f>
        <x:v>715697.6010804637</x:v>
      </x:c>
      <x:c r="K78" s="40" t="n">
        <x:v>17892440.027011592</x:v>
      </x:c>
      <x:c r="L78" s="43" t="n">
        <x:v>715697.6010804637</x:v>
      </x:c>
      <x:c r="M78" s="43" t="n">
        <x:f>J78-L78</x:f>
        <x:v>0</x:v>
      </x:c>
      <x:c r="N78" s="27" t="str">
        <x:f>IF(ABS(M78)&lt;0.01,"OK","CHECK")</x:f>
        <x:v>OK</x:v>
      </x:c>
    </x:row>
    <x:row r="79">
      <x:c r="A79" s="27" t="str">
        <x:v>IND_CORPORATE_001</x:v>
      </x:c>
      <x:c r="B79" s="27" t="str">
        <x:v>3092</x:v>
      </x:c>
      <x:c r="C79" s="27" t="str">
        <x:v>FX</x:v>
      </x:c>
      <x:c r="D79" s="27" t="str">
        <x:v>GBP/USD</x:v>
      </x:c>
      <x:c r="E79" s="27" t="str">
        <x:v>FX currency pair</x:v>
      </x:c>
      <x:c r="F79" s="40" t="n">
        <x:f>SUMIFS(Trade_Calc!$AZ$4:$AZ$301,Trade_Calc!$B$4:$B$301,A79,Trade_Calc!$C$4:$C$301,B79,Trade_Calc!$E$4:$E$301,"FX",Trade_Calc!$AI$4:$AI$301,D79)</x:f>
        <x:v>57800000</x:v>
      </x:c>
      <x:c r="G79" s="40"/>
      <x:c r="H79" s="40"/>
      <x:c r="I79" s="40" t="n">
        <x:f>ABS(F79)</x:f>
        <x:v>57800000</x:v>
      </x:c>
      <x:c r="J79" s="43" t="n">
        <x:f>I79*VLOOKUP("FX",Parameters!$D$4:$E$12,2,FALSE)</x:f>
        <x:v>2312000</x:v>
      </x:c>
      <x:c r="K79" s="40" t="n">
        <x:v>57800000</x:v>
      </x:c>
      <x:c r="L79" s="43" t="n">
        <x:v>2312000</x:v>
      </x:c>
      <x:c r="M79" s="43" t="n">
        <x:f>J79-L79</x:f>
        <x:v>0</x:v>
      </x:c>
      <x:c r="N79" s="27" t="str">
        <x:f>IF(ABS(M79)&lt;0.01,"OK","CHECK")</x:f>
        <x:v>OK</x:v>
      </x:c>
    </x:row>
    <x:row r="80">
      <x:c r="A80" s="27" t="str">
        <x:v>IND_CORPORATE_002</x:v>
      </x:c>
      <x:c r="B80" s="27" t="str">
        <x:v>3187</x:v>
      </x:c>
      <x:c r="C80" s="27" t="str">
        <x:v>FX</x:v>
      </x:c>
      <x:c r="D80" s="27" t="str">
        <x:v>EUR/USD</x:v>
      </x:c>
      <x:c r="E80" s="27" t="str">
        <x:v>FX currency pair</x:v>
      </x:c>
      <x:c r="F80" s="40" t="n">
        <x:f>SUMIFS(Trade_Calc!$AZ$4:$AZ$301,Trade_Calc!$B$4:$B$301,A80,Trade_Calc!$C$4:$C$301,B80,Trade_Calc!$E$4:$E$301,"FX",Trade_Calc!$AI$4:$AI$301,D80)</x:f>
        <x:v>23600000</x:v>
      </x:c>
      <x:c r="G80" s="40"/>
      <x:c r="H80" s="40"/>
      <x:c r="I80" s="40" t="n">
        <x:f>ABS(F80)</x:f>
        <x:v>23600000</x:v>
      </x:c>
      <x:c r="J80" s="43" t="n">
        <x:f>I80*VLOOKUP("FX",Parameters!$D$4:$E$12,2,FALSE)</x:f>
        <x:v>944000</x:v>
      </x:c>
      <x:c r="K80" s="40" t="n">
        <x:v>23600000</x:v>
      </x:c>
      <x:c r="L80" s="43" t="n">
        <x:v>944000</x:v>
      </x:c>
      <x:c r="M80" s="43" t="n">
        <x:f>J80-L80</x:f>
        <x:v>0</x:v>
      </x:c>
      <x:c r="N80" s="27" t="str">
        <x:f>IF(ABS(M80)&lt;0.01,"OK","CHECK")</x:f>
        <x:v>OK</x:v>
      </x:c>
    </x:row>
    <x:row r="81">
      <x:c r="A81" s="27" t="str">
        <x:v>IND_CORPORATE_002</x:v>
      </x:c>
      <x:c r="B81" s="27" t="str">
        <x:v>3187</x:v>
      </x:c>
      <x:c r="C81" s="27" t="str">
        <x:v>FX</x:v>
      </x:c>
      <x:c r="D81" s="27" t="str">
        <x:v>GBP/USD</x:v>
      </x:c>
      <x:c r="E81" s="27" t="str">
        <x:v>FX currency pair</x:v>
      </x:c>
      <x:c r="F81" s="40" t="n">
        <x:f>SUMIFS(Trade_Calc!$AZ$4:$AZ$301,Trade_Calc!$B$4:$B$301,A81,Trade_Calc!$C$4:$C$301,B81,Trade_Calc!$E$4:$E$301,"FX",Trade_Calc!$AI$4:$AI$301,D81)</x:f>
        <x:v>-8890088.004275344</x:v>
      </x:c>
      <x:c r="G81" s="40"/>
      <x:c r="H81" s="40"/>
      <x:c r="I81" s="40" t="n">
        <x:f>ABS(F81)</x:f>
        <x:v>8890088.004275344</x:v>
      </x:c>
      <x:c r="J81" s="43" t="n">
        <x:f>I81*VLOOKUP("FX",Parameters!$D$4:$E$12,2,FALSE)</x:f>
        <x:v>355603.5201710138</x:v>
      </x:c>
      <x:c r="K81" s="40" t="n">
        <x:v>8890088.004275344</x:v>
      </x:c>
      <x:c r="L81" s="43" t="n">
        <x:v>355603.5201710138</x:v>
      </x:c>
      <x:c r="M81" s="43" t="n">
        <x:f>J81-L81</x:f>
        <x:v>0</x:v>
      </x:c>
      <x:c r="N81" s="27" t="str">
        <x:f>IF(ABS(M81)&lt;0.01,"OK","CHECK")</x:f>
        <x:v>OK</x:v>
      </x:c>
    </x:row>
    <x:row r="82">
      <x:c r="A82" s="27" t="str">
        <x:v>IND_CORPORATE_002</x:v>
      </x:c>
      <x:c r="B82" s="27" t="str">
        <x:v>3346</x:v>
      </x:c>
      <x:c r="C82" s="27" t="str">
        <x:v>FX</x:v>
      </x:c>
      <x:c r="D82" s="27" t="str">
        <x:v>AUD/USD</x:v>
      </x:c>
      <x:c r="E82" s="27" t="str">
        <x:v>FX currency pair</x:v>
      </x:c>
      <x:c r="F82" s="40" t="n">
        <x:f>SUMIFS(Trade_Calc!$AZ$4:$AZ$301,Trade_Calc!$B$4:$B$301,A82,Trade_Calc!$C$4:$C$301,B82,Trade_Calc!$E$4:$E$301,"FX",Trade_Calc!$AI$4:$AI$301,D82)</x:f>
        <x:v>25800000.000000004</x:v>
      </x:c>
      <x:c r="G82" s="40"/>
      <x:c r="H82" s="40"/>
      <x:c r="I82" s="40" t="n">
        <x:f>ABS(F82)</x:f>
        <x:v>25800000.000000004</x:v>
      </x:c>
      <x:c r="J82" s="43" t="n">
        <x:f>I82*VLOOKUP("FX",Parameters!$D$4:$E$12,2,FALSE)</x:f>
        <x:v>1032000.0000000001</x:v>
      </x:c>
      <x:c r="K82" s="40" t="n">
        <x:v>25800000.000000004</x:v>
      </x:c>
      <x:c r="L82" s="43" t="n">
        <x:v>1032000.0000000001</x:v>
      </x:c>
      <x:c r="M82" s="43" t="n">
        <x:f>J82-L82</x:f>
        <x:v>0</x:v>
      </x:c>
      <x:c r="N82" s="27" t="str">
        <x:f>IF(ABS(M82)&lt;0.01,"OK","CHECK")</x:f>
        <x:v>OK</x:v>
      </x:c>
    </x:row>
    <x:row r="83">
      <x:c r="A83" s="27" t="str">
        <x:v>IND_CORPORATE_002</x:v>
      </x:c>
      <x:c r="B83" s="27" t="str">
        <x:v>3346</x:v>
      </x:c>
      <x:c r="C83" s="27" t="str">
        <x:v>FX</x:v>
      </x:c>
      <x:c r="D83" s="27" t="str">
        <x:v>CNY/USD</x:v>
      </x:c>
      <x:c r="E83" s="27" t="str">
        <x:v>FX currency pair</x:v>
      </x:c>
      <x:c r="F83" s="40" t="n">
        <x:f>SUMIFS(Trade_Calc!$AZ$4:$AZ$301,Trade_Calc!$B$4:$B$301,A83,Trade_Calc!$C$4:$C$301,B83,Trade_Calc!$E$4:$E$301,"FX",Trade_Calc!$AI$4:$AI$301,D83)</x:f>
        <x:v>20940000.000000004</x:v>
      </x:c>
      <x:c r="G83" s="40"/>
      <x:c r="H83" s="40"/>
      <x:c r="I83" s="40" t="n">
        <x:f>ABS(F83)</x:f>
        <x:v>20940000.000000004</x:v>
      </x:c>
      <x:c r="J83" s="43" t="n">
        <x:f>I83*VLOOKUP("FX",Parameters!$D$4:$E$12,2,FALSE)</x:f>
        <x:v>837600.0000000001</x:v>
      </x:c>
      <x:c r="K83" s="40" t="n">
        <x:v>20940000.000000004</x:v>
      </x:c>
      <x:c r="L83" s="43" t="n">
        <x:v>837600.0000000001</x:v>
      </x:c>
      <x:c r="M83" s="43" t="n">
        <x:f>J83-L83</x:f>
        <x:v>0</x:v>
      </x:c>
      <x:c r="N83" s="27" t="str">
        <x:f>IF(ABS(M83)&lt;0.01,"OK","CHECK")</x:f>
        <x:v>OK</x:v>
      </x:c>
    </x:row>
    <x:row r="84">
      <x:c r="A84" s="27" t="str">
        <x:v>IND_CORPORATE_002</x:v>
      </x:c>
      <x:c r="B84" s="27" t="str">
        <x:v>3346</x:v>
      </x:c>
      <x:c r="C84" s="27" t="str">
        <x:v>FX</x:v>
      </x:c>
      <x:c r="D84" s="27" t="str">
        <x:v>GBP/USD</x:v>
      </x:c>
      <x:c r="E84" s="27" t="str">
        <x:v>FX currency pair</x:v>
      </x:c>
      <x:c r="F84" s="40" t="n">
        <x:f>SUMIFS(Trade_Calc!$AZ$4:$AZ$301,Trade_Calc!$B$4:$B$301,A84,Trade_Calc!$C$4:$C$301,B84,Trade_Calc!$E$4:$E$301,"FX",Trade_Calc!$AI$4:$AI$301,D84)</x:f>
        <x:v>18828663.153719813</x:v>
      </x:c>
      <x:c r="G84" s="40"/>
      <x:c r="H84" s="40"/>
      <x:c r="I84" s="40" t="n">
        <x:f>ABS(F84)</x:f>
        <x:v>18828663.153719813</x:v>
      </x:c>
      <x:c r="J84" s="43" t="n">
        <x:f>I84*VLOOKUP("FX",Parameters!$D$4:$E$12,2,FALSE)</x:f>
        <x:v>753146.5261487925</x:v>
      </x:c>
      <x:c r="K84" s="40" t="n">
        <x:v>18828663.153719813</x:v>
      </x:c>
      <x:c r="L84" s="43" t="n">
        <x:v>753146.5261487925</x:v>
      </x:c>
      <x:c r="M84" s="43" t="n">
        <x:f>J84-L84</x:f>
        <x:v>0</x:v>
      </x:c>
      <x:c r="N84" s="27" t="str">
        <x:f>IF(ABS(M84)&lt;0.01,"OK","CHECK")</x:f>
        <x:v>OK</x:v>
      </x:c>
    </x:row>
    <x:row r="85">
      <x:c r="A85" s="27" t="str">
        <x:v>IND_CORPORATE_002</x:v>
      </x:c>
      <x:c r="B85" s="27" t="str">
        <x:v>3346</x:v>
      </x:c>
      <x:c r="C85" s="27" t="str">
        <x:v>FX</x:v>
      </x:c>
      <x:c r="D85" s="27" t="str">
        <x:v>JPY/USD</x:v>
      </x:c>
      <x:c r="E85" s="27" t="str">
        <x:v>FX currency pair</x:v>
      </x:c>
      <x:c r="F85" s="40" t="n">
        <x:f>SUMIFS(Trade_Calc!$AZ$4:$AZ$301,Trade_Calc!$B$4:$B$301,A85,Trade_Calc!$C$4:$C$301,B85,Trade_Calc!$E$4:$E$301,"FX",Trade_Calc!$AI$4:$AI$301,D85)</x:f>
        <x:v>-31230000.000000007</x:v>
      </x:c>
      <x:c r="G85" s="40"/>
      <x:c r="H85" s="40"/>
      <x:c r="I85" s="40" t="n">
        <x:f>ABS(F85)</x:f>
        <x:v>31230000.000000007</x:v>
      </x:c>
      <x:c r="J85" s="43" t="n">
        <x:f>I85*VLOOKUP("FX",Parameters!$D$4:$E$12,2,FALSE)</x:f>
        <x:v>1249200.0000000002</x:v>
      </x:c>
      <x:c r="K85" s="40" t="n">
        <x:v>31230000.000000007</x:v>
      </x:c>
      <x:c r="L85" s="43" t="n">
        <x:v>1249200.0000000002</x:v>
      </x:c>
      <x:c r="M85" s="43" t="n">
        <x:f>J85-L85</x:f>
        <x:v>0</x:v>
      </x:c>
      <x:c r="N85" s="27" t="str">
        <x:f>IF(ABS(M85)&lt;0.01,"OK","CHECK")</x:f>
        <x:v>OK</x:v>
      </x:c>
    </x:row>
    <x:row r="86">
      <x:c r="A86" s="27" t="str">
        <x:v>IND_HEDGE_FUND_001</x:v>
      </x:c>
      <x:c r="B86" s="27" t="str">
        <x:v>3040</x:v>
      </x:c>
      <x:c r="C86" s="27" t="str">
        <x:v>FX</x:v>
      </x:c>
      <x:c r="D86" s="27" t="str">
        <x:v>CNY/USD</x:v>
      </x:c>
      <x:c r="E86" s="27" t="str">
        <x:v>FX currency pair</x:v>
      </x:c>
      <x:c r="F86" s="40" t="n">
        <x:f>SUMIFS(Trade_Calc!$AZ$4:$AZ$301,Trade_Calc!$B$4:$B$301,A86,Trade_Calc!$C$4:$C$301,B86,Trade_Calc!$E$4:$E$301,"FX",Trade_Calc!$AI$4:$AI$301,D86)</x:f>
        <x:v>-15811665.479333792</x:v>
      </x:c>
      <x:c r="G86" s="40"/>
      <x:c r="H86" s="40"/>
      <x:c r="I86" s="40" t="n">
        <x:f>ABS(F86)</x:f>
        <x:v>15811665.479333792</x:v>
      </x:c>
      <x:c r="J86" s="43" t="n">
        <x:f>I86*VLOOKUP("FX",Parameters!$D$4:$E$12,2,FALSE)</x:f>
        <x:v>632466.6191733517</x:v>
      </x:c>
      <x:c r="K86" s="40" t="n">
        <x:v>15811665.479333796</x:v>
      </x:c>
      <x:c r="L86" s="43" t="n">
        <x:v>632466.6191733518</x:v>
      </x:c>
      <x:c r="M86" s="43" t="n">
        <x:f>J86-L86</x:f>
        <x:v>-1.1641532182693481e-10</x:v>
      </x:c>
      <x:c r="N86" s="27" t="str">
        <x:f>IF(ABS(M86)&lt;0.01,"OK","CHECK")</x:f>
        <x:v>OK</x:v>
      </x:c>
    </x:row>
    <x:row r="87">
      <x:c r="A87" s="27" t="str">
        <x:v>IND_HEDGE_FUND_001</x:v>
      </x:c>
      <x:c r="B87" s="27" t="str">
        <x:v>3205</x:v>
      </x:c>
      <x:c r="C87" s="27" t="str">
        <x:v>FX</x:v>
      </x:c>
      <x:c r="D87" s="27" t="str">
        <x:v>AUD/USD</x:v>
      </x:c>
      <x:c r="E87" s="27" t="str">
        <x:v>FX currency pair</x:v>
      </x:c>
      <x:c r="F87" s="40" t="n">
        <x:f>SUMIFS(Trade_Calc!$AZ$4:$AZ$301,Trade_Calc!$B$4:$B$301,A87,Trade_Calc!$C$4:$C$301,B87,Trade_Calc!$E$4:$E$301,"FX",Trade_Calc!$AI$4:$AI$301,D87)</x:f>
        <x:v>7530000.000000001</x:v>
      </x:c>
      <x:c r="G87" s="40"/>
      <x:c r="H87" s="40"/>
      <x:c r="I87" s="40" t="n">
        <x:f>ABS(F87)</x:f>
        <x:v>7530000.000000001</x:v>
      </x:c>
      <x:c r="J87" s="43" t="n">
        <x:f>I87*VLOOKUP("FX",Parameters!$D$4:$E$12,2,FALSE)</x:f>
        <x:v>301200.00000000006</x:v>
      </x:c>
      <x:c r="K87" s="40" t="n">
        <x:v>7530000.000000001</x:v>
      </x:c>
      <x:c r="L87" s="43" t="n">
        <x:v>301200.00000000006</x:v>
      </x:c>
      <x:c r="M87" s="43" t="n">
        <x:f>J87-L87</x:f>
        <x:v>0</x:v>
      </x:c>
      <x:c r="N87" s="27" t="str">
        <x:f>IF(ABS(M87)&lt;0.01,"OK","CHECK")</x:f>
        <x:v>OK</x:v>
      </x:c>
    </x:row>
    <x:row r="88">
      <x:c r="A88" s="27" t="str">
        <x:v>IND_HEDGE_FUND_001</x:v>
      </x:c>
      <x:c r="B88" s="27" t="str">
        <x:v>3205</x:v>
      </x:c>
      <x:c r="C88" s="27" t="str">
        <x:v>FX</x:v>
      </x:c>
      <x:c r="D88" s="27" t="str">
        <x:v>CNY/USD</x:v>
      </x:c>
      <x:c r="E88" s="27" t="str">
        <x:v>FX currency pair</x:v>
      </x:c>
      <x:c r="F88" s="40" t="n">
        <x:f>SUMIFS(Trade_Calc!$AZ$4:$AZ$301,Trade_Calc!$B$4:$B$301,A88,Trade_Calc!$C$4:$C$301,B88,Trade_Calc!$E$4:$E$301,"FX",Trade_Calc!$AI$4:$AI$301,D88)</x:f>
        <x:v>6528736.885732142</x:v>
      </x:c>
      <x:c r="G88" s="40"/>
      <x:c r="H88" s="40"/>
      <x:c r="I88" s="40" t="n">
        <x:f>ABS(F88)</x:f>
        <x:v>6528736.885732142</x:v>
      </x:c>
      <x:c r="J88" s="43" t="n">
        <x:f>I88*VLOOKUP("FX",Parameters!$D$4:$E$12,2,FALSE)</x:f>
        <x:v>261149.4754292857</x:v>
      </x:c>
      <x:c r="K88" s="40" t="n">
        <x:v>6528736.885732142</x:v>
      </x:c>
      <x:c r="L88" s="43" t="n">
        <x:v>261149.4754292857</x:v>
      </x:c>
      <x:c r="M88" s="43" t="n">
        <x:f>J88-L88</x:f>
        <x:v>0</x:v>
      </x:c>
      <x:c r="N88" s="27" t="str">
        <x:f>IF(ABS(M88)&lt;0.01,"OK","CHECK")</x:f>
        <x:v>OK</x:v>
      </x:c>
    </x:row>
    <x:row r="89">
      <x:c r="A89" s="27" t="str">
        <x:v>IND_HEDGE_FUND_001</x:v>
      </x:c>
      <x:c r="B89" s="27" t="str">
        <x:v>3205</x:v>
      </x:c>
      <x:c r="C89" s="27" t="str">
        <x:v>FX</x:v>
      </x:c>
      <x:c r="D89" s="27" t="str">
        <x:v>JPY/USD</x:v>
      </x:c>
      <x:c r="E89" s="27" t="str">
        <x:v>FX currency pair</x:v>
      </x:c>
      <x:c r="F89" s="40" t="n">
        <x:f>SUMIFS(Trade_Calc!$AZ$4:$AZ$301,Trade_Calc!$B$4:$B$301,A89,Trade_Calc!$C$4:$C$301,B89,Trade_Calc!$E$4:$E$301,"FX",Trade_Calc!$AI$4:$AI$301,D89)</x:f>
        <x:v>480000.00000000006</x:v>
      </x:c>
      <x:c r="G89" s="40"/>
      <x:c r="H89" s="40"/>
      <x:c r="I89" s="40" t="n">
        <x:f>ABS(F89)</x:f>
        <x:v>480000.00000000006</x:v>
      </x:c>
      <x:c r="J89" s="43" t="n">
        <x:f>I89*VLOOKUP("FX",Parameters!$D$4:$E$12,2,FALSE)</x:f>
        <x:v>19200.000000000004</x:v>
      </x:c>
      <x:c r="K89" s="40" t="n">
        <x:v>480000.00000000006</x:v>
      </x:c>
      <x:c r="L89" s="43" t="n">
        <x:v>19200.000000000004</x:v>
      </x:c>
      <x:c r="M89" s="43" t="n">
        <x:f>J89-L89</x:f>
        <x:v>0</x:v>
      </x:c>
      <x:c r="N89" s="27" t="str">
        <x:f>IF(ABS(M89)&lt;0.01,"OK","CHECK")</x:f>
        <x:v>OK</x:v>
      </x:c>
    </x:row>
    <x:row r="90">
      <x:c r="A90" s="27" t="str">
        <x:v>IND_INSURER_001</x:v>
      </x:c>
      <x:c r="B90" s="27" t="str">
        <x:v>3094</x:v>
      </x:c>
      <x:c r="C90" s="27" t="str">
        <x:v>FX</x:v>
      </x:c>
      <x:c r="D90" s="27" t="str">
        <x:v>CNH/USD</x:v>
      </x:c>
      <x:c r="E90" s="27" t="str">
        <x:v>FX currency pair</x:v>
      </x:c>
      <x:c r="F90" s="40" t="n">
        <x:f>SUMIFS(Trade_Calc!$AZ$4:$AZ$301,Trade_Calc!$B$4:$B$301,A90,Trade_Calc!$C$4:$C$301,B90,Trade_Calc!$E$4:$E$301,"FX",Trade_Calc!$AI$4:$AI$301,D90)</x:f>
        <x:v>31585500.401551947</x:v>
      </x:c>
      <x:c r="G90" s="40"/>
      <x:c r="H90" s="40"/>
      <x:c r="I90" s="40" t="n">
        <x:f>ABS(F90)</x:f>
        <x:v>31585500.401551947</x:v>
      </x:c>
      <x:c r="J90" s="43" t="n">
        <x:f>I90*VLOOKUP("FX",Parameters!$D$4:$E$12,2,FALSE)</x:f>
        <x:v>1263420.0160620778</x:v>
      </x:c>
      <x:c r="K90" s="40" t="n">
        <x:v>31585500.401551947</x:v>
      </x:c>
      <x:c r="L90" s="43" t="n">
        <x:v>1263420.0160620778</x:v>
      </x:c>
      <x:c r="M90" s="43" t="n">
        <x:f>J90-L90</x:f>
        <x:v>0</x:v>
      </x:c>
      <x:c r="N90" s="27" t="str">
        <x:f>IF(ABS(M90)&lt;0.01,"OK","CHECK")</x:f>
        <x:v>OK</x:v>
      </x:c>
    </x:row>
    <x:row r="91">
      <x:c r="A91" s="27" t="str">
        <x:v>IND_INSURER_001</x:v>
      </x:c>
      <x:c r="B91" s="27" t="str">
        <x:v>3094</x:v>
      </x:c>
      <x:c r="C91" s="27" t="str">
        <x:v>FX</x:v>
      </x:c>
      <x:c r="D91" s="27" t="str">
        <x:v>GBP/USD</x:v>
      </x:c>
      <x:c r="E91" s="27" t="str">
        <x:v>FX currency pair</x:v>
      </x:c>
      <x:c r="F91" s="40" t="n">
        <x:f>SUMIFS(Trade_Calc!$AZ$4:$AZ$301,Trade_Calc!$B$4:$B$301,A91,Trade_Calc!$C$4:$C$301,B91,Trade_Calc!$E$4:$E$301,"FX",Trade_Calc!$AI$4:$AI$301,D91)</x:f>
        <x:v>59600000</x:v>
      </x:c>
      <x:c r="G91" s="40"/>
      <x:c r="H91" s="40"/>
      <x:c r="I91" s="40" t="n">
        <x:f>ABS(F91)</x:f>
        <x:v>59600000</x:v>
      </x:c>
      <x:c r="J91" s="43" t="n">
        <x:f>I91*VLOOKUP("FX",Parameters!$D$4:$E$12,2,FALSE)</x:f>
        <x:v>2384000</x:v>
      </x:c>
      <x:c r="K91" s="40" t="n">
        <x:v>59600000</x:v>
      </x:c>
      <x:c r="L91" s="43" t="n">
        <x:v>2384000</x:v>
      </x:c>
      <x:c r="M91" s="43" t="n">
        <x:f>J91-L91</x:f>
        <x:v>0</x:v>
      </x:c>
      <x:c r="N91" s="27" t="str">
        <x:f>IF(ABS(M91)&lt;0.01,"OK","CHECK")</x:f>
        <x:v>OK</x:v>
      </x:c>
    </x:row>
    <x:row r="92">
      <x:c r="A92" s="27" t="str">
        <x:v>IND_INSURER_001</x:v>
      </x:c>
      <x:c r="B92" s="27" t="str">
        <x:v>3094</x:v>
      </x:c>
      <x:c r="C92" s="27" t="str">
        <x:v>FX</x:v>
      </x:c>
      <x:c r="D92" s="27" t="str">
        <x:v>JPY/USD</x:v>
      </x:c>
      <x:c r="E92" s="27" t="str">
        <x:v>FX currency pair</x:v>
      </x:c>
      <x:c r="F92" s="40" t="n">
        <x:f>SUMIFS(Trade_Calc!$AZ$4:$AZ$301,Trade_Calc!$B$4:$B$301,A92,Trade_Calc!$C$4:$C$301,B92,Trade_Calc!$E$4:$E$301,"FX",Trade_Calc!$AI$4:$AI$301,D92)</x:f>
        <x:v>-19881341.77952967</x:v>
      </x:c>
      <x:c r="G92" s="40"/>
      <x:c r="H92" s="40"/>
      <x:c r="I92" s="40" t="n">
        <x:f>ABS(F92)</x:f>
        <x:v>19881341.77952967</x:v>
      </x:c>
      <x:c r="J92" s="43" t="n">
        <x:f>I92*VLOOKUP("FX",Parameters!$D$4:$E$12,2,FALSE)</x:f>
        <x:v>795253.6711811868</x:v>
      </x:c>
      <x:c r="K92" s="40" t="n">
        <x:v>19881341.77952966</x:v>
      </x:c>
      <x:c r="L92" s="43" t="n">
        <x:v>795253.6711811865</x:v>
      </x:c>
      <x:c r="M92" s="43" t="n">
        <x:f>J92-L92</x:f>
        <x:v>3.4924596548080444e-10</x:v>
      </x:c>
      <x:c r="N92" s="27" t="str">
        <x:f>IF(ABS(M92)&lt;0.01,"OK","CHECK")</x:f>
        <x:v>OK</x:v>
      </x:c>
    </x:row>
    <x:row r="93">
      <x:c r="A93" s="27" t="str">
        <x:v>IND_INSURER_001</x:v>
      </x:c>
      <x:c r="B93" s="27" t="str">
        <x:v>3122</x:v>
      </x:c>
      <x:c r="C93" s="27" t="str">
        <x:v>FX</x:v>
      </x:c>
      <x:c r="D93" s="27" t="str">
        <x:v>AUD/USD</x:v>
      </x:c>
      <x:c r="E93" s="27" t="str">
        <x:v>FX currency pair</x:v>
      </x:c>
      <x:c r="F93" s="40" t="n">
        <x:f>SUMIFS(Trade_Calc!$AZ$4:$AZ$301,Trade_Calc!$B$4:$B$301,A93,Trade_Calc!$C$4:$C$301,B93,Trade_Calc!$E$4:$E$301,"FX",Trade_Calc!$AI$4:$AI$301,D93)</x:f>
        <x:v>45300000.00000001</x:v>
      </x:c>
      <x:c r="G93" s="40"/>
      <x:c r="H93" s="40"/>
      <x:c r="I93" s="40" t="n">
        <x:f>ABS(F93)</x:f>
        <x:v>45300000.00000001</x:v>
      </x:c>
      <x:c r="J93" s="43" t="n">
        <x:f>I93*VLOOKUP("FX",Parameters!$D$4:$E$12,2,FALSE)</x:f>
        <x:v>1812000.0000000002</x:v>
      </x:c>
      <x:c r="K93" s="40" t="n">
        <x:v>45300000.00000001</x:v>
      </x:c>
      <x:c r="L93" s="43" t="n">
        <x:v>1812000.0000000002</x:v>
      </x:c>
      <x:c r="M93" s="43" t="n">
        <x:f>J93-L93</x:f>
        <x:v>0</x:v>
      </x:c>
      <x:c r="N93" s="27" t="str">
        <x:f>IF(ABS(M93)&lt;0.01,"OK","CHECK")</x:f>
        <x:v>OK</x:v>
      </x:c>
    </x:row>
    <x:row r="94">
      <x:c r="A94" s="27" t="str">
        <x:v>IND_INSURER_001</x:v>
      </x:c>
      <x:c r="B94" s="27" t="str">
        <x:v>3122</x:v>
      </x:c>
      <x:c r="C94" s="27" t="str">
        <x:v>FX</x:v>
      </x:c>
      <x:c r="D94" s="27" t="str">
        <x:v>JPY/USD</x:v>
      </x:c>
      <x:c r="E94" s="27" t="str">
        <x:v>FX currency pair</x:v>
      </x:c>
      <x:c r="F94" s="40" t="n">
        <x:f>SUMIFS(Trade_Calc!$AZ$4:$AZ$301,Trade_Calc!$B$4:$B$301,A94,Trade_Calc!$C$4:$C$301,B94,Trade_Calc!$E$4:$E$301,"FX",Trade_Calc!$AI$4:$AI$301,D94)</x:f>
        <x:v>-37200000.00000001</x:v>
      </x:c>
      <x:c r="G94" s="40"/>
      <x:c r="H94" s="40"/>
      <x:c r="I94" s="40" t="n">
        <x:f>ABS(F94)</x:f>
        <x:v>37200000.00000001</x:v>
      </x:c>
      <x:c r="J94" s="43" t="n">
        <x:f>I94*VLOOKUP("FX",Parameters!$D$4:$E$12,2,FALSE)</x:f>
        <x:v>1488000.0000000002</x:v>
      </x:c>
      <x:c r="K94" s="40" t="n">
        <x:v>37200000.00000001</x:v>
      </x:c>
      <x:c r="L94" s="43" t="n">
        <x:v>1488000.0000000002</x:v>
      </x:c>
      <x:c r="M94" s="43" t="n">
        <x:f>J94-L94</x:f>
        <x:v>0</x:v>
      </x:c>
      <x:c r="N94" s="27" t="str">
        <x:f>IF(ABS(M94)&lt;0.01,"OK","CHECK")</x:f>
        <x:v>OK</x:v>
      </x:c>
    </x:row>
    <x:row r="95">
      <x:c r="A95" s="27" t="str">
        <x:v>IND_PENSION_001</x:v>
      </x:c>
      <x:c r="B95" s="27" t="str">
        <x:v>3254</x:v>
      </x:c>
      <x:c r="C95" s="27" t="str">
        <x:v>FX</x:v>
      </x:c>
      <x:c r="D95" s="27" t="str">
        <x:v>EUR/USD</x:v>
      </x:c>
      <x:c r="E95" s="27" t="str">
        <x:v>FX currency pair</x:v>
      </x:c>
      <x:c r="F95" s="40" t="n">
        <x:f>SUMIFS(Trade_Calc!$AZ$4:$AZ$301,Trade_Calc!$B$4:$B$301,A95,Trade_Calc!$C$4:$C$301,B95,Trade_Calc!$E$4:$E$301,"FX",Trade_Calc!$AI$4:$AI$301,D95)</x:f>
        <x:v>58705360.1902628</x:v>
      </x:c>
      <x:c r="G95" s="40"/>
      <x:c r="H95" s="40"/>
      <x:c r="I95" s="40" t="n">
        <x:f>ABS(F95)</x:f>
        <x:v>58705360.1902628</x:v>
      </x:c>
      <x:c r="J95" s="43" t="n">
        <x:f>I95*VLOOKUP("FX",Parameters!$D$4:$E$12,2,FALSE)</x:f>
        <x:v>2348214.4076105123</x:v>
      </x:c>
      <x:c r="K95" s="40" t="n">
        <x:v>58705360.1902628</x:v>
      </x:c>
      <x:c r="L95" s="43" t="n">
        <x:v>2348214.4076105123</x:v>
      </x:c>
      <x:c r="M95" s="43" t="n">
        <x:f>J95-L95</x:f>
        <x:v>0</x:v>
      </x:c>
      <x:c r="N95" s="27" t="str">
        <x:f>IF(ABS(M95)&lt;0.01,"OK","CHECK")</x:f>
        <x:v>OK</x:v>
      </x:c>
    </x:row>
    <x:row r="96">
      <x:c r="A96" s="27" t="str">
        <x:v>IND_PENSION_001</x:v>
      </x:c>
      <x:c r="B96" s="27" t="str">
        <x:v>3254</x:v>
      </x:c>
      <x:c r="C96" s="27" t="str">
        <x:v>FX</x:v>
      </x:c>
      <x:c r="D96" s="27" t="str">
        <x:v>JPY/USD</x:v>
      </x:c>
      <x:c r="E96" s="27" t="str">
        <x:v>FX currency pair</x:v>
      </x:c>
      <x:c r="F96" s="40" t="n">
        <x:f>SUMIFS(Trade_Calc!$AZ$4:$AZ$301,Trade_Calc!$B$4:$B$301,A96,Trade_Calc!$C$4:$C$301,B96,Trade_Calc!$E$4:$E$301,"FX",Trade_Calc!$AI$4:$AI$301,D96)</x:f>
        <x:v>1400000</x:v>
      </x:c>
      <x:c r="G96" s="40"/>
      <x:c r="H96" s="40"/>
      <x:c r="I96" s="40" t="n">
        <x:f>ABS(F96)</x:f>
        <x:v>1400000</x:v>
      </x:c>
      <x:c r="J96" s="43" t="n">
        <x:f>I96*VLOOKUP("FX",Parameters!$D$4:$E$12,2,FALSE)</x:f>
        <x:v>56000</x:v>
      </x:c>
      <x:c r="K96" s="40" t="n">
        <x:v>1400000</x:v>
      </x:c>
      <x:c r="L96" s="43" t="n">
        <x:v>56000</x:v>
      </x:c>
      <x:c r="M96" s="43" t="n">
        <x:f>J96-L96</x:f>
        <x:v>0</x:v>
      </x:c>
      <x:c r="N96" s="27" t="str">
        <x:f>IF(ABS(M96)&lt;0.01,"OK","CHECK")</x:f>
        <x:v>OK</x:v>
      </x:c>
    </x:row>
    <x:row r="97">
      <x:c r="A97" s="27" t="str">
        <x:v>IND_PENSION_001</x:v>
      </x:c>
      <x:c r="B97" s="27" t="str">
        <x:v>3294</x:v>
      </x:c>
      <x:c r="C97" s="27" t="str">
        <x:v>FX</x:v>
      </x:c>
      <x:c r="D97" s="27" t="str">
        <x:v>EUR/USD</x:v>
      </x:c>
      <x:c r="E97" s="27" t="str">
        <x:v>FX currency pair</x:v>
      </x:c>
      <x:c r="F97" s="40" t="n">
        <x:f>SUMIFS(Trade_Calc!$AZ$4:$AZ$301,Trade_Calc!$B$4:$B$301,A97,Trade_Calc!$C$4:$C$301,B97,Trade_Calc!$E$4:$E$301,"FX",Trade_Calc!$AI$4:$AI$301,D97)</x:f>
        <x:v>-67320000.00000001</x:v>
      </x:c>
      <x:c r="G97" s="40"/>
      <x:c r="H97" s="40"/>
      <x:c r="I97" s="40" t="n">
        <x:f>ABS(F97)</x:f>
        <x:v>67320000.00000001</x:v>
      </x:c>
      <x:c r="J97" s="43" t="n">
        <x:f>I97*VLOOKUP("FX",Parameters!$D$4:$E$12,2,FALSE)</x:f>
        <x:v>2692800.0000000005</x:v>
      </x:c>
      <x:c r="K97" s="40" t="n">
        <x:v>67320000.00000001</x:v>
      </x:c>
      <x:c r="L97" s="43" t="n">
        <x:v>2692800.0000000005</x:v>
      </x:c>
      <x:c r="M97" s="43" t="n">
        <x:f>J97-L97</x:f>
        <x:v>0</x:v>
      </x:c>
      <x:c r="N97" s="27" t="str">
        <x:f>IF(ABS(M97)&lt;0.01,"OK","CHECK")</x:f>
        <x:v>OK</x:v>
      </x:c>
    </x:row>
    <x:row r="98">
      <x:c r="A98" s="27" t="str">
        <x:v>IND_PENSION_001</x:v>
      </x:c>
      <x:c r="B98" s="27" t="str">
        <x:v>3294</x:v>
      </x:c>
      <x:c r="C98" s="27" t="str">
        <x:v>FX</x:v>
      </x:c>
      <x:c r="D98" s="27" t="str">
        <x:v>JPY/USD</x:v>
      </x:c>
      <x:c r="E98" s="27" t="str">
        <x:v>FX currency pair</x:v>
      </x:c>
      <x:c r="F98" s="40" t="n">
        <x:f>SUMIFS(Trade_Calc!$AZ$4:$AZ$301,Trade_Calc!$B$4:$B$301,A98,Trade_Calc!$C$4:$C$301,B98,Trade_Calc!$E$4:$E$301,"FX",Trade_Calc!$AI$4:$AI$301,D98)</x:f>
        <x:v>27090000.000000004</x:v>
      </x:c>
      <x:c r="G98" s="40"/>
      <x:c r="H98" s="40"/>
      <x:c r="I98" s="40" t="n">
        <x:f>ABS(F98)</x:f>
        <x:v>27090000.000000004</x:v>
      </x:c>
      <x:c r="J98" s="43" t="n">
        <x:f>I98*VLOOKUP("FX",Parameters!$D$4:$E$12,2,FALSE)</x:f>
        <x:v>1083600.0000000002</x:v>
      </x:c>
      <x:c r="K98" s="40" t="n">
        <x:v>27090000.000000004</x:v>
      </x:c>
      <x:c r="L98" s="43" t="n">
        <x:v>1083600.0000000002</x:v>
      </x:c>
      <x:c r="M98" s="43" t="n">
        <x:f>J98-L98</x:f>
        <x:v>0</x:v>
      </x:c>
      <x:c r="N98" s="27" t="str">
        <x:f>IF(ABS(M98)&lt;0.01,"OK","CHECK")</x:f>
        <x:v>OK</x:v>
      </x:c>
    </x:row>
    <x:row r="99">
      <x:c r="A99" s="27" t="str">
        <x:v>IND_REGIONAL_BANK_001</x:v>
      </x:c>
      <x:c r="B99" s="27" t="str">
        <x:v>3210</x:v>
      </x:c>
      <x:c r="C99" s="27" t="str">
        <x:v>FX</x:v>
      </x:c>
      <x:c r="D99" s="27" t="str">
        <x:v>AUD/USD</x:v>
      </x:c>
      <x:c r="E99" s="27" t="str">
        <x:v>FX currency pair</x:v>
      </x:c>
      <x:c r="F99" s="40" t="n">
        <x:f>SUMIFS(Trade_Calc!$AZ$4:$AZ$301,Trade_Calc!$B$4:$B$301,A99,Trade_Calc!$C$4:$C$301,B99,Trade_Calc!$E$4:$E$301,"FX",Trade_Calc!$AI$4:$AI$301,D99)</x:f>
        <x:v>21420000.000000004</x:v>
      </x:c>
      <x:c r="G99" s="40"/>
      <x:c r="H99" s="40"/>
      <x:c r="I99" s="40" t="n">
        <x:f>ABS(F99)</x:f>
        <x:v>21420000.000000004</x:v>
      </x:c>
      <x:c r="J99" s="43" t="n">
        <x:f>I99*VLOOKUP("FX",Parameters!$D$4:$E$12,2,FALSE)</x:f>
        <x:v>856800.0000000001</x:v>
      </x:c>
      <x:c r="K99" s="40" t="n">
        <x:v>21420000.000000004</x:v>
      </x:c>
      <x:c r="L99" s="43" t="n">
        <x:v>856800.0000000001</x:v>
      </x:c>
      <x:c r="M99" s="43" t="n">
        <x:f>J99-L99</x:f>
        <x:v>0</x:v>
      </x:c>
      <x:c r="N99" s="27" t="str">
        <x:f>IF(ABS(M99)&lt;0.01,"OK","CHECK")</x:f>
        <x:v>OK</x:v>
      </x:c>
    </x:row>
    <x:row r="100">
      <x:c r="A100" s="27" t="str">
        <x:v>IND_REGIONAL_BANK_001</x:v>
      </x:c>
      <x:c r="B100" s="27" t="str">
        <x:v>3210</x:v>
      </x:c>
      <x:c r="C100" s="27" t="str">
        <x:v>FX</x:v>
      </x:c>
      <x:c r="D100" s="27" t="str">
        <x:v>CNH/USD</x:v>
      </x:c>
      <x:c r="E100" s="27" t="str">
        <x:v>FX currency pair</x:v>
      </x:c>
      <x:c r="F100" s="40" t="n">
        <x:f>SUMIFS(Trade_Calc!$AZ$4:$AZ$301,Trade_Calc!$B$4:$B$301,A100,Trade_Calc!$C$4:$C$301,B100,Trade_Calc!$E$4:$E$301,"FX",Trade_Calc!$AI$4:$AI$301,D100)</x:f>
        <x:v>18780000.000000004</x:v>
      </x:c>
      <x:c r="G100" s="40"/>
      <x:c r="H100" s="40"/>
      <x:c r="I100" s="40" t="n">
        <x:f>ABS(F100)</x:f>
        <x:v>18780000.000000004</x:v>
      </x:c>
      <x:c r="J100" s="43" t="n">
        <x:f>I100*VLOOKUP("FX",Parameters!$D$4:$E$12,2,FALSE)</x:f>
        <x:v>751200.0000000001</x:v>
      </x:c>
      <x:c r="K100" s="40" t="n">
        <x:v>18780000.000000004</x:v>
      </x:c>
      <x:c r="L100" s="43" t="n">
        <x:v>751200.0000000001</x:v>
      </x:c>
      <x:c r="M100" s="43" t="n">
        <x:f>J100-L100</x:f>
        <x:v>0</x:v>
      </x:c>
      <x:c r="N100" s="27" t="str">
        <x:f>IF(ABS(M100)&lt;0.01,"OK","CHECK")</x:f>
        <x:v>OK</x:v>
      </x:c>
    </x:row>
    <x:row r="101">
      <x:c r="A101" s="27" t="str">
        <x:v>IND_REGIONAL_BANK_001</x:v>
      </x:c>
      <x:c r="B101" s="27" t="str">
        <x:v>3210</x:v>
      </x:c>
      <x:c r="C101" s="27" t="str">
        <x:v>FX</x:v>
      </x:c>
      <x:c r="D101" s="27" t="str">
        <x:v>EUR/USD</x:v>
      </x:c>
      <x:c r="E101" s="27" t="str">
        <x:v>FX currency pair</x:v>
      </x:c>
      <x:c r="F101" s="40" t="n">
        <x:f>SUMIFS(Trade_Calc!$AZ$4:$AZ$301,Trade_Calc!$B$4:$B$301,A101,Trade_Calc!$C$4:$C$301,B101,Trade_Calc!$E$4:$E$301,"FX",Trade_Calc!$AI$4:$AI$301,D101)</x:f>
        <x:v>-3390000.0000000005</x:v>
      </x:c>
      <x:c r="G101" s="40"/>
      <x:c r="H101" s="40"/>
      <x:c r="I101" s="40" t="n">
        <x:f>ABS(F101)</x:f>
        <x:v>3390000.0000000005</x:v>
      </x:c>
      <x:c r="J101" s="43" t="n">
        <x:f>I101*VLOOKUP("FX",Parameters!$D$4:$E$12,2,FALSE)</x:f>
        <x:v>135600.00000000003</x:v>
      </x:c>
      <x:c r="K101" s="40" t="n">
        <x:v>3390000.0000000005</x:v>
      </x:c>
      <x:c r="L101" s="43" t="n">
        <x:v>135600.00000000003</x:v>
      </x:c>
      <x:c r="M101" s="43" t="n">
        <x:f>J101-L101</x:f>
        <x:v>0</x:v>
      </x:c>
      <x:c r="N101" s="27" t="str">
        <x:f>IF(ABS(M101)&lt;0.01,"OK","CHECK")</x:f>
        <x:v>OK</x:v>
      </x:c>
    </x:row>
    <x:row r="102">
      <x:c r="A102" s="27" t="str">
        <x:v>IND_REGIONAL_BANK_001</x:v>
      </x:c>
      <x:c r="B102" s="27" t="str">
        <x:v>3210</x:v>
      </x:c>
      <x:c r="C102" s="27" t="str">
        <x:v>FX</x:v>
      </x:c>
      <x:c r="D102" s="27" t="str">
        <x:v>JPY/USD</x:v>
      </x:c>
      <x:c r="E102" s="27" t="str">
        <x:v>FX currency pair</x:v>
      </x:c>
      <x:c r="F102" s="40" t="n">
        <x:f>SUMIFS(Trade_Calc!$AZ$4:$AZ$301,Trade_Calc!$B$4:$B$301,A102,Trade_Calc!$C$4:$C$301,B102,Trade_Calc!$E$4:$E$301,"FX",Trade_Calc!$AI$4:$AI$301,D102)</x:f>
        <x:v>10854340.917670866</x:v>
      </x:c>
      <x:c r="G102" s="40"/>
      <x:c r="H102" s="40"/>
      <x:c r="I102" s="40" t="n">
        <x:f>ABS(F102)</x:f>
        <x:v>10854340.917670866</x:v>
      </x:c>
      <x:c r="J102" s="43" t="n">
        <x:f>I102*VLOOKUP("FX",Parameters!$D$4:$E$12,2,FALSE)</x:f>
        <x:v>434173.63670683466</x:v>
      </x:c>
      <x:c r="K102" s="40" t="n">
        <x:v>10854340.917670866</x:v>
      </x:c>
      <x:c r="L102" s="43" t="n">
        <x:v>434173.63670683466</x:v>
      </x:c>
      <x:c r="M102" s="43" t="n">
        <x:f>J102-L102</x:f>
        <x:v>0</x:v>
      </x:c>
      <x:c r="N102" s="27" t="str">
        <x:f>IF(ABS(M102)&lt;0.01,"OK","CHECK")</x:f>
        <x:v>OK</x:v>
      </x:c>
    </x:row>
    <x:row r="103">
      <x:c r="A103" s="27" t="str">
        <x:v>IND_REGIONAL_BANK_001</x:v>
      </x:c>
      <x:c r="B103" s="27" t="str">
        <x:v>3245</x:v>
      </x:c>
      <x:c r="C103" s="27" t="str">
        <x:v>FX</x:v>
      </x:c>
      <x:c r="D103" s="27" t="str">
        <x:v>CNH/USD</x:v>
      </x:c>
      <x:c r="E103" s="27" t="str">
        <x:v>FX currency pair</x:v>
      </x:c>
      <x:c r="F103" s="40" t="n">
        <x:f>SUMIFS(Trade_Calc!$AZ$4:$AZ$301,Trade_Calc!$B$4:$B$301,A103,Trade_Calc!$C$4:$C$301,B103,Trade_Calc!$E$4:$E$301,"FX",Trade_Calc!$AI$4:$AI$301,D103)</x:f>
        <x:v>2100000</x:v>
      </x:c>
      <x:c r="G103" s="40"/>
      <x:c r="H103" s="40"/>
      <x:c r="I103" s="40" t="n">
        <x:f>ABS(F103)</x:f>
        <x:v>2100000</x:v>
      </x:c>
      <x:c r="J103" s="43" t="n">
        <x:f>I103*VLOOKUP("FX",Parameters!$D$4:$E$12,2,FALSE)</x:f>
        <x:v>84000</x:v>
      </x:c>
      <x:c r="K103" s="40" t="n">
        <x:v>2100000</x:v>
      </x:c>
      <x:c r="L103" s="43" t="n">
        <x:v>84000</x:v>
      </x:c>
      <x:c r="M103" s="43" t="n">
        <x:f>J103-L103</x:f>
        <x:v>0</x:v>
      </x:c>
      <x:c r="N103" s="27" t="str">
        <x:f>IF(ABS(M103)&lt;0.01,"OK","CHECK")</x:f>
        <x:v>OK</x:v>
      </x:c>
    </x:row>
    <x:row r="104">
      <x:c r="A104" s="27" t="str">
        <x:v>IND_REGIONAL_BANK_001</x:v>
      </x:c>
      <x:c r="B104" s="27" t="str">
        <x:v>3245</x:v>
      </x:c>
      <x:c r="C104" s="27" t="str">
        <x:v>FX</x:v>
      </x:c>
      <x:c r="D104" s="27" t="str">
        <x:v>GBP/USD</x:v>
      </x:c>
      <x:c r="E104" s="27" t="str">
        <x:v>FX currency pair</x:v>
      </x:c>
      <x:c r="F104" s="40" t="n">
        <x:f>SUMIFS(Trade_Calc!$AZ$4:$AZ$301,Trade_Calc!$B$4:$B$301,A104,Trade_Calc!$C$4:$C$301,B104,Trade_Calc!$E$4:$E$301,"FX",Trade_Calc!$AI$4:$AI$301,D104)</x:f>
        <x:v>-118100000</x:v>
      </x:c>
      <x:c r="G104" s="40"/>
      <x:c r="H104" s="40"/>
      <x:c r="I104" s="40" t="n">
        <x:f>ABS(F104)</x:f>
        <x:v>118100000</x:v>
      </x:c>
      <x:c r="J104" s="43" t="n">
        <x:f>I104*VLOOKUP("FX",Parameters!$D$4:$E$12,2,FALSE)</x:f>
        <x:v>4724000</x:v>
      </x:c>
      <x:c r="K104" s="40" t="n">
        <x:v>118100000</x:v>
      </x:c>
      <x:c r="L104" s="43" t="n">
        <x:v>4724000</x:v>
      </x:c>
      <x:c r="M104" s="43" t="n">
        <x:f>J104-L104</x:f>
        <x:v>0</x:v>
      </x:c>
      <x:c r="N104" s="27" t="str">
        <x:f>IF(ABS(M104)&lt;0.01,"OK","CHECK")</x:f>
        <x:v>OK</x:v>
      </x:c>
    </x:row>
    <x:row r="105">
      <x:c r="A105" s="27" t="str">
        <x:v>IND_SOVEREIGN_001</x:v>
      </x:c>
      <x:c r="B105" s="27" t="str">
        <x:v>3084</x:v>
      </x:c>
      <x:c r="C105" s="27" t="str">
        <x:v>FX</x:v>
      </x:c>
      <x:c r="D105" s="27" t="str">
        <x:v>CNY/USD</x:v>
      </x:c>
      <x:c r="E105" s="27" t="str">
        <x:v>FX currency pair</x:v>
      </x:c>
      <x:c r="F105" s="40" t="n">
        <x:f>SUMIFS(Trade_Calc!$AZ$4:$AZ$301,Trade_Calc!$B$4:$B$301,A105,Trade_Calc!$C$4:$C$301,B105,Trade_Calc!$E$4:$E$301,"FX",Trade_Calc!$AI$4:$AI$301,D105)</x:f>
        <x:v>2971136.1793324393</x:v>
      </x:c>
      <x:c r="G105" s="40"/>
      <x:c r="H105" s="40"/>
      <x:c r="I105" s="40" t="n">
        <x:f>ABS(F105)</x:f>
        <x:v>2971136.1793324393</x:v>
      </x:c>
      <x:c r="J105" s="43" t="n">
        <x:f>I105*VLOOKUP("FX",Parameters!$D$4:$E$12,2,FALSE)</x:f>
        <x:v>118845.44717329758</x:v>
      </x:c>
      <x:c r="K105" s="40" t="n">
        <x:v>2971136.1793324403</x:v>
      </x:c>
      <x:c r="L105" s="43" t="n">
        <x:v>118845.44717329761</x:v>
      </x:c>
      <x:c r="M105" s="43" t="n">
        <x:f>J105-L105</x:f>
        <x:v>-2.9103830456733704e-11</x:v>
      </x:c>
      <x:c r="N105" s="27" t="str">
        <x:f>IF(ABS(M105)&lt;0.01,"OK","CHECK")</x:f>
        <x:v>OK</x:v>
      </x:c>
    </x:row>
    <x:row r="106">
      <x:c r="A106" s="27" t="str">
        <x:v>IND_SOVEREIGN_001</x:v>
      </x:c>
      <x:c r="B106" s="27" t="str">
        <x:v>3084</x:v>
      </x:c>
      <x:c r="C106" s="27" t="str">
        <x:v>FX</x:v>
      </x:c>
      <x:c r="D106" s="27" t="str">
        <x:v>GBP/USD</x:v>
      </x:c>
      <x:c r="E106" s="27" t="str">
        <x:v>FX currency pair</x:v>
      </x:c>
      <x:c r="F106" s="40" t="n">
        <x:f>SUMIFS(Trade_Calc!$AZ$4:$AZ$301,Trade_Calc!$B$4:$B$301,A106,Trade_Calc!$C$4:$C$301,B106,Trade_Calc!$E$4:$E$301,"FX",Trade_Calc!$AI$4:$AI$301,D106)</x:f>
        <x:v>48659679.23817053</x:v>
      </x:c>
      <x:c r="G106" s="40"/>
      <x:c r="H106" s="40"/>
      <x:c r="I106" s="40" t="n">
        <x:f>ABS(F106)</x:f>
        <x:v>48659679.23817053</x:v>
      </x:c>
      <x:c r="J106" s="43" t="n">
        <x:f>I106*VLOOKUP("FX",Parameters!$D$4:$E$12,2,FALSE)</x:f>
        <x:v>1946387.169526821</x:v>
      </x:c>
      <x:c r="K106" s="40" t="n">
        <x:v>48659679.23817053</x:v>
      </x:c>
      <x:c r="L106" s="43" t="n">
        <x:v>1946387.169526821</x:v>
      </x:c>
      <x:c r="M106" s="43" t="n">
        <x:f>J106-L106</x:f>
        <x:v>0</x:v>
      </x:c>
      <x:c r="N106" s="27" t="str">
        <x:f>IF(ABS(M106)&lt;0.01,"OK","CHECK")</x:f>
        <x:v>OK</x:v>
      </x:c>
    </x:row>
    <x:row r="107">
      <x:c r="A107" s="27" t="str">
        <x:v>IND_SOVEREIGN_001</x:v>
      </x:c>
      <x:c r="B107" s="27" t="str">
        <x:v>3390</x:v>
      </x:c>
      <x:c r="C107" s="27" t="str">
        <x:v>FX</x:v>
      </x:c>
      <x:c r="D107" s="27" t="str">
        <x:v>CNY/USD</x:v>
      </x:c>
      <x:c r="E107" s="27" t="str">
        <x:v>FX currency pair</x:v>
      </x:c>
      <x:c r="F107" s="40" t="n">
        <x:f>SUMIFS(Trade_Calc!$AZ$4:$AZ$301,Trade_Calc!$B$4:$B$301,A107,Trade_Calc!$C$4:$C$301,B107,Trade_Calc!$E$4:$E$301,"FX",Trade_Calc!$AI$4:$AI$301,D107)</x:f>
        <x:v>-63529253.56106241</x:v>
      </x:c>
      <x:c r="G107" s="40"/>
      <x:c r="H107" s="40"/>
      <x:c r="I107" s="40" t="n">
        <x:f>ABS(F107)</x:f>
        <x:v>63529253.56106241</x:v>
      </x:c>
      <x:c r="J107" s="43" t="n">
        <x:f>I107*VLOOKUP("FX",Parameters!$D$4:$E$12,2,FALSE)</x:f>
        <x:v>2541170.1424424965</x:v>
      </x:c>
      <x:c r="K107" s="40" t="n">
        <x:v>63529253.56106241</x:v>
      </x:c>
      <x:c r="L107" s="43" t="n">
        <x:v>2541170.1424424965</x:v>
      </x:c>
      <x:c r="M107" s="43" t="n">
        <x:f>J107-L107</x:f>
        <x:v>0</x:v>
      </x:c>
      <x:c r="N107" s="27" t="str">
        <x:f>IF(ABS(M107)&lt;0.01,"OK","CHECK")</x:f>
        <x:v>OK</x:v>
      </x:c>
    </x:row>
    <x:row r="108">
      <x:c r="A108" s="27" t="str">
        <x:v>IND_SOVEREIGN_001</x:v>
      </x:c>
      <x:c r="B108" s="27" t="str">
        <x:v>3390</x:v>
      </x:c>
      <x:c r="C108" s="27" t="str">
        <x:v>FX</x:v>
      </x:c>
      <x:c r="D108" s="27" t="str">
        <x:v>JPY/USD</x:v>
      </x:c>
      <x:c r="E108" s="27" t="str">
        <x:v>FX currency pair</x:v>
      </x:c>
      <x:c r="F108" s="40" t="n">
        <x:f>SUMIFS(Trade_Calc!$AZ$4:$AZ$301,Trade_Calc!$B$4:$B$301,A108,Trade_Calc!$C$4:$C$301,B108,Trade_Calc!$E$4:$E$301,"FX",Trade_Calc!$AI$4:$AI$301,D108)</x:f>
        <x:v>25020000.000000004</x:v>
      </x:c>
      <x:c r="G108" s="40"/>
      <x:c r="H108" s="40"/>
      <x:c r="I108" s="40" t="n">
        <x:f>ABS(F108)</x:f>
        <x:v>25020000.000000004</x:v>
      </x:c>
      <x:c r="J108" s="43" t="n">
        <x:f>I108*VLOOKUP("FX",Parameters!$D$4:$E$12,2,FALSE)</x:f>
        <x:v>1000800.0000000001</x:v>
      </x:c>
      <x:c r="K108" s="40" t="n">
        <x:v>25020000.000000004</x:v>
      </x:c>
      <x:c r="L108" s="43" t="n">
        <x:v>1000800.0000000001</x:v>
      </x:c>
      <x:c r="M108" s="43" t="n">
        <x:f>J108-L108</x:f>
        <x:v>0</x:v>
      </x:c>
      <x:c r="N108" s="27" t="str">
        <x:f>IF(ABS(M108)&lt;0.01,"OK","CHECK")</x:f>
        <x:v>OK</x:v>
      </x:c>
    </x:row>
    <x:row r="109">
      <x:c r="A109" s="27" t="str">
        <x:v>IND_ASSET_MANAGER_001</x:v>
      </x:c>
      <x:c r="B109" s="27" t="str">
        <x:v>3277</x:v>
      </x:c>
      <x:c r="C109" s="27" t="str">
        <x:v>Credit</x:v>
      </x:c>
      <x:c r="D109" s="27" t="str">
        <x:v>Credit</x:v>
      </x:c>
      <x:c r="E109" s="27" t="str">
        <x:v>Credit entity correlation</x:v>
      </x:c>
      <x:c r="F109" s="40"/>
      <x:c r="G109" s="40"/>
      <x:c r="H109" s="40"/>
      <x:c r="I109" s="40"/>
      <x:c r="J109" s="43" t="n">
        <x:f>SQRT(MAX(SUMIFS(Entity_Helper!$I$4:$I$61,Entity_Helper!$A$4:$A$61,A109,Entity_Helper!$B$4:$B$61,B109,Entity_Helper!$C$4:$C$61,C109)^2+SUMIFS(Entity_Helper!$J$4:$J$61,Entity_Helper!$A$4:$A$61,A109,Entity_Helper!$B$4:$B$61,B109,Entity_Helper!$C$4:$C$61,C109),0))</x:f>
        <x:v>1034965.2168045277</x:v>
      </x:c>
      <x:c r="K109" s="40" t="n">
        <x:v>0</x:v>
      </x:c>
      <x:c r="L109" s="43" t="n">
        <x:v>1034965.2168045277</x:v>
      </x:c>
      <x:c r="M109" s="43" t="n">
        <x:f>J109-L109</x:f>
        <x:v>0</x:v>
      </x:c>
      <x:c r="N109" s="27" t="str">
        <x:f>IF(ABS(M109)&lt;0.01,"OK","CHECK")</x:f>
        <x:v>OK</x:v>
      </x:c>
    </x:row>
    <x:row r="110">
      <x:c r="A110" s="27" t="str">
        <x:v>IND_BANK_001</x:v>
      </x:c>
      <x:c r="B110" s="27" t="str">
        <x:v>3372</x:v>
      </x:c>
      <x:c r="C110" s="27" t="str">
        <x:v>Credit</x:v>
      </x:c>
      <x:c r="D110" s="27" t="str">
        <x:v>Credit</x:v>
      </x:c>
      <x:c r="E110" s="27" t="str">
        <x:v>Credit entity correlation</x:v>
      </x:c>
      <x:c r="F110" s="40"/>
      <x:c r="G110" s="40"/>
      <x:c r="H110" s="40"/>
      <x:c r="I110" s="40"/>
      <x:c r="J110" s="43" t="n">
        <x:f>SQRT(MAX(SUMIFS(Entity_Helper!$I$4:$I$61,Entity_Helper!$A$4:$A$61,A110,Entity_Helper!$B$4:$B$61,B110,Entity_Helper!$C$4:$C$61,C110)^2+SUMIFS(Entity_Helper!$J$4:$J$61,Entity_Helper!$A$4:$A$61,A110,Entity_Helper!$B$4:$B$61,B110,Entity_Helper!$C$4:$C$61,C110),0))</x:f>
        <x:v>623711.9947243913</x:v>
      </x:c>
      <x:c r="K110" s="40" t="n">
        <x:v>0</x:v>
      </x:c>
      <x:c r="L110" s="43" t="n">
        <x:v>623711.9947243913</x:v>
      </x:c>
      <x:c r="M110" s="43" t="n">
        <x:f>J110-L110</x:f>
        <x:v>0</x:v>
      </x:c>
      <x:c r="N110" s="27" t="str">
        <x:f>IF(ABS(M110)&lt;0.01,"OK","CHECK")</x:f>
        <x:v>OK</x:v>
      </x:c>
    </x:row>
    <x:row r="111">
      <x:c r="A111" s="27" t="str">
        <x:v>IND_BANK_002</x:v>
      </x:c>
      <x:c r="B111" s="27" t="str">
        <x:v>3341</x:v>
      </x:c>
      <x:c r="C111" s="27" t="str">
        <x:v>Credit</x:v>
      </x:c>
      <x:c r="D111" s="27" t="str">
        <x:v>Credit</x:v>
      </x:c>
      <x:c r="E111" s="27" t="str">
        <x:v>Credit entity correlation</x:v>
      </x:c>
      <x:c r="F111" s="40"/>
      <x:c r="G111" s="40"/>
      <x:c r="H111" s="40"/>
      <x:c r="I111" s="40"/>
      <x:c r="J111" s="43" t="n">
        <x:f>SQRT(MAX(SUMIFS(Entity_Helper!$I$4:$I$61,Entity_Helper!$A$4:$A$61,A111,Entity_Helper!$B$4:$B$61,B111,Entity_Helper!$C$4:$C$61,C111)^2+SUMIFS(Entity_Helper!$J$4:$J$61,Entity_Helper!$A$4:$A$61,A111,Entity_Helper!$B$4:$B$61,B111,Entity_Helper!$C$4:$C$61,C111),0))</x:f>
        <x:v>345016.9463481193</x:v>
      </x:c>
      <x:c r="K111" s="40" t="n">
        <x:v>0</x:v>
      </x:c>
      <x:c r="L111" s="43" t="n">
        <x:v>345016.94634811947</x:v>
      </x:c>
      <x:c r="M111" s="43" t="n">
        <x:f>J111-L111</x:f>
        <x:v>-1.7462298274040222e-10</x:v>
      </x:c>
      <x:c r="N111" s="27" t="str">
        <x:f>IF(ABS(M111)&lt;0.01,"OK","CHECK")</x:f>
        <x:v>OK</x:v>
      </x:c>
    </x:row>
    <x:row r="112">
      <x:c r="A112" s="27" t="str">
        <x:v>IND_CLEARING_MEMBER_001</x:v>
      </x:c>
      <x:c r="B112" s="27" t="str">
        <x:v>3116</x:v>
      </x:c>
      <x:c r="C112" s="27" t="str">
        <x:v>Credit</x:v>
      </x:c>
      <x:c r="D112" s="27" t="str">
        <x:v>Credit</x:v>
      </x:c>
      <x:c r="E112" s="27" t="str">
        <x:v>Credit entity correlation</x:v>
      </x:c>
      <x:c r="F112" s="40"/>
      <x:c r="G112" s="40"/>
      <x:c r="H112" s="40"/>
      <x:c r="I112" s="40"/>
      <x:c r="J112" s="43" t="n">
        <x:f>SQRT(MAX(SUMIFS(Entity_Helper!$I$4:$I$61,Entity_Helper!$A$4:$A$61,A112,Entity_Helper!$B$4:$B$61,B112,Entity_Helper!$C$4:$C$61,C112)^2+SUMIFS(Entity_Helper!$J$4:$J$61,Entity_Helper!$A$4:$A$61,A112,Entity_Helper!$B$4:$B$61,B112,Entity_Helper!$C$4:$C$61,C112),0))</x:f>
        <x:v>918128.9373543155</x:v>
      </x:c>
      <x:c r="K112" s="40" t="n">
        <x:v>0</x:v>
      </x:c>
      <x:c r="L112" s="43" t="n">
        <x:v>918128.9373543155</x:v>
      </x:c>
      <x:c r="M112" s="43" t="n">
        <x:f>J112-L112</x:f>
        <x:v>0</x:v>
      </x:c>
      <x:c r="N112" s="27" t="str">
        <x:f>IF(ABS(M112)&lt;0.01,"OK","CHECK")</x:f>
        <x:v>OK</x:v>
      </x:c>
    </x:row>
    <x:row r="113">
      <x:c r="A113" s="27" t="str">
        <x:v>IND_CORPORATE_001</x:v>
      </x:c>
      <x:c r="B113" s="27" t="str">
        <x:v>3015</x:v>
      </x:c>
      <x:c r="C113" s="27" t="str">
        <x:v>Credit</x:v>
      </x:c>
      <x:c r="D113" s="27" t="str">
        <x:v>Credit</x:v>
      </x:c>
      <x:c r="E113" s="27" t="str">
        <x:v>Credit entity correlation</x:v>
      </x:c>
      <x:c r="F113" s="40"/>
      <x:c r="G113" s="40"/>
      <x:c r="H113" s="40"/>
      <x:c r="I113" s="40"/>
      <x:c r="J113" s="43" t="n">
        <x:f>SQRT(MAX(SUMIFS(Entity_Helper!$I$4:$I$61,Entity_Helper!$A$4:$A$61,A113,Entity_Helper!$B$4:$B$61,B113,Entity_Helper!$C$4:$C$61,C113)^2+SUMIFS(Entity_Helper!$J$4:$J$61,Entity_Helper!$A$4:$A$61,A113,Entity_Helper!$B$4:$B$61,B113,Entity_Helper!$C$4:$C$61,C113),0))</x:f>
        <x:v>501106.2636925688</x:v>
      </x:c>
      <x:c r="K113" s="40" t="n">
        <x:v>0</x:v>
      </x:c>
      <x:c r="L113" s="43" t="n">
        <x:v>501106.2636925688</x:v>
      </x:c>
      <x:c r="M113" s="43" t="n">
        <x:f>J113-L113</x:f>
        <x:v>0</x:v>
      </x:c>
      <x:c r="N113" s="27" t="str">
        <x:f>IF(ABS(M113)&lt;0.01,"OK","CHECK")</x:f>
        <x:v>OK</x:v>
      </x:c>
    </x:row>
    <x:row r="114">
      <x:c r="A114" s="27" t="str">
        <x:v>IND_CORPORATE_001</x:v>
      </x:c>
      <x:c r="B114" s="27" t="str">
        <x:v>3041</x:v>
      </x:c>
      <x:c r="C114" s="27" t="str">
        <x:v>Credit</x:v>
      </x:c>
      <x:c r="D114" s="27" t="str">
        <x:v>Credit</x:v>
      </x:c>
      <x:c r="E114" s="27" t="str">
        <x:v>Credit entity correlation</x:v>
      </x:c>
      <x:c r="F114" s="40"/>
      <x:c r="G114" s="40"/>
      <x:c r="H114" s="40"/>
      <x:c r="I114" s="40"/>
      <x:c r="J114" s="43" t="n">
        <x:f>SQRT(MAX(SUMIFS(Entity_Helper!$I$4:$I$61,Entity_Helper!$A$4:$A$61,A114,Entity_Helper!$B$4:$B$61,B114,Entity_Helper!$C$4:$C$61,C114)^2+SUMIFS(Entity_Helper!$J$4:$J$61,Entity_Helper!$A$4:$A$61,A114,Entity_Helper!$B$4:$B$61,B114,Entity_Helper!$C$4:$C$61,C114),0))</x:f>
        <x:v>3309924.8238075697</x:v>
      </x:c>
      <x:c r="K114" s="40" t="n">
        <x:v>0</x:v>
      </x:c>
      <x:c r="L114" s="43" t="n">
        <x:v>3309924.8238075697</x:v>
      </x:c>
      <x:c r="M114" s="43" t="n">
        <x:f>J114-L114</x:f>
        <x:v>0</x:v>
      </x:c>
      <x:c r="N114" s="27" t="str">
        <x:f>IF(ABS(M114)&lt;0.01,"OK","CHECK")</x:f>
        <x:v>OK</x:v>
      </x:c>
    </x:row>
    <x:row r="115">
      <x:c r="A115" s="27" t="str">
        <x:v>IND_CORPORATE_002</x:v>
      </x:c>
      <x:c r="B115" s="27" t="str">
        <x:v>3389</x:v>
      </x:c>
      <x:c r="C115" s="27" t="str">
        <x:v>Credit</x:v>
      </x:c>
      <x:c r="D115" s="27" t="str">
        <x:v>Credit</x:v>
      </x:c>
      <x:c r="E115" s="27" t="str">
        <x:v>Credit entity correlation</x:v>
      </x:c>
      <x:c r="F115" s="40"/>
      <x:c r="G115" s="40"/>
      <x:c r="H115" s="40"/>
      <x:c r="I115" s="40"/>
      <x:c r="J115" s="43" t="n">
        <x:f>SQRT(MAX(SUMIFS(Entity_Helper!$I$4:$I$61,Entity_Helper!$A$4:$A$61,A115,Entity_Helper!$B$4:$B$61,B115,Entity_Helper!$C$4:$C$61,C115)^2+SUMIFS(Entity_Helper!$J$4:$J$61,Entity_Helper!$A$4:$A$61,A115,Entity_Helper!$B$4:$B$61,B115,Entity_Helper!$C$4:$C$61,C115),0))</x:f>
        <x:v>722821.3848213615</x:v>
      </x:c>
      <x:c r="K115" s="40" t="n">
        <x:v>0</x:v>
      </x:c>
      <x:c r="L115" s="43" t="n">
        <x:v>722821.3848213615</x:v>
      </x:c>
      <x:c r="M115" s="43" t="n">
        <x:f>J115-L115</x:f>
        <x:v>0</x:v>
      </x:c>
      <x:c r="N115" s="27" t="str">
        <x:f>IF(ABS(M115)&lt;0.01,"OK","CHECK")</x:f>
        <x:v>OK</x:v>
      </x:c>
    </x:row>
    <x:row r="116">
      <x:c r="A116" s="27" t="str">
        <x:v>IND_HEDGE_FUND_001</x:v>
      </x:c>
      <x:c r="B116" s="27" t="str">
        <x:v>3289</x:v>
      </x:c>
      <x:c r="C116" s="27" t="str">
        <x:v>Credit</x:v>
      </x:c>
      <x:c r="D116" s="27" t="str">
        <x:v>Credit</x:v>
      </x:c>
      <x:c r="E116" s="27" t="str">
        <x:v>Credit entity correlation</x:v>
      </x:c>
      <x:c r="F116" s="40"/>
      <x:c r="G116" s="40"/>
      <x:c r="H116" s="40"/>
      <x:c r="I116" s="40"/>
      <x:c r="J116" s="43" t="n">
        <x:f>SQRT(MAX(SUMIFS(Entity_Helper!$I$4:$I$61,Entity_Helper!$A$4:$A$61,A116,Entity_Helper!$B$4:$B$61,B116,Entity_Helper!$C$4:$C$61,C116)^2+SUMIFS(Entity_Helper!$J$4:$J$61,Entity_Helper!$A$4:$A$61,A116,Entity_Helper!$B$4:$B$61,B116,Entity_Helper!$C$4:$C$61,C116),0))</x:f>
        <x:v>1149164.5220523032</x:v>
      </x:c>
      <x:c r="K116" s="40" t="n">
        <x:v>0</x:v>
      </x:c>
      <x:c r="L116" s="43" t="n">
        <x:v>1149164.5220523034</x:v>
      </x:c>
      <x:c r="M116" s="43" t="n">
        <x:f>J116-L116</x:f>
        <x:v>-2.3283064365386963e-10</x:v>
      </x:c>
      <x:c r="N116" s="27" t="str">
        <x:f>IF(ABS(M116)&lt;0.01,"OK","CHECK")</x:f>
        <x:v>OK</x:v>
      </x:c>
    </x:row>
    <x:row r="117">
      <x:c r="A117" s="27" t="str">
        <x:v>IND_HEDGE_FUND_001</x:v>
      </x:c>
      <x:c r="B117" s="27" t="str">
        <x:v>3338</x:v>
      </x:c>
      <x:c r="C117" s="27" t="str">
        <x:v>Credit</x:v>
      </x:c>
      <x:c r="D117" s="27" t="str">
        <x:v>Credit</x:v>
      </x:c>
      <x:c r="E117" s="27" t="str">
        <x:v>Credit entity correlation</x:v>
      </x:c>
      <x:c r="F117" s="40"/>
      <x:c r="G117" s="40"/>
      <x:c r="H117" s="40"/>
      <x:c r="I117" s="40"/>
      <x:c r="J117" s="43" t="n">
        <x:f>SQRT(MAX(SUMIFS(Entity_Helper!$I$4:$I$61,Entity_Helper!$A$4:$A$61,A117,Entity_Helper!$B$4:$B$61,B117,Entity_Helper!$C$4:$C$61,C117)^2+SUMIFS(Entity_Helper!$J$4:$J$61,Entity_Helper!$A$4:$A$61,A117,Entity_Helper!$B$4:$B$61,B117,Entity_Helper!$C$4:$C$61,C117),0))</x:f>
        <x:v>1069871.4367438597</x:v>
      </x:c>
      <x:c r="K117" s="40" t="n">
        <x:v>0</x:v>
      </x:c>
      <x:c r="L117" s="43" t="n">
        <x:v>1069871.4367438597</x:v>
      </x:c>
      <x:c r="M117" s="43" t="n">
        <x:f>J117-L117</x:f>
        <x:v>0</x:v>
      </x:c>
      <x:c r="N117" s="27" t="str">
        <x:f>IF(ABS(M117)&lt;0.01,"OK","CHECK")</x:f>
        <x:v>OK</x:v>
      </x:c>
    </x:row>
    <x:row r="118">
      <x:c r="A118" s="27" t="str">
        <x:v>IND_INSURER_001</x:v>
      </x:c>
      <x:c r="B118" s="27" t="str">
        <x:v>3338</x:v>
      </x:c>
      <x:c r="C118" s="27" t="str">
        <x:v>Credit</x:v>
      </x:c>
      <x:c r="D118" s="27" t="str">
        <x:v>Credit</x:v>
      </x:c>
      <x:c r="E118" s="27" t="str">
        <x:v>Credit entity correlation</x:v>
      </x:c>
      <x:c r="F118" s="40"/>
      <x:c r="G118" s="40"/>
      <x:c r="H118" s="40"/>
      <x:c r="I118" s="40"/>
      <x:c r="J118" s="43" t="n">
        <x:f>SQRT(MAX(SUMIFS(Entity_Helper!$I$4:$I$61,Entity_Helper!$A$4:$A$61,A118,Entity_Helper!$B$4:$B$61,B118,Entity_Helper!$C$4:$C$61,C118)^2+SUMIFS(Entity_Helper!$J$4:$J$61,Entity_Helper!$A$4:$A$61,A118,Entity_Helper!$B$4:$B$61,B118,Entity_Helper!$C$4:$C$61,C118),0))</x:f>
        <x:v>616257.7716211872</x:v>
      </x:c>
      <x:c r="K118" s="40" t="n">
        <x:v>0</x:v>
      </x:c>
      <x:c r="L118" s="43" t="n">
        <x:v>616257.7716211872</x:v>
      </x:c>
      <x:c r="M118" s="43" t="n">
        <x:f>J118-L118</x:f>
        <x:v>0</x:v>
      </x:c>
      <x:c r="N118" s="27" t="str">
        <x:f>IF(ABS(M118)&lt;0.01,"OK","CHECK")</x:f>
        <x:v>OK</x:v>
      </x:c>
    </x:row>
    <x:row r="119">
      <x:c r="A119" s="27" t="str">
        <x:v>IND_PENSION_001</x:v>
      </x:c>
      <x:c r="B119" s="27" t="str">
        <x:v>3036</x:v>
      </x:c>
      <x:c r="C119" s="27" t="str">
        <x:v>Credit</x:v>
      </x:c>
      <x:c r="D119" s="27" t="str">
        <x:v>Credit</x:v>
      </x:c>
      <x:c r="E119" s="27" t="str">
        <x:v>Credit entity correlation</x:v>
      </x:c>
      <x:c r="F119" s="40"/>
      <x:c r="G119" s="40"/>
      <x:c r="H119" s="40"/>
      <x:c r="I119" s="40"/>
      <x:c r="J119" s="43" t="n">
        <x:f>SQRT(MAX(SUMIFS(Entity_Helper!$I$4:$I$61,Entity_Helper!$A$4:$A$61,A119,Entity_Helper!$B$4:$B$61,B119,Entity_Helper!$C$4:$C$61,C119)^2+SUMIFS(Entity_Helper!$J$4:$J$61,Entity_Helper!$A$4:$A$61,A119,Entity_Helper!$B$4:$B$61,B119,Entity_Helper!$C$4:$C$61,C119),0))</x:f>
        <x:v>1590701.8220125777</x:v>
      </x:c>
      <x:c r="K119" s="40" t="n">
        <x:v>0</x:v>
      </x:c>
      <x:c r="L119" s="43" t="n">
        <x:v>1590701.8220125777</x:v>
      </x:c>
      <x:c r="M119" s="43" t="n">
        <x:f>J119-L119</x:f>
        <x:v>0</x:v>
      </x:c>
      <x:c r="N119" s="27" t="str">
        <x:f>IF(ABS(M119)&lt;0.01,"OK","CHECK")</x:f>
        <x:v>OK</x:v>
      </x:c>
    </x:row>
    <x:row r="120">
      <x:c r="A120" s="27" t="str">
        <x:v>IND_PENSION_001</x:v>
      </x:c>
      <x:c r="B120" s="27" t="str">
        <x:v>3242</x:v>
      </x:c>
      <x:c r="C120" s="27" t="str">
        <x:v>Credit</x:v>
      </x:c>
      <x:c r="D120" s="27" t="str">
        <x:v>Credit</x:v>
      </x:c>
      <x:c r="E120" s="27" t="str">
        <x:v>Credit entity correlation</x:v>
      </x:c>
      <x:c r="F120" s="40"/>
      <x:c r="G120" s="40"/>
      <x:c r="H120" s="40"/>
      <x:c r="I120" s="40"/>
      <x:c r="J120" s="43" t="n">
        <x:f>SQRT(MAX(SUMIFS(Entity_Helper!$I$4:$I$61,Entity_Helper!$A$4:$A$61,A120,Entity_Helper!$B$4:$B$61,B120,Entity_Helper!$C$4:$C$61,C120)^2+SUMIFS(Entity_Helper!$J$4:$J$61,Entity_Helper!$A$4:$A$61,A120,Entity_Helper!$B$4:$B$61,B120,Entity_Helper!$C$4:$C$61,C120),0))</x:f>
        <x:v>131933.83642557342</x:v>
      </x:c>
      <x:c r="K120" s="40" t="n">
        <x:v>0</x:v>
      </x:c>
      <x:c r="L120" s="43" t="n">
        <x:v>131933.83642557342</x:v>
      </x:c>
      <x:c r="M120" s="43" t="n">
        <x:f>J120-L120</x:f>
        <x:v>0</x:v>
      </x:c>
      <x:c r="N120" s="27" t="str">
        <x:f>IF(ABS(M120)&lt;0.01,"OK","CHECK")</x:f>
        <x:v>OK</x:v>
      </x:c>
    </x:row>
    <x:row r="121">
      <x:c r="A121" s="27" t="str">
        <x:v>IND_REGIONAL_BANK_001</x:v>
      </x:c>
      <x:c r="B121" s="27" t="str">
        <x:v>3161</x:v>
      </x:c>
      <x:c r="C121" s="27" t="str">
        <x:v>Credit</x:v>
      </x:c>
      <x:c r="D121" s="27" t="str">
        <x:v>Credit</x:v>
      </x:c>
      <x:c r="E121" s="27" t="str">
        <x:v>Credit entity correlation</x:v>
      </x:c>
      <x:c r="F121" s="40"/>
      <x:c r="G121" s="40"/>
      <x:c r="H121" s="40"/>
      <x:c r="I121" s="40"/>
      <x:c r="J121" s="43" t="n">
        <x:f>SQRT(MAX(SUMIFS(Entity_Helper!$I$4:$I$61,Entity_Helper!$A$4:$A$61,A121,Entity_Helper!$B$4:$B$61,B121,Entity_Helper!$C$4:$C$61,C121)^2+SUMIFS(Entity_Helper!$J$4:$J$61,Entity_Helper!$A$4:$A$61,A121,Entity_Helper!$B$4:$B$61,B121,Entity_Helper!$C$4:$C$61,C121),0))</x:f>
        <x:v>5649459.236787042</x:v>
      </x:c>
      <x:c r="K121" s="40" t="n">
        <x:v>0</x:v>
      </x:c>
      <x:c r="L121" s="43" t="n">
        <x:v>5649459.236787042</x:v>
      </x:c>
      <x:c r="M121" s="43" t="n">
        <x:f>J121-L121</x:f>
        <x:v>0</x:v>
      </x:c>
      <x:c r="N121" s="27" t="str">
        <x:f>IF(ABS(M121)&lt;0.01,"OK","CHECK")</x:f>
        <x:v>OK</x:v>
      </x:c>
    </x:row>
    <x:row r="122">
      <x:c r="A122" s="27" t="str">
        <x:v>IND_REGIONAL_BANK_001</x:v>
      </x:c>
      <x:c r="B122" s="27" t="str">
        <x:v>3237</x:v>
      </x:c>
      <x:c r="C122" s="27" t="str">
        <x:v>Credit</x:v>
      </x:c>
      <x:c r="D122" s="27" t="str">
        <x:v>Credit</x:v>
      </x:c>
      <x:c r="E122" s="27" t="str">
        <x:v>Credit entity correlation</x:v>
      </x:c>
      <x:c r="F122" s="40"/>
      <x:c r="G122" s="40"/>
      <x:c r="H122" s="40"/>
      <x:c r="I122" s="40"/>
      <x:c r="J122" s="43" t="n">
        <x:f>SQRT(MAX(SUMIFS(Entity_Helper!$I$4:$I$61,Entity_Helper!$A$4:$A$61,A122,Entity_Helper!$B$4:$B$61,B122,Entity_Helper!$C$4:$C$61,C122)^2+SUMIFS(Entity_Helper!$J$4:$J$61,Entity_Helper!$A$4:$A$61,A122,Entity_Helper!$B$4:$B$61,B122,Entity_Helper!$C$4:$C$61,C122),0))</x:f>
        <x:v>3924087.3539465335</x:v>
      </x:c>
      <x:c r="K122" s="40" t="n">
        <x:v>0</x:v>
      </x:c>
      <x:c r="L122" s="43" t="n">
        <x:v>3924087.3539465335</x:v>
      </x:c>
      <x:c r="M122" s="43" t="n">
        <x:f>J122-L122</x:f>
        <x:v>0</x:v>
      </x:c>
      <x:c r="N122" s="27" t="str">
        <x:f>IF(ABS(M122)&lt;0.01,"OK","CHECK")</x:f>
        <x:v>OK</x:v>
      </x:c>
    </x:row>
    <x:row r="123">
      <x:c r="A123" s="27" t="str">
        <x:v>IND_SOVEREIGN_001</x:v>
      </x:c>
      <x:c r="B123" s="27" t="str">
        <x:v>3042</x:v>
      </x:c>
      <x:c r="C123" s="27" t="str">
        <x:v>Credit</x:v>
      </x:c>
      <x:c r="D123" s="27" t="str">
        <x:v>Credit</x:v>
      </x:c>
      <x:c r="E123" s="27" t="str">
        <x:v>Credit entity correlation</x:v>
      </x:c>
      <x:c r="F123" s="40"/>
      <x:c r="G123" s="40"/>
      <x:c r="H123" s="40"/>
      <x:c r="I123" s="40"/>
      <x:c r="J123" s="43" t="n">
        <x:f>SQRT(MAX(SUMIFS(Entity_Helper!$I$4:$I$61,Entity_Helper!$A$4:$A$61,A123,Entity_Helper!$B$4:$B$61,B123,Entity_Helper!$C$4:$C$61,C123)^2+SUMIFS(Entity_Helper!$J$4:$J$61,Entity_Helper!$A$4:$A$61,A123,Entity_Helper!$B$4:$B$61,B123,Entity_Helper!$C$4:$C$61,C123),0))</x:f>
        <x:v>450320.6895615736</x:v>
      </x:c>
      <x:c r="K123" s="40" t="n">
        <x:v>0</x:v>
      </x:c>
      <x:c r="L123" s="43" t="n">
        <x:v>450320.6895615736</x:v>
      </x:c>
      <x:c r="M123" s="43" t="n">
        <x:f>J123-L123</x:f>
        <x:v>0</x:v>
      </x:c>
      <x:c r="N123" s="27" t="str">
        <x:f>IF(ABS(M123)&lt;0.01,"OK","CHECK")</x:f>
        <x:v>OK</x:v>
      </x:c>
    </x:row>
    <x:row r="124">
      <x:c r="A124" s="27" t="str">
        <x:v>IND_SOVEREIGN_001</x:v>
      </x:c>
      <x:c r="B124" s="27" t="str">
        <x:v>3281</x:v>
      </x:c>
      <x:c r="C124" s="27" t="str">
        <x:v>Credit</x:v>
      </x:c>
      <x:c r="D124" s="27" t="str">
        <x:v>Credit</x:v>
      </x:c>
      <x:c r="E124" s="27" t="str">
        <x:v>Credit entity correlation</x:v>
      </x:c>
      <x:c r="F124" s="40"/>
      <x:c r="G124" s="40"/>
      <x:c r="H124" s="40"/>
      <x:c r="I124" s="40"/>
      <x:c r="J124" s="43" t="n">
        <x:f>SQRT(MAX(SUMIFS(Entity_Helper!$I$4:$I$61,Entity_Helper!$A$4:$A$61,A124,Entity_Helper!$B$4:$B$61,B124,Entity_Helper!$C$4:$C$61,C124)^2+SUMIFS(Entity_Helper!$J$4:$J$61,Entity_Helper!$A$4:$A$61,A124,Entity_Helper!$B$4:$B$61,B124,Entity_Helper!$C$4:$C$61,C124),0))</x:f>
        <x:v>1578667.5370825392</x:v>
      </x:c>
      <x:c r="K124" s="40" t="n">
        <x:v>0</x:v>
      </x:c>
      <x:c r="L124" s="43" t="n">
        <x:v>1578667.5370825392</x:v>
      </x:c>
      <x:c r="M124" s="43" t="n">
        <x:f>J124-L124</x:f>
        <x:v>0</x:v>
      </x:c>
      <x:c r="N124" s="27" t="str">
        <x:f>IF(ABS(M124)&lt;0.01,"OK","CHECK")</x:f>
        <x:v>OK</x:v>
      </x:c>
    </x:row>
    <x:row r="125">
      <x:c r="A125" s="27" t="str">
        <x:v>IND_ASSET_MANAGER_001</x:v>
      </x:c>
      <x:c r="B125" s="27" t="str">
        <x:v>3167</x:v>
      </x:c>
      <x:c r="C125" s="27" t="str">
        <x:v>Equity</x:v>
      </x:c>
      <x:c r="D125" s="27" t="str">
        <x:v>Equity</x:v>
      </x:c>
      <x:c r="E125" s="27" t="str">
        <x:v>Equity entity correlation</x:v>
      </x:c>
      <x:c r="F125" s="40"/>
      <x:c r="G125" s="40"/>
      <x:c r="H125" s="40"/>
      <x:c r="I125" s="40"/>
      <x:c r="J125" s="43" t="n">
        <x:f>SQRT(MAX(SUMIFS(Entity_Helper!$I$4:$I$61,Entity_Helper!$A$4:$A$61,A125,Entity_Helper!$B$4:$B$61,B125,Entity_Helper!$C$4:$C$61,C125)^2+SUMIFS(Entity_Helper!$J$4:$J$61,Entity_Helper!$A$4:$A$61,A125,Entity_Helper!$B$4:$B$61,B125,Entity_Helper!$C$4:$C$61,C125),0))</x:f>
        <x:v>852292.8164948242</x:v>
      </x:c>
      <x:c r="K125" s="40" t="n">
        <x:v>0</x:v>
      </x:c>
      <x:c r="L125" s="43" t="n">
        <x:v>852292.8164948242</x:v>
      </x:c>
      <x:c r="M125" s="43" t="n">
        <x:f>J125-L125</x:f>
        <x:v>0</x:v>
      </x:c>
      <x:c r="N125" s="27" t="str">
        <x:f>IF(ABS(M125)&lt;0.01,"OK","CHECK")</x:f>
        <x:v>OK</x:v>
      </x:c>
    </x:row>
    <x:row r="126">
      <x:c r="A126" s="27" t="str">
        <x:v>IND_BANK_002</x:v>
      </x:c>
      <x:c r="B126" s="27" t="str">
        <x:v>3090</x:v>
      </x:c>
      <x:c r="C126" s="27" t="str">
        <x:v>Equity</x:v>
      </x:c>
      <x:c r="D126" s="27" t="str">
        <x:v>Equity</x:v>
      </x:c>
      <x:c r="E126" s="27" t="str">
        <x:v>Equity entity correlation</x:v>
      </x:c>
      <x:c r="F126" s="40"/>
      <x:c r="G126" s="40"/>
      <x:c r="H126" s="40"/>
      <x:c r="I126" s="40"/>
      <x:c r="J126" s="43" t="n">
        <x:f>SQRT(MAX(SUMIFS(Entity_Helper!$I$4:$I$61,Entity_Helper!$A$4:$A$61,A126,Entity_Helper!$B$4:$B$61,B126,Entity_Helper!$C$4:$C$61,C126)^2+SUMIFS(Entity_Helper!$J$4:$J$61,Entity_Helper!$A$4:$A$61,A126,Entity_Helper!$B$4:$B$61,B126,Entity_Helper!$C$4:$C$61,C126),0))</x:f>
        <x:v>5866361.313090214</x:v>
      </x:c>
      <x:c r="K126" s="40" t="n">
        <x:v>0</x:v>
      </x:c>
      <x:c r="L126" s="43" t="n">
        <x:v>5866361.313090214</x:v>
      </x:c>
      <x:c r="M126" s="43" t="n">
        <x:f>J126-L126</x:f>
        <x:v>0</x:v>
      </x:c>
      <x:c r="N126" s="27" t="str">
        <x:f>IF(ABS(M126)&lt;0.01,"OK","CHECK")</x:f>
        <x:v>OK</x:v>
      </x:c>
    </x:row>
    <x:row r="127">
      <x:c r="A127" s="27" t="str">
        <x:v>IND_BANK_002</x:v>
      </x:c>
      <x:c r="B127" s="27" t="str">
        <x:v>3386</x:v>
      </x:c>
      <x:c r="C127" s="27" t="str">
        <x:v>Equity</x:v>
      </x:c>
      <x:c r="D127" s="27" t="str">
        <x:v>Equity</x:v>
      </x:c>
      <x:c r="E127" s="27" t="str">
        <x:v>Equity entity correlation</x:v>
      </x:c>
      <x:c r="F127" s="40"/>
      <x:c r="G127" s="40"/>
      <x:c r="H127" s="40"/>
      <x:c r="I127" s="40"/>
      <x:c r="J127" s="43" t="n">
        <x:f>SQRT(MAX(SUMIFS(Entity_Helper!$I$4:$I$61,Entity_Helper!$A$4:$A$61,A127,Entity_Helper!$B$4:$B$61,B127,Entity_Helper!$C$4:$C$61,C127)^2+SUMIFS(Entity_Helper!$J$4:$J$61,Entity_Helper!$A$4:$A$61,A127,Entity_Helper!$B$4:$B$61,B127,Entity_Helper!$C$4:$C$61,C127),0))</x:f>
        <x:v>3187826.7476575486</x:v>
      </x:c>
      <x:c r="K127" s="40" t="n">
        <x:v>0</x:v>
      </x:c>
      <x:c r="L127" s="43" t="n">
        <x:v>3187826.7476575486</x:v>
      </x:c>
      <x:c r="M127" s="43" t="n">
        <x:f>J127-L127</x:f>
        <x:v>0</x:v>
      </x:c>
      <x:c r="N127" s="27" t="str">
        <x:f>IF(ABS(M127)&lt;0.01,"OK","CHECK")</x:f>
        <x:v>OK</x:v>
      </x:c>
    </x:row>
    <x:row r="128">
      <x:c r="A128" s="27" t="str">
        <x:v>IND_BROKER_001</x:v>
      </x:c>
      <x:c r="B128" s="27" t="str">
        <x:v>3195</x:v>
      </x:c>
      <x:c r="C128" s="27" t="str">
        <x:v>Equity</x:v>
      </x:c>
      <x:c r="D128" s="27" t="str">
        <x:v>Equity</x:v>
      </x:c>
      <x:c r="E128" s="27" t="str">
        <x:v>Equity entity correlation</x:v>
      </x:c>
      <x:c r="F128" s="40"/>
      <x:c r="G128" s="40"/>
      <x:c r="H128" s="40"/>
      <x:c r="I128" s="40"/>
      <x:c r="J128" s="43" t="n">
        <x:f>SQRT(MAX(SUMIFS(Entity_Helper!$I$4:$I$61,Entity_Helper!$A$4:$A$61,A128,Entity_Helper!$B$4:$B$61,B128,Entity_Helper!$C$4:$C$61,C128)^2+SUMIFS(Entity_Helper!$J$4:$J$61,Entity_Helper!$A$4:$A$61,A128,Entity_Helper!$B$4:$B$61,B128,Entity_Helper!$C$4:$C$61,C128),0))</x:f>
        <x:v>4156800.0000000005</x:v>
      </x:c>
      <x:c r="K128" s="40" t="n">
        <x:v>0</x:v>
      </x:c>
      <x:c r="L128" s="43" t="n">
        <x:v>4156800.0000000005</x:v>
      </x:c>
      <x:c r="M128" s="43" t="n">
        <x:f>J128-L128</x:f>
        <x:v>0</x:v>
      </x:c>
      <x:c r="N128" s="27" t="str">
        <x:f>IF(ABS(M128)&lt;0.01,"OK","CHECK")</x:f>
        <x:v>OK</x:v>
      </x:c>
    </x:row>
    <x:row r="129">
      <x:c r="A129" s="27" t="str">
        <x:v>IND_BROKER_001</x:v>
      </x:c>
      <x:c r="B129" s="27" t="str">
        <x:v>3276</x:v>
      </x:c>
      <x:c r="C129" s="27" t="str">
        <x:v>Equity</x:v>
      </x:c>
      <x:c r="D129" s="27" t="str">
        <x:v>Equity</x:v>
      </x:c>
      <x:c r="E129" s="27" t="str">
        <x:v>Equity entity correlation</x:v>
      </x:c>
      <x:c r="F129" s="40"/>
      <x:c r="G129" s="40"/>
      <x:c r="H129" s="40"/>
      <x:c r="I129" s="40"/>
      <x:c r="J129" s="43" t="n">
        <x:f>SQRT(MAX(SUMIFS(Entity_Helper!$I$4:$I$61,Entity_Helper!$A$4:$A$61,A129,Entity_Helper!$B$4:$B$61,B129,Entity_Helper!$C$4:$C$61,C129)^2+SUMIFS(Entity_Helper!$J$4:$J$61,Entity_Helper!$A$4:$A$61,A129,Entity_Helper!$B$4:$B$61,B129,Entity_Helper!$C$4:$C$61,C129),0))</x:f>
        <x:v>14209385.609053489</x:v>
      </x:c>
      <x:c r="K129" s="40" t="n">
        <x:v>0</x:v>
      </x:c>
      <x:c r="L129" s="43" t="n">
        <x:v>14209385.609053489</x:v>
      </x:c>
      <x:c r="M129" s="43" t="n">
        <x:f>J129-L129</x:f>
        <x:v>0</x:v>
      </x:c>
      <x:c r="N129" s="27" t="str">
        <x:f>IF(ABS(M129)&lt;0.01,"OK","CHECK")</x:f>
        <x:v>OK</x:v>
      </x:c>
    </x:row>
    <x:row r="130">
      <x:c r="A130" s="27" t="str">
        <x:v>IND_CLEARING_MEMBER_001</x:v>
      </x:c>
      <x:c r="B130" s="27" t="str">
        <x:v>3108</x:v>
      </x:c>
      <x:c r="C130" s="27" t="str">
        <x:v>Equity</x:v>
      </x:c>
      <x:c r="D130" s="27" t="str">
        <x:v>Equity</x:v>
      </x:c>
      <x:c r="E130" s="27" t="str">
        <x:v>Equity entity correlation</x:v>
      </x:c>
      <x:c r="F130" s="40"/>
      <x:c r="G130" s="40"/>
      <x:c r="H130" s="40"/>
      <x:c r="I130" s="40"/>
      <x:c r="J130" s="43" t="n">
        <x:f>SQRT(MAX(SUMIFS(Entity_Helper!$I$4:$I$61,Entity_Helper!$A$4:$A$61,A130,Entity_Helper!$B$4:$B$61,B130,Entity_Helper!$C$4:$C$61,C130)^2+SUMIFS(Entity_Helper!$J$4:$J$61,Entity_Helper!$A$4:$A$61,A130,Entity_Helper!$B$4:$B$61,B130,Entity_Helper!$C$4:$C$61,C130),0))</x:f>
        <x:v>7669750.998970759</x:v>
      </x:c>
      <x:c r="K130" s="40" t="n">
        <x:v>0</x:v>
      </x:c>
      <x:c r="L130" s="43" t="n">
        <x:v>7669750.998970759</x:v>
      </x:c>
      <x:c r="M130" s="43" t="n">
        <x:f>J130-L130</x:f>
        <x:v>0</x:v>
      </x:c>
      <x:c r="N130" s="27" t="str">
        <x:f>IF(ABS(M130)&lt;0.01,"OK","CHECK")</x:f>
        <x:v>OK</x:v>
      </x:c>
    </x:row>
    <x:row r="131">
      <x:c r="A131" s="27" t="str">
        <x:v>IND_CLEARING_MEMBER_001</x:v>
      </x:c>
      <x:c r="B131" s="27" t="str">
        <x:v>3161</x:v>
      </x:c>
      <x:c r="C131" s="27" t="str">
        <x:v>Equity</x:v>
      </x:c>
      <x:c r="D131" s="27" t="str">
        <x:v>Equity</x:v>
      </x:c>
      <x:c r="E131" s="27" t="str">
        <x:v>Equity entity correlation</x:v>
      </x:c>
      <x:c r="F131" s="40"/>
      <x:c r="G131" s="40"/>
      <x:c r="H131" s="40"/>
      <x:c r="I131" s="40"/>
      <x:c r="J131" s="43" t="n">
        <x:f>SQRT(MAX(SUMIFS(Entity_Helper!$I$4:$I$61,Entity_Helper!$A$4:$A$61,A131,Entity_Helper!$B$4:$B$61,B131,Entity_Helper!$C$4:$C$61,C131)^2+SUMIFS(Entity_Helper!$J$4:$J$61,Entity_Helper!$A$4:$A$61,A131,Entity_Helper!$B$4:$B$61,B131,Entity_Helper!$C$4:$C$61,C131),0))</x:f>
        <x:v>15305903.0927465</x:v>
      </x:c>
      <x:c r="K131" s="40" t="n">
        <x:v>0</x:v>
      </x:c>
      <x:c r="L131" s="43" t="n">
        <x:v>15305903.0927465</x:v>
      </x:c>
      <x:c r="M131" s="43" t="n">
        <x:f>J131-L131</x:f>
        <x:v>0</x:v>
      </x:c>
      <x:c r="N131" s="27" t="str">
        <x:f>IF(ABS(M131)&lt;0.01,"OK","CHECK")</x:f>
        <x:v>OK</x:v>
      </x:c>
    </x:row>
    <x:row r="132">
      <x:c r="A132" s="27" t="str">
        <x:v>IND_CORPORATE_001</x:v>
      </x:c>
      <x:c r="B132" s="27" t="str">
        <x:v>3380</x:v>
      </x:c>
      <x:c r="C132" s="27" t="str">
        <x:v>Equity</x:v>
      </x:c>
      <x:c r="D132" s="27" t="str">
        <x:v>Equity</x:v>
      </x:c>
      <x:c r="E132" s="27" t="str">
        <x:v>Equity entity correlation</x:v>
      </x:c>
      <x:c r="F132" s="40"/>
      <x:c r="G132" s="40"/>
      <x:c r="H132" s="40"/>
      <x:c r="I132" s="40"/>
      <x:c r="J132" s="43" t="n">
        <x:f>SQRT(MAX(SUMIFS(Entity_Helper!$I$4:$I$61,Entity_Helper!$A$4:$A$61,A132,Entity_Helper!$B$4:$B$61,B132,Entity_Helper!$C$4:$C$61,C132)^2+SUMIFS(Entity_Helper!$J$4:$J$61,Entity_Helper!$A$4:$A$61,A132,Entity_Helper!$B$4:$B$61,B132,Entity_Helper!$C$4:$C$61,C132),0))</x:f>
        <x:v>480000</x:v>
      </x:c>
      <x:c r="K132" s="40" t="n">
        <x:v>0</x:v>
      </x:c>
      <x:c r="L132" s="43" t="n">
        <x:v>480000</x:v>
      </x:c>
      <x:c r="M132" s="43" t="n">
        <x:f>J132-L132</x:f>
        <x:v>0</x:v>
      </x:c>
      <x:c r="N132" s="27" t="str">
        <x:f>IF(ABS(M132)&lt;0.01,"OK","CHECK")</x:f>
        <x:v>OK</x:v>
      </x:c>
    </x:row>
    <x:row r="133">
      <x:c r="A133" s="27" t="str">
        <x:v>IND_CORPORATE_002</x:v>
      </x:c>
      <x:c r="B133" s="27" t="str">
        <x:v>3331</x:v>
      </x:c>
      <x:c r="C133" s="27" t="str">
        <x:v>Equity</x:v>
      </x:c>
      <x:c r="D133" s="27" t="str">
        <x:v>Equity</x:v>
      </x:c>
      <x:c r="E133" s="27" t="str">
        <x:v>Equity entity correlation</x:v>
      </x:c>
      <x:c r="F133" s="40"/>
      <x:c r="G133" s="40"/>
      <x:c r="H133" s="40"/>
      <x:c r="I133" s="40"/>
      <x:c r="J133" s="43" t="n">
        <x:f>SQRT(MAX(SUMIFS(Entity_Helper!$I$4:$I$61,Entity_Helper!$A$4:$A$61,A133,Entity_Helper!$B$4:$B$61,B133,Entity_Helper!$C$4:$C$61,C133)^2+SUMIFS(Entity_Helper!$J$4:$J$61,Entity_Helper!$A$4:$A$61,A133,Entity_Helper!$B$4:$B$61,B133,Entity_Helper!$C$4:$C$61,C133),0))</x:f>
        <x:v>124177.70840605149</x:v>
      </x:c>
      <x:c r="K133" s="40" t="n">
        <x:v>0</x:v>
      </x:c>
      <x:c r="L133" s="43" t="n">
        <x:v>124177.7084060515</x:v>
      </x:c>
      <x:c r="M133" s="43" t="n">
        <x:f>J133-L133</x:f>
        <x:v>-1.4551915228366852e-11</x:v>
      </x:c>
      <x:c r="N133" s="27" t="str">
        <x:f>IF(ABS(M133)&lt;0.01,"OK","CHECK")</x:f>
        <x:v>OK</x:v>
      </x:c>
    </x:row>
    <x:row r="134">
      <x:c r="A134" s="27" t="str">
        <x:v>IND_HEDGE_FUND_001</x:v>
      </x:c>
      <x:c r="B134" s="27" t="str">
        <x:v>3040</x:v>
      </x:c>
      <x:c r="C134" s="27" t="str">
        <x:v>Equity</x:v>
      </x:c>
      <x:c r="D134" s="27" t="str">
        <x:v>Equity</x:v>
      </x:c>
      <x:c r="E134" s="27" t="str">
        <x:v>Equity entity correlation</x:v>
      </x:c>
      <x:c r="F134" s="40"/>
      <x:c r="G134" s="40"/>
      <x:c r="H134" s="40"/>
      <x:c r="I134" s="40"/>
      <x:c r="J134" s="43" t="n">
        <x:f>SQRT(MAX(SUMIFS(Entity_Helper!$I$4:$I$61,Entity_Helper!$A$4:$A$61,A134,Entity_Helper!$B$4:$B$61,B134,Entity_Helper!$C$4:$C$61,C134)^2+SUMIFS(Entity_Helper!$J$4:$J$61,Entity_Helper!$A$4:$A$61,A134,Entity_Helper!$B$4:$B$61,B134,Entity_Helper!$C$4:$C$61,C134),0))</x:f>
        <x:v>2620800.0000000005</x:v>
      </x:c>
      <x:c r="K134" s="40" t="n">
        <x:v>0</x:v>
      </x:c>
      <x:c r="L134" s="43" t="n">
        <x:v>2620800.0000000005</x:v>
      </x:c>
      <x:c r="M134" s="43" t="n">
        <x:f>J134-L134</x:f>
        <x:v>0</x:v>
      </x:c>
      <x:c r="N134" s="27" t="str">
        <x:f>IF(ABS(M134)&lt;0.01,"OK","CHECK")</x:f>
        <x:v>OK</x:v>
      </x:c>
    </x:row>
    <x:row r="135">
      <x:c r="A135" s="27" t="str">
        <x:v>IND_INSURER_001</x:v>
      </x:c>
      <x:c r="B135" s="27" t="str">
        <x:v>3390</x:v>
      </x:c>
      <x:c r="C135" s="27" t="str">
        <x:v>Equity</x:v>
      </x:c>
      <x:c r="D135" s="27" t="str">
        <x:v>Equity</x:v>
      </x:c>
      <x:c r="E135" s="27" t="str">
        <x:v>Equity entity correlation</x:v>
      </x:c>
      <x:c r="F135" s="40"/>
      <x:c r="G135" s="40"/>
      <x:c r="H135" s="40"/>
      <x:c r="I135" s="40"/>
      <x:c r="J135" s="43" t="n">
        <x:f>SQRT(MAX(SUMIFS(Entity_Helper!$I$4:$I$61,Entity_Helper!$A$4:$A$61,A135,Entity_Helper!$B$4:$B$61,B135,Entity_Helper!$C$4:$C$61,C135)^2+SUMIFS(Entity_Helper!$J$4:$J$61,Entity_Helper!$A$4:$A$61,A135,Entity_Helper!$B$4:$B$61,B135,Entity_Helper!$C$4:$C$61,C135),0))</x:f>
        <x:v>10485563.042870814</x:v>
      </x:c>
      <x:c r="K135" s="40" t="n">
        <x:v>0</x:v>
      </x:c>
      <x:c r="L135" s="43" t="n">
        <x:v>10485563.042870814</x:v>
      </x:c>
      <x:c r="M135" s="43" t="n">
        <x:f>J135-L135</x:f>
        <x:v>0</x:v>
      </x:c>
      <x:c r="N135" s="27" t="str">
        <x:f>IF(ABS(M135)&lt;0.01,"OK","CHECK")</x:f>
        <x:v>OK</x:v>
      </x:c>
    </x:row>
    <x:row r="136">
      <x:c r="A136" s="27" t="str">
        <x:v>IND_PENSION_001</x:v>
      </x:c>
      <x:c r="B136" s="27" t="str">
        <x:v>3121</x:v>
      </x:c>
      <x:c r="C136" s="27" t="str">
        <x:v>Equity</x:v>
      </x:c>
      <x:c r="D136" s="27" t="str">
        <x:v>Equity</x:v>
      </x:c>
      <x:c r="E136" s="27" t="str">
        <x:v>Equity entity correlation</x:v>
      </x:c>
      <x:c r="F136" s="40"/>
      <x:c r="G136" s="40"/>
      <x:c r="H136" s="40"/>
      <x:c r="I136" s="40"/>
      <x:c r="J136" s="43" t="n">
        <x:f>SQRT(MAX(SUMIFS(Entity_Helper!$I$4:$I$61,Entity_Helper!$A$4:$A$61,A136,Entity_Helper!$B$4:$B$61,B136,Entity_Helper!$C$4:$C$61,C136)^2+SUMIFS(Entity_Helper!$J$4:$J$61,Entity_Helper!$A$4:$A$61,A136,Entity_Helper!$B$4:$B$61,B136,Entity_Helper!$C$4:$C$61,C136),0))</x:f>
        <x:v>3688087.1139386073</x:v>
      </x:c>
      <x:c r="K136" s="40" t="n">
        <x:v>0</x:v>
      </x:c>
      <x:c r="L136" s="43" t="n">
        <x:v>3688087.1139386073</x:v>
      </x:c>
      <x:c r="M136" s="43" t="n">
        <x:f>J136-L136</x:f>
        <x:v>0</x:v>
      </x:c>
      <x:c r="N136" s="27" t="str">
        <x:f>IF(ABS(M136)&lt;0.01,"OK","CHECK")</x:f>
        <x:v>OK</x:v>
      </x:c>
    </x:row>
    <x:row r="137">
      <x:c r="A137" s="27" t="str">
        <x:v>IND_REGIONAL_BANK_001</x:v>
      </x:c>
      <x:c r="B137" s="27" t="str">
        <x:v>3194</x:v>
      </x:c>
      <x:c r="C137" s="27" t="str">
        <x:v>Equity</x:v>
      </x:c>
      <x:c r="D137" s="27" t="str">
        <x:v>Equity</x:v>
      </x:c>
      <x:c r="E137" s="27" t="str">
        <x:v>Equity entity correlation</x:v>
      </x:c>
      <x:c r="F137" s="40"/>
      <x:c r="G137" s="40"/>
      <x:c r="H137" s="40"/>
      <x:c r="I137" s="40"/>
      <x:c r="J137" s="43" t="n">
        <x:f>SQRT(MAX(SUMIFS(Entity_Helper!$I$4:$I$61,Entity_Helper!$A$4:$A$61,A137,Entity_Helper!$B$4:$B$61,B137,Entity_Helper!$C$4:$C$61,C137)^2+SUMIFS(Entity_Helper!$J$4:$J$61,Entity_Helper!$A$4:$A$61,A137,Entity_Helper!$B$4:$B$61,B137,Entity_Helper!$C$4:$C$61,C137),0))</x:f>
        <x:v>3590830.188077495</x:v>
      </x:c>
      <x:c r="K137" s="40" t="n">
        <x:v>0</x:v>
      </x:c>
      <x:c r="L137" s="43" t="n">
        <x:v>3590830.188077495</x:v>
      </x:c>
      <x:c r="M137" s="43" t="n">
        <x:f>J137-L137</x:f>
        <x:v>0</x:v>
      </x:c>
      <x:c r="N137" s="27" t="str">
        <x:f>IF(ABS(M137)&lt;0.01,"OK","CHECK")</x:f>
        <x:v>OK</x:v>
      </x:c>
    </x:row>
    <x:row r="138">
      <x:c r="A138" s="27" t="str">
        <x:v>IND_SOVEREIGN_001</x:v>
      </x:c>
      <x:c r="B138" s="27" t="str">
        <x:v>3296</x:v>
      </x:c>
      <x:c r="C138" s="27" t="str">
        <x:v>Equity</x:v>
      </x:c>
      <x:c r="D138" s="27" t="str">
        <x:v>Equity</x:v>
      </x:c>
      <x:c r="E138" s="27" t="str">
        <x:v>Equity entity correlation</x:v>
      </x:c>
      <x:c r="F138" s="40"/>
      <x:c r="G138" s="40"/>
      <x:c r="H138" s="40"/>
      <x:c r="I138" s="40"/>
      <x:c r="J138" s="43" t="n">
        <x:f>SQRT(MAX(SUMIFS(Entity_Helper!$I$4:$I$61,Entity_Helper!$A$4:$A$61,A138,Entity_Helper!$B$4:$B$61,B138,Entity_Helper!$C$4:$C$61,C138)^2+SUMIFS(Entity_Helper!$J$4:$J$61,Entity_Helper!$A$4:$A$61,A138,Entity_Helper!$B$4:$B$61,B138,Entity_Helper!$C$4:$C$61,C138),0))</x:f>
        <x:v>3974400.0000000005</x:v>
      </x:c>
      <x:c r="K138" s="40" t="n">
        <x:v>0</x:v>
      </x:c>
      <x:c r="L138" s="43" t="n">
        <x:v>3974400.0000000005</x:v>
      </x:c>
      <x:c r="M138" s="43" t="n">
        <x:f>J138-L138</x:f>
        <x:v>0</x:v>
      </x:c>
      <x:c r="N138" s="27" t="str">
        <x:f>IF(ABS(M138)&lt;0.01,"OK","CHECK")</x:f>
        <x:v>OK</x:v>
      </x:c>
    </x:row>
    <x:row r="139">
      <x:c r="A139" s="27" t="str">
        <x:v>IND_ASSET_MANAGER_001</x:v>
      </x:c>
      <x:c r="B139" s="27" t="str">
        <x:v>3205</x:v>
      </x:c>
      <x:c r="C139" s="27" t="str">
        <x:v>Commodity</x:v>
      </x:c>
      <x:c r="D139" s="27" t="str">
        <x:v>Energy</x:v>
      </x:c>
      <x:c r="E139" s="27" t="str">
        <x:v>Commodity group/type correlation</x:v>
      </x:c>
      <x:c r="F139" s="40"/>
      <x:c r="G139" s="40"/>
      <x:c r="H139" s="40"/>
      <x:c r="I139" s="40"/>
      <x:c r="J139" s="43" t="n">
        <x:f>SQRT(MAX(SUMIFS(Commodity_Helper!$J$4:$J$37,Commodity_Helper!$A$4:$A$37,A139,Commodity_Helper!$B$4:$B$37,B139,Commodity_Helper!$C$4:$C$37,"Commodity",Commodity_Helper!$D$4:$D$37,D139)^2+SUMIFS(Commodity_Helper!$K$4:$K$37,Commodity_Helper!$A$4:$A$37,A139,Commodity_Helper!$B$4:$B$37,B139,Commodity_Helper!$C$4:$C$37,"Commodity",Commodity_Helper!$D$4:$D$37,D139),0))</x:f>
        <x:v>7776000</x:v>
      </x:c>
      <x:c r="K139" s="40" t="n">
        <x:v>0</x:v>
      </x:c>
      <x:c r="L139" s="43" t="n">
        <x:v>7776000</x:v>
      </x:c>
      <x:c r="M139" s="43" t="n">
        <x:f>J139-L139</x:f>
        <x:v>0</x:v>
      </x:c>
      <x:c r="N139" s="27" t="str">
        <x:f>IF(ABS(M139)&lt;0.01,"OK","CHECK")</x:f>
        <x:v>OK</x:v>
      </x:c>
    </x:row>
    <x:row r="140">
      <x:c r="A140" s="27" t="str">
        <x:v>IND_ASSET_MANAGER_001</x:v>
      </x:c>
      <x:c r="B140" s="27" t="str">
        <x:v>3205</x:v>
      </x:c>
      <x:c r="C140" s="27" t="str">
        <x:v>Commodity</x:v>
      </x:c>
      <x:c r="D140" s="27" t="str">
        <x:v>Metals</x:v>
      </x:c>
      <x:c r="E140" s="27" t="str">
        <x:v>Commodity group/type correlation</x:v>
      </x:c>
      <x:c r="F140" s="40"/>
      <x:c r="G140" s="40"/>
      <x:c r="H140" s="40"/>
      <x:c r="I140" s="40"/>
      <x:c r="J140" s="43" t="n">
        <x:f>SQRT(MAX(SUMIFS(Commodity_Helper!$J$4:$J$37,Commodity_Helper!$A$4:$A$37,A140,Commodity_Helper!$B$4:$B$37,B140,Commodity_Helper!$C$4:$C$37,"Commodity",Commodity_Helper!$D$4:$D$37,D140)^2+SUMIFS(Commodity_Helper!$K$4:$K$37,Commodity_Helper!$A$4:$A$37,A140,Commodity_Helper!$B$4:$B$37,B140,Commodity_Helper!$C$4:$C$37,"Commodity",Commodity_Helper!$D$4:$D$37,D140),0))</x:f>
        <x:v>16182000</x:v>
      </x:c>
      <x:c r="K140" s="40" t="n">
        <x:v>0</x:v>
      </x:c>
      <x:c r="L140" s="43" t="n">
        <x:v>16182000</x:v>
      </x:c>
      <x:c r="M140" s="43" t="n">
        <x:f>J140-L140</x:f>
        <x:v>0</x:v>
      </x:c>
      <x:c r="N140" s="27" t="str">
        <x:f>IF(ABS(M140)&lt;0.01,"OK","CHECK")</x:f>
        <x:v>OK</x:v>
      </x:c>
    </x:row>
    <x:row r="141">
      <x:c r="A141" s="27" t="str">
        <x:v>IND_ASSET_MANAGER_001</x:v>
      </x:c>
      <x:c r="B141" s="27" t="str">
        <x:v>3331</x:v>
      </x:c>
      <x:c r="C141" s="27" t="str">
        <x:v>Commodity</x:v>
      </x:c>
      <x:c r="D141" s="27" t="str">
        <x:v>Energy</x:v>
      </x:c>
      <x:c r="E141" s="27" t="str">
        <x:v>Commodity group/type correlation</x:v>
      </x:c>
      <x:c r="F141" s="40"/>
      <x:c r="G141" s="40"/>
      <x:c r="H141" s="40"/>
      <x:c r="I141" s="40"/>
      <x:c r="J141" s="43" t="n">
        <x:f>SQRT(MAX(SUMIFS(Commodity_Helper!$J$4:$J$37,Commodity_Helper!$A$4:$A$37,A141,Commodity_Helper!$B$4:$B$37,B141,Commodity_Helper!$C$4:$C$37,"Commodity",Commodity_Helper!$D$4:$D$37,D141)^2+SUMIFS(Commodity_Helper!$K$4:$K$37,Commodity_Helper!$A$4:$A$37,A141,Commodity_Helper!$B$4:$B$37,B141,Commodity_Helper!$C$4:$C$37,"Commodity",Commodity_Helper!$D$4:$D$37,D141),0))</x:f>
        <x:v>845176.9613518817</x:v>
      </x:c>
      <x:c r="K141" s="40" t="n">
        <x:v>0</x:v>
      </x:c>
      <x:c r="L141" s="43" t="n">
        <x:v>845176.9613518817</x:v>
      </x:c>
      <x:c r="M141" s="43" t="n">
        <x:f>J141-L141</x:f>
        <x:v>0</x:v>
      </x:c>
      <x:c r="N141" s="27" t="str">
        <x:f>IF(ABS(M141)&lt;0.01,"OK","CHECK")</x:f>
        <x:v>OK</x:v>
      </x:c>
    </x:row>
    <x:row r="142">
      <x:c r="A142" s="27" t="str">
        <x:v>IND_ASSET_MANAGER_001</x:v>
      </x:c>
      <x:c r="B142" s="27" t="str">
        <x:v>3331</x:v>
      </x:c>
      <x:c r="C142" s="27" t="str">
        <x:v>Commodity</x:v>
      </x:c>
      <x:c r="D142" s="27" t="str">
        <x:v>Metals</x:v>
      </x:c>
      <x:c r="E142" s="27" t="str">
        <x:v>Commodity group/type correlation</x:v>
      </x:c>
      <x:c r="F142" s="40"/>
      <x:c r="G142" s="40"/>
      <x:c r="H142" s="40"/>
      <x:c r="I142" s="40"/>
      <x:c r="J142" s="43" t="n">
        <x:f>SQRT(MAX(SUMIFS(Commodity_Helper!$J$4:$J$37,Commodity_Helper!$A$4:$A$37,A142,Commodity_Helper!$B$4:$B$37,B142,Commodity_Helper!$C$4:$C$37,"Commodity",Commodity_Helper!$D$4:$D$37,D142)^2+SUMIFS(Commodity_Helper!$K$4:$K$37,Commodity_Helper!$A$4:$A$37,A142,Commodity_Helper!$B$4:$B$37,B142,Commodity_Helper!$C$4:$C$37,"Commodity",Commodity_Helper!$D$4:$D$37,D142),0))</x:f>
        <x:v>1766677.120620354</x:v>
      </x:c>
      <x:c r="K142" s="40" t="n">
        <x:v>0</x:v>
      </x:c>
      <x:c r="L142" s="43" t="n">
        <x:v>1766677.1206203538</x:v>
      </x:c>
      <x:c r="M142" s="43" t="n">
        <x:f>J142-L142</x:f>
        <x:v>2.3283064365386963e-10</x:v>
      </x:c>
      <x:c r="N142" s="27" t="str">
        <x:f>IF(ABS(M142)&lt;0.01,"OK","CHECK")</x:f>
        <x:v>OK</x:v>
      </x:c>
    </x:row>
    <x:row r="143">
      <x:c r="A143" s="27" t="str">
        <x:v>IND_BANK_001</x:v>
      </x:c>
      <x:c r="B143" s="27" t="str">
        <x:v>3172</x:v>
      </x:c>
      <x:c r="C143" s="27" t="str">
        <x:v>Commodity</x:v>
      </x:c>
      <x:c r="D143" s="27" t="str">
        <x:v>Energy</x:v>
      </x:c>
      <x:c r="E143" s="27" t="str">
        <x:v>Commodity group/type correlation</x:v>
      </x:c>
      <x:c r="F143" s="40"/>
      <x:c r="G143" s="40"/>
      <x:c r="H143" s="40"/>
      <x:c r="I143" s="40"/>
      <x:c r="J143" s="43" t="n">
        <x:f>SQRT(MAX(SUMIFS(Commodity_Helper!$J$4:$J$37,Commodity_Helper!$A$4:$A$37,A143,Commodity_Helper!$B$4:$B$37,B143,Commodity_Helper!$C$4:$C$37,"Commodity",Commodity_Helper!$D$4:$D$37,D143)^2+SUMIFS(Commodity_Helper!$K$4:$K$37,Commodity_Helper!$A$4:$A$37,A143,Commodity_Helper!$B$4:$B$37,B143,Commodity_Helper!$C$4:$C$37,"Commodity",Commodity_Helper!$D$4:$D$37,D143),0))</x:f>
        <x:v>5688000.000000001</x:v>
      </x:c>
      <x:c r="K143" s="40" t="n">
        <x:v>0</x:v>
      </x:c>
      <x:c r="L143" s="43" t="n">
        <x:v>5688000.000000001</x:v>
      </x:c>
      <x:c r="M143" s="43" t="n">
        <x:f>J143-L143</x:f>
        <x:v>0</x:v>
      </x:c>
      <x:c r="N143" s="27" t="str">
        <x:f>IF(ABS(M143)&lt;0.01,"OK","CHECK")</x:f>
        <x:v>OK</x:v>
      </x:c>
    </x:row>
    <x:row r="144">
      <x:c r="A144" s="27" t="str">
        <x:v>IND_BANK_001</x:v>
      </x:c>
      <x:c r="B144" s="27" t="str">
        <x:v>3172</x:v>
      </x:c>
      <x:c r="C144" s="27" t="str">
        <x:v>Commodity</x:v>
      </x:c>
      <x:c r="D144" s="27" t="str">
        <x:v>Metals</x:v>
      </x:c>
      <x:c r="E144" s="27" t="str">
        <x:v>Commodity group/type correlation</x:v>
      </x:c>
      <x:c r="F144" s="40"/>
      <x:c r="G144" s="40"/>
      <x:c r="H144" s="40"/>
      <x:c r="I144" s="40"/>
      <x:c r="J144" s="43" t="n">
        <x:f>SQRT(MAX(SUMIFS(Commodity_Helper!$J$4:$J$37,Commodity_Helper!$A$4:$A$37,A144,Commodity_Helper!$B$4:$B$37,B144,Commodity_Helper!$C$4:$C$37,"Commodity",Commodity_Helper!$D$4:$D$37,D144)^2+SUMIFS(Commodity_Helper!$K$4:$K$37,Commodity_Helper!$A$4:$A$37,A144,Commodity_Helper!$B$4:$B$37,B144,Commodity_Helper!$C$4:$C$37,"Commodity",Commodity_Helper!$D$4:$D$37,D144),0))</x:f>
        <x:v>1020600.0000000001</x:v>
      </x:c>
      <x:c r="K144" s="40" t="n">
        <x:v>0</x:v>
      </x:c>
      <x:c r="L144" s="43" t="n">
        <x:v>1020600.0000000001</x:v>
      </x:c>
      <x:c r="M144" s="43" t="n">
        <x:f>J144-L144</x:f>
        <x:v>0</x:v>
      </x:c>
      <x:c r="N144" s="27" t="str">
        <x:f>IF(ABS(M144)&lt;0.01,"OK","CHECK")</x:f>
        <x:v>OK</x:v>
      </x:c>
    </x:row>
    <x:row r="145">
      <x:c r="A145" s="27" t="str">
        <x:v>IND_BANK_001</x:v>
      </x:c>
      <x:c r="B145" s="27" t="str">
        <x:v>3348</x:v>
      </x:c>
      <x:c r="C145" s="27" t="str">
        <x:v>Commodity</x:v>
      </x:c>
      <x:c r="D145" s="27" t="str">
        <x:v>Metals</x:v>
      </x:c>
      <x:c r="E145" s="27" t="str">
        <x:v>Commodity group/type correlation</x:v>
      </x:c>
      <x:c r="F145" s="40"/>
      <x:c r="G145" s="40"/>
      <x:c r="H145" s="40"/>
      <x:c r="I145" s="40"/>
      <x:c r="J145" s="43" t="n">
        <x:f>SQRT(MAX(SUMIFS(Commodity_Helper!$J$4:$J$37,Commodity_Helper!$A$4:$A$37,A145,Commodity_Helper!$B$4:$B$37,B145,Commodity_Helper!$C$4:$C$37,"Commodity",Commodity_Helper!$D$4:$D$37,D145)^2+SUMIFS(Commodity_Helper!$K$4:$K$37,Commodity_Helper!$A$4:$A$37,A145,Commodity_Helper!$B$4:$B$37,B145,Commodity_Helper!$C$4:$C$37,"Commodity",Commodity_Helper!$D$4:$D$37,D145),0))</x:f>
        <x:v>9288000</x:v>
      </x:c>
      <x:c r="K145" s="40" t="n">
        <x:v>0</x:v>
      </x:c>
      <x:c r="L145" s="43" t="n">
        <x:v>9288000</x:v>
      </x:c>
      <x:c r="M145" s="43" t="n">
        <x:f>J145-L145</x:f>
        <x:v>0</x:v>
      </x:c>
      <x:c r="N145" s="27" t="str">
        <x:f>IF(ABS(M145)&lt;0.01,"OK","CHECK")</x:f>
        <x:v>OK</x:v>
      </x:c>
    </x:row>
    <x:row r="146">
      <x:c r="A146" s="27" t="str">
        <x:v>IND_BANK_002</x:v>
      </x:c>
      <x:c r="B146" s="27" t="str">
        <x:v>3259</x:v>
      </x:c>
      <x:c r="C146" s="27" t="str">
        <x:v>Commodity</x:v>
      </x:c>
      <x:c r="D146" s="27" t="str">
        <x:v>Energy</x:v>
      </x:c>
      <x:c r="E146" s="27" t="str">
        <x:v>Commodity group/type correlation</x:v>
      </x:c>
      <x:c r="F146" s="40"/>
      <x:c r="G146" s="40"/>
      <x:c r="H146" s="40"/>
      <x:c r="I146" s="40"/>
      <x:c r="J146" s="43" t="n">
        <x:f>SQRT(MAX(SUMIFS(Commodity_Helper!$J$4:$J$37,Commodity_Helper!$A$4:$A$37,A146,Commodity_Helper!$B$4:$B$37,B146,Commodity_Helper!$C$4:$C$37,"Commodity",Commodity_Helper!$D$4:$D$37,D146)^2+SUMIFS(Commodity_Helper!$K$4:$K$37,Commodity_Helper!$A$4:$A$37,A146,Commodity_Helper!$B$4:$B$37,B146,Commodity_Helper!$C$4:$C$37,"Commodity",Commodity_Helper!$D$4:$D$37,D146),0))</x:f>
        <x:v>729000</x:v>
      </x:c>
      <x:c r="K146" s="40" t="n">
        <x:v>0</x:v>
      </x:c>
      <x:c r="L146" s="43" t="n">
        <x:v>729000</x:v>
      </x:c>
      <x:c r="M146" s="43" t="n">
        <x:f>J146-L146</x:f>
        <x:v>0</x:v>
      </x:c>
      <x:c r="N146" s="27" t="str">
        <x:f>IF(ABS(M146)&lt;0.01,"OK","CHECK")</x:f>
        <x:v>OK</x:v>
      </x:c>
    </x:row>
    <x:row r="147">
      <x:c r="A147" s="27" t="str">
        <x:v>IND_BANK_002</x:v>
      </x:c>
      <x:c r="B147" s="27" t="str">
        <x:v>3259</x:v>
      </x:c>
      <x:c r="C147" s="27" t="str">
        <x:v>Commodity</x:v>
      </x:c>
      <x:c r="D147" s="27" t="str">
        <x:v>Metals</x:v>
      </x:c>
      <x:c r="E147" s="27" t="str">
        <x:v>Commodity group/type correlation</x:v>
      </x:c>
      <x:c r="F147" s="40"/>
      <x:c r="G147" s="40"/>
      <x:c r="H147" s="40"/>
      <x:c r="I147" s="40"/>
      <x:c r="J147" s="43" t="n">
        <x:f>SQRT(MAX(SUMIFS(Commodity_Helper!$J$4:$J$37,Commodity_Helper!$A$4:$A$37,A147,Commodity_Helper!$B$4:$B$37,B147,Commodity_Helper!$C$4:$C$37,"Commodity",Commodity_Helper!$D$4:$D$37,D147)^2+SUMIFS(Commodity_Helper!$K$4:$K$37,Commodity_Helper!$A$4:$A$37,A147,Commodity_Helper!$B$4:$B$37,B147,Commodity_Helper!$C$4:$C$37,"Commodity",Commodity_Helper!$D$4:$D$37,D147),0))</x:f>
        <x:v>4189074.667346968</x:v>
      </x:c>
      <x:c r="K147" s="40" t="n">
        <x:v>0</x:v>
      </x:c>
      <x:c r="L147" s="43" t="n">
        <x:v>4189074.667346969</x:v>
      </x:c>
      <x:c r="M147" s="43" t="n">
        <x:f>J147-L147</x:f>
        <x:v>-9.313225746154785e-10</x:v>
      </x:c>
      <x:c r="N147" s="27" t="str">
        <x:f>IF(ABS(M147)&lt;0.01,"OK","CHECK")</x:f>
        <x:v>OK</x:v>
      </x:c>
    </x:row>
    <x:row r="148">
      <x:c r="A148" s="27" t="str">
        <x:v>IND_BANK_002</x:v>
      </x:c>
      <x:c r="B148" s="27" t="str">
        <x:v>3323</x:v>
      </x:c>
      <x:c r="C148" s="27" t="str">
        <x:v>Commodity</x:v>
      </x:c>
      <x:c r="D148" s="27" t="str">
        <x:v>Metals</x:v>
      </x:c>
      <x:c r="E148" s="27" t="str">
        <x:v>Commodity group/type correlation</x:v>
      </x:c>
      <x:c r="F148" s="40"/>
      <x:c r="G148" s="40"/>
      <x:c r="H148" s="40"/>
      <x:c r="I148" s="40"/>
      <x:c r="J148" s="43" t="n">
        <x:f>SQRT(MAX(SUMIFS(Commodity_Helper!$J$4:$J$37,Commodity_Helper!$A$4:$A$37,A148,Commodity_Helper!$B$4:$B$37,B148,Commodity_Helper!$C$4:$C$37,"Commodity",Commodity_Helper!$D$4:$D$37,D148)^2+SUMIFS(Commodity_Helper!$K$4:$K$37,Commodity_Helper!$A$4:$A$37,A148,Commodity_Helper!$B$4:$B$37,B148,Commodity_Helper!$C$4:$C$37,"Commodity",Commodity_Helper!$D$4:$D$37,D148),0))</x:f>
        <x:v>1116000</x:v>
      </x:c>
      <x:c r="K148" s="40" t="n">
        <x:v>0</x:v>
      </x:c>
      <x:c r="L148" s="43" t="n">
        <x:v>1116000</x:v>
      </x:c>
      <x:c r="M148" s="43" t="n">
        <x:f>J148-L148</x:f>
        <x:v>0</x:v>
      </x:c>
      <x:c r="N148" s="27" t="str">
        <x:f>IF(ABS(M148)&lt;0.01,"OK","CHECK")</x:f>
        <x:v>OK</x:v>
      </x:c>
    </x:row>
    <x:row r="149">
      <x:c r="A149" s="27" t="str">
        <x:v>IND_CLEARING_MEMBER_001</x:v>
      </x:c>
      <x:c r="B149" s="27" t="str">
        <x:v>3186</x:v>
      </x:c>
      <x:c r="C149" s="27" t="str">
        <x:v>Commodity</x:v>
      </x:c>
      <x:c r="D149" s="27" t="str">
        <x:v>Energy</x:v>
      </x:c>
      <x:c r="E149" s="27" t="str">
        <x:v>Commodity group/type correlation</x:v>
      </x:c>
      <x:c r="F149" s="40"/>
      <x:c r="G149" s="40"/>
      <x:c r="H149" s="40"/>
      <x:c r="I149" s="40"/>
      <x:c r="J149" s="43" t="n">
        <x:f>SQRT(MAX(SUMIFS(Commodity_Helper!$J$4:$J$37,Commodity_Helper!$A$4:$A$37,A149,Commodity_Helper!$B$4:$B$37,B149,Commodity_Helper!$C$4:$C$37,"Commodity",Commodity_Helper!$D$4:$D$37,D149)^2+SUMIFS(Commodity_Helper!$K$4:$K$37,Commodity_Helper!$A$4:$A$37,A149,Commodity_Helper!$B$4:$B$37,B149,Commodity_Helper!$C$4:$C$37,"Commodity",Commodity_Helper!$D$4:$D$37,D149),0))</x:f>
        <x:v>3384000</x:v>
      </x:c>
      <x:c r="K149" s="40" t="n">
        <x:v>0</x:v>
      </x:c>
      <x:c r="L149" s="43" t="n">
        <x:v>3384000</x:v>
      </x:c>
      <x:c r="M149" s="43" t="n">
        <x:f>J149-L149</x:f>
        <x:v>0</x:v>
      </x:c>
      <x:c r="N149" s="27" t="str">
        <x:f>IF(ABS(M149)&lt;0.01,"OK","CHECK")</x:f>
        <x:v>OK</x:v>
      </x:c>
    </x:row>
    <x:row r="150">
      <x:c r="A150" s="27" t="str">
        <x:v>IND_CLEARING_MEMBER_001</x:v>
      </x:c>
      <x:c r="B150" s="27" t="str">
        <x:v>3186</x:v>
      </x:c>
      <x:c r="C150" s="27" t="str">
        <x:v>Commodity</x:v>
      </x:c>
      <x:c r="D150" s="27" t="str">
        <x:v>Metals</x:v>
      </x:c>
      <x:c r="E150" s="27" t="str">
        <x:v>Commodity group/type correlation</x:v>
      </x:c>
      <x:c r="F150" s="40"/>
      <x:c r="G150" s="40"/>
      <x:c r="H150" s="40"/>
      <x:c r="I150" s="40"/>
      <x:c r="J150" s="43" t="n">
        <x:f>SQRT(MAX(SUMIFS(Commodity_Helper!$J$4:$J$37,Commodity_Helper!$A$4:$A$37,A150,Commodity_Helper!$B$4:$B$37,B150,Commodity_Helper!$C$4:$C$37,"Commodity",Commodity_Helper!$D$4:$D$37,D150)^2+SUMIFS(Commodity_Helper!$K$4:$K$37,Commodity_Helper!$A$4:$A$37,A150,Commodity_Helper!$B$4:$B$37,B150,Commodity_Helper!$C$4:$C$37,"Commodity",Commodity_Helper!$D$4:$D$37,D150),0))</x:f>
        <x:v>2369829.4346181876</x:v>
      </x:c>
      <x:c r="K150" s="40" t="n">
        <x:v>0</x:v>
      </x:c>
      <x:c r="L150" s="43" t="n">
        <x:v>2369829.4346181867</x:v>
      </x:c>
      <x:c r="M150" s="43" t="n">
        <x:f>J150-L150</x:f>
        <x:v>9.313225746154785e-10</x:v>
      </x:c>
      <x:c r="N150" s="27" t="str">
        <x:f>IF(ABS(M150)&lt;0.01,"OK","CHECK")</x:f>
        <x:v>OK</x:v>
      </x:c>
    </x:row>
    <x:row r="151">
      <x:c r="A151" s="27" t="str">
        <x:v>IND_CLEARING_MEMBER_001</x:v>
      </x:c>
      <x:c r="B151" s="27" t="str">
        <x:v>3340</x:v>
      </x:c>
      <x:c r="C151" s="27" t="str">
        <x:v>Commodity</x:v>
      </x:c>
      <x:c r="D151" s="27" t="str">
        <x:v>Energy</x:v>
      </x:c>
      <x:c r="E151" s="27" t="str">
        <x:v>Commodity group/type correlation</x:v>
      </x:c>
      <x:c r="F151" s="40"/>
      <x:c r="G151" s="40"/>
      <x:c r="H151" s="40"/>
      <x:c r="I151" s="40"/>
      <x:c r="J151" s="43" t="n">
        <x:f>SQRT(MAX(SUMIFS(Commodity_Helper!$J$4:$J$37,Commodity_Helper!$A$4:$A$37,A151,Commodity_Helper!$B$4:$B$37,B151,Commodity_Helper!$C$4:$C$37,"Commodity",Commodity_Helper!$D$4:$D$37,D151)^2+SUMIFS(Commodity_Helper!$K$4:$K$37,Commodity_Helper!$A$4:$A$37,A151,Commodity_Helper!$B$4:$B$37,B151,Commodity_Helper!$C$4:$C$37,"Commodity",Commodity_Helper!$D$4:$D$37,D151),0))</x:f>
        <x:v>1272000.0000000002</x:v>
      </x:c>
      <x:c r="K151" s="40" t="n">
        <x:v>0</x:v>
      </x:c>
      <x:c r="L151" s="43" t="n">
        <x:v>1272000.0000000002</x:v>
      </x:c>
      <x:c r="M151" s="43" t="n">
        <x:f>J151-L151</x:f>
        <x:v>0</x:v>
      </x:c>
      <x:c r="N151" s="27" t="str">
        <x:f>IF(ABS(M151)&lt;0.01,"OK","CHECK")</x:f>
        <x:v>OK</x:v>
      </x:c>
    </x:row>
    <x:row r="152">
      <x:c r="A152" s="27" t="str">
        <x:v>IND_CLEARING_MEMBER_001</x:v>
      </x:c>
      <x:c r="B152" s="27" t="str">
        <x:v>3340</x:v>
      </x:c>
      <x:c r="C152" s="27" t="str">
        <x:v>Commodity</x:v>
      </x:c>
      <x:c r="D152" s="27" t="str">
        <x:v>Metals</x:v>
      </x:c>
      <x:c r="E152" s="27" t="str">
        <x:v>Commodity group/type correlation</x:v>
      </x:c>
      <x:c r="F152" s="40"/>
      <x:c r="G152" s="40"/>
      <x:c r="H152" s="40"/>
      <x:c r="I152" s="40"/>
      <x:c r="J152" s="43" t="n">
        <x:f>SQRT(MAX(SUMIFS(Commodity_Helper!$J$4:$J$37,Commodity_Helper!$A$4:$A$37,A152,Commodity_Helper!$B$4:$B$37,B152,Commodity_Helper!$C$4:$C$37,"Commodity",Commodity_Helper!$D$4:$D$37,D152)^2+SUMIFS(Commodity_Helper!$K$4:$K$37,Commodity_Helper!$A$4:$A$37,A152,Commodity_Helper!$B$4:$B$37,B152,Commodity_Helper!$C$4:$C$37,"Commodity",Commodity_Helper!$D$4:$D$37,D152),0))</x:f>
        <x:v>162000.00000000003</x:v>
      </x:c>
      <x:c r="K152" s="40" t="n">
        <x:v>0</x:v>
      </x:c>
      <x:c r="L152" s="43" t="n">
        <x:v>162000.00000000003</x:v>
      </x:c>
      <x:c r="M152" s="43" t="n">
        <x:f>J152-L152</x:f>
        <x:v>0</x:v>
      </x:c>
      <x:c r="N152" s="27" t="str">
        <x:f>IF(ABS(M152)&lt;0.01,"OK","CHECK")</x:f>
        <x:v>OK</x:v>
      </x:c>
    </x:row>
    <x:row r="153">
      <x:c r="A153" s="27" t="str">
        <x:v>IND_CORPORATE_001</x:v>
      </x:c>
      <x:c r="B153" s="27" t="str">
        <x:v>3100</x:v>
      </x:c>
      <x:c r="C153" s="27" t="str">
        <x:v>Commodity</x:v>
      </x:c>
      <x:c r="D153" s="27" t="str">
        <x:v>Energy</x:v>
      </x:c>
      <x:c r="E153" s="27" t="str">
        <x:v>Commodity group/type correlation</x:v>
      </x:c>
      <x:c r="F153" s="40"/>
      <x:c r="G153" s="40"/>
      <x:c r="H153" s="40"/>
      <x:c r="I153" s="40"/>
      <x:c r="J153" s="43" t="n">
        <x:f>SQRT(MAX(SUMIFS(Commodity_Helper!$J$4:$J$37,Commodity_Helper!$A$4:$A$37,A153,Commodity_Helper!$B$4:$B$37,B153,Commodity_Helper!$C$4:$C$37,"Commodity",Commodity_Helper!$D$4:$D$37,D153)^2+SUMIFS(Commodity_Helper!$K$4:$K$37,Commodity_Helper!$A$4:$A$37,A153,Commodity_Helper!$B$4:$B$37,B153,Commodity_Helper!$C$4:$C$37,"Commodity",Commodity_Helper!$D$4:$D$37,D153),0))</x:f>
        <x:v>286200.00000000006</x:v>
      </x:c>
      <x:c r="K153" s="40" t="n">
        <x:v>0</x:v>
      </x:c>
      <x:c r="L153" s="43" t="n">
        <x:v>286200.00000000006</x:v>
      </x:c>
      <x:c r="M153" s="43" t="n">
        <x:f>J153-L153</x:f>
        <x:v>0</x:v>
      </x:c>
      <x:c r="N153" s="27" t="str">
        <x:f>IF(ABS(M153)&lt;0.01,"OK","CHECK")</x:f>
        <x:v>OK</x:v>
      </x:c>
    </x:row>
    <x:row r="154">
      <x:c r="A154" s="27" t="str">
        <x:v>IND_CORPORATE_001</x:v>
      </x:c>
      <x:c r="B154" s="27" t="str">
        <x:v>3100</x:v>
      </x:c>
      <x:c r="C154" s="27" t="str">
        <x:v>Commodity</x:v>
      </x:c>
      <x:c r="D154" s="27" t="str">
        <x:v>Metals</x:v>
      </x:c>
      <x:c r="E154" s="27" t="str">
        <x:v>Commodity group/type correlation</x:v>
      </x:c>
      <x:c r="F154" s="40"/>
      <x:c r="G154" s="40"/>
      <x:c r="H154" s="40"/>
      <x:c r="I154" s="40"/>
      <x:c r="J154" s="43" t="n">
        <x:f>SQRT(MAX(SUMIFS(Commodity_Helper!$J$4:$J$37,Commodity_Helper!$A$4:$A$37,A154,Commodity_Helper!$B$4:$B$37,B154,Commodity_Helper!$C$4:$C$37,"Commodity",Commodity_Helper!$D$4:$D$37,D154)^2+SUMIFS(Commodity_Helper!$K$4:$K$37,Commodity_Helper!$A$4:$A$37,A154,Commodity_Helper!$B$4:$B$37,B154,Commodity_Helper!$C$4:$C$37,"Commodity",Commodity_Helper!$D$4:$D$37,D154),0))</x:f>
        <x:v>675000</x:v>
      </x:c>
      <x:c r="K154" s="40" t="n">
        <x:v>0</x:v>
      </x:c>
      <x:c r="L154" s="43" t="n">
        <x:v>675000</x:v>
      </x:c>
      <x:c r="M154" s="43" t="n">
        <x:f>J154-L154</x:f>
        <x:v>0</x:v>
      </x:c>
      <x:c r="N154" s="27" t="str">
        <x:f>IF(ABS(M154)&lt;0.01,"OK","CHECK")</x:f>
        <x:v>OK</x:v>
      </x:c>
    </x:row>
    <x:row r="155">
      <x:c r="A155" s="27" t="str">
        <x:v>IND_CORPORATE_001</x:v>
      </x:c>
      <x:c r="B155" s="27" t="str">
        <x:v>3358</x:v>
      </x:c>
      <x:c r="C155" s="27" t="str">
        <x:v>Commodity</x:v>
      </x:c>
      <x:c r="D155" s="27" t="str">
        <x:v>Metals</x:v>
      </x:c>
      <x:c r="E155" s="27" t="str">
        <x:v>Commodity group/type correlation</x:v>
      </x:c>
      <x:c r="F155" s="40"/>
      <x:c r="G155" s="40"/>
      <x:c r="H155" s="40"/>
      <x:c r="I155" s="40"/>
      <x:c r="J155" s="43" t="n">
        <x:f>SQRT(MAX(SUMIFS(Commodity_Helper!$J$4:$J$37,Commodity_Helper!$A$4:$A$37,A155,Commodity_Helper!$B$4:$B$37,B155,Commodity_Helper!$C$4:$C$37,"Commodity",Commodity_Helper!$D$4:$D$37,D155)^2+SUMIFS(Commodity_Helper!$K$4:$K$37,Commodity_Helper!$A$4:$A$37,A155,Commodity_Helper!$B$4:$B$37,B155,Commodity_Helper!$C$4:$C$37,"Commodity",Commodity_Helper!$D$4:$D$37,D155),0))</x:f>
        <x:v>1836000</x:v>
      </x:c>
      <x:c r="K155" s="40" t="n">
        <x:v>0</x:v>
      </x:c>
      <x:c r="L155" s="43" t="n">
        <x:v>1836000</x:v>
      </x:c>
      <x:c r="M155" s="43" t="n">
        <x:f>J155-L155</x:f>
        <x:v>0</x:v>
      </x:c>
      <x:c r="N155" s="27" t="str">
        <x:f>IF(ABS(M155)&lt;0.01,"OK","CHECK")</x:f>
        <x:v>OK</x:v>
      </x:c>
    </x:row>
    <x:row r="156">
      <x:c r="A156" s="27" t="str">
        <x:v>IND_CORPORATE_002</x:v>
      </x:c>
      <x:c r="B156" s="27" t="str">
        <x:v>3126</x:v>
      </x:c>
      <x:c r="C156" s="27" t="str">
        <x:v>Commodity</x:v>
      </x:c>
      <x:c r="D156" s="27" t="str">
        <x:v>Energy</x:v>
      </x:c>
      <x:c r="E156" s="27" t="str">
        <x:v>Commodity group/type correlation</x:v>
      </x:c>
      <x:c r="F156" s="40"/>
      <x:c r="G156" s="40"/>
      <x:c r="H156" s="40"/>
      <x:c r="I156" s="40"/>
      <x:c r="J156" s="43" t="n">
        <x:f>SQRT(MAX(SUMIFS(Commodity_Helper!$J$4:$J$37,Commodity_Helper!$A$4:$A$37,A156,Commodity_Helper!$B$4:$B$37,B156,Commodity_Helper!$C$4:$C$37,"Commodity",Commodity_Helper!$D$4:$D$37,D156)^2+SUMIFS(Commodity_Helper!$K$4:$K$37,Commodity_Helper!$A$4:$A$37,A156,Commodity_Helper!$B$4:$B$37,B156,Commodity_Helper!$C$4:$C$37,"Commodity",Commodity_Helper!$D$4:$D$37,D156),0))</x:f>
        <x:v>1657800.0000000002</x:v>
      </x:c>
      <x:c r="K156" s="40" t="n">
        <x:v>0</x:v>
      </x:c>
      <x:c r="L156" s="43" t="n">
        <x:v>1657800.0000000002</x:v>
      </x:c>
      <x:c r="M156" s="43" t="n">
        <x:f>J156-L156</x:f>
        <x:v>0</x:v>
      </x:c>
      <x:c r="N156" s="27" t="str">
        <x:f>IF(ABS(M156)&lt;0.01,"OK","CHECK")</x:f>
        <x:v>OK</x:v>
      </x:c>
    </x:row>
    <x:row r="157">
      <x:c r="A157" s="27" t="str">
        <x:v>IND_CORPORATE_002</x:v>
      </x:c>
      <x:c r="B157" s="27" t="str">
        <x:v>3126</x:v>
      </x:c>
      <x:c r="C157" s="27" t="str">
        <x:v>Commodity</x:v>
      </x:c>
      <x:c r="D157" s="27" t="str">
        <x:v>Metals</x:v>
      </x:c>
      <x:c r="E157" s="27" t="str">
        <x:v>Commodity group/type correlation</x:v>
      </x:c>
      <x:c r="F157" s="40"/>
      <x:c r="G157" s="40"/>
      <x:c r="H157" s="40"/>
      <x:c r="I157" s="40"/>
      <x:c r="J157" s="43" t="n">
        <x:f>SQRT(MAX(SUMIFS(Commodity_Helper!$J$4:$J$37,Commodity_Helper!$A$4:$A$37,A157,Commodity_Helper!$B$4:$B$37,B157,Commodity_Helper!$C$4:$C$37,"Commodity",Commodity_Helper!$D$4:$D$37,D157)^2+SUMIFS(Commodity_Helper!$K$4:$K$37,Commodity_Helper!$A$4:$A$37,A157,Commodity_Helper!$B$4:$B$37,B157,Commodity_Helper!$C$4:$C$37,"Commodity",Commodity_Helper!$D$4:$D$37,D157),0))</x:f>
        <x:v>394200.00000000006</x:v>
      </x:c>
      <x:c r="K157" s="40" t="n">
        <x:v>0</x:v>
      </x:c>
      <x:c r="L157" s="43" t="n">
        <x:v>394200.00000000006</x:v>
      </x:c>
      <x:c r="M157" s="43" t="n">
        <x:f>J157-L157</x:f>
        <x:v>0</x:v>
      </x:c>
      <x:c r="N157" s="27" t="str">
        <x:f>IF(ABS(M157)&lt;0.01,"OK","CHECK")</x:f>
        <x:v>OK</x:v>
      </x:c>
    </x:row>
    <x:row r="158">
      <x:c r="A158" s="27" t="str">
        <x:v>IND_CORPORATE_002</x:v>
      </x:c>
      <x:c r="B158" s="27" t="str">
        <x:v>3130</x:v>
      </x:c>
      <x:c r="C158" s="27" t="str">
        <x:v>Commodity</x:v>
      </x:c>
      <x:c r="D158" s="27" t="str">
        <x:v>Metals</x:v>
      </x:c>
      <x:c r="E158" s="27" t="str">
        <x:v>Commodity group/type correlation</x:v>
      </x:c>
      <x:c r="F158" s="40"/>
      <x:c r="G158" s="40"/>
      <x:c r="H158" s="40"/>
      <x:c r="I158" s="40"/>
      <x:c r="J158" s="43" t="n">
        <x:f>SQRT(MAX(SUMIFS(Commodity_Helper!$J$4:$J$37,Commodity_Helper!$A$4:$A$37,A158,Commodity_Helper!$B$4:$B$37,B158,Commodity_Helper!$C$4:$C$37,"Commodity",Commodity_Helper!$D$4:$D$37,D158)^2+SUMIFS(Commodity_Helper!$K$4:$K$37,Commodity_Helper!$A$4:$A$37,A158,Commodity_Helper!$B$4:$B$37,B158,Commodity_Helper!$C$4:$C$37,"Commodity",Commodity_Helper!$D$4:$D$37,D158),0))</x:f>
        <x:v>2184539.3680102364</x:v>
      </x:c>
      <x:c r="K158" s="40" t="n">
        <x:v>0</x:v>
      </x:c>
      <x:c r="L158" s="43" t="n">
        <x:v>2184539.3680102364</x:v>
      </x:c>
      <x:c r="M158" s="43" t="n">
        <x:f>J158-L158</x:f>
        <x:v>0</x:v>
      </x:c>
      <x:c r="N158" s="27" t="str">
        <x:f>IF(ABS(M158)&lt;0.01,"OK","CHECK")</x:f>
        <x:v>OK</x:v>
      </x:c>
    </x:row>
    <x:row r="159">
      <x:c r="A159" s="27" t="str">
        <x:v>IND_HEDGE_FUND_001</x:v>
      </x:c>
      <x:c r="B159" s="27" t="str">
        <x:v>3109</x:v>
      </x:c>
      <x:c r="C159" s="27" t="str">
        <x:v>Commodity</x:v>
      </x:c>
      <x:c r="D159" s="27" t="str">
        <x:v>Energy</x:v>
      </x:c>
      <x:c r="E159" s="27" t="str">
        <x:v>Commodity group/type correlation</x:v>
      </x:c>
      <x:c r="F159" s="40"/>
      <x:c r="G159" s="40"/>
      <x:c r="H159" s="40"/>
      <x:c r="I159" s="40"/>
      <x:c r="J159" s="43" t="n">
        <x:f>SQRT(MAX(SUMIFS(Commodity_Helper!$J$4:$J$37,Commodity_Helper!$A$4:$A$37,A159,Commodity_Helper!$B$4:$B$37,B159,Commodity_Helper!$C$4:$C$37,"Commodity",Commodity_Helper!$D$4:$D$37,D159)^2+SUMIFS(Commodity_Helper!$K$4:$K$37,Commodity_Helper!$A$4:$A$37,A159,Commodity_Helper!$B$4:$B$37,B159,Commodity_Helper!$C$4:$C$37,"Commodity",Commodity_Helper!$D$4:$D$37,D159),0))</x:f>
        <x:v>59400.00000000001</x:v>
      </x:c>
      <x:c r="K159" s="40" t="n">
        <x:v>0</x:v>
      </x:c>
      <x:c r="L159" s="43" t="n">
        <x:v>59400.00000000001</x:v>
      </x:c>
      <x:c r="M159" s="43" t="n">
        <x:f>J159-L159</x:f>
        <x:v>0</x:v>
      </x:c>
      <x:c r="N159" s="27" t="str">
        <x:f>IF(ABS(M159)&lt;0.01,"OK","CHECK")</x:f>
        <x:v>OK</x:v>
      </x:c>
    </x:row>
    <x:row r="160">
      <x:c r="A160" s="27" t="str">
        <x:v>IND_HEDGE_FUND_001</x:v>
      </x:c>
      <x:c r="B160" s="27" t="str">
        <x:v>3109</x:v>
      </x:c>
      <x:c r="C160" s="27" t="str">
        <x:v>Commodity</x:v>
      </x:c>
      <x:c r="D160" s="27" t="str">
        <x:v>Metals</x:v>
      </x:c>
      <x:c r="E160" s="27" t="str">
        <x:v>Commodity group/type correlation</x:v>
      </x:c>
      <x:c r="F160" s="40"/>
      <x:c r="G160" s="40"/>
      <x:c r="H160" s="40"/>
      <x:c r="I160" s="40"/>
      <x:c r="J160" s="43" t="n">
        <x:f>SQRT(MAX(SUMIFS(Commodity_Helper!$J$4:$J$37,Commodity_Helper!$A$4:$A$37,A160,Commodity_Helper!$B$4:$B$37,B160,Commodity_Helper!$C$4:$C$37,"Commodity",Commodity_Helper!$D$4:$D$37,D160)^2+SUMIFS(Commodity_Helper!$K$4:$K$37,Commodity_Helper!$A$4:$A$37,A160,Commodity_Helper!$B$4:$B$37,B160,Commodity_Helper!$C$4:$C$37,"Commodity",Commodity_Helper!$D$4:$D$37,D160),0))</x:f>
        <x:v>3510551.576404154</x:v>
      </x:c>
      <x:c r="K160" s="40" t="n">
        <x:v>0</x:v>
      </x:c>
      <x:c r="L160" s="43" t="n">
        <x:v>3510551.5764041524</x:v>
      </x:c>
      <x:c r="M160" s="43" t="n">
        <x:f>J160-L160</x:f>
        <x:v>1.3969838619232178e-9</x:v>
      </x:c>
      <x:c r="N160" s="27" t="str">
        <x:f>IF(ABS(M160)&lt;0.01,"OK","CHECK")</x:f>
        <x:v>OK</x:v>
      </x:c>
    </x:row>
    <x:row r="161">
      <x:c r="A161" s="27" t="str">
        <x:v>IND_INSURER_001</x:v>
      </x:c>
      <x:c r="B161" s="27" t="str">
        <x:v>3257</x:v>
      </x:c>
      <x:c r="C161" s="27" t="str">
        <x:v>Commodity</x:v>
      </x:c>
      <x:c r="D161" s="27" t="str">
        <x:v>Energy</x:v>
      </x:c>
      <x:c r="E161" s="27" t="str">
        <x:v>Commodity group/type correlation</x:v>
      </x:c>
      <x:c r="F161" s="40"/>
      <x:c r="G161" s="40"/>
      <x:c r="H161" s="40"/>
      <x:c r="I161" s="40"/>
      <x:c r="J161" s="43" t="n">
        <x:f>SQRT(MAX(SUMIFS(Commodity_Helper!$J$4:$J$37,Commodity_Helper!$A$4:$A$37,A161,Commodity_Helper!$B$4:$B$37,B161,Commodity_Helper!$C$4:$C$37,"Commodity",Commodity_Helper!$D$4:$D$37,D161)^2+SUMIFS(Commodity_Helper!$K$4:$K$37,Commodity_Helper!$A$4:$A$37,A161,Commodity_Helper!$B$4:$B$37,B161,Commodity_Helper!$C$4:$C$37,"Commodity",Commodity_Helper!$D$4:$D$37,D161),0))</x:f>
        <x:v>259200.00000000003</x:v>
      </x:c>
      <x:c r="K161" s="40" t="n">
        <x:v>0</x:v>
      </x:c>
      <x:c r="L161" s="43" t="n">
        <x:v>259200.00000000003</x:v>
      </x:c>
      <x:c r="M161" s="43" t="n">
        <x:f>J161-L161</x:f>
        <x:v>0</x:v>
      </x:c>
      <x:c r="N161" s="27" t="str">
        <x:f>IF(ABS(M161)&lt;0.01,"OK","CHECK")</x:f>
        <x:v>OK</x:v>
      </x:c>
    </x:row>
    <x:row r="162">
      <x:c r="A162" s="27" t="str">
        <x:v>IND_INSURER_001</x:v>
      </x:c>
      <x:c r="B162" s="27" t="str">
        <x:v>3257</x:v>
      </x:c>
      <x:c r="C162" s="27" t="str">
        <x:v>Commodity</x:v>
      </x:c>
      <x:c r="D162" s="27" t="str">
        <x:v>Metals</x:v>
      </x:c>
      <x:c r="E162" s="27" t="str">
        <x:v>Commodity group/type correlation</x:v>
      </x:c>
      <x:c r="F162" s="40"/>
      <x:c r="G162" s="40"/>
      <x:c r="H162" s="40"/>
      <x:c r="I162" s="40"/>
      <x:c r="J162" s="43" t="n">
        <x:f>SQRT(MAX(SUMIFS(Commodity_Helper!$J$4:$J$37,Commodity_Helper!$A$4:$A$37,A162,Commodity_Helper!$B$4:$B$37,B162,Commodity_Helper!$C$4:$C$37,"Commodity",Commodity_Helper!$D$4:$D$37,D162)^2+SUMIFS(Commodity_Helper!$K$4:$K$37,Commodity_Helper!$A$4:$A$37,A162,Commodity_Helper!$B$4:$B$37,B162,Commodity_Helper!$C$4:$C$37,"Commodity",Commodity_Helper!$D$4:$D$37,D162),0))</x:f>
        <x:v>3780000.0000000005</x:v>
      </x:c>
      <x:c r="K162" s="40" t="n">
        <x:v>0</x:v>
      </x:c>
      <x:c r="L162" s="43" t="n">
        <x:v>3780000.0000000005</x:v>
      </x:c>
      <x:c r="M162" s="43" t="n">
        <x:f>J162-L162</x:f>
        <x:v>0</x:v>
      </x:c>
      <x:c r="N162" s="27" t="str">
        <x:f>IF(ABS(M162)&lt;0.01,"OK","CHECK")</x:f>
        <x:v>OK</x:v>
      </x:c>
    </x:row>
    <x:row r="163">
      <x:c r="A163" s="27" t="str">
        <x:v>IND_PENSION_001</x:v>
      </x:c>
      <x:c r="B163" s="27" t="str">
        <x:v>3060</x:v>
      </x:c>
      <x:c r="C163" s="27" t="str">
        <x:v>Commodity</x:v>
      </x:c>
      <x:c r="D163" s="27" t="str">
        <x:v>Metals</x:v>
      </x:c>
      <x:c r="E163" s="27" t="str">
        <x:v>Commodity group/type correlation</x:v>
      </x:c>
      <x:c r="F163" s="40"/>
      <x:c r="G163" s="40"/>
      <x:c r="H163" s="40"/>
      <x:c r="I163" s="40"/>
      <x:c r="J163" s="43" t="n">
        <x:f>SQRT(MAX(SUMIFS(Commodity_Helper!$J$4:$J$37,Commodity_Helper!$A$4:$A$37,A163,Commodity_Helper!$B$4:$B$37,B163,Commodity_Helper!$C$4:$C$37,"Commodity",Commodity_Helper!$D$4:$D$37,D163)^2+SUMIFS(Commodity_Helper!$K$4:$K$37,Commodity_Helper!$A$4:$A$37,A163,Commodity_Helper!$B$4:$B$37,B163,Commodity_Helper!$C$4:$C$37,"Commodity",Commodity_Helper!$D$4:$D$37,D163),0))</x:f>
        <x:v>19759924.51190038</x:v>
      </x:c>
      <x:c r="K163" s="40" t="n">
        <x:v>0</x:v>
      </x:c>
      <x:c r="L163" s="43" t="n">
        <x:v>19759924.511900373</x:v>
      </x:c>
      <x:c r="M163" s="43" t="n">
        <x:f>J163-L163</x:f>
        <x:v>7.450580596923828e-9</x:v>
      </x:c>
      <x:c r="N163" s="27" t="str">
        <x:f>IF(ABS(M163)&lt;0.01,"OK","CHECK")</x:f>
        <x:v>OK</x:v>
      </x:c>
    </x:row>
    <x:row r="164">
      <x:c r="A164" s="27" t="str">
        <x:v>IND_PENSION_001</x:v>
      </x:c>
      <x:c r="B164" s="27" t="str">
        <x:v>3113</x:v>
      </x:c>
      <x:c r="C164" s="27" t="str">
        <x:v>Commodity</x:v>
      </x:c>
      <x:c r="D164" s="27" t="str">
        <x:v>Energy</x:v>
      </x:c>
      <x:c r="E164" s="27" t="str">
        <x:v>Commodity group/type correlation</x:v>
      </x:c>
      <x:c r="F164" s="40"/>
      <x:c r="G164" s="40"/>
      <x:c r="H164" s="40"/>
      <x:c r="I164" s="40"/>
      <x:c r="J164" s="43" t="n">
        <x:f>SQRT(MAX(SUMIFS(Commodity_Helper!$J$4:$J$37,Commodity_Helper!$A$4:$A$37,A164,Commodity_Helper!$B$4:$B$37,B164,Commodity_Helper!$C$4:$C$37,"Commodity",Commodity_Helper!$D$4:$D$37,D164)^2+SUMIFS(Commodity_Helper!$K$4:$K$37,Commodity_Helper!$A$4:$A$37,A164,Commodity_Helper!$B$4:$B$37,B164,Commodity_Helper!$C$4:$C$37,"Commodity",Commodity_Helper!$D$4:$D$37,D164),0))</x:f>
        <x:v>264600.00000000006</x:v>
      </x:c>
      <x:c r="K164" s="40" t="n">
        <x:v>0</x:v>
      </x:c>
      <x:c r="L164" s="43" t="n">
        <x:v>264600.00000000006</x:v>
      </x:c>
      <x:c r="M164" s="43" t="n">
        <x:f>J164-L164</x:f>
        <x:v>0</x:v>
      </x:c>
      <x:c r="N164" s="27" t="str">
        <x:f>IF(ABS(M164)&lt;0.01,"OK","CHECK")</x:f>
        <x:v>OK</x:v>
      </x:c>
    </x:row>
    <x:row r="165">
      <x:c r="A165" s="27" t="str">
        <x:v>IND_PENSION_001</x:v>
      </x:c>
      <x:c r="B165" s="27" t="str">
        <x:v>3113</x:v>
      </x:c>
      <x:c r="C165" s="27" t="str">
        <x:v>Commodity</x:v>
      </x:c>
      <x:c r="D165" s="27" t="str">
        <x:v>Metals</x:v>
      </x:c>
      <x:c r="E165" s="27" t="str">
        <x:v>Commodity group/type correlation</x:v>
      </x:c>
      <x:c r="F165" s="40"/>
      <x:c r="G165" s="40"/>
      <x:c r="H165" s="40"/>
      <x:c r="I165" s="40"/>
      <x:c r="J165" s="43" t="n">
        <x:f>SQRT(MAX(SUMIFS(Commodity_Helper!$J$4:$J$37,Commodity_Helper!$A$4:$A$37,A165,Commodity_Helper!$B$4:$B$37,B165,Commodity_Helper!$C$4:$C$37,"Commodity",Commodity_Helper!$D$4:$D$37,D165)^2+SUMIFS(Commodity_Helper!$K$4:$K$37,Commodity_Helper!$A$4:$A$37,A165,Commodity_Helper!$B$4:$B$37,B165,Commodity_Helper!$C$4:$C$37,"Commodity",Commodity_Helper!$D$4:$D$37,D165),0))</x:f>
        <x:v>9644400.000000002</x:v>
      </x:c>
      <x:c r="K165" s="40" t="n">
        <x:v>0</x:v>
      </x:c>
      <x:c r="L165" s="43" t="n">
        <x:v>9644400.000000002</x:v>
      </x:c>
      <x:c r="M165" s="43" t="n">
        <x:f>J165-L165</x:f>
        <x:v>0</x:v>
      </x:c>
      <x:c r="N165" s="27" t="str">
        <x:f>IF(ABS(M165)&lt;0.01,"OK","CHECK")</x:f>
        <x:v>OK</x:v>
      </x:c>
    </x:row>
    <x:row r="166">
      <x:c r="A166" s="27" t="str">
        <x:v>IND_REGIONAL_BANK_001</x:v>
      </x:c>
      <x:c r="B166" s="27" t="str">
        <x:v>3082</x:v>
      </x:c>
      <x:c r="C166" s="27" t="str">
        <x:v>Commodity</x:v>
      </x:c>
      <x:c r="D166" s="27" t="str">
        <x:v>Energy</x:v>
      </x:c>
      <x:c r="E166" s="27" t="str">
        <x:v>Commodity group/type correlation</x:v>
      </x:c>
      <x:c r="F166" s="40"/>
      <x:c r="G166" s="40"/>
      <x:c r="H166" s="40"/>
      <x:c r="I166" s="40"/>
      <x:c r="J166" s="43" t="n">
        <x:f>SQRT(MAX(SUMIFS(Commodity_Helper!$J$4:$J$37,Commodity_Helper!$A$4:$A$37,A166,Commodity_Helper!$B$4:$B$37,B166,Commodity_Helper!$C$4:$C$37,"Commodity",Commodity_Helper!$D$4:$D$37,D166)^2+SUMIFS(Commodity_Helper!$K$4:$K$37,Commodity_Helper!$A$4:$A$37,A166,Commodity_Helper!$B$4:$B$37,B166,Commodity_Helper!$C$4:$C$37,"Commodity",Commodity_Helper!$D$4:$D$37,D166),0))</x:f>
        <x:v>852000.0000000002</x:v>
      </x:c>
      <x:c r="K166" s="40" t="n">
        <x:v>0</x:v>
      </x:c>
      <x:c r="L166" s="43" t="n">
        <x:v>852000.0000000002</x:v>
      </x:c>
      <x:c r="M166" s="43" t="n">
        <x:f>J166-L166</x:f>
        <x:v>0</x:v>
      </x:c>
      <x:c r="N166" s="27" t="str">
        <x:f>IF(ABS(M166)&lt;0.01,"OK","CHECK")</x:f>
        <x:v>OK</x:v>
      </x:c>
    </x:row>
    <x:row r="167">
      <x:c r="A167" s="27" t="str">
        <x:v>IND_REGIONAL_BANK_001</x:v>
      </x:c>
      <x:c r="B167" s="27" t="str">
        <x:v>3082</x:v>
      </x:c>
      <x:c r="C167" s="27" t="str">
        <x:v>Commodity</x:v>
      </x:c>
      <x:c r="D167" s="27" t="str">
        <x:v>Metals</x:v>
      </x:c>
      <x:c r="E167" s="27" t="str">
        <x:v>Commodity group/type correlation</x:v>
      </x:c>
      <x:c r="F167" s="40"/>
      <x:c r="G167" s="40"/>
      <x:c r="H167" s="40"/>
      <x:c r="I167" s="40"/>
      <x:c r="J167" s="43" t="n">
        <x:f>SQRT(MAX(SUMIFS(Commodity_Helper!$J$4:$J$37,Commodity_Helper!$A$4:$A$37,A167,Commodity_Helper!$B$4:$B$37,B167,Commodity_Helper!$C$4:$C$37,"Commodity",Commodity_Helper!$D$4:$D$37,D167)^2+SUMIFS(Commodity_Helper!$K$4:$K$37,Commodity_Helper!$A$4:$A$37,A167,Commodity_Helper!$B$4:$B$37,B167,Commodity_Helper!$C$4:$C$37,"Commodity",Commodity_Helper!$D$4:$D$37,D167),0))</x:f>
        <x:v>5351400.000000001</x:v>
      </x:c>
      <x:c r="K167" s="40" t="n">
        <x:v>0</x:v>
      </x:c>
      <x:c r="L167" s="43" t="n">
        <x:v>5351400.000000001</x:v>
      </x:c>
      <x:c r="M167" s="43" t="n">
        <x:f>J167-L167</x:f>
        <x:v>0</x:v>
      </x:c>
      <x:c r="N167" s="27" t="str">
        <x:f>IF(ABS(M167)&lt;0.01,"OK","CHECK")</x:f>
        <x:v>OK</x:v>
      </x:c>
    </x:row>
    <x:row r="168">
      <x:c r="A168" s="27" t="str">
        <x:v>IND_SOVEREIGN_001</x:v>
      </x:c>
      <x:c r="B168" s="27" t="str">
        <x:v>3126</x:v>
      </x:c>
      <x:c r="C168" s="27" t="str">
        <x:v>Commodity</x:v>
      </x:c>
      <x:c r="D168" s="27" t="str">
        <x:v>Energy</x:v>
      </x:c>
      <x:c r="E168" s="27" t="str">
        <x:v>Commodity group/type correlation</x:v>
      </x:c>
      <x:c r="F168" s="40"/>
      <x:c r="G168" s="40"/>
      <x:c r="H168" s="40"/>
      <x:c r="I168" s="40"/>
      <x:c r="J168" s="43" t="n">
        <x:f>SQRT(MAX(SUMIFS(Commodity_Helper!$J$4:$J$37,Commodity_Helper!$A$4:$A$37,A168,Commodity_Helper!$B$4:$B$37,B168,Commodity_Helper!$C$4:$C$37,"Commodity",Commodity_Helper!$D$4:$D$37,D168)^2+SUMIFS(Commodity_Helper!$K$4:$K$37,Commodity_Helper!$A$4:$A$37,A168,Commodity_Helper!$B$4:$B$37,B168,Commodity_Helper!$C$4:$C$37,"Commodity",Commodity_Helper!$D$4:$D$37,D168),0))</x:f>
        <x:v>6720000</x:v>
      </x:c>
      <x:c r="K168" s="40" t="n">
        <x:v>0</x:v>
      </x:c>
      <x:c r="L168" s="43" t="n">
        <x:v>6720000</x:v>
      </x:c>
      <x:c r="M168" s="43" t="n">
        <x:f>J168-L168</x:f>
        <x:v>0</x:v>
      </x:c>
      <x:c r="N168" s="27" t="str">
        <x:f>IF(ABS(M168)&lt;0.01,"OK","CHECK")</x:f>
        <x:v>OK</x:v>
      </x:c>
    </x:row>
    <x:row r="169">
      <x:c r="A169" s="27" t="str">
        <x:v>IND_SOVEREIGN_001</x:v>
      </x:c>
      <x:c r="B169" s="27" t="str">
        <x:v>3126</x:v>
      </x:c>
      <x:c r="C169" s="27" t="str">
        <x:v>Commodity</x:v>
      </x:c>
      <x:c r="D169" s="27" t="str">
        <x:v>Metals</x:v>
      </x:c>
      <x:c r="E169" s="27" t="str">
        <x:v>Commodity group/type correlation</x:v>
      </x:c>
      <x:c r="F169" s="40"/>
      <x:c r="G169" s="40"/>
      <x:c r="H169" s="40"/>
      <x:c r="I169" s="40"/>
      <x:c r="J169" s="43" t="n">
        <x:f>SQRT(MAX(SUMIFS(Commodity_Helper!$J$4:$J$37,Commodity_Helper!$A$4:$A$37,A169,Commodity_Helper!$B$4:$B$37,B169,Commodity_Helper!$C$4:$C$37,"Commodity",Commodity_Helper!$D$4:$D$37,D169)^2+SUMIFS(Commodity_Helper!$K$4:$K$37,Commodity_Helper!$A$4:$A$37,A169,Commodity_Helper!$B$4:$B$37,B169,Commodity_Helper!$C$4:$C$37,"Commodity",Commodity_Helper!$D$4:$D$37,D169),0))</x:f>
        <x:v>3008085.273896613</x:v>
      </x:c>
      <x:c r="K169" s="40" t="n">
        <x:v>0</x:v>
      </x:c>
      <x:c r="L169" s="43" t="n">
        <x:v>3008085.273896614</x:v>
      </x:c>
      <x:c r="M169" s="43" t="n">
        <x:f>J169-L169</x:f>
        <x:v>-9.313225746154785e-10</x:v>
      </x:c>
      <x:c r="N169" s="27" t="str">
        <x:f>IF(ABS(M169)&lt;0.01,"OK","CHECK")</x:f>
        <x:v>OK</x:v>
      </x:c>
    </x:row>
    <x:row r="170">
      <x:c r="A170" s="27" t="str">
        <x:v>IND_SOVEREIGN_001</x:v>
      </x:c>
      <x:c r="B170" s="27" t="str">
        <x:v>3357</x:v>
      </x:c>
      <x:c r="C170" s="27" t="str">
        <x:v>Commodity</x:v>
      </x:c>
      <x:c r="D170" s="27" t="str">
        <x:v>Energy</x:v>
      </x:c>
      <x:c r="E170" s="27" t="str">
        <x:v>Commodity group/type correlation</x:v>
      </x:c>
      <x:c r="F170" s="40"/>
      <x:c r="G170" s="40"/>
      <x:c r="H170" s="40"/>
      <x:c r="I170" s="40"/>
      <x:c r="J170" s="43" t="n">
        <x:f>SQRT(MAX(SUMIFS(Commodity_Helper!$J$4:$J$37,Commodity_Helper!$A$4:$A$37,A170,Commodity_Helper!$B$4:$B$37,B170,Commodity_Helper!$C$4:$C$37,"Commodity",Commodity_Helper!$D$4:$D$37,D170)^2+SUMIFS(Commodity_Helper!$K$4:$K$37,Commodity_Helper!$A$4:$A$37,A170,Commodity_Helper!$B$4:$B$37,B170,Commodity_Helper!$C$4:$C$37,"Commodity",Commodity_Helper!$D$4:$D$37,D170),0))</x:f>
        <x:v>6288000.000000001</x:v>
      </x:c>
      <x:c r="K170" s="40" t="n">
        <x:v>0</x:v>
      </x:c>
      <x:c r="L170" s="43" t="n">
        <x:v>6288000.000000001</x:v>
      </x:c>
      <x:c r="M170" s="43" t="n">
        <x:f>J170-L170</x:f>
        <x:v>0</x:v>
      </x:c>
      <x:c r="N170" s="27" t="str">
        <x:f>IF(ABS(M170)&lt;0.01,"OK","CHECK")</x:f>
        <x:v>OK</x:v>
      </x:c>
    </x:row>
    <x:row r="171">
      <x:c r="A171" s="27" t="str">
        <x:v>IND_SOVEREIGN_001</x:v>
      </x:c>
      <x:c r="B171" s="27" t="str">
        <x:v>3357</x:v>
      </x:c>
      <x:c r="C171" s="27" t="str">
        <x:v>Commodity</x:v>
      </x:c>
      <x:c r="D171" s="27" t="str">
        <x:v>Metals</x:v>
      </x:c>
      <x:c r="E171" s="27" t="str">
        <x:v>Commodity group/type correlation</x:v>
      </x:c>
      <x:c r="F171" s="40"/>
      <x:c r="G171" s="40"/>
      <x:c r="H171" s="40"/>
      <x:c r="I171" s="40"/>
      <x:c r="J171" s="43" t="n">
        <x:f>SQRT(MAX(SUMIFS(Commodity_Helper!$J$4:$J$37,Commodity_Helper!$A$4:$A$37,A171,Commodity_Helper!$B$4:$B$37,B171,Commodity_Helper!$C$4:$C$37,"Commodity",Commodity_Helper!$D$4:$D$37,D171)^2+SUMIFS(Commodity_Helper!$K$4:$K$37,Commodity_Helper!$A$4:$A$37,A171,Commodity_Helper!$B$4:$B$37,B171,Commodity_Helper!$C$4:$C$37,"Commodity",Commodity_Helper!$D$4:$D$37,D171),0))</x:f>
        <x:v>284488.5021709268</x:v>
      </x:c>
      <x:c r="K171" s="40" t="n">
        <x:v>0</x:v>
      </x:c>
      <x:c r="L171" s="43" t="n">
        <x:v>284488.50217092683</x:v>
      </x:c>
      <x:c r="M171" s="43" t="n">
        <x:f>J171-L171</x:f>
        <x:v>-5.820766091346741e-11</x:v>
      </x:c>
      <x:c r="N171" s="27" t="str">
        <x:f>IF(ABS(M171)&lt;0.01,"OK","CHECK")</x:f>
        <x:v>OK</x:v>
      </x:c>
    </x:row>
  </x:sheetData>
  <x:mergeCells>
    <x:mergeCell ref="A1:N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8799991607666" hidden="0" customWidth="1"/>
    <x:col min="2" max="2" width="16.8799991607666" hidden="0" customWidth="1"/>
    <x:col min="3" max="3" width="16.8799991607666" hidden="0" customWidth="1"/>
    <x:col min="4" max="4" width="16.8799991607666" hidden="0" customWidth="1"/>
    <x:col min="5" max="5" width="16.8799991607666" hidden="0" customWidth="1"/>
    <x:col min="6" max="6" width="16.8799991607666" hidden="0" customWidth="1"/>
    <x:col min="7" max="7" width="16.8799991607666" hidden="0" customWidth="1"/>
  </x:cols>
  <x:sheetData>
    <x:row r="1" ht="22.5" customHeight="1">
      <x:c r="A1" s="26" t="str">
        <x:v>Asset-Class Add-On Reconciliation</x:v>
      </x:c>
      <x:c r="B1" s="26" t="str">
        <x:v>Asset-Class Add-On Reconciliation</x:v>
      </x:c>
      <x:c r="C1" s="26" t="str">
        <x:v>Asset-Class Add-On Reconciliation</x:v>
      </x:c>
      <x:c r="D1" s="26" t="str">
        <x:v>Asset-Class Add-On Reconciliation</x:v>
      </x:c>
      <x:c r="E1" s="26" t="str">
        <x:v>Asset-Class Add-On Reconciliation</x:v>
      </x:c>
      <x:c r="F1" s="26" t="str">
        <x:v>Asset-Class Add-On Reconciliation</x:v>
      </x:c>
      <x:c r="G1" s="26" t="str">
        <x:v>Asset-Class Add-On Reconciliation</x:v>
      </x:c>
    </x:row>
    <x:row r="2">
      <x:c r="A2" s="27"/>
      <x:c r="B2" s="27"/>
      <x:c r="C2" s="27"/>
      <x:c r="D2" s="27"/>
      <x:c r="E2" s="27"/>
      <x:c r="F2" s="27"/>
      <x:c r="G2" s="27"/>
    </x:row>
    <x:row r="3">
      <x:c r="A3" s="28" t="str">
        <x:v>Counterparty ID</x:v>
      </x:c>
      <x:c r="B3" s="28" t="str">
        <x:v>Netting Set ID</x:v>
      </x:c>
      <x:c r="C3" s="28" t="str">
        <x:v>Asset Class</x:v>
      </x:c>
      <x:c r="D3" s="28" t="str">
        <x:v>Excel AddOn Exposure</x:v>
      </x:c>
      <x:c r="E3" s="28" t="str">
        <x:v>Python AddOn Exposure</x:v>
      </x:c>
      <x:c r="F3" s="28" t="str">
        <x:v>Diff</x:v>
      </x:c>
      <x:c r="G3" s="28" t="str">
        <x:v>Pass?</x:v>
      </x:c>
    </x:row>
    <x:row r="4">
      <x:c r="A4" s="27" t="str">
        <x:v>IND_ASSET_MANAGER_001</x:v>
      </x:c>
      <x:c r="B4" s="27" t="str">
        <x:v>3050</x:v>
      </x:c>
      <x:c r="C4" s="27" t="str">
        <x:v>Interest Rate</x:v>
      </x:c>
      <x:c r="D4" s="43" t="n">
        <x:f>SUMIFS(AddOn_Calc!$J$4:$J$171,AddOn_Calc!$A$4:$A$171,A4,AddOn_Calc!$B$4:$B$171,B4,AddOn_Calc!$C$4:$C$171,C4)</x:f>
        <x:v>4094235.42574219</x:v>
      </x:c>
      <x:c r="E4" s="43" t="n">
        <x:v>4094235.42574219</x:v>
      </x:c>
      <x:c r="F4" s="43" t="n">
        <x:f>D4-E4</x:f>
        <x:v>0</x:v>
      </x:c>
      <x:c r="G4" s="27" t="str">
        <x:f>IF(ABS(F4)&lt;0.01,"OK","CHECK")</x:f>
        <x:v>OK</x:v>
      </x:c>
    </x:row>
    <x:row r="5">
      <x:c r="A5" s="27" t="str">
        <x:v>IND_ASSET_MANAGER_001</x:v>
      </x:c>
      <x:c r="B5" s="27" t="str">
        <x:v>3127</x:v>
      </x:c>
      <x:c r="C5" s="27" t="str">
        <x:v>FX</x:v>
      </x:c>
      <x:c r="D5" s="43" t="n">
        <x:f>SUMIFS(AddOn_Calc!$J$4:$J$171,AddOn_Calc!$A$4:$A$171,A5,AddOn_Calc!$B$4:$B$171,B5,AddOn_Calc!$C$4:$C$171,C5)</x:f>
        <x:v>4973943.029593679</x:v>
      </x:c>
      <x:c r="E5" s="43" t="n">
        <x:v>4973943.029593679</x:v>
      </x:c>
      <x:c r="F5" s="43" t="n">
        <x:f>D5-E5</x:f>
        <x:v>0</x:v>
      </x:c>
      <x:c r="G5" s="27" t="str">
        <x:f>IF(ABS(F5)&lt;0.01,"OK","CHECK")</x:f>
        <x:v>OK</x:v>
      </x:c>
    </x:row>
    <x:row r="6">
      <x:c r="A6" s="27" t="str">
        <x:v>IND_ASSET_MANAGER_001</x:v>
      </x:c>
      <x:c r="B6" s="27" t="str">
        <x:v>3167</x:v>
      </x:c>
      <x:c r="C6" s="27" t="str">
        <x:v>Equity</x:v>
      </x:c>
      <x:c r="D6" s="43" t="n">
        <x:f>SUMIFS(AddOn_Calc!$J$4:$J$171,AddOn_Calc!$A$4:$A$171,A6,AddOn_Calc!$B$4:$B$171,B6,AddOn_Calc!$C$4:$C$171,C6)</x:f>
        <x:v>852292.8164948242</x:v>
      </x:c>
      <x:c r="E6" s="43" t="n">
        <x:v>852292.8164948242</x:v>
      </x:c>
      <x:c r="F6" s="43" t="n">
        <x:f>D6-E6</x:f>
        <x:v>0</x:v>
      </x:c>
      <x:c r="G6" s="27" t="str">
        <x:f>IF(ABS(F6)&lt;0.01,"OK","CHECK")</x:f>
        <x:v>OK</x:v>
      </x:c>
    </x:row>
    <x:row r="7">
      <x:c r="A7" s="27" t="str">
        <x:v>IND_ASSET_MANAGER_001</x:v>
      </x:c>
      <x:c r="B7" s="27" t="str">
        <x:v>3205</x:v>
      </x:c>
      <x:c r="C7" s="27" t="str">
        <x:v>Commodity</x:v>
      </x:c>
      <x:c r="D7" s="43" t="n">
        <x:f>SUMIFS(AddOn_Calc!$J$4:$J$171,AddOn_Calc!$A$4:$A$171,A7,AddOn_Calc!$B$4:$B$171,B7,AddOn_Calc!$C$4:$C$171,C7)</x:f>
        <x:v>23958000</x:v>
      </x:c>
      <x:c r="E7" s="43" t="n">
        <x:v>23958000</x:v>
      </x:c>
      <x:c r="F7" s="43" t="n">
        <x:f>D7-E7</x:f>
        <x:v>0</x:v>
      </x:c>
      <x:c r="G7" s="27" t="str">
        <x:f>IF(ABS(F7)&lt;0.01,"OK","CHECK")</x:f>
        <x:v>OK</x:v>
      </x:c>
    </x:row>
    <x:row r="8">
      <x:c r="A8" s="27" t="str">
        <x:v>IND_ASSET_MANAGER_001</x:v>
      </x:c>
      <x:c r="B8" s="27" t="str">
        <x:v>3222</x:v>
      </x:c>
      <x:c r="C8" s="27" t="str">
        <x:v>Interest Rate</x:v>
      </x:c>
      <x:c r="D8" s="43" t="n">
        <x:f>SUMIFS(AddOn_Calc!$J$4:$J$171,AddOn_Calc!$A$4:$A$171,A8,AddOn_Calc!$B$4:$B$171,B8,AddOn_Calc!$C$4:$C$171,C8)</x:f>
        <x:v>859965.1543903996</x:v>
      </x:c>
      <x:c r="E8" s="43" t="n">
        <x:v>859965.1543903996</x:v>
      </x:c>
      <x:c r="F8" s="43" t="n">
        <x:f>D8-E8</x:f>
        <x:v>0</x:v>
      </x:c>
      <x:c r="G8" s="27" t="str">
        <x:f>IF(ABS(F8)&lt;0.01,"OK","CHECK")</x:f>
        <x:v>OK</x:v>
      </x:c>
    </x:row>
    <x:row r="9">
      <x:c r="A9" s="27" t="str">
        <x:v>IND_ASSET_MANAGER_001</x:v>
      </x:c>
      <x:c r="B9" s="27" t="str">
        <x:v>3257</x:v>
      </x:c>
      <x:c r="C9" s="27" t="str">
        <x:v>FX</x:v>
      </x:c>
      <x:c r="D9" s="43" t="n">
        <x:f>SUMIFS(AddOn_Calc!$J$4:$J$171,AddOn_Calc!$A$4:$A$171,A9,AddOn_Calc!$B$4:$B$171,B9,AddOn_Calc!$C$4:$C$171,C9)</x:f>
        <x:v>516000</x:v>
      </x:c>
      <x:c r="E9" s="43" t="n">
        <x:v>516000</x:v>
      </x:c>
      <x:c r="F9" s="43" t="n">
        <x:f>D9-E9</x:f>
        <x:v>0</x:v>
      </x:c>
      <x:c r="G9" s="27" t="str">
        <x:f>IF(ABS(F9)&lt;0.01,"OK","CHECK")</x:f>
        <x:v>OK</x:v>
      </x:c>
    </x:row>
    <x:row r="10">
      <x:c r="A10" s="27" t="str">
        <x:v>IND_ASSET_MANAGER_001</x:v>
      </x:c>
      <x:c r="B10" s="27" t="str">
        <x:v>3277</x:v>
      </x:c>
      <x:c r="C10" s="27" t="str">
        <x:v>Credit</x:v>
      </x:c>
      <x:c r="D10" s="43" t="n">
        <x:f>SUMIFS(AddOn_Calc!$J$4:$J$171,AddOn_Calc!$A$4:$A$171,A10,AddOn_Calc!$B$4:$B$171,B10,AddOn_Calc!$C$4:$C$171,C10)</x:f>
        <x:v>1034965.2168045277</x:v>
      </x:c>
      <x:c r="E10" s="43" t="n">
        <x:v>1034965.2168045277</x:v>
      </x:c>
      <x:c r="F10" s="43" t="n">
        <x:f>D10-E10</x:f>
        <x:v>0</x:v>
      </x:c>
      <x:c r="G10" s="27" t="str">
        <x:f>IF(ABS(F10)&lt;0.01,"OK","CHECK")</x:f>
        <x:v>OK</x:v>
      </x:c>
    </x:row>
    <x:row r="11">
      <x:c r="A11" s="27" t="str">
        <x:v>IND_ASSET_MANAGER_001</x:v>
      </x:c>
      <x:c r="B11" s="27" t="str">
        <x:v>3331</x:v>
      </x:c>
      <x:c r="C11" s="27" t="str">
        <x:v>Commodity</x:v>
      </x:c>
      <x:c r="D11" s="43" t="n">
        <x:f>SUMIFS(AddOn_Calc!$J$4:$J$171,AddOn_Calc!$A$4:$A$171,A11,AddOn_Calc!$B$4:$B$171,B11,AddOn_Calc!$C$4:$C$171,C11)</x:f>
        <x:v>2611854.081972236</x:v>
      </x:c>
      <x:c r="E11" s="43" t="n">
        <x:v>2611854.081972236</x:v>
      </x:c>
      <x:c r="F11" s="43" t="n">
        <x:f>D11-E11</x:f>
        <x:v>0</x:v>
      </x:c>
      <x:c r="G11" s="27" t="str">
        <x:f>IF(ABS(F11)&lt;0.01,"OK","CHECK")</x:f>
        <x:v>OK</x:v>
      </x:c>
    </x:row>
    <x:row r="12">
      <x:c r="A12" s="27" t="str">
        <x:v>IND_BANK_001</x:v>
      </x:c>
      <x:c r="B12" s="27" t="str">
        <x:v>3142</x:v>
      </x:c>
      <x:c r="C12" s="27" t="str">
        <x:v>FX</x:v>
      </x:c>
      <x:c r="D12" s="43" t="n">
        <x:f>SUMIFS(AddOn_Calc!$J$4:$J$171,AddOn_Calc!$A$4:$A$171,A12,AddOn_Calc!$B$4:$B$171,B12,AddOn_Calc!$C$4:$C$171,C12)</x:f>
        <x:v>1355186.4543564839</x:v>
      </x:c>
      <x:c r="E12" s="43" t="n">
        <x:v>1355186.4543564839</x:v>
      </x:c>
      <x:c r="F12" s="43" t="n">
        <x:f>D12-E12</x:f>
        <x:v>0</x:v>
      </x:c>
      <x:c r="G12" s="27" t="str">
        <x:f>IF(ABS(F12)&lt;0.01,"OK","CHECK")</x:f>
        <x:v>OK</x:v>
      </x:c>
    </x:row>
    <x:row r="13">
      <x:c r="A13" s="27" t="str">
        <x:v>IND_BANK_001</x:v>
      </x:c>
      <x:c r="B13" s="27" t="str">
        <x:v>3172</x:v>
      </x:c>
      <x:c r="C13" s="27" t="str">
        <x:v>Commodity</x:v>
      </x:c>
      <x:c r="D13" s="43" t="n">
        <x:f>SUMIFS(AddOn_Calc!$J$4:$J$171,AddOn_Calc!$A$4:$A$171,A13,AddOn_Calc!$B$4:$B$171,B13,AddOn_Calc!$C$4:$C$171,C13)</x:f>
        <x:v>6708600.000000001</x:v>
      </x:c>
      <x:c r="E13" s="43" t="n">
        <x:v>6708600.000000001</x:v>
      </x:c>
      <x:c r="F13" s="43" t="n">
        <x:f>D13-E13</x:f>
        <x:v>0</x:v>
      </x:c>
      <x:c r="G13" s="27" t="str">
        <x:f>IF(ABS(F13)&lt;0.01,"OK","CHECK")</x:f>
        <x:v>OK</x:v>
      </x:c>
    </x:row>
    <x:row r="14">
      <x:c r="A14" s="27" t="str">
        <x:v>IND_BANK_001</x:v>
      </x:c>
      <x:c r="B14" s="27" t="str">
        <x:v>3214</x:v>
      </x:c>
      <x:c r="C14" s="27" t="str">
        <x:v>FX</x:v>
      </x:c>
      <x:c r="D14" s="43" t="n">
        <x:f>SUMIFS(AddOn_Calc!$J$4:$J$171,AddOn_Calc!$A$4:$A$171,A14,AddOn_Calc!$B$4:$B$171,B14,AddOn_Calc!$C$4:$C$171,C14)</x:f>
        <x:v>5840141.476813776</x:v>
      </x:c>
      <x:c r="E14" s="43" t="n">
        <x:v>5840141.476813776</x:v>
      </x:c>
      <x:c r="F14" s="43" t="n">
        <x:f>D14-E14</x:f>
        <x:v>0</x:v>
      </x:c>
      <x:c r="G14" s="27" t="str">
        <x:f>IF(ABS(F14)&lt;0.01,"OK","CHECK")</x:f>
        <x:v>OK</x:v>
      </x:c>
    </x:row>
    <x:row r="15">
      <x:c r="A15" s="27" t="str">
        <x:v>IND_BANK_001</x:v>
      </x:c>
      <x:c r="B15" s="27" t="str">
        <x:v>3219</x:v>
      </x:c>
      <x:c r="C15" s="27" t="str">
        <x:v>Interest Rate</x:v>
      </x:c>
      <x:c r="D15" s="43" t="n">
        <x:f>SUMIFS(AddOn_Calc!$J$4:$J$171,AddOn_Calc!$A$4:$A$171,A15,AddOn_Calc!$B$4:$B$171,B15,AddOn_Calc!$C$4:$C$171,C15)</x:f>
        <x:v>14380900.126693899</x:v>
      </x:c>
      <x:c r="E15" s="43" t="n">
        <x:v>14380900.126693899</x:v>
      </x:c>
      <x:c r="F15" s="43" t="n">
        <x:f>D15-E15</x:f>
        <x:v>0</x:v>
      </x:c>
      <x:c r="G15" s="27" t="str">
        <x:f>IF(ABS(F15)&lt;0.01,"OK","CHECK")</x:f>
        <x:v>OK</x:v>
      </x:c>
    </x:row>
    <x:row r="16">
      <x:c r="A16" s="27" t="str">
        <x:v>IND_BANK_001</x:v>
      </x:c>
      <x:c r="B16" s="27" t="str">
        <x:v>3324</x:v>
      </x:c>
      <x:c r="C16" s="27" t="str">
        <x:v>Interest Rate</x:v>
      </x:c>
      <x:c r="D16" s="43" t="n">
        <x:f>SUMIFS(AddOn_Calc!$J$4:$J$171,AddOn_Calc!$A$4:$A$171,A16,AddOn_Calc!$B$4:$B$171,B16,AddOn_Calc!$C$4:$C$171,C16)</x:f>
        <x:v>804910.4773212625</x:v>
      </x:c>
      <x:c r="E16" s="43" t="n">
        <x:v>804910.4773212625</x:v>
      </x:c>
      <x:c r="F16" s="43" t="n">
        <x:f>D16-E16</x:f>
        <x:v>0</x:v>
      </x:c>
      <x:c r="G16" s="27" t="str">
        <x:f>IF(ABS(F16)&lt;0.01,"OK","CHECK")</x:f>
        <x:v>OK</x:v>
      </x:c>
    </x:row>
    <x:row r="17">
      <x:c r="A17" s="27" t="str">
        <x:v>IND_BANK_001</x:v>
      </x:c>
      <x:c r="B17" s="27" t="str">
        <x:v>3348</x:v>
      </x:c>
      <x:c r="C17" s="27" t="str">
        <x:v>Commodity</x:v>
      </x:c>
      <x:c r="D17" s="43" t="n">
        <x:f>SUMIFS(AddOn_Calc!$J$4:$J$171,AddOn_Calc!$A$4:$A$171,A17,AddOn_Calc!$B$4:$B$171,B17,AddOn_Calc!$C$4:$C$171,C17)</x:f>
        <x:v>9288000</x:v>
      </x:c>
      <x:c r="E17" s="43" t="n">
        <x:v>9288000</x:v>
      </x:c>
      <x:c r="F17" s="43" t="n">
        <x:f>D17-E17</x:f>
        <x:v>0</x:v>
      </x:c>
      <x:c r="G17" s="27" t="str">
        <x:f>IF(ABS(F17)&lt;0.01,"OK","CHECK")</x:f>
        <x:v>OK</x:v>
      </x:c>
    </x:row>
    <x:row r="18">
      <x:c r="A18" s="27" t="str">
        <x:v>IND_BANK_001</x:v>
      </x:c>
      <x:c r="B18" s="27" t="str">
        <x:v>3372</x:v>
      </x:c>
      <x:c r="C18" s="27" t="str">
        <x:v>Credit</x:v>
      </x:c>
      <x:c r="D18" s="43" t="n">
        <x:f>SUMIFS(AddOn_Calc!$J$4:$J$171,AddOn_Calc!$A$4:$A$171,A18,AddOn_Calc!$B$4:$B$171,B18,AddOn_Calc!$C$4:$C$171,C18)</x:f>
        <x:v>623711.9947243913</x:v>
      </x:c>
      <x:c r="E18" s="43" t="n">
        <x:v>623711.9947243913</x:v>
      </x:c>
      <x:c r="F18" s="43" t="n">
        <x:f>D18-E18</x:f>
        <x:v>0</x:v>
      </x:c>
      <x:c r="G18" s="27" t="str">
        <x:f>IF(ABS(F18)&lt;0.01,"OK","CHECK")</x:f>
        <x:v>OK</x:v>
      </x:c>
    </x:row>
    <x:row r="19">
      <x:c r="A19" s="27" t="str">
        <x:v>IND_BANK_002</x:v>
      </x:c>
      <x:c r="B19" s="27" t="str">
        <x:v>3049</x:v>
      </x:c>
      <x:c r="C19" s="27" t="str">
        <x:v>Interest Rate</x:v>
      </x:c>
      <x:c r="D19" s="43" t="n">
        <x:f>SUMIFS(AddOn_Calc!$J$4:$J$171,AddOn_Calc!$A$4:$A$171,A19,AddOn_Calc!$B$4:$B$171,B19,AddOn_Calc!$C$4:$C$171,C19)</x:f>
        <x:v>19318222.238824997</x:v>
      </x:c>
      <x:c r="E19" s="43" t="n">
        <x:v>19318222.238824997</x:v>
      </x:c>
      <x:c r="F19" s="43" t="n">
        <x:f>D19-E19</x:f>
        <x:v>0</x:v>
      </x:c>
      <x:c r="G19" s="27" t="str">
        <x:f>IF(ABS(F19)&lt;0.01,"OK","CHECK")</x:f>
        <x:v>OK</x:v>
      </x:c>
    </x:row>
    <x:row r="20">
      <x:c r="A20" s="27" t="str">
        <x:v>IND_BANK_002</x:v>
      </x:c>
      <x:c r="B20" s="27" t="str">
        <x:v>3090</x:v>
      </x:c>
      <x:c r="C20" s="27" t="str">
        <x:v>Equity</x:v>
      </x:c>
      <x:c r="D20" s="43" t="n">
        <x:f>SUMIFS(AddOn_Calc!$J$4:$J$171,AddOn_Calc!$A$4:$A$171,A20,AddOn_Calc!$B$4:$B$171,B20,AddOn_Calc!$C$4:$C$171,C20)</x:f>
        <x:v>5866361.313090214</x:v>
      </x:c>
      <x:c r="E20" s="43" t="n">
        <x:v>5866361.313090214</x:v>
      </x:c>
      <x:c r="F20" s="43" t="n">
        <x:f>D20-E20</x:f>
        <x:v>0</x:v>
      </x:c>
      <x:c r="G20" s="27" t="str">
        <x:f>IF(ABS(F20)&lt;0.01,"OK","CHECK")</x:f>
        <x:v>OK</x:v>
      </x:c>
    </x:row>
    <x:row r="21">
      <x:c r="A21" s="27" t="str">
        <x:v>IND_BANK_002</x:v>
      </x:c>
      <x:c r="B21" s="27" t="str">
        <x:v>3132</x:v>
      </x:c>
      <x:c r="C21" s="27" t="str">
        <x:v>Interest Rate</x:v>
      </x:c>
      <x:c r="D21" s="43" t="n">
        <x:f>SUMIFS(AddOn_Calc!$J$4:$J$171,AddOn_Calc!$A$4:$A$171,A21,AddOn_Calc!$B$4:$B$171,B21,AddOn_Calc!$C$4:$C$171,C21)</x:f>
        <x:v>4694537.232740463</x:v>
      </x:c>
      <x:c r="E21" s="43" t="n">
        <x:v>4694537.232740463</x:v>
      </x:c>
      <x:c r="F21" s="43" t="n">
        <x:f>D21-E21</x:f>
        <x:v>0</x:v>
      </x:c>
      <x:c r="G21" s="27" t="str">
        <x:f>IF(ABS(F21)&lt;0.01,"OK","CHECK")</x:f>
        <x:v>OK</x:v>
      </x:c>
    </x:row>
    <x:row r="22">
      <x:c r="A22" s="27" t="str">
        <x:v>IND_BANK_002</x:v>
      </x:c>
      <x:c r="B22" s="27" t="str">
        <x:v>3259</x:v>
      </x:c>
      <x:c r="C22" s="27" t="str">
        <x:v>Commodity</x:v>
      </x:c>
      <x:c r="D22" s="43" t="n">
        <x:f>SUMIFS(AddOn_Calc!$J$4:$J$171,AddOn_Calc!$A$4:$A$171,A22,AddOn_Calc!$B$4:$B$171,B22,AddOn_Calc!$C$4:$C$171,C22)</x:f>
        <x:v>4918074.667346967</x:v>
      </x:c>
      <x:c r="E22" s="43" t="n">
        <x:v>4918074.667346969</x:v>
      </x:c>
      <x:c r="F22" s="43" t="n">
        <x:f>D22-E22</x:f>
        <x:v>-1.862645149230957e-9</x:v>
      </x:c>
      <x:c r="G22" s="27" t="str">
        <x:f>IF(ABS(F22)&lt;0.01,"OK","CHECK")</x:f>
        <x:v>OK</x:v>
      </x:c>
    </x:row>
    <x:row r="23">
      <x:c r="A23" s="27" t="str">
        <x:v>IND_BANK_002</x:v>
      </x:c>
      <x:c r="B23" s="27" t="str">
        <x:v>3318</x:v>
      </x:c>
      <x:c r="C23" s="27" t="str">
        <x:v>FX</x:v>
      </x:c>
      <x:c r="D23" s="43" t="n">
        <x:f>SUMIFS(AddOn_Calc!$J$4:$J$171,AddOn_Calc!$A$4:$A$171,A23,AddOn_Calc!$B$4:$B$171,B23,AddOn_Calc!$C$4:$C$171,C23)</x:f>
        <x:v>4580891.489874442</x:v>
      </x:c>
      <x:c r="E23" s="43" t="n">
        <x:v>4580891.489874442</x:v>
      </x:c>
      <x:c r="F23" s="43" t="n">
        <x:f>D23-E23</x:f>
        <x:v>0</x:v>
      </x:c>
      <x:c r="G23" s="27" t="str">
        <x:f>IF(ABS(F23)&lt;0.01,"OK","CHECK")</x:f>
        <x:v>OK</x:v>
      </x:c>
    </x:row>
    <x:row r="24">
      <x:c r="A24" s="27" t="str">
        <x:v>IND_BANK_002</x:v>
      </x:c>
      <x:c r="B24" s="27" t="str">
        <x:v>3323</x:v>
      </x:c>
      <x:c r="C24" s="27" t="str">
        <x:v>Commodity</x:v>
      </x:c>
      <x:c r="D24" s="43" t="n">
        <x:f>SUMIFS(AddOn_Calc!$J$4:$J$171,AddOn_Calc!$A$4:$A$171,A24,AddOn_Calc!$B$4:$B$171,B24,AddOn_Calc!$C$4:$C$171,C24)</x:f>
        <x:v>1116000</x:v>
      </x:c>
      <x:c r="E24" s="43" t="n">
        <x:v>1116000</x:v>
      </x:c>
      <x:c r="F24" s="43" t="n">
        <x:f>D24-E24</x:f>
        <x:v>0</x:v>
      </x:c>
      <x:c r="G24" s="27" t="str">
        <x:f>IF(ABS(F24)&lt;0.01,"OK","CHECK")</x:f>
        <x:v>OK</x:v>
      </x:c>
    </x:row>
    <x:row r="25">
      <x:c r="A25" s="27" t="str">
        <x:v>IND_BANK_002</x:v>
      </x:c>
      <x:c r="B25" s="27" t="str">
        <x:v>3331</x:v>
      </x:c>
      <x:c r="C25" s="27" t="str">
        <x:v>FX</x:v>
      </x:c>
      <x:c r="D25" s="43" t="n">
        <x:f>SUMIFS(AddOn_Calc!$J$4:$J$171,AddOn_Calc!$A$4:$A$171,A25,AddOn_Calc!$B$4:$B$171,B25,AddOn_Calc!$C$4:$C$171,C25)</x:f>
        <x:v>5597705.051359762</x:v>
      </x:c>
      <x:c r="E25" s="43" t="n">
        <x:v>5597705.051359762</x:v>
      </x:c>
      <x:c r="F25" s="43" t="n">
        <x:f>D25-E25</x:f>
        <x:v>0</x:v>
      </x:c>
      <x:c r="G25" s="27" t="str">
        <x:f>IF(ABS(F25)&lt;0.01,"OK","CHECK")</x:f>
        <x:v>OK</x:v>
      </x:c>
    </x:row>
    <x:row r="26">
      <x:c r="A26" s="27" t="str">
        <x:v>IND_BANK_002</x:v>
      </x:c>
      <x:c r="B26" s="27" t="str">
        <x:v>3341</x:v>
      </x:c>
      <x:c r="C26" s="27" t="str">
        <x:v>Credit</x:v>
      </x:c>
      <x:c r="D26" s="43" t="n">
        <x:f>SUMIFS(AddOn_Calc!$J$4:$J$171,AddOn_Calc!$A$4:$A$171,A26,AddOn_Calc!$B$4:$B$171,B26,AddOn_Calc!$C$4:$C$171,C26)</x:f>
        <x:v>345016.9463481193</x:v>
      </x:c>
      <x:c r="E26" s="43" t="n">
        <x:v>345016.94634811947</x:v>
      </x:c>
      <x:c r="F26" s="43" t="n">
        <x:f>D26-E26</x:f>
        <x:v>-1.7462298274040222e-10</x:v>
      </x:c>
      <x:c r="G26" s="27" t="str">
        <x:f>IF(ABS(F26)&lt;0.01,"OK","CHECK")</x:f>
        <x:v>OK</x:v>
      </x:c>
    </x:row>
    <x:row r="27">
      <x:c r="A27" s="27" t="str">
        <x:v>IND_BANK_002</x:v>
      </x:c>
      <x:c r="B27" s="27" t="str">
        <x:v>3386</x:v>
      </x:c>
      <x:c r="C27" s="27" t="str">
        <x:v>Equity</x:v>
      </x:c>
      <x:c r="D27" s="43" t="n">
        <x:f>SUMIFS(AddOn_Calc!$J$4:$J$171,AddOn_Calc!$A$4:$A$171,A27,AddOn_Calc!$B$4:$B$171,B27,AddOn_Calc!$C$4:$C$171,C27)</x:f>
        <x:v>3187826.7476575486</x:v>
      </x:c>
      <x:c r="E27" s="43" t="n">
        <x:v>3187826.7476575486</x:v>
      </x:c>
      <x:c r="F27" s="43" t="n">
        <x:f>D27-E27</x:f>
        <x:v>0</x:v>
      </x:c>
      <x:c r="G27" s="27" t="str">
        <x:f>IF(ABS(F27)&lt;0.01,"OK","CHECK")</x:f>
        <x:v>OK</x:v>
      </x:c>
    </x:row>
    <x:row r="28">
      <x:c r="A28" s="27" t="str">
        <x:v>IND_BROKER_001</x:v>
      </x:c>
      <x:c r="B28" s="27" t="str">
        <x:v>3195</x:v>
      </x:c>
      <x:c r="C28" s="27" t="str">
        <x:v>Equity</x:v>
      </x:c>
      <x:c r="D28" s="43" t="n">
        <x:f>SUMIFS(AddOn_Calc!$J$4:$J$171,AddOn_Calc!$A$4:$A$171,A28,AddOn_Calc!$B$4:$B$171,B28,AddOn_Calc!$C$4:$C$171,C28)</x:f>
        <x:v>4156800.0000000005</x:v>
      </x:c>
      <x:c r="E28" s="43" t="n">
        <x:v>4156800.0000000005</x:v>
      </x:c>
      <x:c r="F28" s="43" t="n">
        <x:f>D28-E28</x:f>
        <x:v>0</x:v>
      </x:c>
      <x:c r="G28" s="27" t="str">
        <x:f>IF(ABS(F28)&lt;0.01,"OK","CHECK")</x:f>
        <x:v>OK</x:v>
      </x:c>
    </x:row>
    <x:row r="29">
      <x:c r="A29" s="27" t="str">
        <x:v>IND_BROKER_001</x:v>
      </x:c>
      <x:c r="B29" s="27" t="str">
        <x:v>3220</x:v>
      </x:c>
      <x:c r="C29" s="27" t="str">
        <x:v>Interest Rate</x:v>
      </x:c>
      <x:c r="D29" s="43" t="n">
        <x:f>SUMIFS(AddOn_Calc!$J$4:$J$171,AddOn_Calc!$A$4:$A$171,A29,AddOn_Calc!$B$4:$B$171,B29,AddOn_Calc!$C$4:$C$171,C29)</x:f>
        <x:v>969422.9613335751</x:v>
      </x:c>
      <x:c r="E29" s="43" t="n">
        <x:v>969422.9613335753</x:v>
      </x:c>
      <x:c r="F29" s="43" t="n">
        <x:f>D29-E29</x:f>
        <x:v>-2.3283064365386963e-10</x:v>
      </x:c>
      <x:c r="G29" s="27" t="str">
        <x:f>IF(ABS(F29)&lt;0.01,"OK","CHECK")</x:f>
        <x:v>OK</x:v>
      </x:c>
    </x:row>
    <x:row r="30">
      <x:c r="A30" s="27" t="str">
        <x:v>IND_BROKER_001</x:v>
      </x:c>
      <x:c r="B30" s="27" t="str">
        <x:v>3276</x:v>
      </x:c>
      <x:c r="C30" s="27" t="str">
        <x:v>Equity</x:v>
      </x:c>
      <x:c r="D30" s="43" t="n">
        <x:f>SUMIFS(AddOn_Calc!$J$4:$J$171,AddOn_Calc!$A$4:$A$171,A30,AddOn_Calc!$B$4:$B$171,B30,AddOn_Calc!$C$4:$C$171,C30)</x:f>
        <x:v>14209385.609053489</x:v>
      </x:c>
      <x:c r="E30" s="43" t="n">
        <x:v>14209385.609053489</x:v>
      </x:c>
      <x:c r="F30" s="43" t="n">
        <x:f>D30-E30</x:f>
        <x:v>0</x:v>
      </x:c>
      <x:c r="G30" s="27" t="str">
        <x:f>IF(ABS(F30)&lt;0.01,"OK","CHECK")</x:f>
        <x:v>OK</x:v>
      </x:c>
    </x:row>
    <x:row r="31">
      <x:c r="A31" s="27" t="str">
        <x:v>IND_BROKER_001</x:v>
      </x:c>
      <x:c r="B31" s="27" t="str">
        <x:v>3276</x:v>
      </x:c>
      <x:c r="C31" s="27" t="str">
        <x:v>FX</x:v>
      </x:c>
      <x:c r="D31" s="43" t="n">
        <x:f>SUMIFS(AddOn_Calc!$J$4:$J$171,AddOn_Calc!$A$4:$A$171,A31,AddOn_Calc!$B$4:$B$171,B31,AddOn_Calc!$C$4:$C$171,C31)</x:f>
        <x:v>1791358.7988377013</x:v>
      </x:c>
      <x:c r="E31" s="43" t="n">
        <x:v>1791358.7988377018</x:v>
      </x:c>
      <x:c r="F31" s="43" t="n">
        <x:f>D31-E31</x:f>
        <x:v>-4.656612873077393e-10</x:v>
      </x:c>
      <x:c r="G31" s="27" t="str">
        <x:f>IF(ABS(F31)&lt;0.01,"OK","CHECK")</x:f>
        <x:v>OK</x:v>
      </x:c>
    </x:row>
    <x:row r="32">
      <x:c r="A32" s="27" t="str">
        <x:v>IND_BROKER_001</x:v>
      </x:c>
      <x:c r="B32" s="27" t="str">
        <x:v>3332</x:v>
      </x:c>
      <x:c r="C32" s="27" t="str">
        <x:v>Interest Rate</x:v>
      </x:c>
      <x:c r="D32" s="43" t="n">
        <x:f>SUMIFS(AddOn_Calc!$J$4:$J$171,AddOn_Calc!$A$4:$A$171,A32,AddOn_Calc!$B$4:$B$171,B32,AddOn_Calc!$C$4:$C$171,C32)</x:f>
        <x:v>560482.2809820215</x:v>
      </x:c>
      <x:c r="E32" s="43" t="n">
        <x:v>560482.2809820212</x:v>
      </x:c>
      <x:c r="F32" s="43" t="n">
        <x:f>D32-E32</x:f>
        <x:v>2.3283064365386963e-10</x:v>
      </x:c>
      <x:c r="G32" s="27" t="str">
        <x:f>IF(ABS(F32)&lt;0.01,"OK","CHECK")</x:f>
        <x:v>OK</x:v>
      </x:c>
    </x:row>
    <x:row r="33">
      <x:c r="A33" s="27" t="str">
        <x:v>IND_BROKER_001</x:v>
      </x:c>
      <x:c r="B33" s="27" t="str">
        <x:v>3384</x:v>
      </x:c>
      <x:c r="C33" s="27" t="str">
        <x:v>FX</x:v>
      </x:c>
      <x:c r="D33" s="43" t="n">
        <x:f>SUMIFS(AddOn_Calc!$J$4:$J$171,AddOn_Calc!$A$4:$A$171,A33,AddOn_Calc!$B$4:$B$171,B33,AddOn_Calc!$C$4:$C$171,C33)</x:f>
        <x:v>1454589.157108885</x:v>
      </x:c>
      <x:c r="E33" s="43" t="n">
        <x:v>1454589.157108885</x:v>
      </x:c>
      <x:c r="F33" s="43" t="n">
        <x:f>D33-E33</x:f>
        <x:v>0</x:v>
      </x:c>
      <x:c r="G33" s="27" t="str">
        <x:f>IF(ABS(F33)&lt;0.01,"OK","CHECK")</x:f>
        <x:v>OK</x:v>
      </x:c>
    </x:row>
    <x:row r="34">
      <x:c r="A34" s="27" t="str">
        <x:v>IND_CLEARING_MEMBER_001</x:v>
      </x:c>
      <x:c r="B34" s="27" t="str">
        <x:v>3020</x:v>
      </x:c>
      <x:c r="C34" s="27" t="str">
        <x:v>Interest Rate</x:v>
      </x:c>
      <x:c r="D34" s="43" t="n">
        <x:f>SUMIFS(AddOn_Calc!$J$4:$J$171,AddOn_Calc!$A$4:$A$171,A34,AddOn_Calc!$B$4:$B$171,B34,AddOn_Calc!$C$4:$C$171,C34)</x:f>
        <x:v>18552913.463673744</x:v>
      </x:c>
      <x:c r="E34" s="43" t="n">
        <x:v>18552913.463673744</x:v>
      </x:c>
      <x:c r="F34" s="43" t="n">
        <x:f>D34-E34</x:f>
        <x:v>0</x:v>
      </x:c>
      <x:c r="G34" s="27" t="str">
        <x:f>IF(ABS(F34)&lt;0.01,"OK","CHECK")</x:f>
        <x:v>OK</x:v>
      </x:c>
    </x:row>
    <x:row r="35">
      <x:c r="A35" s="27" t="str">
        <x:v>IND_CLEARING_MEMBER_001</x:v>
      </x:c>
      <x:c r="B35" s="27" t="str">
        <x:v>3108</x:v>
      </x:c>
      <x:c r="C35" s="27" t="str">
        <x:v>Equity</x:v>
      </x:c>
      <x:c r="D35" s="43" t="n">
        <x:f>SUMIFS(AddOn_Calc!$J$4:$J$171,AddOn_Calc!$A$4:$A$171,A35,AddOn_Calc!$B$4:$B$171,B35,AddOn_Calc!$C$4:$C$171,C35)</x:f>
        <x:v>7669750.998970759</x:v>
      </x:c>
      <x:c r="E35" s="43" t="n">
        <x:v>7669750.998970759</x:v>
      </x:c>
      <x:c r="F35" s="43" t="n">
        <x:f>D35-E35</x:f>
        <x:v>0</x:v>
      </x:c>
      <x:c r="G35" s="27" t="str">
        <x:f>IF(ABS(F35)&lt;0.01,"OK","CHECK")</x:f>
        <x:v>OK</x:v>
      </x:c>
    </x:row>
    <x:row r="36">
      <x:c r="A36" s="27" t="str">
        <x:v>IND_CLEARING_MEMBER_001</x:v>
      </x:c>
      <x:c r="B36" s="27" t="str">
        <x:v>3116</x:v>
      </x:c>
      <x:c r="C36" s="27" t="str">
        <x:v>Credit</x:v>
      </x:c>
      <x:c r="D36" s="43" t="n">
        <x:f>SUMIFS(AddOn_Calc!$J$4:$J$171,AddOn_Calc!$A$4:$A$171,A36,AddOn_Calc!$B$4:$B$171,B36,AddOn_Calc!$C$4:$C$171,C36)</x:f>
        <x:v>918128.9373543155</x:v>
      </x:c>
      <x:c r="E36" s="43" t="n">
        <x:v>918128.9373543155</x:v>
      </x:c>
      <x:c r="F36" s="43" t="n">
        <x:f>D36-E36</x:f>
        <x:v>0</x:v>
      </x:c>
      <x:c r="G36" s="27" t="str">
        <x:f>IF(ABS(F36)&lt;0.01,"OK","CHECK")</x:f>
        <x:v>OK</x:v>
      </x:c>
    </x:row>
    <x:row r="37">
      <x:c r="A37" s="27" t="str">
        <x:v>IND_CLEARING_MEMBER_001</x:v>
      </x:c>
      <x:c r="B37" s="27" t="str">
        <x:v>3161</x:v>
      </x:c>
      <x:c r="C37" s="27" t="str">
        <x:v>Equity</x:v>
      </x:c>
      <x:c r="D37" s="43" t="n">
        <x:f>SUMIFS(AddOn_Calc!$J$4:$J$171,AddOn_Calc!$A$4:$A$171,A37,AddOn_Calc!$B$4:$B$171,B37,AddOn_Calc!$C$4:$C$171,C37)</x:f>
        <x:v>15305903.0927465</x:v>
      </x:c>
      <x:c r="E37" s="43" t="n">
        <x:v>15305903.0927465</x:v>
      </x:c>
      <x:c r="F37" s="43" t="n">
        <x:f>D37-E37</x:f>
        <x:v>0</x:v>
      </x:c>
      <x:c r="G37" s="27" t="str">
        <x:f>IF(ABS(F37)&lt;0.01,"OK","CHECK")</x:f>
        <x:v>OK</x:v>
      </x:c>
    </x:row>
    <x:row r="38">
      <x:c r="A38" s="27" t="str">
        <x:v>IND_CLEARING_MEMBER_001</x:v>
      </x:c>
      <x:c r="B38" s="27" t="str">
        <x:v>3186</x:v>
      </x:c>
      <x:c r="C38" s="27" t="str">
        <x:v>Commodity</x:v>
      </x:c>
      <x:c r="D38" s="43" t="n">
        <x:f>SUMIFS(AddOn_Calc!$J$4:$J$171,AddOn_Calc!$A$4:$A$171,A38,AddOn_Calc!$B$4:$B$171,B38,AddOn_Calc!$C$4:$C$171,C38)</x:f>
        <x:v>5753829.434618188</x:v>
      </x:c>
      <x:c r="E38" s="43" t="n">
        <x:v>5753829.434618186</x:v>
      </x:c>
      <x:c r="F38" s="43" t="n">
        <x:f>D38-E38</x:f>
        <x:v>1.862645149230957e-9</x:v>
      </x:c>
      <x:c r="G38" s="27" t="str">
        <x:f>IF(ABS(F38)&lt;0.01,"OK","CHECK")</x:f>
        <x:v>OK</x:v>
      </x:c>
    </x:row>
    <x:row r="39">
      <x:c r="A39" s="27" t="str">
        <x:v>IND_CLEARING_MEMBER_001</x:v>
      </x:c>
      <x:c r="B39" s="27" t="str">
        <x:v>3206</x:v>
      </x:c>
      <x:c r="C39" s="27" t="str">
        <x:v>FX</x:v>
      </x:c>
      <x:c r="D39" s="43" t="n">
        <x:f>SUMIFS(AddOn_Calc!$J$4:$J$171,AddOn_Calc!$A$4:$A$171,A39,AddOn_Calc!$B$4:$B$171,B39,AddOn_Calc!$C$4:$C$171,C39)</x:f>
        <x:v>1230799.049505133</x:v>
      </x:c>
      <x:c r="E39" s="43" t="n">
        <x:v>1230799.049505133</x:v>
      </x:c>
      <x:c r="F39" s="43" t="n">
        <x:f>D39-E39</x:f>
        <x:v>0</x:v>
      </x:c>
      <x:c r="G39" s="27" t="str">
        <x:f>IF(ABS(F39)&lt;0.01,"OK","CHECK")</x:f>
        <x:v>OK</x:v>
      </x:c>
    </x:row>
    <x:row r="40">
      <x:c r="A40" s="27" t="str">
        <x:v>IND_CLEARING_MEMBER_001</x:v>
      </x:c>
      <x:c r="B40" s="27" t="str">
        <x:v>3288</x:v>
      </x:c>
      <x:c r="C40" s="27" t="str">
        <x:v>FX</x:v>
      </x:c>
      <x:c r="D40" s="43" t="n">
        <x:f>SUMIFS(AddOn_Calc!$J$4:$J$171,AddOn_Calc!$A$4:$A$171,A40,AddOn_Calc!$B$4:$B$171,B40,AddOn_Calc!$C$4:$C$171,C40)</x:f>
        <x:v>3514538.58124479</x:v>
      </x:c>
      <x:c r="E40" s="43" t="n">
        <x:v>3514538.5812447895</x:v>
      </x:c>
      <x:c r="F40" s="43" t="n">
        <x:f>D40-E40</x:f>
        <x:v>4.656612873077393e-10</x:v>
      </x:c>
      <x:c r="G40" s="27" t="str">
        <x:f>IF(ABS(F40)&lt;0.01,"OK","CHECK")</x:f>
        <x:v>OK</x:v>
      </x:c>
    </x:row>
    <x:row r="41">
      <x:c r="A41" s="27" t="str">
        <x:v>IND_CLEARING_MEMBER_001</x:v>
      </x:c>
      <x:c r="B41" s="27" t="str">
        <x:v>3340</x:v>
      </x:c>
      <x:c r="C41" s="27" t="str">
        <x:v>Commodity</x:v>
      </x:c>
      <x:c r="D41" s="43" t="n">
        <x:f>SUMIFS(AddOn_Calc!$J$4:$J$171,AddOn_Calc!$A$4:$A$171,A41,AddOn_Calc!$B$4:$B$171,B41,AddOn_Calc!$C$4:$C$171,C41)</x:f>
        <x:v>1434000.0000000002</x:v>
      </x:c>
      <x:c r="E41" s="43" t="n">
        <x:v>1434000.0000000002</x:v>
      </x:c>
      <x:c r="F41" s="43" t="n">
        <x:f>D41-E41</x:f>
        <x:v>0</x:v>
      </x:c>
      <x:c r="G41" s="27" t="str">
        <x:f>IF(ABS(F41)&lt;0.01,"OK","CHECK")</x:f>
        <x:v>OK</x:v>
      </x:c>
    </x:row>
    <x:row r="42">
      <x:c r="A42" s="27" t="str">
        <x:v>IND_CLEARING_MEMBER_001</x:v>
      </x:c>
      <x:c r="B42" s="27" t="str">
        <x:v>3399</x:v>
      </x:c>
      <x:c r="C42" s="27" t="str">
        <x:v>Interest Rate</x:v>
      </x:c>
      <x:c r="D42" s="43" t="n">
        <x:f>SUMIFS(AddOn_Calc!$J$4:$J$171,AddOn_Calc!$A$4:$A$171,A42,AddOn_Calc!$B$4:$B$171,B42,AddOn_Calc!$C$4:$C$171,C42)</x:f>
        <x:v>6023004.507666882</x:v>
      </x:c>
      <x:c r="E42" s="43" t="n">
        <x:v>6023004.5076668775</x:v>
      </x:c>
      <x:c r="F42" s="43" t="n">
        <x:f>D42-E42</x:f>
        <x:v>4.6566128730773926e-9</x:v>
      </x:c>
      <x:c r="G42" s="27" t="str">
        <x:f>IF(ABS(F42)&lt;0.01,"OK","CHECK")</x:f>
        <x:v>OK</x:v>
      </x:c>
    </x:row>
    <x:row r="43">
      <x:c r="A43" s="27" t="str">
        <x:v>IND_CORPORATE_001</x:v>
      </x:c>
      <x:c r="B43" s="27" t="str">
        <x:v>3004</x:v>
      </x:c>
      <x:c r="C43" s="27" t="str">
        <x:v>Interest Rate</x:v>
      </x:c>
      <x:c r="D43" s="43" t="n">
        <x:f>SUMIFS(AddOn_Calc!$J$4:$J$171,AddOn_Calc!$A$4:$A$171,A43,AddOn_Calc!$B$4:$B$171,B43,AddOn_Calc!$C$4:$C$171,C43)</x:f>
        <x:v>1100958.7135473804</x:v>
      </x:c>
      <x:c r="E43" s="43" t="n">
        <x:v>1100958.7135473804</x:v>
      </x:c>
      <x:c r="F43" s="43" t="n">
        <x:f>D43-E43</x:f>
        <x:v>0</x:v>
      </x:c>
      <x:c r="G43" s="27" t="str">
        <x:f>IF(ABS(F43)&lt;0.01,"OK","CHECK")</x:f>
        <x:v>OK</x:v>
      </x:c>
    </x:row>
    <x:row r="44">
      <x:c r="A44" s="27" t="str">
        <x:v>IND_CORPORATE_001</x:v>
      </x:c>
      <x:c r="B44" s="27" t="str">
        <x:v>3015</x:v>
      </x:c>
      <x:c r="C44" s="27" t="str">
        <x:v>Credit</x:v>
      </x:c>
      <x:c r="D44" s="43" t="n">
        <x:f>SUMIFS(AddOn_Calc!$J$4:$J$171,AddOn_Calc!$A$4:$A$171,A44,AddOn_Calc!$B$4:$B$171,B44,AddOn_Calc!$C$4:$C$171,C44)</x:f>
        <x:v>501106.2636925688</x:v>
      </x:c>
      <x:c r="E44" s="43" t="n">
        <x:v>501106.2636925688</x:v>
      </x:c>
      <x:c r="F44" s="43" t="n">
        <x:f>D44-E44</x:f>
        <x:v>0</x:v>
      </x:c>
      <x:c r="G44" s="27" t="str">
        <x:f>IF(ABS(F44)&lt;0.01,"OK","CHECK")</x:f>
        <x:v>OK</x:v>
      </x:c>
    </x:row>
    <x:row r="45">
      <x:c r="A45" s="27" t="str">
        <x:v>IND_CORPORATE_001</x:v>
      </x:c>
      <x:c r="B45" s="27" t="str">
        <x:v>3040</x:v>
      </x:c>
      <x:c r="C45" s="27" t="str">
        <x:v>FX</x:v>
      </x:c>
      <x:c r="D45" s="43" t="n">
        <x:f>SUMIFS(AddOn_Calc!$J$4:$J$171,AddOn_Calc!$A$4:$A$171,A45,AddOn_Calc!$B$4:$B$171,B45,AddOn_Calc!$C$4:$C$171,C45)</x:f>
        <x:v>684590.2687736201</x:v>
      </x:c>
      <x:c r="E45" s="43" t="n">
        <x:v>684590.2687736201</x:v>
      </x:c>
      <x:c r="F45" s="43" t="n">
        <x:f>D45-E45</x:f>
        <x:v>0</x:v>
      </x:c>
      <x:c r="G45" s="27" t="str">
        <x:f>IF(ABS(F45)&lt;0.01,"OK","CHECK")</x:f>
        <x:v>OK</x:v>
      </x:c>
    </x:row>
    <x:row r="46">
      <x:c r="A46" s="27" t="str">
        <x:v>IND_CORPORATE_001</x:v>
      </x:c>
      <x:c r="B46" s="27" t="str">
        <x:v>3041</x:v>
      </x:c>
      <x:c r="C46" s="27" t="str">
        <x:v>Credit</x:v>
      </x:c>
      <x:c r="D46" s="43" t="n">
        <x:f>SUMIFS(AddOn_Calc!$J$4:$J$171,AddOn_Calc!$A$4:$A$171,A46,AddOn_Calc!$B$4:$B$171,B46,AddOn_Calc!$C$4:$C$171,C46)</x:f>
        <x:v>3309924.8238075697</x:v>
      </x:c>
      <x:c r="E46" s="43" t="n">
        <x:v>3309924.8238075697</x:v>
      </x:c>
      <x:c r="F46" s="43" t="n">
        <x:f>D46-E46</x:f>
        <x:v>0</x:v>
      </x:c>
      <x:c r="G46" s="27" t="str">
        <x:f>IF(ABS(F46)&lt;0.01,"OK","CHECK")</x:f>
        <x:v>OK</x:v>
      </x:c>
    </x:row>
    <x:row r="47">
      <x:c r="A47" s="27" t="str">
        <x:v>IND_CORPORATE_001</x:v>
      </x:c>
      <x:c r="B47" s="27" t="str">
        <x:v>3092</x:v>
      </x:c>
      <x:c r="C47" s="27" t="str">
        <x:v>FX</x:v>
      </x:c>
      <x:c r="D47" s="43" t="n">
        <x:f>SUMIFS(AddOn_Calc!$J$4:$J$171,AddOn_Calc!$A$4:$A$171,A47,AddOn_Calc!$B$4:$B$171,B47,AddOn_Calc!$C$4:$C$171,C47)</x:f>
        <x:v>3027697.6010804637</x:v>
      </x:c>
      <x:c r="E47" s="43" t="n">
        <x:v>3027697.6010804637</x:v>
      </x:c>
      <x:c r="F47" s="43" t="n">
        <x:f>D47-E47</x:f>
        <x:v>0</x:v>
      </x:c>
      <x:c r="G47" s="27" t="str">
        <x:f>IF(ABS(F47)&lt;0.01,"OK","CHECK")</x:f>
        <x:v>OK</x:v>
      </x:c>
    </x:row>
    <x:row r="48">
      <x:c r="A48" s="27" t="str">
        <x:v>IND_CORPORATE_001</x:v>
      </x:c>
      <x:c r="B48" s="27" t="str">
        <x:v>3100</x:v>
      </x:c>
      <x:c r="C48" s="27" t="str">
        <x:v>Commodity</x:v>
      </x:c>
      <x:c r="D48" s="43" t="n">
        <x:f>SUMIFS(AddOn_Calc!$J$4:$J$171,AddOn_Calc!$A$4:$A$171,A48,AddOn_Calc!$B$4:$B$171,B48,AddOn_Calc!$C$4:$C$171,C48)</x:f>
        <x:v>961200</x:v>
      </x:c>
      <x:c r="E48" s="43" t="n">
        <x:v>961200</x:v>
      </x:c>
      <x:c r="F48" s="43" t="n">
        <x:f>D48-E48</x:f>
        <x:v>0</x:v>
      </x:c>
      <x:c r="G48" s="27" t="str">
        <x:f>IF(ABS(F48)&lt;0.01,"OK","CHECK")</x:f>
        <x:v>OK</x:v>
      </x:c>
    </x:row>
    <x:row r="49">
      <x:c r="A49" s="27" t="str">
        <x:v>IND_CORPORATE_001</x:v>
      </x:c>
      <x:c r="B49" s="27" t="str">
        <x:v>3161</x:v>
      </x:c>
      <x:c r="C49" s="27" t="str">
        <x:v>Interest Rate</x:v>
      </x:c>
      <x:c r="D49" s="43" t="n">
        <x:f>SUMIFS(AddOn_Calc!$J$4:$J$171,AddOn_Calc!$A$4:$A$171,A49,AddOn_Calc!$B$4:$B$171,B49,AddOn_Calc!$C$4:$C$171,C49)</x:f>
        <x:v>8294520.942047758</x:v>
      </x:c>
      <x:c r="E49" s="43" t="n">
        <x:v>8294520.942047758</x:v>
      </x:c>
      <x:c r="F49" s="43" t="n">
        <x:f>D49-E49</x:f>
        <x:v>0</x:v>
      </x:c>
      <x:c r="G49" s="27" t="str">
        <x:f>IF(ABS(F49)&lt;0.01,"OK","CHECK")</x:f>
        <x:v>OK</x:v>
      </x:c>
    </x:row>
    <x:row r="50">
      <x:c r="A50" s="27" t="str">
        <x:v>IND_CORPORATE_001</x:v>
      </x:c>
      <x:c r="B50" s="27" t="str">
        <x:v>3358</x:v>
      </x:c>
      <x:c r="C50" s="27" t="str">
        <x:v>Commodity</x:v>
      </x:c>
      <x:c r="D50" s="43" t="n">
        <x:f>SUMIFS(AddOn_Calc!$J$4:$J$171,AddOn_Calc!$A$4:$A$171,A50,AddOn_Calc!$B$4:$B$171,B50,AddOn_Calc!$C$4:$C$171,C50)</x:f>
        <x:v>1836000</x:v>
      </x:c>
      <x:c r="E50" s="43" t="n">
        <x:v>1836000</x:v>
      </x:c>
      <x:c r="F50" s="43" t="n">
        <x:f>D50-E50</x:f>
        <x:v>0</x:v>
      </x:c>
      <x:c r="G50" s="27" t="str">
        <x:f>IF(ABS(F50)&lt;0.01,"OK","CHECK")</x:f>
        <x:v>OK</x:v>
      </x:c>
    </x:row>
    <x:row r="51">
      <x:c r="A51" s="27" t="str">
        <x:v>IND_CORPORATE_001</x:v>
      </x:c>
      <x:c r="B51" s="27" t="str">
        <x:v>3380</x:v>
      </x:c>
      <x:c r="C51" s="27" t="str">
        <x:v>Equity</x:v>
      </x:c>
      <x:c r="D51" s="43" t="n">
        <x:f>SUMIFS(AddOn_Calc!$J$4:$J$171,AddOn_Calc!$A$4:$A$171,A51,AddOn_Calc!$B$4:$B$171,B51,AddOn_Calc!$C$4:$C$171,C51)</x:f>
        <x:v>480000</x:v>
      </x:c>
      <x:c r="E51" s="43" t="n">
        <x:v>480000</x:v>
      </x:c>
      <x:c r="F51" s="43" t="n">
        <x:f>D51-E51</x:f>
        <x:v>0</x:v>
      </x:c>
      <x:c r="G51" s="27" t="str">
        <x:f>IF(ABS(F51)&lt;0.01,"OK","CHECK")</x:f>
        <x:v>OK</x:v>
      </x:c>
    </x:row>
    <x:row r="52">
      <x:c r="A52" s="27" t="str">
        <x:v>IND_CORPORATE_002</x:v>
      </x:c>
      <x:c r="B52" s="27" t="str">
        <x:v>3074</x:v>
      </x:c>
      <x:c r="C52" s="27" t="str">
        <x:v>Interest Rate</x:v>
      </x:c>
      <x:c r="D52" s="43" t="n">
        <x:f>SUMIFS(AddOn_Calc!$J$4:$J$171,AddOn_Calc!$A$4:$A$171,A52,AddOn_Calc!$B$4:$B$171,B52,AddOn_Calc!$C$4:$C$171,C52)</x:f>
        <x:v>26540884.6099034</x:v>
      </x:c>
      <x:c r="E52" s="43" t="n">
        <x:v>26540884.6099034</x:v>
      </x:c>
      <x:c r="F52" s="43" t="n">
        <x:f>D52-E52</x:f>
        <x:v>0</x:v>
      </x:c>
      <x:c r="G52" s="27" t="str">
        <x:f>IF(ABS(F52)&lt;0.01,"OK","CHECK")</x:f>
        <x:v>OK</x:v>
      </x:c>
    </x:row>
    <x:row r="53">
      <x:c r="A53" s="27" t="str">
        <x:v>IND_CORPORATE_002</x:v>
      </x:c>
      <x:c r="B53" s="27" t="str">
        <x:v>3126</x:v>
      </x:c>
      <x:c r="C53" s="27" t="str">
        <x:v>Commodity</x:v>
      </x:c>
      <x:c r="D53" s="43" t="n">
        <x:f>SUMIFS(AddOn_Calc!$J$4:$J$171,AddOn_Calc!$A$4:$A$171,A53,AddOn_Calc!$B$4:$B$171,B53,AddOn_Calc!$C$4:$C$171,C53)</x:f>
        <x:v>2052000.0000000002</x:v>
      </x:c>
      <x:c r="E53" s="43" t="n">
        <x:v>2052000.0000000002</x:v>
      </x:c>
      <x:c r="F53" s="43" t="n">
        <x:f>D53-E53</x:f>
        <x:v>0</x:v>
      </x:c>
      <x:c r="G53" s="27" t="str">
        <x:f>IF(ABS(F53)&lt;0.01,"OK","CHECK")</x:f>
        <x:v>OK</x:v>
      </x:c>
    </x:row>
    <x:row r="54">
      <x:c r="A54" s="27" t="str">
        <x:v>IND_CORPORATE_002</x:v>
      </x:c>
      <x:c r="B54" s="27" t="str">
        <x:v>3130</x:v>
      </x:c>
      <x:c r="C54" s="27" t="str">
        <x:v>Commodity</x:v>
      </x:c>
      <x:c r="D54" s="43" t="n">
        <x:f>SUMIFS(AddOn_Calc!$J$4:$J$171,AddOn_Calc!$A$4:$A$171,A54,AddOn_Calc!$B$4:$B$171,B54,AddOn_Calc!$C$4:$C$171,C54)</x:f>
        <x:v>2184539.3680102364</x:v>
      </x:c>
      <x:c r="E54" s="43" t="n">
        <x:v>2184539.3680102364</x:v>
      </x:c>
      <x:c r="F54" s="43" t="n">
        <x:f>D54-E54</x:f>
        <x:v>0</x:v>
      </x:c>
      <x:c r="G54" s="27" t="str">
        <x:f>IF(ABS(F54)&lt;0.01,"OK","CHECK")</x:f>
        <x:v>OK</x:v>
      </x:c>
    </x:row>
    <x:row r="55">
      <x:c r="A55" s="27" t="str">
        <x:v>IND_CORPORATE_002</x:v>
      </x:c>
      <x:c r="B55" s="27" t="str">
        <x:v>3187</x:v>
      </x:c>
      <x:c r="C55" s="27" t="str">
        <x:v>FX</x:v>
      </x:c>
      <x:c r="D55" s="43" t="n">
        <x:f>SUMIFS(AddOn_Calc!$J$4:$J$171,AddOn_Calc!$A$4:$A$171,A55,AddOn_Calc!$B$4:$B$171,B55,AddOn_Calc!$C$4:$C$171,C55)</x:f>
        <x:v>1299603.5201710137</x:v>
      </x:c>
      <x:c r="E55" s="43" t="n">
        <x:v>1299603.5201710137</x:v>
      </x:c>
      <x:c r="F55" s="43" t="n">
        <x:f>D55-E55</x:f>
        <x:v>0</x:v>
      </x:c>
      <x:c r="G55" s="27" t="str">
        <x:f>IF(ABS(F55)&lt;0.01,"OK","CHECK")</x:f>
        <x:v>OK</x:v>
      </x:c>
    </x:row>
    <x:row r="56">
      <x:c r="A56" s="27" t="str">
        <x:v>IND_CORPORATE_002</x:v>
      </x:c>
      <x:c r="B56" s="27" t="str">
        <x:v>3273</x:v>
      </x:c>
      <x:c r="C56" s="27" t="str">
        <x:v>Interest Rate</x:v>
      </x:c>
      <x:c r="D56" s="43" t="n">
        <x:f>SUMIFS(AddOn_Calc!$J$4:$J$171,AddOn_Calc!$A$4:$A$171,A56,AddOn_Calc!$B$4:$B$171,B56,AddOn_Calc!$C$4:$C$171,C56)</x:f>
        <x:v>11505948.264206408</x:v>
      </x:c>
      <x:c r="E56" s="43" t="n">
        <x:v>11505948.264206408</x:v>
      </x:c>
      <x:c r="F56" s="43" t="n">
        <x:f>D56-E56</x:f>
        <x:v>0</x:v>
      </x:c>
      <x:c r="G56" s="27" t="str">
        <x:f>IF(ABS(F56)&lt;0.01,"OK","CHECK")</x:f>
        <x:v>OK</x:v>
      </x:c>
    </x:row>
    <x:row r="57">
      <x:c r="A57" s="27" t="str">
        <x:v>IND_CORPORATE_002</x:v>
      </x:c>
      <x:c r="B57" s="27" t="str">
        <x:v>3331</x:v>
      </x:c>
      <x:c r="C57" s="27" t="str">
        <x:v>Equity</x:v>
      </x:c>
      <x:c r="D57" s="43" t="n">
        <x:f>SUMIFS(AddOn_Calc!$J$4:$J$171,AddOn_Calc!$A$4:$A$171,A57,AddOn_Calc!$B$4:$B$171,B57,AddOn_Calc!$C$4:$C$171,C57)</x:f>
        <x:v>124177.70840605149</x:v>
      </x:c>
      <x:c r="E57" s="43" t="n">
        <x:v>124177.7084060515</x:v>
      </x:c>
      <x:c r="F57" s="43" t="n">
        <x:f>D57-E57</x:f>
        <x:v>-1.4551915228366852e-11</x:v>
      </x:c>
      <x:c r="G57" s="27" t="str">
        <x:f>IF(ABS(F57)&lt;0.01,"OK","CHECK")</x:f>
        <x:v>OK</x:v>
      </x:c>
    </x:row>
    <x:row r="58">
      <x:c r="A58" s="27" t="str">
        <x:v>IND_CORPORATE_002</x:v>
      </x:c>
      <x:c r="B58" s="27" t="str">
        <x:v>3346</x:v>
      </x:c>
      <x:c r="C58" s="27" t="str">
        <x:v>FX</x:v>
      </x:c>
      <x:c r="D58" s="43" t="n">
        <x:f>SUMIFS(AddOn_Calc!$J$4:$J$171,AddOn_Calc!$A$4:$A$171,A58,AddOn_Calc!$B$4:$B$171,B58,AddOn_Calc!$C$4:$C$171,C58)</x:f>
        <x:v>3871946.5261487933</x:v>
      </x:c>
      <x:c r="E58" s="43" t="n">
        <x:v>3871946.526148793</x:v>
      </x:c>
      <x:c r="F58" s="43" t="n">
        <x:f>D58-E58</x:f>
        <x:v>4.656612873077393e-10</x:v>
      </x:c>
      <x:c r="G58" s="27" t="str">
        <x:f>IF(ABS(F58)&lt;0.01,"OK","CHECK")</x:f>
        <x:v>OK</x:v>
      </x:c>
    </x:row>
    <x:row r="59">
      <x:c r="A59" s="27" t="str">
        <x:v>IND_CORPORATE_002</x:v>
      </x:c>
      <x:c r="B59" s="27" t="str">
        <x:v>3389</x:v>
      </x:c>
      <x:c r="C59" s="27" t="str">
        <x:v>Credit</x:v>
      </x:c>
      <x:c r="D59" s="43" t="n">
        <x:f>SUMIFS(AddOn_Calc!$J$4:$J$171,AddOn_Calc!$A$4:$A$171,A59,AddOn_Calc!$B$4:$B$171,B59,AddOn_Calc!$C$4:$C$171,C59)</x:f>
        <x:v>722821.3848213615</x:v>
      </x:c>
      <x:c r="E59" s="43" t="n">
        <x:v>722821.3848213615</x:v>
      </x:c>
      <x:c r="F59" s="43" t="n">
        <x:f>D59-E59</x:f>
        <x:v>0</x:v>
      </x:c>
      <x:c r="G59" s="27" t="str">
        <x:f>IF(ABS(F59)&lt;0.01,"OK","CHECK")</x:f>
        <x:v>OK</x:v>
      </x:c>
    </x:row>
    <x:row r="60">
      <x:c r="A60" s="27" t="str">
        <x:v>IND_HEDGE_FUND_001</x:v>
      </x:c>
      <x:c r="B60" s="27" t="str">
        <x:v>3012</x:v>
      </x:c>
      <x:c r="C60" s="27" t="str">
        <x:v>Interest Rate</x:v>
      </x:c>
      <x:c r="D60" s="43" t="n">
        <x:f>SUMIFS(AddOn_Calc!$J$4:$J$171,AddOn_Calc!$A$4:$A$171,A60,AddOn_Calc!$B$4:$B$171,B60,AddOn_Calc!$C$4:$C$171,C60)</x:f>
        <x:v>36236798.109723434</x:v>
      </x:c>
      <x:c r="E60" s="43" t="n">
        <x:v>36236798.109723434</x:v>
      </x:c>
      <x:c r="F60" s="43" t="n">
        <x:f>D60-E60</x:f>
        <x:v>0</x:v>
      </x:c>
      <x:c r="G60" s="27" t="str">
        <x:f>IF(ABS(F60)&lt;0.01,"OK","CHECK")</x:f>
        <x:v>OK</x:v>
      </x:c>
    </x:row>
    <x:row r="61">
      <x:c r="A61" s="27" t="str">
        <x:v>IND_HEDGE_FUND_001</x:v>
      </x:c>
      <x:c r="B61" s="27" t="str">
        <x:v>3040</x:v>
      </x:c>
      <x:c r="C61" s="27" t="str">
        <x:v>Equity</x:v>
      </x:c>
      <x:c r="D61" s="43" t="n">
        <x:f>SUMIFS(AddOn_Calc!$J$4:$J$171,AddOn_Calc!$A$4:$A$171,A61,AddOn_Calc!$B$4:$B$171,B61,AddOn_Calc!$C$4:$C$171,C61)</x:f>
        <x:v>2620800.0000000005</x:v>
      </x:c>
      <x:c r="E61" s="43" t="n">
        <x:v>2620800.0000000005</x:v>
      </x:c>
      <x:c r="F61" s="43" t="n">
        <x:f>D61-E61</x:f>
        <x:v>0</x:v>
      </x:c>
      <x:c r="G61" s="27" t="str">
        <x:f>IF(ABS(F61)&lt;0.01,"OK","CHECK")</x:f>
        <x:v>OK</x:v>
      </x:c>
    </x:row>
    <x:row r="62">
      <x:c r="A62" s="27" t="str">
        <x:v>IND_HEDGE_FUND_001</x:v>
      </x:c>
      <x:c r="B62" s="27" t="str">
        <x:v>3040</x:v>
      </x:c>
      <x:c r="C62" s="27" t="str">
        <x:v>FX</x:v>
      </x:c>
      <x:c r="D62" s="43" t="n">
        <x:f>SUMIFS(AddOn_Calc!$J$4:$J$171,AddOn_Calc!$A$4:$A$171,A62,AddOn_Calc!$B$4:$B$171,B62,AddOn_Calc!$C$4:$C$171,C62)</x:f>
        <x:v>632466.6191733517</x:v>
      </x:c>
      <x:c r="E62" s="43" t="n">
        <x:v>632466.6191733518</x:v>
      </x:c>
      <x:c r="F62" s="43" t="n">
        <x:f>D62-E62</x:f>
        <x:v>-1.1641532182693481e-10</x:v>
      </x:c>
      <x:c r="G62" s="27" t="str">
        <x:f>IF(ABS(F62)&lt;0.01,"OK","CHECK")</x:f>
        <x:v>OK</x:v>
      </x:c>
    </x:row>
    <x:row r="63">
      <x:c r="A63" s="27" t="str">
        <x:v>IND_HEDGE_FUND_001</x:v>
      </x:c>
      <x:c r="B63" s="27" t="str">
        <x:v>3109</x:v>
      </x:c>
      <x:c r="C63" s="27" t="str">
        <x:v>Commodity</x:v>
      </x:c>
      <x:c r="D63" s="43" t="n">
        <x:f>SUMIFS(AddOn_Calc!$J$4:$J$171,AddOn_Calc!$A$4:$A$171,A63,AddOn_Calc!$B$4:$B$171,B63,AddOn_Calc!$C$4:$C$171,C63)</x:f>
        <x:v>3569951.576404154</x:v>
      </x:c>
      <x:c r="E63" s="43" t="n">
        <x:v>3569951.5764041524</x:v>
      </x:c>
      <x:c r="F63" s="43" t="n">
        <x:f>D63-E63</x:f>
        <x:v>1.3969838619232178e-9</x:v>
      </x:c>
      <x:c r="G63" s="27" t="str">
        <x:f>IF(ABS(F63)&lt;0.01,"OK","CHECK")</x:f>
        <x:v>OK</x:v>
      </x:c>
    </x:row>
    <x:row r="64">
      <x:c r="A64" s="27" t="str">
        <x:v>IND_HEDGE_FUND_001</x:v>
      </x:c>
      <x:c r="B64" s="27" t="str">
        <x:v>3205</x:v>
      </x:c>
      <x:c r="C64" s="27" t="str">
        <x:v>FX</x:v>
      </x:c>
      <x:c r="D64" s="43" t="n">
        <x:f>SUMIFS(AddOn_Calc!$J$4:$J$171,AddOn_Calc!$A$4:$A$171,A64,AddOn_Calc!$B$4:$B$171,B64,AddOn_Calc!$C$4:$C$171,C64)</x:f>
        <x:v>581549.4754292858</x:v>
      </x:c>
      <x:c r="E64" s="43" t="n">
        <x:v>581549.4754292858</x:v>
      </x:c>
      <x:c r="F64" s="43" t="n">
        <x:f>D64-E64</x:f>
        <x:v>0</x:v>
      </x:c>
      <x:c r="G64" s="27" t="str">
        <x:f>IF(ABS(F64)&lt;0.01,"OK","CHECK")</x:f>
        <x:v>OK</x:v>
      </x:c>
    </x:row>
    <x:row r="65">
      <x:c r="A65" s="27" t="str">
        <x:v>IND_HEDGE_FUND_001</x:v>
      </x:c>
      <x:c r="B65" s="27" t="str">
        <x:v>3289</x:v>
      </x:c>
      <x:c r="C65" s="27" t="str">
        <x:v>Credit</x:v>
      </x:c>
      <x:c r="D65" s="43" t="n">
        <x:f>SUMIFS(AddOn_Calc!$J$4:$J$171,AddOn_Calc!$A$4:$A$171,A65,AddOn_Calc!$B$4:$B$171,B65,AddOn_Calc!$C$4:$C$171,C65)</x:f>
        <x:v>1149164.5220523032</x:v>
      </x:c>
      <x:c r="E65" s="43" t="n">
        <x:v>1149164.5220523034</x:v>
      </x:c>
      <x:c r="F65" s="43" t="n">
        <x:f>D65-E65</x:f>
        <x:v>-2.3283064365386963e-10</x:v>
      </x:c>
      <x:c r="G65" s="27" t="str">
        <x:f>IF(ABS(F65)&lt;0.01,"OK","CHECK")</x:f>
        <x:v>OK</x:v>
      </x:c>
    </x:row>
    <x:row r="66">
      <x:c r="A66" s="27" t="str">
        <x:v>IND_HEDGE_FUND_001</x:v>
      </x:c>
      <x:c r="B66" s="27" t="str">
        <x:v>3338</x:v>
      </x:c>
      <x:c r="C66" s="27" t="str">
        <x:v>Credit</x:v>
      </x:c>
      <x:c r="D66" s="43" t="n">
        <x:f>SUMIFS(AddOn_Calc!$J$4:$J$171,AddOn_Calc!$A$4:$A$171,A66,AddOn_Calc!$B$4:$B$171,B66,AddOn_Calc!$C$4:$C$171,C66)</x:f>
        <x:v>1069871.4367438597</x:v>
      </x:c>
      <x:c r="E66" s="43" t="n">
        <x:v>1069871.4367438597</x:v>
      </x:c>
      <x:c r="F66" s="43" t="n">
        <x:f>D66-E66</x:f>
        <x:v>0</x:v>
      </x:c>
      <x:c r="G66" s="27" t="str">
        <x:f>IF(ABS(F66)&lt;0.01,"OK","CHECK")</x:f>
        <x:v>OK</x:v>
      </x:c>
    </x:row>
    <x:row r="67">
      <x:c r="A67" s="27" t="str">
        <x:v>IND_HEDGE_FUND_001</x:v>
      </x:c>
      <x:c r="B67" s="27" t="str">
        <x:v>3345</x:v>
      </x:c>
      <x:c r="C67" s="27" t="str">
        <x:v>Interest Rate</x:v>
      </x:c>
      <x:c r="D67" s="43" t="n">
        <x:f>SUMIFS(AddOn_Calc!$J$4:$J$171,AddOn_Calc!$A$4:$A$171,A67,AddOn_Calc!$B$4:$B$171,B67,AddOn_Calc!$C$4:$C$171,C67)</x:f>
        <x:v>13343331.056255389</x:v>
      </x:c>
      <x:c r="E67" s="43" t="n">
        <x:v>13343331.056255396</x:v>
      </x:c>
      <x:c r="F67" s="43" t="n">
        <x:f>D67-E67</x:f>
        <x:v>-7.450580596923828e-9</x:v>
      </x:c>
      <x:c r="G67" s="27" t="str">
        <x:f>IF(ABS(F67)&lt;0.01,"OK","CHECK")</x:f>
        <x:v>OK</x:v>
      </x:c>
    </x:row>
    <x:row r="68">
      <x:c r="A68" s="27" t="str">
        <x:v>IND_INSURER_001</x:v>
      </x:c>
      <x:c r="B68" s="27" t="str">
        <x:v>3048</x:v>
      </x:c>
      <x:c r="C68" s="27" t="str">
        <x:v>Interest Rate</x:v>
      </x:c>
      <x:c r="D68" s="43" t="n">
        <x:f>SUMIFS(AddOn_Calc!$J$4:$J$171,AddOn_Calc!$A$4:$A$171,A68,AddOn_Calc!$B$4:$B$171,B68,AddOn_Calc!$C$4:$C$171,C68)</x:f>
        <x:v>31784308.72313044</x:v>
      </x:c>
      <x:c r="E68" s="43" t="n">
        <x:v>31784308.72313044</x:v>
      </x:c>
      <x:c r="F68" s="43" t="n">
        <x:f>D68-E68</x:f>
        <x:v>0</x:v>
      </x:c>
      <x:c r="G68" s="27" t="str">
        <x:f>IF(ABS(F68)&lt;0.01,"OK","CHECK")</x:f>
        <x:v>OK</x:v>
      </x:c>
    </x:row>
    <x:row r="69">
      <x:c r="A69" s="27" t="str">
        <x:v>IND_INSURER_001</x:v>
      </x:c>
      <x:c r="B69" s="27" t="str">
        <x:v>3094</x:v>
      </x:c>
      <x:c r="C69" s="27" t="str">
        <x:v>FX</x:v>
      </x:c>
      <x:c r="D69" s="43" t="n">
        <x:f>SUMIFS(AddOn_Calc!$J$4:$J$171,AddOn_Calc!$A$4:$A$171,A69,AddOn_Calc!$B$4:$B$171,B69,AddOn_Calc!$C$4:$C$171,C69)</x:f>
        <x:v>4442673.687243265</x:v>
      </x:c>
      <x:c r="E69" s="43" t="n">
        <x:v>4442673.687243264</x:v>
      </x:c>
      <x:c r="F69" s="43" t="n">
        <x:f>D69-E69</x:f>
        <x:v>9.313225746154785e-10</x:v>
      </x:c>
      <x:c r="G69" s="27" t="str">
        <x:f>IF(ABS(F69)&lt;0.01,"OK","CHECK")</x:f>
        <x:v>OK</x:v>
      </x:c>
    </x:row>
    <x:row r="70">
      <x:c r="A70" s="27" t="str">
        <x:v>IND_INSURER_001</x:v>
      </x:c>
      <x:c r="B70" s="27" t="str">
        <x:v>3122</x:v>
      </x:c>
      <x:c r="C70" s="27" t="str">
        <x:v>FX</x:v>
      </x:c>
      <x:c r="D70" s="43" t="n">
        <x:f>SUMIFS(AddOn_Calc!$J$4:$J$171,AddOn_Calc!$A$4:$A$171,A70,AddOn_Calc!$B$4:$B$171,B70,AddOn_Calc!$C$4:$C$171,C70)</x:f>
        <x:v>3300000.0000000005</x:v>
      </x:c>
      <x:c r="E70" s="43" t="n">
        <x:v>3300000.0000000005</x:v>
      </x:c>
      <x:c r="F70" s="43" t="n">
        <x:f>D70-E70</x:f>
        <x:v>0</x:v>
      </x:c>
      <x:c r="G70" s="27" t="str">
        <x:f>IF(ABS(F70)&lt;0.01,"OK","CHECK")</x:f>
        <x:v>OK</x:v>
      </x:c>
    </x:row>
    <x:row r="71">
      <x:c r="A71" s="27" t="str">
        <x:v>IND_INSURER_001</x:v>
      </x:c>
      <x:c r="B71" s="27" t="str">
        <x:v>3257</x:v>
      </x:c>
      <x:c r="C71" s="27" t="str">
        <x:v>Commodity</x:v>
      </x:c>
      <x:c r="D71" s="43" t="n">
        <x:f>SUMIFS(AddOn_Calc!$J$4:$J$171,AddOn_Calc!$A$4:$A$171,A71,AddOn_Calc!$B$4:$B$171,B71,AddOn_Calc!$C$4:$C$171,C71)</x:f>
        <x:v>4039200.0000000005</x:v>
      </x:c>
      <x:c r="E71" s="43" t="n">
        <x:v>4039200.0000000005</x:v>
      </x:c>
      <x:c r="F71" s="43" t="n">
        <x:f>D71-E71</x:f>
        <x:v>0</x:v>
      </x:c>
      <x:c r="G71" s="27" t="str">
        <x:f>IF(ABS(F71)&lt;0.01,"OK","CHECK")</x:f>
        <x:v>OK</x:v>
      </x:c>
    </x:row>
    <x:row r="72">
      <x:c r="A72" s="27" t="str">
        <x:v>IND_INSURER_001</x:v>
      </x:c>
      <x:c r="B72" s="27" t="str">
        <x:v>3297</x:v>
      </x:c>
      <x:c r="C72" s="27" t="str">
        <x:v>Interest Rate</x:v>
      </x:c>
      <x:c r="D72" s="43" t="n">
        <x:f>SUMIFS(AddOn_Calc!$J$4:$J$171,AddOn_Calc!$A$4:$A$171,A72,AddOn_Calc!$B$4:$B$171,B72,AddOn_Calc!$C$4:$C$171,C72)</x:f>
        <x:v>18810268.177057065</x:v>
      </x:c>
      <x:c r="E72" s="43" t="n">
        <x:v>18810268.177057065</x:v>
      </x:c>
      <x:c r="F72" s="43" t="n">
        <x:f>D72-E72</x:f>
        <x:v>0</x:v>
      </x:c>
      <x:c r="G72" s="27" t="str">
        <x:f>IF(ABS(F72)&lt;0.01,"OK","CHECK")</x:f>
        <x:v>OK</x:v>
      </x:c>
    </x:row>
    <x:row r="73">
      <x:c r="A73" s="27" t="str">
        <x:v>IND_INSURER_001</x:v>
      </x:c>
      <x:c r="B73" s="27" t="str">
        <x:v>3338</x:v>
      </x:c>
      <x:c r="C73" s="27" t="str">
        <x:v>Credit</x:v>
      </x:c>
      <x:c r="D73" s="43" t="n">
        <x:f>SUMIFS(AddOn_Calc!$J$4:$J$171,AddOn_Calc!$A$4:$A$171,A73,AddOn_Calc!$B$4:$B$171,B73,AddOn_Calc!$C$4:$C$171,C73)</x:f>
        <x:v>616257.7716211872</x:v>
      </x:c>
      <x:c r="E73" s="43" t="n">
        <x:v>616257.7716211872</x:v>
      </x:c>
      <x:c r="F73" s="43" t="n">
        <x:f>D73-E73</x:f>
        <x:v>0</x:v>
      </x:c>
      <x:c r="G73" s="27" t="str">
        <x:f>IF(ABS(F73)&lt;0.01,"OK","CHECK")</x:f>
        <x:v>OK</x:v>
      </x:c>
    </x:row>
    <x:row r="74">
      <x:c r="A74" s="27" t="str">
        <x:v>IND_INSURER_001</x:v>
      </x:c>
      <x:c r="B74" s="27" t="str">
        <x:v>3390</x:v>
      </x:c>
      <x:c r="C74" s="27" t="str">
        <x:v>Equity</x:v>
      </x:c>
      <x:c r="D74" s="43" t="n">
        <x:f>SUMIFS(AddOn_Calc!$J$4:$J$171,AddOn_Calc!$A$4:$A$171,A74,AddOn_Calc!$B$4:$B$171,B74,AddOn_Calc!$C$4:$C$171,C74)</x:f>
        <x:v>10485563.042870814</x:v>
      </x:c>
      <x:c r="E74" s="43" t="n">
        <x:v>10485563.042870814</x:v>
      </x:c>
      <x:c r="F74" s="43" t="n">
        <x:f>D74-E74</x:f>
        <x:v>0</x:v>
      </x:c>
      <x:c r="G74" s="27" t="str">
        <x:f>IF(ABS(F74)&lt;0.01,"OK","CHECK")</x:f>
        <x:v>OK</x:v>
      </x:c>
    </x:row>
    <x:row r="75">
      <x:c r="A75" s="27" t="str">
        <x:v>IND_PENSION_001</x:v>
      </x:c>
      <x:c r="B75" s="27" t="str">
        <x:v>3036</x:v>
      </x:c>
      <x:c r="C75" s="27" t="str">
        <x:v>Credit</x:v>
      </x:c>
      <x:c r="D75" s="43" t="n">
        <x:f>SUMIFS(AddOn_Calc!$J$4:$J$171,AddOn_Calc!$A$4:$A$171,A75,AddOn_Calc!$B$4:$B$171,B75,AddOn_Calc!$C$4:$C$171,C75)</x:f>
        <x:v>1590701.8220125777</x:v>
      </x:c>
      <x:c r="E75" s="43" t="n">
        <x:v>1590701.8220125777</x:v>
      </x:c>
      <x:c r="F75" s="43" t="n">
        <x:f>D75-E75</x:f>
        <x:v>0</x:v>
      </x:c>
      <x:c r="G75" s="27" t="str">
        <x:f>IF(ABS(F75)&lt;0.01,"OK","CHECK")</x:f>
        <x:v>OK</x:v>
      </x:c>
    </x:row>
    <x:row r="76">
      <x:c r="A76" s="27" t="str">
        <x:v>IND_PENSION_001</x:v>
      </x:c>
      <x:c r="B76" s="27" t="str">
        <x:v>3060</x:v>
      </x:c>
      <x:c r="C76" s="27" t="str">
        <x:v>Commodity</x:v>
      </x:c>
      <x:c r="D76" s="43" t="n">
        <x:f>SUMIFS(AddOn_Calc!$J$4:$J$171,AddOn_Calc!$A$4:$A$171,A76,AddOn_Calc!$B$4:$B$171,B76,AddOn_Calc!$C$4:$C$171,C76)</x:f>
        <x:v>19759924.51190038</x:v>
      </x:c>
      <x:c r="E76" s="43" t="n">
        <x:v>19759924.511900373</x:v>
      </x:c>
      <x:c r="F76" s="43" t="n">
        <x:f>D76-E76</x:f>
        <x:v>7.450580596923828e-9</x:v>
      </x:c>
      <x:c r="G76" s="27" t="str">
        <x:f>IF(ABS(F76)&lt;0.01,"OK","CHECK")</x:f>
        <x:v>OK</x:v>
      </x:c>
    </x:row>
    <x:row r="77">
      <x:c r="A77" s="27" t="str">
        <x:v>IND_PENSION_001</x:v>
      </x:c>
      <x:c r="B77" s="27" t="str">
        <x:v>3103</x:v>
      </x:c>
      <x:c r="C77" s="27" t="str">
        <x:v>Interest Rate</x:v>
      </x:c>
      <x:c r="D77" s="43" t="n">
        <x:f>SUMIFS(AddOn_Calc!$J$4:$J$171,AddOn_Calc!$A$4:$A$171,A77,AddOn_Calc!$B$4:$B$171,B77,AddOn_Calc!$C$4:$C$171,C77)</x:f>
        <x:v>8742348.346640676</x:v>
      </x:c>
      <x:c r="E77" s="43" t="n">
        <x:v>8742348.34664068</x:v>
      </x:c>
      <x:c r="F77" s="43" t="n">
        <x:f>D77-E77</x:f>
        <x:v>-3.725290298461914e-9</x:v>
      </x:c>
      <x:c r="G77" s="27" t="str">
        <x:f>IF(ABS(F77)&lt;0.01,"OK","CHECK")</x:f>
        <x:v>OK</x:v>
      </x:c>
    </x:row>
    <x:row r="78">
      <x:c r="A78" s="27" t="str">
        <x:v>IND_PENSION_001</x:v>
      </x:c>
      <x:c r="B78" s="27" t="str">
        <x:v>3113</x:v>
      </x:c>
      <x:c r="C78" s="27" t="str">
        <x:v>Commodity</x:v>
      </x:c>
      <x:c r="D78" s="43" t="n">
        <x:f>SUMIFS(AddOn_Calc!$J$4:$J$171,AddOn_Calc!$A$4:$A$171,A78,AddOn_Calc!$B$4:$B$171,B78,AddOn_Calc!$C$4:$C$171,C78)</x:f>
        <x:v>9909000.000000002</x:v>
      </x:c>
      <x:c r="E78" s="43" t="n">
        <x:v>9909000.000000002</x:v>
      </x:c>
      <x:c r="F78" s="43" t="n">
        <x:f>D78-E78</x:f>
        <x:v>0</x:v>
      </x:c>
      <x:c r="G78" s="27" t="str">
        <x:f>IF(ABS(F78)&lt;0.01,"OK","CHECK")</x:f>
        <x:v>OK</x:v>
      </x:c>
    </x:row>
    <x:row r="79">
      <x:c r="A79" s="27" t="str">
        <x:v>IND_PENSION_001</x:v>
      </x:c>
      <x:c r="B79" s="27" t="str">
        <x:v>3121</x:v>
      </x:c>
      <x:c r="C79" s="27" t="str">
        <x:v>Equity</x:v>
      </x:c>
      <x:c r="D79" s="43" t="n">
        <x:f>SUMIFS(AddOn_Calc!$J$4:$J$171,AddOn_Calc!$A$4:$A$171,A79,AddOn_Calc!$B$4:$B$171,B79,AddOn_Calc!$C$4:$C$171,C79)</x:f>
        <x:v>3688087.1139386073</x:v>
      </x:c>
      <x:c r="E79" s="43" t="n">
        <x:v>3688087.1139386073</x:v>
      </x:c>
      <x:c r="F79" s="43" t="n">
        <x:f>D79-E79</x:f>
        <x:v>0</x:v>
      </x:c>
      <x:c r="G79" s="27" t="str">
        <x:f>IF(ABS(F79)&lt;0.01,"OK","CHECK")</x:f>
        <x:v>OK</x:v>
      </x:c>
    </x:row>
    <x:row r="80">
      <x:c r="A80" s="27" t="str">
        <x:v>IND_PENSION_001</x:v>
      </x:c>
      <x:c r="B80" s="27" t="str">
        <x:v>3174</x:v>
      </x:c>
      <x:c r="C80" s="27" t="str">
        <x:v>Interest Rate</x:v>
      </x:c>
      <x:c r="D80" s="43" t="n">
        <x:f>SUMIFS(AddOn_Calc!$J$4:$J$171,AddOn_Calc!$A$4:$A$171,A80,AddOn_Calc!$B$4:$B$171,B80,AddOn_Calc!$C$4:$C$171,C80)</x:f>
        <x:v>315506.84692620346</x:v>
      </x:c>
      <x:c r="E80" s="43" t="n">
        <x:v>315506.84692620346</x:v>
      </x:c>
      <x:c r="F80" s="43" t="n">
        <x:f>D80-E80</x:f>
        <x:v>0</x:v>
      </x:c>
      <x:c r="G80" s="27" t="str">
        <x:f>IF(ABS(F80)&lt;0.01,"OK","CHECK")</x:f>
        <x:v>OK</x:v>
      </x:c>
    </x:row>
    <x:row r="81">
      <x:c r="A81" s="27" t="str">
        <x:v>IND_PENSION_001</x:v>
      </x:c>
      <x:c r="B81" s="27" t="str">
        <x:v>3242</x:v>
      </x:c>
      <x:c r="C81" s="27" t="str">
        <x:v>Credit</x:v>
      </x:c>
      <x:c r="D81" s="43" t="n">
        <x:f>SUMIFS(AddOn_Calc!$J$4:$J$171,AddOn_Calc!$A$4:$A$171,A81,AddOn_Calc!$B$4:$B$171,B81,AddOn_Calc!$C$4:$C$171,C81)</x:f>
        <x:v>131933.83642557342</x:v>
      </x:c>
      <x:c r="E81" s="43" t="n">
        <x:v>131933.83642557342</x:v>
      </x:c>
      <x:c r="F81" s="43" t="n">
        <x:f>D81-E81</x:f>
        <x:v>0</x:v>
      </x:c>
      <x:c r="G81" s="27" t="str">
        <x:f>IF(ABS(F81)&lt;0.01,"OK","CHECK")</x:f>
        <x:v>OK</x:v>
      </x:c>
    </x:row>
    <x:row r="82">
      <x:c r="A82" s="27" t="str">
        <x:v>IND_PENSION_001</x:v>
      </x:c>
      <x:c r="B82" s="27" t="str">
        <x:v>3254</x:v>
      </x:c>
      <x:c r="C82" s="27" t="str">
        <x:v>FX</x:v>
      </x:c>
      <x:c r="D82" s="43" t="n">
        <x:f>SUMIFS(AddOn_Calc!$J$4:$J$171,AddOn_Calc!$A$4:$A$171,A82,AddOn_Calc!$B$4:$B$171,B82,AddOn_Calc!$C$4:$C$171,C82)</x:f>
        <x:v>2404214.4076105123</x:v>
      </x:c>
      <x:c r="E82" s="43" t="n">
        <x:v>2404214.4076105123</x:v>
      </x:c>
      <x:c r="F82" s="43" t="n">
        <x:f>D82-E82</x:f>
        <x:v>0</x:v>
      </x:c>
      <x:c r="G82" s="27" t="str">
        <x:f>IF(ABS(F82)&lt;0.01,"OK","CHECK")</x:f>
        <x:v>OK</x:v>
      </x:c>
    </x:row>
    <x:row r="83">
      <x:c r="A83" s="27" t="str">
        <x:v>IND_PENSION_001</x:v>
      </x:c>
      <x:c r="B83" s="27" t="str">
        <x:v>3294</x:v>
      </x:c>
      <x:c r="C83" s="27" t="str">
        <x:v>FX</x:v>
      </x:c>
      <x:c r="D83" s="43" t="n">
        <x:f>SUMIFS(AddOn_Calc!$J$4:$J$171,AddOn_Calc!$A$4:$A$171,A83,AddOn_Calc!$B$4:$B$171,B83,AddOn_Calc!$C$4:$C$171,C83)</x:f>
        <x:v>3776400.000000001</x:v>
      </x:c>
      <x:c r="E83" s="43" t="n">
        <x:v>3776400.000000001</x:v>
      </x:c>
      <x:c r="F83" s="43" t="n">
        <x:f>D83-E83</x:f>
        <x:v>0</x:v>
      </x:c>
      <x:c r="G83" s="27" t="str">
        <x:f>IF(ABS(F83)&lt;0.01,"OK","CHECK")</x:f>
        <x:v>OK</x:v>
      </x:c>
    </x:row>
    <x:row r="84">
      <x:c r="A84" s="27" t="str">
        <x:v>IND_REGIONAL_BANK_001</x:v>
      </x:c>
      <x:c r="B84" s="27" t="str">
        <x:v>3054</x:v>
      </x:c>
      <x:c r="C84" s="27" t="str">
        <x:v>Interest Rate</x:v>
      </x:c>
      <x:c r="D84" s="43" t="n">
        <x:f>SUMIFS(AddOn_Calc!$J$4:$J$171,AddOn_Calc!$A$4:$A$171,A84,AddOn_Calc!$B$4:$B$171,B84,AddOn_Calc!$C$4:$C$171,C84)</x:f>
        <x:v>15280896.091243856</x:v>
      </x:c>
      <x:c r="E84" s="43" t="n">
        <x:v>15280896.091243856</x:v>
      </x:c>
      <x:c r="F84" s="43" t="n">
        <x:f>D84-E84</x:f>
        <x:v>0</x:v>
      </x:c>
      <x:c r="G84" s="27" t="str">
        <x:f>IF(ABS(F84)&lt;0.01,"OK","CHECK")</x:f>
        <x:v>OK</x:v>
      </x:c>
    </x:row>
    <x:row r="85">
      <x:c r="A85" s="27" t="str">
        <x:v>IND_REGIONAL_BANK_001</x:v>
      </x:c>
      <x:c r="B85" s="27" t="str">
        <x:v>3082</x:v>
      </x:c>
      <x:c r="C85" s="27" t="str">
        <x:v>Commodity</x:v>
      </x:c>
      <x:c r="D85" s="43" t="n">
        <x:f>SUMIFS(AddOn_Calc!$J$4:$J$171,AddOn_Calc!$A$4:$A$171,A85,AddOn_Calc!$B$4:$B$171,B85,AddOn_Calc!$C$4:$C$171,C85)</x:f>
        <x:v>6203400.000000001</x:v>
      </x:c>
      <x:c r="E85" s="43" t="n">
        <x:v>6203400.000000001</x:v>
      </x:c>
      <x:c r="F85" s="43" t="n">
        <x:f>D85-E85</x:f>
        <x:v>0</x:v>
      </x:c>
      <x:c r="G85" s="27" t="str">
        <x:f>IF(ABS(F85)&lt;0.01,"OK","CHECK")</x:f>
        <x:v>OK</x:v>
      </x:c>
    </x:row>
    <x:row r="86">
      <x:c r="A86" s="27" t="str">
        <x:v>IND_REGIONAL_BANK_001</x:v>
      </x:c>
      <x:c r="B86" s="27" t="str">
        <x:v>3161</x:v>
      </x:c>
      <x:c r="C86" s="27" t="str">
        <x:v>Credit</x:v>
      </x:c>
      <x:c r="D86" s="43" t="n">
        <x:f>SUMIFS(AddOn_Calc!$J$4:$J$171,AddOn_Calc!$A$4:$A$171,A86,AddOn_Calc!$B$4:$B$171,B86,AddOn_Calc!$C$4:$C$171,C86)</x:f>
        <x:v>5649459.236787042</x:v>
      </x:c>
      <x:c r="E86" s="43" t="n">
        <x:v>5649459.236787042</x:v>
      </x:c>
      <x:c r="F86" s="43" t="n">
        <x:f>D86-E86</x:f>
        <x:v>0</x:v>
      </x:c>
      <x:c r="G86" s="27" t="str">
        <x:f>IF(ABS(F86)&lt;0.01,"OK","CHECK")</x:f>
        <x:v>OK</x:v>
      </x:c>
    </x:row>
    <x:row r="87">
      <x:c r="A87" s="27" t="str">
        <x:v>IND_REGIONAL_BANK_001</x:v>
      </x:c>
      <x:c r="B87" s="27" t="str">
        <x:v>3194</x:v>
      </x:c>
      <x:c r="C87" s="27" t="str">
        <x:v>Equity</x:v>
      </x:c>
      <x:c r="D87" s="43" t="n">
        <x:f>SUMIFS(AddOn_Calc!$J$4:$J$171,AddOn_Calc!$A$4:$A$171,A87,AddOn_Calc!$B$4:$B$171,B87,AddOn_Calc!$C$4:$C$171,C87)</x:f>
        <x:v>3590830.188077495</x:v>
      </x:c>
      <x:c r="E87" s="43" t="n">
        <x:v>3590830.188077495</x:v>
      </x:c>
      <x:c r="F87" s="43" t="n">
        <x:f>D87-E87</x:f>
        <x:v>0</x:v>
      </x:c>
      <x:c r="G87" s="27" t="str">
        <x:f>IF(ABS(F87)&lt;0.01,"OK","CHECK")</x:f>
        <x:v>OK</x:v>
      </x:c>
    </x:row>
    <x:row r="88">
      <x:c r="A88" s="27" t="str">
        <x:v>IND_REGIONAL_BANK_001</x:v>
      </x:c>
      <x:c r="B88" s="27" t="str">
        <x:v>3210</x:v>
      </x:c>
      <x:c r="C88" s="27" t="str">
        <x:v>FX</x:v>
      </x:c>
      <x:c r="D88" s="43" t="n">
        <x:f>SUMIFS(AddOn_Calc!$J$4:$J$171,AddOn_Calc!$A$4:$A$171,A88,AddOn_Calc!$B$4:$B$171,B88,AddOn_Calc!$C$4:$C$171,C88)</x:f>
        <x:v>2177773.6367068347</x:v>
      </x:c>
      <x:c r="E88" s="43" t="n">
        <x:v>2177773.6367068347</x:v>
      </x:c>
      <x:c r="F88" s="43" t="n">
        <x:f>D88-E88</x:f>
        <x:v>0</x:v>
      </x:c>
      <x:c r="G88" s="27" t="str">
        <x:f>IF(ABS(F88)&lt;0.01,"OK","CHECK")</x:f>
        <x:v>OK</x:v>
      </x:c>
    </x:row>
    <x:row r="89">
      <x:c r="A89" s="27" t="str">
        <x:v>IND_REGIONAL_BANK_001</x:v>
      </x:c>
      <x:c r="B89" s="27" t="str">
        <x:v>3237</x:v>
      </x:c>
      <x:c r="C89" s="27" t="str">
        <x:v>Credit</x:v>
      </x:c>
      <x:c r="D89" s="43" t="n">
        <x:f>SUMIFS(AddOn_Calc!$J$4:$J$171,AddOn_Calc!$A$4:$A$171,A89,AddOn_Calc!$B$4:$B$171,B89,AddOn_Calc!$C$4:$C$171,C89)</x:f>
        <x:v>3924087.3539465335</x:v>
      </x:c>
      <x:c r="E89" s="43" t="n">
        <x:v>3924087.3539465335</x:v>
      </x:c>
      <x:c r="F89" s="43" t="n">
        <x:f>D89-E89</x:f>
        <x:v>0</x:v>
      </x:c>
      <x:c r="G89" s="27" t="str">
        <x:f>IF(ABS(F89)&lt;0.01,"OK","CHECK")</x:f>
        <x:v>OK</x:v>
      </x:c>
    </x:row>
    <x:row r="90">
      <x:c r="A90" s="27" t="str">
        <x:v>IND_REGIONAL_BANK_001</x:v>
      </x:c>
      <x:c r="B90" s="27" t="str">
        <x:v>3245</x:v>
      </x:c>
      <x:c r="C90" s="27" t="str">
        <x:v>FX</x:v>
      </x:c>
      <x:c r="D90" s="43" t="n">
        <x:f>SUMIFS(AddOn_Calc!$J$4:$J$171,AddOn_Calc!$A$4:$A$171,A90,AddOn_Calc!$B$4:$B$171,B90,AddOn_Calc!$C$4:$C$171,C90)</x:f>
        <x:v>4808000</x:v>
      </x:c>
      <x:c r="E90" s="43" t="n">
        <x:v>4808000</x:v>
      </x:c>
      <x:c r="F90" s="43" t="n">
        <x:f>D90-E90</x:f>
        <x:v>0</x:v>
      </x:c>
      <x:c r="G90" s="27" t="str">
        <x:f>IF(ABS(F90)&lt;0.01,"OK","CHECK")</x:f>
        <x:v>OK</x:v>
      </x:c>
    </x:row>
    <x:row r="91">
      <x:c r="A91" s="27" t="str">
        <x:v>IND_REGIONAL_BANK_001</x:v>
      </x:c>
      <x:c r="B91" s="27" t="str">
        <x:v>3315</x:v>
      </x:c>
      <x:c r="C91" s="27" t="str">
        <x:v>Interest Rate</x:v>
      </x:c>
      <x:c r="D91" s="43" t="n">
        <x:f>SUMIFS(AddOn_Calc!$J$4:$J$171,AddOn_Calc!$A$4:$A$171,A91,AddOn_Calc!$B$4:$B$171,B91,AddOn_Calc!$C$4:$C$171,C91)</x:f>
        <x:v>3422606.959892162</x:v>
      </x:c>
      <x:c r="E91" s="43" t="n">
        <x:v>3422606.959892163</x:v>
      </x:c>
      <x:c r="F91" s="43" t="n">
        <x:f>D91-E91</x:f>
        <x:v>-9.313225746154785e-10</x:v>
      </x:c>
      <x:c r="G91" s="27" t="str">
        <x:f>IF(ABS(F91)&lt;0.01,"OK","CHECK")</x:f>
        <x:v>OK</x:v>
      </x:c>
    </x:row>
    <x:row r="92">
      <x:c r="A92" s="27" t="str">
        <x:v>IND_SOVEREIGN_001</x:v>
      </x:c>
      <x:c r="B92" s="27" t="str">
        <x:v>3042</x:v>
      </x:c>
      <x:c r="C92" s="27" t="str">
        <x:v>Credit</x:v>
      </x:c>
      <x:c r="D92" s="43" t="n">
        <x:f>SUMIFS(AddOn_Calc!$J$4:$J$171,AddOn_Calc!$A$4:$A$171,A92,AddOn_Calc!$B$4:$B$171,B92,AddOn_Calc!$C$4:$C$171,C92)</x:f>
        <x:v>450320.6895615736</x:v>
      </x:c>
      <x:c r="E92" s="43" t="n">
        <x:v>450320.6895615736</x:v>
      </x:c>
      <x:c r="F92" s="43" t="n">
        <x:f>D92-E92</x:f>
        <x:v>0</x:v>
      </x:c>
      <x:c r="G92" s="27" t="str">
        <x:f>IF(ABS(F92)&lt;0.01,"OK","CHECK")</x:f>
        <x:v>OK</x:v>
      </x:c>
    </x:row>
    <x:row r="93">
      <x:c r="A93" s="27" t="str">
        <x:v>IND_SOVEREIGN_001</x:v>
      </x:c>
      <x:c r="B93" s="27" t="str">
        <x:v>3065</x:v>
      </x:c>
      <x:c r="C93" s="27" t="str">
        <x:v>Interest Rate</x:v>
      </x:c>
      <x:c r="D93" s="43" t="n">
        <x:f>SUMIFS(AddOn_Calc!$J$4:$J$171,AddOn_Calc!$A$4:$A$171,A93,AddOn_Calc!$B$4:$B$171,B93,AddOn_Calc!$C$4:$C$171,C93)</x:f>
        <x:v>11289206.531979304</x:v>
      </x:c>
      <x:c r="E93" s="43" t="n">
        <x:v>11289206.531979304</x:v>
      </x:c>
      <x:c r="F93" s="43" t="n">
        <x:f>D93-E93</x:f>
        <x:v>0</x:v>
      </x:c>
      <x:c r="G93" s="27" t="str">
        <x:f>IF(ABS(F93)&lt;0.01,"OK","CHECK")</x:f>
        <x:v>OK</x:v>
      </x:c>
    </x:row>
    <x:row r="94">
      <x:c r="A94" s="27" t="str">
        <x:v>IND_SOVEREIGN_001</x:v>
      </x:c>
      <x:c r="B94" s="27" t="str">
        <x:v>3084</x:v>
      </x:c>
      <x:c r="C94" s="27" t="str">
        <x:v>FX</x:v>
      </x:c>
      <x:c r="D94" s="43" t="n">
        <x:f>SUMIFS(AddOn_Calc!$J$4:$J$171,AddOn_Calc!$A$4:$A$171,A94,AddOn_Calc!$B$4:$B$171,B94,AddOn_Calc!$C$4:$C$171,C94)</x:f>
        <x:v>2065232.6167001186</x:v>
      </x:c>
      <x:c r="E94" s="43" t="n">
        <x:v>2065232.6167001186</x:v>
      </x:c>
      <x:c r="F94" s="43" t="n">
        <x:f>D94-E94</x:f>
        <x:v>0</x:v>
      </x:c>
      <x:c r="G94" s="27" t="str">
        <x:f>IF(ABS(F94)&lt;0.01,"OK","CHECK")</x:f>
        <x:v>OK</x:v>
      </x:c>
    </x:row>
    <x:row r="95">
      <x:c r="A95" s="27" t="str">
        <x:v>IND_SOVEREIGN_001</x:v>
      </x:c>
      <x:c r="B95" s="27" t="str">
        <x:v>3126</x:v>
      </x:c>
      <x:c r="C95" s="27" t="str">
        <x:v>Commodity</x:v>
      </x:c>
      <x:c r="D95" s="43" t="n">
        <x:f>SUMIFS(AddOn_Calc!$J$4:$J$171,AddOn_Calc!$A$4:$A$171,A95,AddOn_Calc!$B$4:$B$171,B95,AddOn_Calc!$C$4:$C$171,C95)</x:f>
        <x:v>9728085.273896612</x:v>
      </x:c>
      <x:c r="E95" s="43" t="n">
        <x:v>9728085.273896614</x:v>
      </x:c>
      <x:c r="F95" s="43" t="n">
        <x:f>D95-E95</x:f>
        <x:v>-1.862645149230957e-9</x:v>
      </x:c>
      <x:c r="G95" s="27" t="str">
        <x:f>IF(ABS(F95)&lt;0.01,"OK","CHECK")</x:f>
        <x:v>OK</x:v>
      </x:c>
    </x:row>
    <x:row r="96">
      <x:c r="A96" s="27" t="str">
        <x:v>IND_SOVEREIGN_001</x:v>
      </x:c>
      <x:c r="B96" s="27" t="str">
        <x:v>3246</x:v>
      </x:c>
      <x:c r="C96" s="27" t="str">
        <x:v>Interest Rate</x:v>
      </x:c>
      <x:c r="D96" s="43" t="n">
        <x:f>SUMIFS(AddOn_Calc!$J$4:$J$171,AddOn_Calc!$A$4:$A$171,A96,AddOn_Calc!$B$4:$B$171,B96,AddOn_Calc!$C$4:$C$171,C96)</x:f>
        <x:v>21210487.356791325</x:v>
      </x:c>
      <x:c r="E96" s="43" t="n">
        <x:v>21210487.356791325</x:v>
      </x:c>
      <x:c r="F96" s="43" t="n">
        <x:f>D96-E96</x:f>
        <x:v>0</x:v>
      </x:c>
      <x:c r="G96" s="27" t="str">
        <x:f>IF(ABS(F96)&lt;0.01,"OK","CHECK")</x:f>
        <x:v>OK</x:v>
      </x:c>
    </x:row>
    <x:row r="97">
      <x:c r="A97" s="27" t="str">
        <x:v>IND_SOVEREIGN_001</x:v>
      </x:c>
      <x:c r="B97" s="27" t="str">
        <x:v>3281</x:v>
      </x:c>
      <x:c r="C97" s="27" t="str">
        <x:v>Credit</x:v>
      </x:c>
      <x:c r="D97" s="43" t="n">
        <x:f>SUMIFS(AddOn_Calc!$J$4:$J$171,AddOn_Calc!$A$4:$A$171,A97,AddOn_Calc!$B$4:$B$171,B97,AddOn_Calc!$C$4:$C$171,C97)</x:f>
        <x:v>1578667.5370825392</x:v>
      </x:c>
      <x:c r="E97" s="43" t="n">
        <x:v>1578667.5370825392</x:v>
      </x:c>
      <x:c r="F97" s="43" t="n">
        <x:f>D97-E97</x:f>
        <x:v>0</x:v>
      </x:c>
      <x:c r="G97" s="27" t="str">
        <x:f>IF(ABS(F97)&lt;0.01,"OK","CHECK")</x:f>
        <x:v>OK</x:v>
      </x:c>
    </x:row>
    <x:row r="98">
      <x:c r="A98" s="27" t="str">
        <x:v>IND_SOVEREIGN_001</x:v>
      </x:c>
      <x:c r="B98" s="27" t="str">
        <x:v>3296</x:v>
      </x:c>
      <x:c r="C98" s="27" t="str">
        <x:v>Equity</x:v>
      </x:c>
      <x:c r="D98" s="43" t="n">
        <x:f>SUMIFS(AddOn_Calc!$J$4:$J$171,AddOn_Calc!$A$4:$A$171,A98,AddOn_Calc!$B$4:$B$171,B98,AddOn_Calc!$C$4:$C$171,C98)</x:f>
        <x:v>3974400.0000000005</x:v>
      </x:c>
      <x:c r="E98" s="43" t="n">
        <x:v>3974400.0000000005</x:v>
      </x:c>
      <x:c r="F98" s="43" t="n">
        <x:f>D98-E98</x:f>
        <x:v>0</x:v>
      </x:c>
      <x:c r="G98" s="27" t="str">
        <x:f>IF(ABS(F98)&lt;0.01,"OK","CHECK")</x:f>
        <x:v>OK</x:v>
      </x:c>
    </x:row>
    <x:row r="99">
      <x:c r="A99" s="27" t="str">
        <x:v>IND_SOVEREIGN_001</x:v>
      </x:c>
      <x:c r="B99" s="27" t="str">
        <x:v>3357</x:v>
      </x:c>
      <x:c r="C99" s="27" t="str">
        <x:v>Commodity</x:v>
      </x:c>
      <x:c r="D99" s="43" t="n">
        <x:f>SUMIFS(AddOn_Calc!$J$4:$J$171,AddOn_Calc!$A$4:$A$171,A99,AddOn_Calc!$B$4:$B$171,B99,AddOn_Calc!$C$4:$C$171,C99)</x:f>
        <x:v>6572488.502170928</x:v>
      </x:c>
      <x:c r="E99" s="43" t="n">
        <x:v>6572488.502170928</x:v>
      </x:c>
      <x:c r="F99" s="43" t="n">
        <x:f>D99-E99</x:f>
        <x:v>0</x:v>
      </x:c>
      <x:c r="G99" s="27" t="str">
        <x:f>IF(ABS(F99)&lt;0.01,"OK","CHECK")</x:f>
        <x:v>OK</x:v>
      </x:c>
    </x:row>
    <x:row r="100">
      <x:c r="A100" s="27" t="str">
        <x:v>IND_SOVEREIGN_001</x:v>
      </x:c>
      <x:c r="B100" s="27" t="str">
        <x:v>3390</x:v>
      </x:c>
      <x:c r="C100" s="27" t="str">
        <x:v>FX</x:v>
      </x:c>
      <x:c r="D100" s="43" t="n">
        <x:f>SUMIFS(AddOn_Calc!$J$4:$J$171,AddOn_Calc!$A$4:$A$171,A100,AddOn_Calc!$B$4:$B$171,B100,AddOn_Calc!$C$4:$C$171,C100)</x:f>
        <x:v>3541970.1424424965</x:v>
      </x:c>
      <x:c r="E100" s="43" t="n">
        <x:v>3541970.1424424965</x:v>
      </x:c>
      <x:c r="F100" s="43" t="n">
        <x:f>D100-E100</x:f>
        <x:v>0</x:v>
      </x:c>
      <x:c r="G100" s="27" t="str">
        <x:f>IF(ABS(F100)&lt;0.01,"OK","CHECK")</x:f>
        <x:v>OK</x:v>
      </x:c>
    </x:row>
  </x:sheetData>
  <x:mergeCells>
    <x:mergeCell ref="A1:G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25" hidden="0" customWidth="1"/>
    <x:col min="2" max="2" width="15.25" hidden="0" customWidth="1"/>
    <x:col min="3" max="3" width="15.25" hidden="0" customWidth="1"/>
    <x:col min="4" max="4" width="15.25" hidden="0" customWidth="1"/>
    <x:col min="5" max="5" width="15.25" hidden="0" customWidth="1"/>
    <x:col min="6" max="6" width="15.25" hidden="0" customWidth="1"/>
    <x:col min="7" max="7" width="15.25" hidden="0" customWidth="1"/>
    <x:col min="8" max="8" width="15.25" hidden="0" customWidth="1"/>
    <x:col min="9" max="9" width="15.25" hidden="0" customWidth="1"/>
    <x:col min="10" max="10" width="15.25" hidden="0" customWidth="1"/>
    <x:col min="11" max="11" width="15.25" hidden="0" customWidth="1"/>
    <x:col min="12" max="12" width="15.25" hidden="0" customWidth="1"/>
    <x:col min="13" max="13" width="15.25" hidden="0" customWidth="1"/>
    <x:col min="14" max="14" width="15.25" hidden="0" customWidth="1"/>
    <x:col min="15" max="15" width="15.25" hidden="0" customWidth="1"/>
    <x:col min="16" max="16" width="15.25" hidden="0" customWidth="1"/>
    <x:col min="17" max="17" width="15.25" hidden="0" customWidth="1"/>
    <x:col min="18" max="18" width="15.25" hidden="0" customWidth="1"/>
    <x:col min="19" max="19" width="15.25" hidden="0" customWidth="1"/>
    <x:col min="20" max="20" width="15.25" hidden="0" customWidth="1"/>
    <x:col min="21" max="21" width="15.25" hidden="0" customWidth="1"/>
    <x:col min="22" max="22" width="15.25" hidden="0" customWidth="1"/>
    <x:col min="23" max="23" width="15.25" hidden="0" customWidth="1"/>
  </x:cols>
  <x:sheetData>
    <x:row r="1" ht="22.5" customHeight="1">
      <x:c r="A1" s="26" t="str">
        <x:v>Netting-Set Exposure Reconciliation</x:v>
      </x:c>
      <x:c r="B1" s="26" t="str">
        <x:v>Netting-Set Exposure Reconciliation</x:v>
      </x:c>
      <x:c r="C1" s="26" t="str">
        <x:v>Netting-Set Exposure Reconciliation</x:v>
      </x:c>
      <x:c r="D1" s="26" t="str">
        <x:v>Netting-Set Exposure Reconciliation</x:v>
      </x:c>
      <x:c r="E1" s="26" t="str">
        <x:v>Netting-Set Exposure Reconciliation</x:v>
      </x:c>
      <x:c r="F1" s="26" t="str">
        <x:v>Netting-Set Exposure Reconciliation</x:v>
      </x:c>
      <x:c r="G1" s="26" t="str">
        <x:v>Netting-Set Exposure Reconciliation</x:v>
      </x:c>
      <x:c r="H1" s="26" t="str">
        <x:v>Netting-Set Exposure Reconciliation</x:v>
      </x:c>
      <x:c r="I1" s="26" t="str">
        <x:v>Netting-Set Exposure Reconciliation</x:v>
      </x:c>
      <x:c r="J1" s="26" t="str">
        <x:v>Netting-Set Exposure Reconciliation</x:v>
      </x:c>
      <x:c r="K1" s="26" t="str">
        <x:v>Netting-Set Exposure Reconciliation</x:v>
      </x:c>
      <x:c r="L1" s="26" t="str">
        <x:v>Netting-Set Exposure Reconciliation</x:v>
      </x:c>
      <x:c r="M1" s="26" t="str">
        <x:v>Netting-Set Exposure Reconciliation</x:v>
      </x:c>
      <x:c r="N1" s="26" t="str">
        <x:v>Netting-Set Exposure Reconciliation</x:v>
      </x:c>
      <x:c r="O1" s="26" t="str">
        <x:v>Netting-Set Exposure Reconciliation</x:v>
      </x:c>
      <x:c r="P1" s="26" t="str">
        <x:v>Netting-Set Exposure Reconciliation</x:v>
      </x:c>
      <x:c r="Q1" s="26" t="str">
        <x:v>Netting-Set Exposure Reconciliation</x:v>
      </x:c>
      <x:c r="R1" s="26" t="str">
        <x:v>Netting-Set Exposure Reconciliation</x:v>
      </x:c>
      <x:c r="S1" s="26" t="str">
        <x:v>Netting-Set Exposure Reconciliation</x:v>
      </x:c>
      <x:c r="T1" s="26" t="str">
        <x:v>Netting-Set Exposure Reconciliation</x:v>
      </x:c>
      <x:c r="U1" s="26" t="str">
        <x:v>Netting-Set Exposure Reconciliation</x:v>
      </x:c>
      <x:c r="V1" s="26" t="str">
        <x:v>Netting-Set Exposure Reconciliation</x:v>
      </x:c>
      <x:c r="W1" s="26" t="str">
        <x:v>Netting-Set Exposure Reconciliation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</x:row>
    <x:row r="3">
      <x:c r="A3" s="28" t="str">
        <x:v>Counterparty ID</x:v>
      </x:c>
      <x:c r="B3" s="28" t="str">
        <x:v>Netting Set ID</x:v>
      </x:c>
      <x:c r="C3" s="28" t="str">
        <x:v>Excel Net MtM</x:v>
      </x:c>
      <x:c r="D3" s="28" t="str">
        <x:v>Margin Agreement</x:v>
      </x:c>
      <x:c r="E3" s="28" t="str">
        <x:v>Collateral Amount</x:v>
      </x:c>
      <x:c r="F3" s="28" t="str">
        <x:v>Threshold Amount</x:v>
      </x:c>
      <x:c r="G3" s="28" t="str">
        <x:v>Minimum Transfer Amount</x:v>
      </x:c>
      <x:c r="H3" s="28" t="str">
        <x:v>NICA</x:v>
      </x:c>
      <x:c r="I3" s="28" t="str">
        <x:v>Excel RC</x:v>
      </x:c>
      <x:c r="J3" s="28" t="str">
        <x:v>Excel AddOn Aggregate</x:v>
      </x:c>
      <x:c r="K3" s="28" t="str">
        <x:v>Excel Multiplier</x:v>
      </x:c>
      <x:c r="L3" s="28" t="str">
        <x:v>Excel PFE</x:v>
      </x:c>
      <x:c r="M3" s="28" t="str">
        <x:v>Excel EAD</x:v>
      </x:c>
      <x:c r="N3" s="28" t="str">
        <x:v>Risk Weight</x:v>
      </x:c>
      <x:c r="O3" s="28" t="str">
        <x:v>Excel RWA</x:v>
      </x:c>
      <x:c r="P3" s="28" t="str">
        <x:v>Python RC</x:v>
      </x:c>
      <x:c r="Q3" s="28" t="str">
        <x:v>Python AddOn Aggregate</x:v>
      </x:c>
      <x:c r="R3" s="28" t="str">
        <x:v>Python Multiplier</x:v>
      </x:c>
      <x:c r="S3" s="28" t="str">
        <x:v>Python PFE</x:v>
      </x:c>
      <x:c r="T3" s="28" t="str">
        <x:v>Python EAD</x:v>
      </x:c>
      <x:c r="U3" s="28" t="str">
        <x:v>Python RWA</x:v>
      </x:c>
      <x:c r="V3" s="28" t="str">
        <x:v>Diff EAD</x:v>
      </x:c>
      <x:c r="W3" s="28" t="str">
        <x:v>Pass?</x:v>
      </x:c>
    </x:row>
    <x:row r="4">
      <x:c r="A4" s="27" t="str">
        <x:v>IND_ASSET_MANAGER_001</x:v>
      </x:c>
      <x:c r="B4" s="27" t="str">
        <x:v>3050</x:v>
      </x:c>
      <x:c r="C4" s="43" t="n">
        <x:f>SUMIFS(Trade_Calc!$AB$4:$AB$301,Trade_Calc!$B$4:$B$301,A4,Trade_Calc!$C$4:$C$301,B4)</x:f>
        <x:v>10782385.5</x:v>
      </x:c>
      <x:c r="D4" s="27" t="str">
        <x:f>IF(COUNTIFS(Trade_Calc!$B$4:$B$301,A4,Trade_Calc!$C$4:$C$301,B4,Trade_Calc!$AJ$4:$AJ$301,"M")&gt;0,"M","U")</x:f>
        <x:v>M</x:v>
      </x:c>
      <x:c r="E4" s="43" t="n">
        <x:f>SUMIFS(Inputs_Collateral!$D$4:$D$98,Inputs_Collateral!$A$4:$A$98,A4,Inputs_Collateral!$B$4:$B$98,B4)</x:f>
        <x:v>134975000</x:v>
      </x:c>
      <x:c r="F4" s="43" t="n">
        <x:f>SUMIFS(Inputs_Collateral!$E$4:$E$98,Inputs_Collateral!$A$4:$A$98,A4,Inputs_Collateral!$B$4:$B$98,B4)</x:f>
        <x:v>6748750</x:v>
      </x:c>
      <x:c r="G4" s="43" t="n">
        <x:f>SUMIFS(Inputs_Collateral!$F$4:$F$98,Inputs_Collateral!$A$4:$A$98,A4,Inputs_Collateral!$B$4:$B$98,B4)</x:f>
        <x:v>2699500</x:v>
      </x:c>
      <x:c r="H4" s="43" t="n">
        <x:f>SUMIFS(Inputs_Collateral!$G$4:$G$98,Inputs_Collateral!$A$4:$A$98,A4,Inputs_Collateral!$B$4:$B$98,B4)</x:f>
        <x:v>26995000</x:v>
      </x:c>
      <x:c r="I4" s="43" t="n">
        <x:f>IF(D4="M",MAX(C4-E4,F4+G4-H4,0),MAX(C4-E4,0))</x:f>
        <x:v>0</x:v>
      </x:c>
      <x:c r="J4" s="43" t="n">
        <x:f>SUMIFS(Asset_Class_AddOn!$D$4:$D$100,Asset_Class_AddOn!$A$4:$A$100,A4,Asset_Class_AddOn!$B$4:$B$100,B4)</x:f>
        <x:v>4094235.42574219</x:v>
      </x:c>
      <x:c r="K4" s="41" t="n">
        <x:f>IF(J4&lt;=0,1,MIN(1,Parameters!$B$5+(1-Parameters!$B$5)*EXP((C4-E4)/(2*(1-Parameters!$B$5)*J4))))</x:f>
        <x:v>0.05000011071469476</x:v>
      </x:c>
      <x:c r="L4" s="43" t="n">
        <x:f>K4*J4</x:f>
        <x:v>204712.22457913493</x:v>
      </x:c>
      <x:c r="M4" s="43" t="n">
        <x:f>Parameters!$B$4*(I4+L4)</x:f>
        <x:v>286597.11441078887</x:v>
      </x:c>
      <x:c r="N4" s="42" t="n">
        <x:f>SUMIFS(Inputs_Counterparties!$D$4:$D$15,Inputs_Counterparties!$A$4:$A$15,A4)</x:f>
        <x:v>0.5</x:v>
      </x:c>
      <x:c r="O4" s="43" t="n">
        <x:f>M4*N4</x:f>
        <x:v>143298.55720539443</x:v>
      </x:c>
      <x:c r="P4" s="43" t="n">
        <x:v>0</x:v>
      </x:c>
      <x:c r="Q4" s="43" t="n">
        <x:v>4094235.42574219</x:v>
      </x:c>
      <x:c r="R4" s="41" t="n">
        <x:v>0.05000011071469476</x:v>
      </x:c>
      <x:c r="S4" s="43" t="n">
        <x:v>204712.22457913493</x:v>
      </x:c>
      <x:c r="T4" s="43" t="n">
        <x:v>286597.11441078887</x:v>
      </x:c>
      <x:c r="U4" s="43" t="n">
        <x:v>143298.55720539443</x:v>
      </x:c>
      <x:c r="V4" s="43" t="n">
        <x:f>M4-T4</x:f>
        <x:v>0</x:v>
      </x:c>
      <x:c r="W4" s="27" t="str">
        <x:f>IF(ABS(V4)&lt;0.01,"OK","CHECK")</x:f>
        <x:v>OK</x:v>
      </x:c>
    </x:row>
    <x:row r="5">
      <x:c r="A5" s="27" t="str">
        <x:v>IND_ASSET_MANAGER_001</x:v>
      </x:c>
      <x:c r="B5" s="27" t="str">
        <x:v>3127</x:v>
      </x:c>
      <x:c r="C5" s="43" t="n">
        <x:f>SUMIFS(Trade_Calc!$AB$4:$AB$301,Trade_Calc!$B$4:$B$301,A5,Trade_Calc!$C$4:$C$301,B5)</x:f>
        <x:v>2169912</x:v>
      </x:c>
      <x:c r="D5" s="27" t="str">
        <x:f>IF(COUNTIFS(Trade_Calc!$B$4:$B$301,A5,Trade_Calc!$C$4:$C$301,B5,Trade_Calc!$AJ$4:$AJ$301,"M")&gt;0,"M","U")</x:f>
        <x:v>M</x:v>
      </x:c>
      <x:c r="E5" s="43" t="n">
        <x:f>SUMIFS(Inputs_Collateral!$D$4:$D$98,Inputs_Collateral!$A$4:$A$98,A5,Inputs_Collateral!$B$4:$B$98,B5)</x:f>
        <x:v>41620000</x:v>
      </x:c>
      <x:c r="F5" s="43" t="n">
        <x:f>SUMIFS(Inputs_Collateral!$E$4:$E$98,Inputs_Collateral!$A$4:$A$98,A5,Inputs_Collateral!$B$4:$B$98,B5)</x:f>
        <x:v>1040500</x:v>
      </x:c>
      <x:c r="G5" s="43" t="n">
        <x:f>SUMIFS(Inputs_Collateral!$F$4:$F$98,Inputs_Collateral!$A$4:$A$98,A5,Inputs_Collateral!$B$4:$B$98,B5)</x:f>
        <x:v>416200</x:v>
      </x:c>
      <x:c r="H5" s="43" t="n">
        <x:f>SUMIFS(Inputs_Collateral!$G$4:$G$98,Inputs_Collateral!$A$4:$A$98,A5,Inputs_Collateral!$B$4:$B$98,B5)</x:f>
        <x:v>4162000</x:v>
      </x:c>
      <x:c r="I5" s="43" t="n">
        <x:f>IF(D5="M",MAX(C5-E5,F5+G5-H5,0),MAX(C5-E5,0))</x:f>
        <x:v>0</x:v>
      </x:c>
      <x:c r="J5" s="43" t="n">
        <x:f>SUMIFS(Asset_Class_AddOn!$D$4:$D$100,Asset_Class_AddOn!$A$4:$A$100,A5,Asset_Class_AddOn!$B$4:$B$100,B5)</x:f>
        <x:v>4973943.029593679</x:v>
      </x:c>
      <x:c r="K5" s="41" t="n">
        <x:f>IF(J5&lt;=0,1,MIN(1,Parameters!$B$5+(1-Parameters!$B$5)*EXP((C5-E5)/(2*(1-Parameters!$B$5)*J5))))</x:f>
        <x:v>0.06461526782482532</x:v>
      </x:c>
      <x:c r="L5" s="43" t="n">
        <x:f>K5*J5</x:f>
        <x:v>321392.66100261867</x:v>
      </x:c>
      <x:c r="M5" s="43" t="n">
        <x:f>Parameters!$B$4*(I5+L5)</x:f>
        <x:v>449949.7254036661</x:v>
      </x:c>
      <x:c r="N5" s="42" t="n">
        <x:f>SUMIFS(Inputs_Counterparties!$D$4:$D$15,Inputs_Counterparties!$A$4:$A$15,A5)</x:f>
        <x:v>0.5</x:v>
      </x:c>
      <x:c r="O5" s="43" t="n">
        <x:f>M5*N5</x:f>
        <x:v>224974.86270183304</x:v>
      </x:c>
      <x:c r="P5" s="43" t="n">
        <x:v>0</x:v>
      </x:c>
      <x:c r="Q5" s="43" t="n">
        <x:v>4973943.029593679</x:v>
      </x:c>
      <x:c r="R5" s="41" t="n">
        <x:v>0.06461526782482532</x:v>
      </x:c>
      <x:c r="S5" s="43" t="n">
        <x:v>321392.66100261867</x:v>
      </x:c>
      <x:c r="T5" s="43" t="n">
        <x:v>449949.7254036661</x:v>
      </x:c>
      <x:c r="U5" s="43" t="n">
        <x:v>224974.86270183304</x:v>
      </x:c>
      <x:c r="V5" s="43" t="n">
        <x:f>M5-T5</x:f>
        <x:v>0</x:v>
      </x:c>
      <x:c r="W5" s="27" t="str">
        <x:f>IF(ABS(V5)&lt;0.01,"OK","CHECK")</x:f>
        <x:v>OK</x:v>
      </x:c>
    </x:row>
    <x:row r="6">
      <x:c r="A6" s="27" t="str">
        <x:v>IND_ASSET_MANAGER_001</x:v>
      </x:c>
      <x:c r="B6" s="27" t="str">
        <x:v>3167</x:v>
      </x:c>
      <x:c r="C6" s="43" t="n">
        <x:f>SUMIFS(Trade_Calc!$AB$4:$AB$301,Trade_Calc!$B$4:$B$301,A6,Trade_Calc!$C$4:$C$301,B6)</x:f>
        <x:v>-214110</x:v>
      </x:c>
      <x:c r="D6" s="27" t="str">
        <x:f>IF(COUNTIFS(Trade_Calc!$B$4:$B$301,A6,Trade_Calc!$C$4:$C$301,B6,Trade_Calc!$AJ$4:$AJ$301,"M")&gt;0,"M","U")</x:f>
        <x:v>M</x:v>
      </x:c>
      <x:c r="E6" s="43" t="n">
        <x:f>SUMIFS(Inputs_Collateral!$D$4:$D$98,Inputs_Collateral!$A$4:$A$98,A6,Inputs_Collateral!$B$4:$B$98,B6)</x:f>
        <x:v>1950000</x:v>
      </x:c>
      <x:c r="F6" s="43" t="n">
        <x:f>SUMIFS(Inputs_Collateral!$E$4:$E$98,Inputs_Collateral!$A$4:$A$98,A6,Inputs_Collateral!$B$4:$B$98,B6)</x:f>
        <x:v>390000</x:v>
      </x:c>
      <x:c r="G6" s="43" t="n">
        <x:f>SUMIFS(Inputs_Collateral!$F$4:$F$98,Inputs_Collateral!$A$4:$A$98,A6,Inputs_Collateral!$B$4:$B$98,B6)</x:f>
        <x:v>39000</x:v>
      </x:c>
      <x:c r="H6" s="43" t="n">
        <x:f>SUMIFS(Inputs_Collateral!$G$4:$G$98,Inputs_Collateral!$A$4:$A$98,A6,Inputs_Collateral!$B$4:$B$98,B6)</x:f>
        <x:v>0</x:v>
      </x:c>
      <x:c r="I6" s="43" t="n">
        <x:f>IF(D6="M",MAX(C6-E6,F6+G6-H6,0),MAX(C6-E6,0))</x:f>
        <x:v>429000</x:v>
      </x:c>
      <x:c r="J6" s="43" t="n">
        <x:f>SUMIFS(Asset_Class_AddOn!$D$4:$D$100,Asset_Class_AddOn!$A$4:$A$100,A6,Asset_Class_AddOn!$B$4:$B$100,B6)</x:f>
        <x:v>852292.8164948242</x:v>
      </x:c>
      <x:c r="K6" s="41" t="n">
        <x:f>IF(J6&lt;=0,1,MIN(1,Parameters!$B$5+(1-Parameters!$B$5)*EXP((C6-E6)/(2*(1-Parameters!$B$5)*J6))))</x:f>
        <x:v>0.2996501763357737</x:v>
      </x:c>
      <x:c r="L6" s="43" t="n">
        <x:f>K6*J6</x:f>
        <x:v>255389.6927523873</x:v>
      </x:c>
      <x:c r="M6" s="43" t="n">
        <x:f>Parameters!$B$4*(I6+L6)</x:f>
        <x:v>958145.5698533421</x:v>
      </x:c>
      <x:c r="N6" s="42" t="n">
        <x:f>SUMIFS(Inputs_Counterparties!$D$4:$D$15,Inputs_Counterparties!$A$4:$A$15,A6)</x:f>
        <x:v>0.5</x:v>
      </x:c>
      <x:c r="O6" s="43" t="n">
        <x:f>M6*N6</x:f>
        <x:v>479072.78492667107</x:v>
      </x:c>
      <x:c r="P6" s="43" t="n">
        <x:v>429000</x:v>
      </x:c>
      <x:c r="Q6" s="43" t="n">
        <x:v>852292.8164948242</x:v>
      </x:c>
      <x:c r="R6" s="41" t="n">
        <x:v>0.2996501763357737</x:v>
      </x:c>
      <x:c r="S6" s="43" t="n">
        <x:v>255389.6927523873</x:v>
      </x:c>
      <x:c r="T6" s="43" t="n">
        <x:v>958145.5698533421</x:v>
      </x:c>
      <x:c r="U6" s="43" t="n">
        <x:v>479072.78492667107</x:v>
      </x:c>
      <x:c r="V6" s="43" t="n">
        <x:f>M6-T6</x:f>
        <x:v>0</x:v>
      </x:c>
      <x:c r="W6" s="27" t="str">
        <x:f>IF(ABS(V6)&lt;0.01,"OK","CHECK")</x:f>
        <x:v>OK</x:v>
      </x:c>
    </x:row>
    <x:row r="7">
      <x:c r="A7" s="27" t="str">
        <x:v>IND_ASSET_MANAGER_001</x:v>
      </x:c>
      <x:c r="B7" s="27" t="str">
        <x:v>3205</x:v>
      </x:c>
      <x:c r="C7" s="43" t="n">
        <x:f>SUMIFS(Trade_Calc!$AB$4:$AB$301,Trade_Calc!$B$4:$B$301,A7,Trade_Calc!$C$4:$C$301,B7)</x:f>
        <x:v>-2836758</x:v>
      </x:c>
      <x:c r="D7" s="27" t="str">
        <x:f>IF(COUNTIFS(Trade_Calc!$B$4:$B$301,A7,Trade_Calc!$C$4:$C$301,B7,Trade_Calc!$AJ$4:$AJ$301,"M")&gt;0,"M","U")</x:f>
        <x:v>U</x:v>
      </x:c>
      <x:c r="E7" s="43" t="n">
        <x:f>SUMIFS(Inputs_Collateral!$D$4:$D$98,Inputs_Collateral!$A$4:$A$98,A7,Inputs_Collateral!$B$4:$B$98,B7)</x:f>
        <x:v>0</x:v>
      </x:c>
      <x:c r="F7" s="43" t="n">
        <x:f>SUMIFS(Inputs_Collateral!$E$4:$E$98,Inputs_Collateral!$A$4:$A$98,A7,Inputs_Collateral!$B$4:$B$98,B7)</x:f>
        <x:v>0</x:v>
      </x:c>
      <x:c r="G7" s="43" t="n">
        <x:f>SUMIFS(Inputs_Collateral!$F$4:$F$98,Inputs_Collateral!$A$4:$A$98,A7,Inputs_Collateral!$B$4:$B$98,B7)</x:f>
        <x:v>0</x:v>
      </x:c>
      <x:c r="H7" s="43" t="n">
        <x:f>SUMIFS(Inputs_Collateral!$G$4:$G$98,Inputs_Collateral!$A$4:$A$98,A7,Inputs_Collateral!$B$4:$B$98,B7)</x:f>
        <x:v>0</x:v>
      </x:c>
      <x:c r="I7" s="43" t="n">
        <x:f>IF(D7="M",MAX(C7-E7,F7+G7-H7,0),MAX(C7-E7,0))</x:f>
        <x:v>0</x:v>
      </x:c>
      <x:c r="J7" s="43" t="n">
        <x:f>SUMIFS(Asset_Class_AddOn!$D$4:$D$100,Asset_Class_AddOn!$A$4:$A$100,A7,Asset_Class_AddOn!$B$4:$B$100,B7)</x:f>
        <x:v>23958000</x:v>
      </x:c>
      <x:c r="K7" s="41" t="n">
        <x:f>IF(J7&lt;=0,1,MIN(1,Parameters!$B$5+(1-Parameters!$B$5)*EXP((C7-E7)/(2*(1-Parameters!$B$5)*J7))))</x:f>
        <x:v>0.942604257244558</x:v>
      </x:c>
      <x:c r="L7" s="43" t="n">
        <x:f>K7*J7</x:f>
        <x:v>22582912.79506512</x:v>
      </x:c>
      <x:c r="M7" s="43" t="n">
        <x:f>Parameters!$B$4*(I7+L7)</x:f>
        <x:v>31616077.913091164</x:v>
      </x:c>
      <x:c r="N7" s="42" t="n">
        <x:f>SUMIFS(Inputs_Counterparties!$D$4:$D$15,Inputs_Counterparties!$A$4:$A$15,A7)</x:f>
        <x:v>0.5</x:v>
      </x:c>
      <x:c r="O7" s="43" t="n">
        <x:f>M7*N7</x:f>
        <x:v>15808038.956545582</x:v>
      </x:c>
      <x:c r="P7" s="43" t="n">
        <x:v>0</x:v>
      </x:c>
      <x:c r="Q7" s="43" t="n">
        <x:v>23958000</x:v>
      </x:c>
      <x:c r="R7" s="41" t="n">
        <x:v>0.942604257244558</x:v>
      </x:c>
      <x:c r="S7" s="43" t="n">
        <x:v>22582912.79506512</x:v>
      </x:c>
      <x:c r="T7" s="43" t="n">
        <x:v>31616077.913091164</x:v>
      </x:c>
      <x:c r="U7" s="43" t="n">
        <x:v>15808038.956545582</x:v>
      </x:c>
      <x:c r="V7" s="43" t="n">
        <x:f>M7-T7</x:f>
        <x:v>0</x:v>
      </x:c>
      <x:c r="W7" s="27" t="str">
        <x:f>IF(ABS(V7)&lt;0.01,"OK","CHECK")</x:f>
        <x:v>OK</x:v>
      </x:c>
    </x:row>
    <x:row r="8">
      <x:c r="A8" s="27" t="str">
        <x:v>IND_ASSET_MANAGER_001</x:v>
      </x:c>
      <x:c r="B8" s="27" t="str">
        <x:v>3222</x:v>
      </x:c>
      <x:c r="C8" s="43" t="n">
        <x:f>SUMIFS(Trade_Calc!$AB$4:$AB$301,Trade_Calc!$B$4:$B$301,A8,Trade_Calc!$C$4:$C$301,B8)</x:f>
        <x:v>-565826.4</x:v>
      </x:c>
      <x:c r="D8" s="27" t="str">
        <x:f>IF(COUNTIFS(Trade_Calc!$B$4:$B$301,A8,Trade_Calc!$C$4:$C$301,B8,Trade_Calc!$AJ$4:$AJ$301,"M")&gt;0,"M","U")</x:f>
        <x:v>U</x:v>
      </x:c>
      <x:c r="E8" s="43" t="n">
        <x:f>SUMIFS(Inputs_Collateral!$D$4:$D$98,Inputs_Collateral!$A$4:$A$98,A8,Inputs_Collateral!$B$4:$B$98,B8)</x:f>
        <x:v>0</x:v>
      </x:c>
      <x:c r="F8" s="43" t="n">
        <x:f>SUMIFS(Inputs_Collateral!$E$4:$E$98,Inputs_Collateral!$A$4:$A$98,A8,Inputs_Collateral!$B$4:$B$98,B8)</x:f>
        <x:v>0</x:v>
      </x:c>
      <x:c r="G8" s="43" t="n">
        <x:f>SUMIFS(Inputs_Collateral!$F$4:$F$98,Inputs_Collateral!$A$4:$A$98,A8,Inputs_Collateral!$B$4:$B$98,B8)</x:f>
        <x:v>0</x:v>
      </x:c>
      <x:c r="H8" s="43" t="n">
        <x:f>SUMIFS(Inputs_Collateral!$G$4:$G$98,Inputs_Collateral!$A$4:$A$98,A8,Inputs_Collateral!$B$4:$B$98,B8)</x:f>
        <x:v>0</x:v>
      </x:c>
      <x:c r="I8" s="43" t="n">
        <x:f>IF(D8="M",MAX(C8-E8,F8+G8-H8,0),MAX(C8-E8,0))</x:f>
        <x:v>0</x:v>
      </x:c>
      <x:c r="J8" s="43" t="n">
        <x:f>SUMIFS(Asset_Class_AddOn!$D$4:$D$100,Asset_Class_AddOn!$A$4:$A$100,A8,Asset_Class_AddOn!$B$4:$B$100,B8)</x:f>
        <x:v>859965.1543903996</x:v>
      </x:c>
      <x:c r="K8" s="41" t="n">
        <x:f>IF(J8&lt;=0,1,MIN(1,Parameters!$B$5+(1-Parameters!$B$5)*EXP((C8-E8)/(2*(1-Parameters!$B$5)*J8))))</x:f>
        <x:v>0.721937255749605</x:v>
      </x:c>
      <x:c r="L8" s="43" t="n">
        <x:f>K8*J8</x:f>
        <x:v>620840.8836008904</x:v>
      </x:c>
      <x:c r="M8" s="43" t="n">
        <x:f>Parameters!$B$4*(I8+L8)</x:f>
        <x:v>869177.2370412465</x:v>
      </x:c>
      <x:c r="N8" s="42" t="n">
        <x:f>SUMIFS(Inputs_Counterparties!$D$4:$D$15,Inputs_Counterparties!$A$4:$A$15,A8)</x:f>
        <x:v>0.5</x:v>
      </x:c>
      <x:c r="O8" s="43" t="n">
        <x:f>M8*N8</x:f>
        <x:v>434588.61852062325</x:v>
      </x:c>
      <x:c r="P8" s="43" t="n">
        <x:v>0</x:v>
      </x:c>
      <x:c r="Q8" s="43" t="n">
        <x:v>859965.1543903996</x:v>
      </x:c>
      <x:c r="R8" s="41" t="n">
        <x:v>0.721937255749605</x:v>
      </x:c>
      <x:c r="S8" s="43" t="n">
        <x:v>620840.8836008904</x:v>
      </x:c>
      <x:c r="T8" s="43" t="n">
        <x:v>869177.2370412465</x:v>
      </x:c>
      <x:c r="U8" s="43" t="n">
        <x:v>434588.61852062325</x:v>
      </x:c>
      <x:c r="V8" s="43" t="n">
        <x:f>M8-T8</x:f>
        <x:v>0</x:v>
      </x:c>
      <x:c r="W8" s="27" t="str">
        <x:f>IF(ABS(V8)&lt;0.01,"OK","CHECK")</x:f>
        <x:v>OK</x:v>
      </x:c>
    </x:row>
    <x:row r="9">
      <x:c r="A9" s="27" t="str">
        <x:v>IND_ASSET_MANAGER_001</x:v>
      </x:c>
      <x:c r="B9" s="27" t="str">
        <x:v>3257</x:v>
      </x:c>
      <x:c r="C9" s="43" t="n">
        <x:f>SUMIFS(Trade_Calc!$AB$4:$AB$301,Trade_Calc!$B$4:$B$301,A9,Trade_Calc!$C$4:$C$301,B9)</x:f>
        <x:v>-121389</x:v>
      </x:c>
      <x:c r="D9" s="27" t="str">
        <x:f>IF(COUNTIFS(Trade_Calc!$B$4:$B$301,A9,Trade_Calc!$C$4:$C$301,B9,Trade_Calc!$AJ$4:$AJ$301,"M")&gt;0,"M","U")</x:f>
        <x:v>U</x:v>
      </x:c>
      <x:c r="E9" s="43" t="n">
        <x:f>SUMIFS(Inputs_Collateral!$D$4:$D$98,Inputs_Collateral!$A$4:$A$98,A9,Inputs_Collateral!$B$4:$B$98,B9)</x:f>
        <x:v>0</x:v>
      </x:c>
      <x:c r="F9" s="43" t="n">
        <x:f>SUMIFS(Inputs_Collateral!$E$4:$E$98,Inputs_Collateral!$A$4:$A$98,A9,Inputs_Collateral!$B$4:$B$98,B9)</x:f>
        <x:v>0</x:v>
      </x:c>
      <x:c r="G9" s="43" t="n">
        <x:f>SUMIFS(Inputs_Collateral!$F$4:$F$98,Inputs_Collateral!$A$4:$A$98,A9,Inputs_Collateral!$B$4:$B$98,B9)</x:f>
        <x:v>0</x:v>
      </x:c>
      <x:c r="H9" s="43" t="n">
        <x:f>SUMIFS(Inputs_Collateral!$G$4:$G$98,Inputs_Collateral!$A$4:$A$98,A9,Inputs_Collateral!$B$4:$B$98,B9)</x:f>
        <x:v>0</x:v>
      </x:c>
      <x:c r="I9" s="43" t="n">
        <x:f>IF(D9="M",MAX(C9-E9,F9+G9-H9,0),MAX(C9-E9,0))</x:f>
        <x:v>0</x:v>
      </x:c>
      <x:c r="J9" s="43" t="n">
        <x:f>SUMIFS(Asset_Class_AddOn!$D$4:$D$100,Asset_Class_AddOn!$A$4:$A$100,A9,Asset_Class_AddOn!$B$4:$B$100,B9)</x:f>
        <x:v>516000</x:v>
      </x:c>
      <x:c r="K9" s="41" t="n">
        <x:f>IF(J9&lt;=0,1,MIN(1,Parameters!$B$5+(1-Parameters!$B$5)*EXP((C9-E9)/(2*(1-Parameters!$B$5)*J9))))</x:f>
        <x:v>0.8893654545503303</x:v>
      </x:c>
      <x:c r="L9" s="43" t="n">
        <x:f>K9*J9</x:f>
        <x:v>458912.57454797043</x:v>
      </x:c>
      <x:c r="M9" s="43" t="n">
        <x:f>Parameters!$B$4*(I9+L9)</x:f>
        <x:v>642477.6043671586</x:v>
      </x:c>
      <x:c r="N9" s="42" t="n">
        <x:f>SUMIFS(Inputs_Counterparties!$D$4:$D$15,Inputs_Counterparties!$A$4:$A$15,A9)</x:f>
        <x:v>0.5</x:v>
      </x:c>
      <x:c r="O9" s="43" t="n">
        <x:f>M9*N9</x:f>
        <x:v>321238.8021835793</x:v>
      </x:c>
      <x:c r="P9" s="43" t="n">
        <x:v>0</x:v>
      </x:c>
      <x:c r="Q9" s="43" t="n">
        <x:v>516000</x:v>
      </x:c>
      <x:c r="R9" s="41" t="n">
        <x:v>0.8893654545503303</x:v>
      </x:c>
      <x:c r="S9" s="43" t="n">
        <x:v>458912.57454797043</x:v>
      </x:c>
      <x:c r="T9" s="43" t="n">
        <x:v>642477.6043671586</x:v>
      </x:c>
      <x:c r="U9" s="43" t="n">
        <x:v>321238.8021835793</x:v>
      </x:c>
      <x:c r="V9" s="43" t="n">
        <x:f>M9-T9</x:f>
        <x:v>0</x:v>
      </x:c>
      <x:c r="W9" s="27" t="str">
        <x:f>IF(ABS(V9)&lt;0.01,"OK","CHECK")</x:f>
        <x:v>OK</x:v>
      </x:c>
    </x:row>
    <x:row r="10">
      <x:c r="A10" s="27" t="str">
        <x:v>IND_ASSET_MANAGER_001</x:v>
      </x:c>
      <x:c r="B10" s="27" t="str">
        <x:v>3277</x:v>
      </x:c>
      <x:c r="C10" s="43" t="n">
        <x:f>SUMIFS(Trade_Calc!$AB$4:$AB$301,Trade_Calc!$B$4:$B$301,A10,Trade_Calc!$C$4:$C$301,B10)</x:f>
        <x:v>528520</x:v>
      </x:c>
      <x:c r="D10" s="27" t="str">
        <x:f>IF(COUNTIFS(Trade_Calc!$B$4:$B$301,A10,Trade_Calc!$C$4:$C$301,B10,Trade_Calc!$AJ$4:$AJ$301,"M")&gt;0,"M","U")</x:f>
        <x:v>U</x:v>
      </x:c>
      <x:c r="E10" s="43" t="n">
        <x:f>SUMIFS(Inputs_Collateral!$D$4:$D$98,Inputs_Collateral!$A$4:$A$98,A10,Inputs_Collateral!$B$4:$B$98,B10)</x:f>
        <x:v>0</x:v>
      </x:c>
      <x:c r="F10" s="43" t="n">
        <x:f>SUMIFS(Inputs_Collateral!$E$4:$E$98,Inputs_Collateral!$A$4:$A$98,A10,Inputs_Collateral!$B$4:$B$98,B10)</x:f>
        <x:v>0</x:v>
      </x:c>
      <x:c r="G10" s="43" t="n">
        <x:f>SUMIFS(Inputs_Collateral!$F$4:$F$98,Inputs_Collateral!$A$4:$A$98,A10,Inputs_Collateral!$B$4:$B$98,B10)</x:f>
        <x:v>0</x:v>
      </x:c>
      <x:c r="H10" s="43" t="n">
        <x:f>SUMIFS(Inputs_Collateral!$G$4:$G$98,Inputs_Collateral!$A$4:$A$98,A10,Inputs_Collateral!$B$4:$B$98,B10)</x:f>
        <x:v>0</x:v>
      </x:c>
      <x:c r="I10" s="43" t="n">
        <x:f>IF(D10="M",MAX(C10-E10,F10+G10-H10,0),MAX(C10-E10,0))</x:f>
        <x:v>528520</x:v>
      </x:c>
      <x:c r="J10" s="43" t="n">
        <x:f>SUMIFS(Asset_Class_AddOn!$D$4:$D$100,Asset_Class_AddOn!$A$4:$A$100,A10,Asset_Class_AddOn!$B$4:$B$100,B10)</x:f>
        <x:v>1034965.2168045277</x:v>
      </x:c>
      <x:c r="K10" s="41" t="n">
        <x:f>IF(J10&lt;=0,1,MIN(1,Parameters!$B$5+(1-Parameters!$B$5)*EXP((C10-E10)/(2*(1-Parameters!$B$5)*J10))))</x:f>
        <x:v>1</x:v>
      </x:c>
      <x:c r="L10" s="43" t="n">
        <x:f>K10*J10</x:f>
        <x:v>1034965.2168045277</x:v>
      </x:c>
      <x:c r="M10" s="43" t="n">
        <x:f>Parameters!$B$4*(I10+L10)</x:f>
        <x:v>2188879.3035263387</x:v>
      </x:c>
      <x:c r="N10" s="42" t="n">
        <x:f>SUMIFS(Inputs_Counterparties!$D$4:$D$15,Inputs_Counterparties!$A$4:$A$15,A10)</x:f>
        <x:v>0.5</x:v>
      </x:c>
      <x:c r="O10" s="43" t="n">
        <x:f>M10*N10</x:f>
        <x:v>1094439.6517631693</x:v>
      </x:c>
      <x:c r="P10" s="43" t="n">
        <x:v>528520</x:v>
      </x:c>
      <x:c r="Q10" s="43" t="n">
        <x:v>1034965.2168045277</x:v>
      </x:c>
      <x:c r="R10" s="41" t="n">
        <x:v>1</x:v>
      </x:c>
      <x:c r="S10" s="43" t="n">
        <x:v>1034965.2168045277</x:v>
      </x:c>
      <x:c r="T10" s="43" t="n">
        <x:v>2188879.3035263387</x:v>
      </x:c>
      <x:c r="U10" s="43" t="n">
        <x:v>1094439.6517631693</x:v>
      </x:c>
      <x:c r="V10" s="43" t="n">
        <x:f>M10-T10</x:f>
        <x:v>0</x:v>
      </x:c>
      <x:c r="W10" s="27" t="str">
        <x:f>IF(ABS(V10)&lt;0.01,"OK","CHECK")</x:f>
        <x:v>OK</x:v>
      </x:c>
    </x:row>
    <x:row r="11">
      <x:c r="A11" s="27" t="str">
        <x:v>IND_ASSET_MANAGER_001</x:v>
      </x:c>
      <x:c r="B11" s="27" t="str">
        <x:v>3331</x:v>
      </x:c>
      <x:c r="C11" s="43" t="n">
        <x:f>SUMIFS(Trade_Calc!$AB$4:$AB$301,Trade_Calc!$B$4:$B$301,A11,Trade_Calc!$C$4:$C$301,B11)</x:f>
        <x:v>-830065.5</x:v>
      </x:c>
      <x:c r="D11" s="27" t="str">
        <x:f>IF(COUNTIFS(Trade_Calc!$B$4:$B$301,A11,Trade_Calc!$C$4:$C$301,B11,Trade_Calc!$AJ$4:$AJ$301,"M")&gt;0,"M","U")</x:f>
        <x:v>M</x:v>
      </x:c>
      <x:c r="E11" s="43" t="n">
        <x:f>SUMIFS(Inputs_Collateral!$D$4:$D$98,Inputs_Collateral!$A$4:$A$98,A11,Inputs_Collateral!$B$4:$B$98,B11)</x:f>
        <x:v>2044000</x:v>
      </x:c>
      <x:c r="F11" s="43" t="n">
        <x:f>SUMIFS(Inputs_Collateral!$E$4:$E$98,Inputs_Collateral!$A$4:$A$98,A11,Inputs_Collateral!$B$4:$B$98,B11)</x:f>
        <x:v>511000</x:v>
      </x:c>
      <x:c r="G11" s="43" t="n">
        <x:f>SUMIFS(Inputs_Collateral!$F$4:$F$98,Inputs_Collateral!$A$4:$A$98,A11,Inputs_Collateral!$B$4:$B$98,B11)</x:f>
        <x:v>102200</x:v>
      </x:c>
      <x:c r="H11" s="43" t="n">
        <x:f>SUMIFS(Inputs_Collateral!$G$4:$G$98,Inputs_Collateral!$A$4:$A$98,A11,Inputs_Collateral!$B$4:$B$98,B11)</x:f>
        <x:v>0</x:v>
      </x:c>
      <x:c r="I11" s="43" t="n">
        <x:f>IF(D11="M",MAX(C11-E11,F11+G11-H11,0),MAX(C11-E11,0))</x:f>
        <x:v>613200</x:v>
      </x:c>
      <x:c r="J11" s="43" t="n">
        <x:f>SUMIFS(Asset_Class_AddOn!$D$4:$D$100,Asset_Class_AddOn!$A$4:$A$100,A11,Asset_Class_AddOn!$B$4:$B$100,B11)</x:f>
        <x:v>2611854.081972236</x:v>
      </x:c>
      <x:c r="K11" s="41" t="n">
        <x:f>IF(J11&lt;=0,1,MIN(1,Parameters!$B$5+(1-Parameters!$B$5)*EXP((C11-E11)/(2*(1-Parameters!$B$5)*J11))))</x:f>
        <x:v>0.5823535650269585</x:v>
      </x:c>
      <x:c r="L11" s="43" t="n">
        <x:f>K11*J11</x:f>
        <x:v>1521022.5359667453</x:v>
      </x:c>
      <x:c r="M11" s="43" t="n">
        <x:f>Parameters!$B$4*(I11+L11)</x:f>
        <x:v>2987911.5503534437</x:v>
      </x:c>
      <x:c r="N11" s="42" t="n">
        <x:f>SUMIFS(Inputs_Counterparties!$D$4:$D$15,Inputs_Counterparties!$A$4:$A$15,A11)</x:f>
        <x:v>0.5</x:v>
      </x:c>
      <x:c r="O11" s="43" t="n">
        <x:f>M11*N11</x:f>
        <x:v>1493955.7751767219</x:v>
      </x:c>
      <x:c r="P11" s="43" t="n">
        <x:v>613200</x:v>
      </x:c>
      <x:c r="Q11" s="43" t="n">
        <x:v>2611854.081972236</x:v>
      </x:c>
      <x:c r="R11" s="41" t="n">
        <x:v>0.5823535650269585</x:v>
      </x:c>
      <x:c r="S11" s="43" t="n">
        <x:v>1521022.5359667453</x:v>
      </x:c>
      <x:c r="T11" s="43" t="n">
        <x:v>2987911.5503534437</x:v>
      </x:c>
      <x:c r="U11" s="43" t="n">
        <x:v>1493955.7751767219</x:v>
      </x:c>
      <x:c r="V11" s="43" t="n">
        <x:f>M11-T11</x:f>
        <x:v>0</x:v>
      </x:c>
      <x:c r="W11" s="27" t="str">
        <x:f>IF(ABS(V11)&lt;0.01,"OK","CHECK")</x:f>
        <x:v>OK</x:v>
      </x:c>
    </x:row>
    <x:row r="12">
      <x:c r="A12" s="27" t="str">
        <x:v>IND_BANK_001</x:v>
      </x:c>
      <x:c r="B12" s="27" t="str">
        <x:v>3142</x:v>
      </x:c>
      <x:c r="C12" s="43" t="n">
        <x:f>SUMIFS(Trade_Calc!$AB$4:$AB$301,Trade_Calc!$B$4:$B$301,A12,Trade_Calc!$C$4:$C$301,B12)</x:f>
        <x:v>1041717.5</x:v>
      </x:c>
      <x:c r="D12" s="27" t="str">
        <x:f>IF(COUNTIFS(Trade_Calc!$B$4:$B$301,A12,Trade_Calc!$C$4:$C$301,B12,Trade_Calc!$AJ$4:$AJ$301,"M")&gt;0,"M","U")</x:f>
        <x:v>M</x:v>
      </x:c>
      <x:c r="E12" s="43" t="n">
        <x:f>SUMIFS(Inputs_Collateral!$D$4:$D$98,Inputs_Collateral!$A$4:$A$98,A12,Inputs_Collateral!$B$4:$B$98,B12)</x:f>
        <x:v>6375000</x:v>
      </x:c>
      <x:c r="F12" s="43" t="n">
        <x:f>SUMIFS(Inputs_Collateral!$E$4:$E$98,Inputs_Collateral!$A$4:$A$98,A12,Inputs_Collateral!$B$4:$B$98,B12)</x:f>
        <x:v>318750</x:v>
      </x:c>
      <x:c r="G12" s="43" t="n">
        <x:f>SUMIFS(Inputs_Collateral!$F$4:$F$98,Inputs_Collateral!$A$4:$A$98,A12,Inputs_Collateral!$B$4:$B$98,B12)</x:f>
        <x:v>127500</x:v>
      </x:c>
      <x:c r="H12" s="43" t="n">
        <x:f>SUMIFS(Inputs_Collateral!$G$4:$G$98,Inputs_Collateral!$A$4:$A$98,A12,Inputs_Collateral!$B$4:$B$98,B12)</x:f>
        <x:v>0</x:v>
      </x:c>
      <x:c r="I12" s="43" t="n">
        <x:f>IF(D12="M",MAX(C12-E12,F12+G12-H12,0),MAX(C12-E12,0))</x:f>
        <x:v>446250</x:v>
      </x:c>
      <x:c r="J12" s="43" t="n">
        <x:f>SUMIFS(Asset_Class_AddOn!$D$4:$D$100,Asset_Class_AddOn!$A$4:$A$100,A12,Asset_Class_AddOn!$B$4:$B$100,B12)</x:f>
        <x:v>1355186.4543564839</x:v>
      </x:c>
      <x:c r="K12" s="41" t="n">
        <x:f>IF(J12&lt;=0,1,MIN(1,Parameters!$B$5+(1-Parameters!$B$5)*EXP((C12-E12)/(2*(1-Parameters!$B$5)*J12))))</x:f>
        <x:v>0.16972136518381264</x:v>
      </x:c>
      <x:c r="L12" s="43" t="n">
        <x:f>K12*J12</x:f>
        <x:v>230004.09511199305</x:v>
      </x:c>
      <x:c r="M12" s="43" t="n">
        <x:f>Parameters!$B$4*(I12+L12)</x:f>
        <x:v>946755.7331567901</x:v>
      </x:c>
      <x:c r="N12" s="42" t="n">
        <x:f>SUMIFS(Inputs_Counterparties!$D$4:$D$15,Inputs_Counterparties!$A$4:$A$15,A12)</x:f>
        <x:v>0.5</x:v>
      </x:c>
      <x:c r="O12" s="43" t="n">
        <x:f>M12*N12</x:f>
        <x:v>473377.8665783951</x:v>
      </x:c>
      <x:c r="P12" s="43" t="n">
        <x:v>446250</x:v>
      </x:c>
      <x:c r="Q12" s="43" t="n">
        <x:v>1355186.4543564839</x:v>
      </x:c>
      <x:c r="R12" s="41" t="n">
        <x:v>0.16972136518381264</x:v>
      </x:c>
      <x:c r="S12" s="43" t="n">
        <x:v>230004.09511199305</x:v>
      </x:c>
      <x:c r="T12" s="43" t="n">
        <x:v>946755.7331567901</x:v>
      </x:c>
      <x:c r="U12" s="43" t="n">
        <x:v>473377.8665783951</x:v>
      </x:c>
      <x:c r="V12" s="43" t="n">
        <x:f>M12-T12</x:f>
        <x:v>0</x:v>
      </x:c>
      <x:c r="W12" s="27" t="str">
        <x:f>IF(ABS(V12)&lt;0.01,"OK","CHECK")</x:f>
        <x:v>OK</x:v>
      </x:c>
    </x:row>
    <x:row r="13">
      <x:c r="A13" s="27" t="str">
        <x:v>IND_BANK_001</x:v>
      </x:c>
      <x:c r="B13" s="27" t="str">
        <x:v>3172</x:v>
      </x:c>
      <x:c r="C13" s="43" t="n">
        <x:f>SUMIFS(Trade_Calc!$AB$4:$AB$301,Trade_Calc!$B$4:$B$301,A13,Trade_Calc!$C$4:$C$301,B13)</x:f>
        <x:v>-1253955</x:v>
      </x:c>
      <x:c r="D13" s="27" t="str">
        <x:f>IF(COUNTIFS(Trade_Calc!$B$4:$B$301,A13,Trade_Calc!$C$4:$C$301,B13,Trade_Calc!$AJ$4:$AJ$301,"M")&gt;0,"M","U")</x:f>
        <x:v>M</x:v>
      </x:c>
      <x:c r="E13" s="43" t="n">
        <x:f>SUMIFS(Inputs_Collateral!$D$4:$D$98,Inputs_Collateral!$A$4:$A$98,A13,Inputs_Collateral!$B$4:$B$98,B13)</x:f>
        <x:v>11685000</x:v>
      </x:c>
      <x:c r="F13" s="43" t="n">
        <x:f>SUMIFS(Inputs_Collateral!$E$4:$E$98,Inputs_Collateral!$A$4:$A$98,A13,Inputs_Collateral!$B$4:$B$98,B13)</x:f>
        <x:v>779000</x:v>
      </x:c>
      <x:c r="G13" s="43" t="n">
        <x:f>SUMIFS(Inputs_Collateral!$F$4:$F$98,Inputs_Collateral!$A$4:$A$98,A13,Inputs_Collateral!$B$4:$B$98,B13)</x:f>
        <x:v>77900</x:v>
      </x:c>
      <x:c r="H13" s="43" t="n">
        <x:f>SUMIFS(Inputs_Collateral!$G$4:$G$98,Inputs_Collateral!$A$4:$A$98,A13,Inputs_Collateral!$B$4:$B$98,B13)</x:f>
        <x:v>1558000</x:v>
      </x:c>
      <x:c r="I13" s="43" t="n">
        <x:f>IF(D13="M",MAX(C13-E13,F13+G13-H13,0),MAX(C13-E13,0))</x:f>
        <x:v>0</x:v>
      </x:c>
      <x:c r="J13" s="43" t="n">
        <x:f>SUMIFS(Asset_Class_AddOn!$D$4:$D$100,Asset_Class_AddOn!$A$4:$A$100,A13,Asset_Class_AddOn!$B$4:$B$100,B13)</x:f>
        <x:v>6708600.000000001</x:v>
      </x:c>
      <x:c r="K13" s="41" t="n">
        <x:f>IF(J13&lt;=0,1,MIN(1,Parameters!$B$5+(1-Parameters!$B$5)*EXP((C13-E13)/(2*(1-Parameters!$B$5)*J13))))</x:f>
        <x:v>0.39424395856966193</x:v>
      </x:c>
      <x:c r="L13" s="43" t="n">
        <x:f>K13*J13</x:f>
        <x:v>2644825.0204604343</x:v>
      </x:c>
      <x:c r="M13" s="43" t="n">
        <x:f>Parameters!$B$4*(I13+L13)</x:f>
        <x:v>3702755.028644608</x:v>
      </x:c>
      <x:c r="N13" s="42" t="n">
        <x:f>SUMIFS(Inputs_Counterparties!$D$4:$D$15,Inputs_Counterparties!$A$4:$A$15,A13)</x:f>
        <x:v>0.5</x:v>
      </x:c>
      <x:c r="O13" s="43" t="n">
        <x:f>M13*N13</x:f>
        <x:v>1851377.514322304</x:v>
      </x:c>
      <x:c r="P13" s="43" t="n">
        <x:v>0</x:v>
      </x:c>
      <x:c r="Q13" s="43" t="n">
        <x:v>6708600.000000001</x:v>
      </x:c>
      <x:c r="R13" s="41" t="n">
        <x:v>0.39424395856966193</x:v>
      </x:c>
      <x:c r="S13" s="43" t="n">
        <x:v>2644825.0204604343</x:v>
      </x:c>
      <x:c r="T13" s="43" t="n">
        <x:v>3702755.028644608</x:v>
      </x:c>
      <x:c r="U13" s="43" t="n">
        <x:v>1851377.514322304</x:v>
      </x:c>
      <x:c r="V13" s="43" t="n">
        <x:f>M13-T13</x:f>
        <x:v>0</x:v>
      </x:c>
      <x:c r="W13" s="27" t="str">
        <x:f>IF(ABS(V13)&lt;0.01,"OK","CHECK")</x:f>
        <x:v>OK</x:v>
      </x:c>
    </x:row>
    <x:row r="14">
      <x:c r="A14" s="27" t="str">
        <x:v>IND_BANK_001</x:v>
      </x:c>
      <x:c r="B14" s="27" t="str">
        <x:v>3214</x:v>
      </x:c>
      <x:c r="C14" s="43" t="n">
        <x:f>SUMIFS(Trade_Calc!$AB$4:$AB$301,Trade_Calc!$B$4:$B$301,A14,Trade_Calc!$C$4:$C$301,B14)</x:f>
        <x:v>-80709</x:v>
      </x:c>
      <x:c r="D14" s="27" t="str">
        <x:f>IF(COUNTIFS(Trade_Calc!$B$4:$B$301,A14,Trade_Calc!$C$4:$C$301,B14,Trade_Calc!$AJ$4:$AJ$301,"M")&gt;0,"M","U")</x:f>
        <x:v>U</x:v>
      </x:c>
      <x:c r="E14" s="43" t="n">
        <x:f>SUMIFS(Inputs_Collateral!$D$4:$D$98,Inputs_Collateral!$A$4:$A$98,A14,Inputs_Collateral!$B$4:$B$98,B14)</x:f>
        <x:v>0</x:v>
      </x:c>
      <x:c r="F14" s="43" t="n">
        <x:f>SUMIFS(Inputs_Collateral!$E$4:$E$98,Inputs_Collateral!$A$4:$A$98,A14,Inputs_Collateral!$B$4:$B$98,B14)</x:f>
        <x:v>0</x:v>
      </x:c>
      <x:c r="G14" s="43" t="n">
        <x:f>SUMIFS(Inputs_Collateral!$F$4:$F$98,Inputs_Collateral!$A$4:$A$98,A14,Inputs_Collateral!$B$4:$B$98,B14)</x:f>
        <x:v>0</x:v>
      </x:c>
      <x:c r="H14" s="43" t="n">
        <x:f>SUMIFS(Inputs_Collateral!$G$4:$G$98,Inputs_Collateral!$A$4:$A$98,A14,Inputs_Collateral!$B$4:$B$98,B14)</x:f>
        <x:v>0</x:v>
      </x:c>
      <x:c r="I14" s="43" t="n">
        <x:f>IF(D14="M",MAX(C14-E14,F14+G14-H14,0),MAX(C14-E14,0))</x:f>
        <x:v>0</x:v>
      </x:c>
      <x:c r="J14" s="43" t="n">
        <x:f>SUMIFS(Asset_Class_AddOn!$D$4:$D$100,Asset_Class_AddOn!$A$4:$A$100,A14,Asset_Class_AddOn!$B$4:$B$100,B14)</x:f>
        <x:v>5840141.476813776</x:v>
      </x:c>
      <x:c r="K14" s="41" t="n">
        <x:f>IF(J14&lt;=0,1,MIN(1,Parameters!$B$5+(1-Parameters!$B$5)*EXP((C14-E14)/(2*(1-Parameters!$B$5)*J14))))</x:f>
        <x:v>0.9931152189410558</x:v>
      </x:c>
      <x:c r="L14" s="43" t="n">
        <x:f>K14*J14</x:f>
        <x:v>5799933.381392655</x:v>
      </x:c>
      <x:c r="M14" s="43" t="n">
        <x:f>Parameters!$B$4*(I14+L14)</x:f>
        <x:v>8119906.733949716</x:v>
      </x:c>
      <x:c r="N14" s="42" t="n">
        <x:f>SUMIFS(Inputs_Counterparties!$D$4:$D$15,Inputs_Counterparties!$A$4:$A$15,A14)</x:f>
        <x:v>0.5</x:v>
      </x:c>
      <x:c r="O14" s="43" t="n">
        <x:f>M14*N14</x:f>
        <x:v>4059953.366974858</x:v>
      </x:c>
      <x:c r="P14" s="43" t="n">
        <x:v>0</x:v>
      </x:c>
      <x:c r="Q14" s="43" t="n">
        <x:v>5840141.476813776</x:v>
      </x:c>
      <x:c r="R14" s="41" t="n">
        <x:v>0.9931152189410558</x:v>
      </x:c>
      <x:c r="S14" s="43" t="n">
        <x:v>5799933.381392655</x:v>
      </x:c>
      <x:c r="T14" s="43" t="n">
        <x:v>8119906.733949716</x:v>
      </x:c>
      <x:c r="U14" s="43" t="n">
        <x:v>4059953.366974858</x:v>
      </x:c>
      <x:c r="V14" s="43" t="n">
        <x:f>M14-T14</x:f>
        <x:v>0</x:v>
      </x:c>
      <x:c r="W14" s="27" t="str">
        <x:f>IF(ABS(V14)&lt;0.01,"OK","CHECK")</x:f>
        <x:v>OK</x:v>
      </x:c>
    </x:row>
    <x:row r="15">
      <x:c r="A15" s="27" t="str">
        <x:v>IND_BANK_001</x:v>
      </x:c>
      <x:c r="B15" s="27" t="str">
        <x:v>3219</x:v>
      </x:c>
      <x:c r="C15" s="43" t="n">
        <x:f>SUMIFS(Trade_Calc!$AB$4:$AB$301,Trade_Calc!$B$4:$B$301,A15,Trade_Calc!$C$4:$C$301,B15)</x:f>
        <x:v>3848778</x:v>
      </x:c>
      <x:c r="D15" s="27" t="str">
        <x:f>IF(COUNTIFS(Trade_Calc!$B$4:$B$301,A15,Trade_Calc!$C$4:$C$301,B15,Trade_Calc!$AJ$4:$AJ$301,"M")&gt;0,"M","U")</x:f>
        <x:v>M</x:v>
      </x:c>
      <x:c r="E15" s="43" t="n">
        <x:f>SUMIFS(Inputs_Collateral!$D$4:$D$98,Inputs_Collateral!$A$4:$A$98,A15,Inputs_Collateral!$B$4:$B$98,B15)</x:f>
        <x:v>95020000</x:v>
      </x:c>
      <x:c r="F15" s="43" t="n">
        <x:f>SUMIFS(Inputs_Collateral!$E$4:$E$98,Inputs_Collateral!$A$4:$A$98,A15,Inputs_Collateral!$B$4:$B$98,B15)</x:f>
        <x:v>47510000</x:v>
      </x:c>
      <x:c r="G15" s="43" t="n">
        <x:f>SUMIFS(Inputs_Collateral!$F$4:$F$98,Inputs_Collateral!$A$4:$A$98,A15,Inputs_Collateral!$B$4:$B$98,B15)</x:f>
        <x:v>4751000</x:v>
      </x:c>
      <x:c r="H15" s="43" t="n">
        <x:f>SUMIFS(Inputs_Collateral!$G$4:$G$98,Inputs_Collateral!$A$4:$A$98,A15,Inputs_Collateral!$B$4:$B$98,B15)</x:f>
        <x:v>95020000</x:v>
      </x:c>
      <x:c r="I15" s="43" t="n">
        <x:f>IF(D15="M",MAX(C15-E15,F15+G15-H15,0),MAX(C15-E15,0))</x:f>
        <x:v>0</x:v>
      </x:c>
      <x:c r="J15" s="43" t="n">
        <x:f>SUMIFS(Asset_Class_AddOn!$D$4:$D$100,Asset_Class_AddOn!$A$4:$A$100,A15,Asset_Class_AddOn!$B$4:$B$100,B15)</x:f>
        <x:v>14380900.126693899</x:v>
      </x:c>
      <x:c r="K15" s="41" t="n">
        <x:f>IF(J15&lt;=0,1,MIN(1,Parameters!$B$5+(1-Parameters!$B$5)*EXP((C15-E15)/(2*(1-Parameters!$B$5)*J15))))</x:f>
        <x:v>0.08377614339896522</x:v>
      </x:c>
      <x:c r="L15" s="43" t="n">
        <x:f>K15*J15</x:f>
        <x:v>1204776.351220105</x:v>
      </x:c>
      <x:c r="M15" s="43" t="n">
        <x:f>Parameters!$B$4*(I15+L15)</x:f>
        <x:v>1686686.891708147</x:v>
      </x:c>
      <x:c r="N15" s="42" t="n">
        <x:f>SUMIFS(Inputs_Counterparties!$D$4:$D$15,Inputs_Counterparties!$A$4:$A$15,A15)</x:f>
        <x:v>0.5</x:v>
      </x:c>
      <x:c r="O15" s="43" t="n">
        <x:f>M15*N15</x:f>
        <x:v>843343.4458540735</x:v>
      </x:c>
      <x:c r="P15" s="43" t="n">
        <x:v>0</x:v>
      </x:c>
      <x:c r="Q15" s="43" t="n">
        <x:v>14380900.126693899</x:v>
      </x:c>
      <x:c r="R15" s="41" t="n">
        <x:v>0.08377614339896522</x:v>
      </x:c>
      <x:c r="S15" s="43" t="n">
        <x:v>1204776.351220105</x:v>
      </x:c>
      <x:c r="T15" s="43" t="n">
        <x:v>1686686.891708147</x:v>
      </x:c>
      <x:c r="U15" s="43" t="n">
        <x:v>843343.4458540735</x:v>
      </x:c>
      <x:c r="V15" s="43" t="n">
        <x:f>M15-T15</x:f>
        <x:v>0</x:v>
      </x:c>
      <x:c r="W15" s="27" t="str">
        <x:f>IF(ABS(V15)&lt;0.01,"OK","CHECK")</x:f>
        <x:v>OK</x:v>
      </x:c>
    </x:row>
    <x:row r="16">
      <x:c r="A16" s="27" t="str">
        <x:v>IND_BANK_001</x:v>
      </x:c>
      <x:c r="B16" s="27" t="str">
        <x:v>3324</x:v>
      </x:c>
      <x:c r="C16" s="43" t="n">
        <x:f>SUMIFS(Trade_Calc!$AB$4:$AB$301,Trade_Calc!$B$4:$B$301,A16,Trade_Calc!$C$4:$C$301,B16)</x:f>
        <x:v>-176277</x:v>
      </x:c>
      <x:c r="D16" s="27" t="str">
        <x:f>IF(COUNTIFS(Trade_Calc!$B$4:$B$301,A16,Trade_Calc!$C$4:$C$301,B16,Trade_Calc!$AJ$4:$AJ$301,"M")&gt;0,"M","U")</x:f>
        <x:v>U</x:v>
      </x:c>
      <x:c r="E16" s="43" t="n">
        <x:f>SUMIFS(Inputs_Collateral!$D$4:$D$98,Inputs_Collateral!$A$4:$A$98,A16,Inputs_Collateral!$B$4:$B$98,B16)</x:f>
        <x:v>0</x:v>
      </x:c>
      <x:c r="F16" s="43" t="n">
        <x:f>SUMIFS(Inputs_Collateral!$E$4:$E$98,Inputs_Collateral!$A$4:$A$98,A16,Inputs_Collateral!$B$4:$B$98,B16)</x:f>
        <x:v>0</x:v>
      </x:c>
      <x:c r="G16" s="43" t="n">
        <x:f>SUMIFS(Inputs_Collateral!$F$4:$F$98,Inputs_Collateral!$A$4:$A$98,A16,Inputs_Collateral!$B$4:$B$98,B16)</x:f>
        <x:v>0</x:v>
      </x:c>
      <x:c r="H16" s="43" t="n">
        <x:f>SUMIFS(Inputs_Collateral!$G$4:$G$98,Inputs_Collateral!$A$4:$A$98,A16,Inputs_Collateral!$B$4:$B$98,B16)</x:f>
        <x:v>0</x:v>
      </x:c>
      <x:c r="I16" s="43" t="n">
        <x:f>IF(D16="M",MAX(C16-E16,F16+G16-H16,0),MAX(C16-E16,0))</x:f>
        <x:v>0</x:v>
      </x:c>
      <x:c r="J16" s="43" t="n">
        <x:f>SUMIFS(Asset_Class_AddOn!$D$4:$D$100,Asset_Class_AddOn!$A$4:$A$100,A16,Asset_Class_AddOn!$B$4:$B$100,B16)</x:f>
        <x:v>804910.4773212625</x:v>
      </x:c>
      <x:c r="K16" s="41" t="n">
        <x:f>IF(J16&lt;=0,1,MIN(1,Parameters!$B$5+(1-Parameters!$B$5)*EXP((C16-E16)/(2*(1-Parameters!$B$5)*J16))))</x:f>
        <x:v>0.8965741357734278</x:v>
      </x:c>
      <x:c r="L16" s="43" t="n">
        <x:f>K16*J16</x:f>
        <x:v>721661.9155792882</x:v>
      </x:c>
      <x:c r="M16" s="43" t="n">
        <x:f>Parameters!$B$4*(I16+L16)</x:f>
        <x:v>1010326.6818110034</x:v>
      </x:c>
      <x:c r="N16" s="42" t="n">
        <x:f>SUMIFS(Inputs_Counterparties!$D$4:$D$15,Inputs_Counterparties!$A$4:$A$15,A16)</x:f>
        <x:v>0.5</x:v>
      </x:c>
      <x:c r="O16" s="43" t="n">
        <x:f>M16*N16</x:f>
        <x:v>505163.3409055017</x:v>
      </x:c>
      <x:c r="P16" s="43" t="n">
        <x:v>0</x:v>
      </x:c>
      <x:c r="Q16" s="43" t="n">
        <x:v>804910.4773212625</x:v>
      </x:c>
      <x:c r="R16" s="41" t="n">
        <x:v>0.8965741357734278</x:v>
      </x:c>
      <x:c r="S16" s="43" t="n">
        <x:v>721661.9155792882</x:v>
      </x:c>
      <x:c r="T16" s="43" t="n">
        <x:v>1010326.6818110034</x:v>
      </x:c>
      <x:c r="U16" s="43" t="n">
        <x:v>505163.3409055017</x:v>
      </x:c>
      <x:c r="V16" s="43" t="n">
        <x:f>M16-T16</x:f>
        <x:v>0</x:v>
      </x:c>
      <x:c r="W16" s="27" t="str">
        <x:f>IF(ABS(V16)&lt;0.01,"OK","CHECK")</x:f>
        <x:v>OK</x:v>
      </x:c>
    </x:row>
    <x:row r="17">
      <x:c r="A17" s="27" t="str">
        <x:v>IND_BANK_001</x:v>
      </x:c>
      <x:c r="B17" s="27" t="str">
        <x:v>3348</x:v>
      </x:c>
      <x:c r="C17" s="43" t="n">
        <x:f>SUMIFS(Trade_Calc!$AB$4:$AB$301,Trade_Calc!$B$4:$B$301,A17,Trade_Calc!$C$4:$C$301,B17)</x:f>
        <x:v>-958212</x:v>
      </x:c>
      <x:c r="D17" s="27" t="str">
        <x:f>IF(COUNTIFS(Trade_Calc!$B$4:$B$301,A17,Trade_Calc!$C$4:$C$301,B17,Trade_Calc!$AJ$4:$AJ$301,"M")&gt;0,"M","U")</x:f>
        <x:v>U</x:v>
      </x:c>
      <x:c r="E17" s="43" t="n">
        <x:f>SUMIFS(Inputs_Collateral!$D$4:$D$98,Inputs_Collateral!$A$4:$A$98,A17,Inputs_Collateral!$B$4:$B$98,B17)</x:f>
        <x:v>0</x:v>
      </x:c>
      <x:c r="F17" s="43" t="n">
        <x:f>SUMIFS(Inputs_Collateral!$E$4:$E$98,Inputs_Collateral!$A$4:$A$98,A17,Inputs_Collateral!$B$4:$B$98,B17)</x:f>
        <x:v>0</x:v>
      </x:c>
      <x:c r="G17" s="43" t="n">
        <x:f>SUMIFS(Inputs_Collateral!$F$4:$F$98,Inputs_Collateral!$A$4:$A$98,A17,Inputs_Collateral!$B$4:$B$98,B17)</x:f>
        <x:v>0</x:v>
      </x:c>
      <x:c r="H17" s="43" t="n">
        <x:f>SUMIFS(Inputs_Collateral!$G$4:$G$98,Inputs_Collateral!$A$4:$A$98,A17,Inputs_Collateral!$B$4:$B$98,B17)</x:f>
        <x:v>0</x:v>
      </x:c>
      <x:c r="I17" s="43" t="n">
        <x:f>IF(D17="M",MAX(C17-E17,F17+G17-H17,0),MAX(C17-E17,0))</x:f>
        <x:v>0</x:v>
      </x:c>
      <x:c r="J17" s="43" t="n">
        <x:f>SUMIFS(Asset_Class_AddOn!$D$4:$D$100,Asset_Class_AddOn!$A$4:$A$100,A17,Asset_Class_AddOn!$B$4:$B$100,B17)</x:f>
        <x:v>9288000</x:v>
      </x:c>
      <x:c r="K17" s="41" t="n">
        <x:f>IF(J17&lt;=0,1,MIN(1,Parameters!$B$5+(1-Parameters!$B$5)*EXP((C17-E17)/(2*(1-Parameters!$B$5)*J17))))</x:f>
        <x:v>0.9497921021062785</x:v>
      </x:c>
      <x:c r="L17" s="43" t="n">
        <x:f>K17*J17</x:f>
        <x:v>8821669.044363115</x:v>
      </x:c>
      <x:c r="M17" s="43" t="n">
        <x:f>Parameters!$B$4*(I17+L17)</x:f>
        <x:v>12350336.66210836</x:v>
      </x:c>
      <x:c r="N17" s="42" t="n">
        <x:f>SUMIFS(Inputs_Counterparties!$D$4:$D$15,Inputs_Counterparties!$A$4:$A$15,A17)</x:f>
        <x:v>0.5</x:v>
      </x:c>
      <x:c r="O17" s="43" t="n">
        <x:f>M17*N17</x:f>
        <x:v>6175168.33105418</x:v>
      </x:c>
      <x:c r="P17" s="43" t="n">
        <x:v>0</x:v>
      </x:c>
      <x:c r="Q17" s="43" t="n">
        <x:v>9288000</x:v>
      </x:c>
      <x:c r="R17" s="41" t="n">
        <x:v>0.9497921021062785</x:v>
      </x:c>
      <x:c r="S17" s="43" t="n">
        <x:v>8821669.044363115</x:v>
      </x:c>
      <x:c r="T17" s="43" t="n">
        <x:v>12350336.66210836</x:v>
      </x:c>
      <x:c r="U17" s="43" t="n">
        <x:v>6175168.33105418</x:v>
      </x:c>
      <x:c r="V17" s="43" t="n">
        <x:f>M17-T17</x:f>
        <x:v>0</x:v>
      </x:c>
      <x:c r="W17" s="27" t="str">
        <x:f>IF(ABS(V17)&lt;0.01,"OK","CHECK")</x:f>
        <x:v>OK</x:v>
      </x:c>
    </x:row>
    <x:row r="18">
      <x:c r="A18" s="27" t="str">
        <x:v>IND_BANK_001</x:v>
      </x:c>
      <x:c r="B18" s="27" t="str">
        <x:v>3372</x:v>
      </x:c>
      <x:c r="C18" s="43" t="n">
        <x:f>SUMIFS(Trade_Calc!$AB$4:$AB$301,Trade_Calc!$B$4:$B$301,A18,Trade_Calc!$C$4:$C$301,B18)</x:f>
        <x:v>-2306880</x:v>
      </x:c>
      <x:c r="D18" s="27" t="str">
        <x:f>IF(COUNTIFS(Trade_Calc!$B$4:$B$301,A18,Trade_Calc!$C$4:$C$301,B18,Trade_Calc!$AJ$4:$AJ$301,"M")&gt;0,"M","U")</x:f>
        <x:v>M</x:v>
      </x:c>
      <x:c r="E18" s="43" t="n">
        <x:f>SUMIFS(Inputs_Collateral!$D$4:$D$98,Inputs_Collateral!$A$4:$A$98,A18,Inputs_Collateral!$B$4:$B$98,B18)</x:f>
        <x:v>14400000</x:v>
      </x:c>
      <x:c r="F18" s="43" t="n">
        <x:f>SUMIFS(Inputs_Collateral!$E$4:$E$98,Inputs_Collateral!$A$4:$A$98,A18,Inputs_Collateral!$B$4:$B$98,B18)</x:f>
        <x:v>360000</x:v>
      </x:c>
      <x:c r="G18" s="43" t="n">
        <x:f>SUMIFS(Inputs_Collateral!$F$4:$F$98,Inputs_Collateral!$A$4:$A$98,A18,Inputs_Collateral!$B$4:$B$98,B18)</x:f>
        <x:v>144000</x:v>
      </x:c>
      <x:c r="H18" s="43" t="n">
        <x:f>SUMIFS(Inputs_Collateral!$G$4:$G$98,Inputs_Collateral!$A$4:$A$98,A18,Inputs_Collateral!$B$4:$B$98,B18)</x:f>
        <x:v>0</x:v>
      </x:c>
      <x:c r="I18" s="43" t="n">
        <x:f>IF(D18="M",MAX(C18-E18,F18+G18-H18,0),MAX(C18-E18,0))</x:f>
        <x:v>504000</x:v>
      </x:c>
      <x:c r="J18" s="43" t="n">
        <x:f>SUMIFS(Asset_Class_AddOn!$D$4:$D$100,Asset_Class_AddOn!$A$4:$A$100,A18,Asset_Class_AddOn!$B$4:$B$100,B18)</x:f>
        <x:v>623711.9947243913</x:v>
      </x:c>
      <x:c r="K18" s="41" t="n">
        <x:f>IF(J18&lt;=0,1,MIN(1,Parameters!$B$5+(1-Parameters!$B$5)*EXP((C18-E18)/(2*(1-Parameters!$B$5)*J18))))</x:f>
        <x:v>0.0500007162058862</x:v>
      </x:c>
      <x:c r="L18" s="43" t="n">
        <x:f>K18*J18</x:f>
        <x:v>31186.046442421477</x:v>
      </x:c>
      <x:c r="M18" s="43" t="n">
        <x:f>Parameters!$B$4*(I18+L18)</x:f>
        <x:v>749260.4650193901</x:v>
      </x:c>
      <x:c r="N18" s="42" t="n">
        <x:f>SUMIFS(Inputs_Counterparties!$D$4:$D$15,Inputs_Counterparties!$A$4:$A$15,A18)</x:f>
        <x:v>0.5</x:v>
      </x:c>
      <x:c r="O18" s="43" t="n">
        <x:f>M18*N18</x:f>
        <x:v>374630.23250969505</x:v>
      </x:c>
      <x:c r="P18" s="43" t="n">
        <x:v>504000</x:v>
      </x:c>
      <x:c r="Q18" s="43" t="n">
        <x:v>623711.9947243913</x:v>
      </x:c>
      <x:c r="R18" s="41" t="n">
        <x:v>0.0500007162058862</x:v>
      </x:c>
      <x:c r="S18" s="43" t="n">
        <x:v>31186.046442421477</x:v>
      </x:c>
      <x:c r="T18" s="43" t="n">
        <x:v>749260.4650193901</x:v>
      </x:c>
      <x:c r="U18" s="43" t="n">
        <x:v>374630.23250969505</x:v>
      </x:c>
      <x:c r="V18" s="43" t="n">
        <x:f>M18-T18</x:f>
        <x:v>0</x:v>
      </x:c>
      <x:c r="W18" s="27" t="str">
        <x:f>IF(ABS(V18)&lt;0.01,"OK","CHECK")</x:f>
        <x:v>OK</x:v>
      </x:c>
    </x:row>
    <x:row r="19">
      <x:c r="A19" s="27" t="str">
        <x:v>IND_BANK_002</x:v>
      </x:c>
      <x:c r="B19" s="27" t="str">
        <x:v>3049</x:v>
      </x:c>
      <x:c r="C19" s="43" t="n">
        <x:f>SUMIFS(Trade_Calc!$AB$4:$AB$301,Trade_Calc!$B$4:$B$301,A19,Trade_Calc!$C$4:$C$301,B19)</x:f>
        <x:v>-981302.3999999999</x:v>
      </x:c>
      <x:c r="D19" s="27" t="str">
        <x:f>IF(COUNTIFS(Trade_Calc!$B$4:$B$301,A19,Trade_Calc!$C$4:$C$301,B19,Trade_Calc!$AJ$4:$AJ$301,"M")&gt;0,"M","U")</x:f>
        <x:v>M</x:v>
      </x:c>
      <x:c r="E19" s="43" t="n">
        <x:f>SUMIFS(Inputs_Collateral!$D$4:$D$98,Inputs_Collateral!$A$4:$A$98,A19,Inputs_Collateral!$B$4:$B$98,B19)</x:f>
        <x:v>51438000</x:v>
      </x:c>
      <x:c r="F19" s="43" t="n">
        <x:f>SUMIFS(Inputs_Collateral!$E$4:$E$98,Inputs_Collateral!$A$4:$A$98,A19,Inputs_Collateral!$B$4:$B$98,B19)</x:f>
        <x:v>25719000</x:v>
      </x:c>
      <x:c r="G19" s="43" t="n">
        <x:f>SUMIFS(Inputs_Collateral!$F$4:$F$98,Inputs_Collateral!$A$4:$A$98,A19,Inputs_Collateral!$B$4:$B$98,B19)</x:f>
        <x:v>2571900</x:v>
      </x:c>
      <x:c r="H19" s="43" t="n">
        <x:f>SUMIFS(Inputs_Collateral!$G$4:$G$98,Inputs_Collateral!$A$4:$A$98,A19,Inputs_Collateral!$B$4:$B$98,B19)</x:f>
        <x:v>0</x:v>
      </x:c>
      <x:c r="I19" s="43" t="n">
        <x:f>IF(D19="M",MAX(C19-E19,F19+G19-H19,0),MAX(C19-E19,0))</x:f>
        <x:v>28290900</x:v>
      </x:c>
      <x:c r="J19" s="43" t="n">
        <x:f>SUMIFS(Asset_Class_AddOn!$D$4:$D$100,Asset_Class_AddOn!$A$4:$A$100,A19,Asset_Class_AddOn!$B$4:$B$100,B19)</x:f>
        <x:v>19318222.238824997</x:v>
      </x:c>
      <x:c r="K19" s="41" t="n">
        <x:f>IF(J19&lt;=0,1,MIN(1,Parameters!$B$5+(1-Parameters!$B$5)*EXP((C19-E19)/(2*(1-Parameters!$B$5)*J19))))</x:f>
        <x:v>0.2777669570167599</x:v>
      </x:c>
      <x:c r="L19" s="43" t="n">
        <x:f>K19*J19</x:f>
        <x:v>5365963.806251918</x:v>
      </x:c>
      <x:c r="M19" s="43" t="n">
        <x:f>Parameters!$B$4*(I19+L19)</x:f>
        <x:v>47119609.32875269</x:v>
      </x:c>
      <x:c r="N19" s="42" t="n">
        <x:f>SUMIFS(Inputs_Counterparties!$D$4:$D$15,Inputs_Counterparties!$A$4:$A$15,A19)</x:f>
        <x:v>0.5</x:v>
      </x:c>
      <x:c r="O19" s="43" t="n">
        <x:f>M19*N19</x:f>
        <x:v>23559804.664376345</x:v>
      </x:c>
      <x:c r="P19" s="43" t="n">
        <x:v>28290900</x:v>
      </x:c>
      <x:c r="Q19" s="43" t="n">
        <x:v>19318222.238824997</x:v>
      </x:c>
      <x:c r="R19" s="41" t="n">
        <x:v>0.2777669570167599</x:v>
      </x:c>
      <x:c r="S19" s="43" t="n">
        <x:v>5365963.806251918</x:v>
      </x:c>
      <x:c r="T19" s="43" t="n">
        <x:v>47119609.32875269</x:v>
      </x:c>
      <x:c r="U19" s="43" t="n">
        <x:v>23559804.664376345</x:v>
      </x:c>
      <x:c r="V19" s="43" t="n">
        <x:f>M19-T19</x:f>
        <x:v>0</x:v>
      </x:c>
      <x:c r="W19" s="27" t="str">
        <x:f>IF(ABS(V19)&lt;0.01,"OK","CHECK")</x:f>
        <x:v>OK</x:v>
      </x:c>
    </x:row>
    <x:row r="20">
      <x:c r="A20" s="27" t="str">
        <x:v>IND_BANK_002</x:v>
      </x:c>
      <x:c r="B20" s="27" t="str">
        <x:v>3090</x:v>
      </x:c>
      <x:c r="C20" s="43" t="n">
        <x:f>SUMIFS(Trade_Calc!$AB$4:$AB$301,Trade_Calc!$B$4:$B$301,A20,Trade_Calc!$C$4:$C$301,B20)</x:f>
        <x:v>708240</x:v>
      </x:c>
      <x:c r="D20" s="27" t="str">
        <x:f>IF(COUNTIFS(Trade_Calc!$B$4:$B$301,A20,Trade_Calc!$C$4:$C$301,B20,Trade_Calc!$AJ$4:$AJ$301,"M")&gt;0,"M","U")</x:f>
        <x:v>U</x:v>
      </x:c>
      <x:c r="E20" s="43" t="n">
        <x:f>SUMIFS(Inputs_Collateral!$D$4:$D$98,Inputs_Collateral!$A$4:$A$98,A20,Inputs_Collateral!$B$4:$B$98,B20)</x:f>
        <x:v>0</x:v>
      </x:c>
      <x:c r="F20" s="43" t="n">
        <x:f>SUMIFS(Inputs_Collateral!$E$4:$E$98,Inputs_Collateral!$A$4:$A$98,A20,Inputs_Collateral!$B$4:$B$98,B20)</x:f>
        <x:v>0</x:v>
      </x:c>
      <x:c r="G20" s="43" t="n">
        <x:f>SUMIFS(Inputs_Collateral!$F$4:$F$98,Inputs_Collateral!$A$4:$A$98,A20,Inputs_Collateral!$B$4:$B$98,B20)</x:f>
        <x:v>0</x:v>
      </x:c>
      <x:c r="H20" s="43" t="n">
        <x:f>SUMIFS(Inputs_Collateral!$G$4:$G$98,Inputs_Collateral!$A$4:$A$98,A20,Inputs_Collateral!$B$4:$B$98,B20)</x:f>
        <x:v>0</x:v>
      </x:c>
      <x:c r="I20" s="43" t="n">
        <x:f>IF(D20="M",MAX(C20-E20,F20+G20-H20,0),MAX(C20-E20,0))</x:f>
        <x:v>708240</x:v>
      </x:c>
      <x:c r="J20" s="43" t="n">
        <x:f>SUMIFS(Asset_Class_AddOn!$D$4:$D$100,Asset_Class_AddOn!$A$4:$A$100,A20,Asset_Class_AddOn!$B$4:$B$100,B20)</x:f>
        <x:v>5866361.313090214</x:v>
      </x:c>
      <x:c r="K20" s="41" t="n">
        <x:f>IF(J20&lt;=0,1,MIN(1,Parameters!$B$5+(1-Parameters!$B$5)*EXP((C20-E20)/(2*(1-Parameters!$B$5)*J20))))</x:f>
        <x:v>1</x:v>
      </x:c>
      <x:c r="L20" s="43" t="n">
        <x:f>K20*J20</x:f>
        <x:v>5866361.313090214</x:v>
      </x:c>
      <x:c r="M20" s="43" t="n">
        <x:f>Parameters!$B$4*(I20+L20)</x:f>
        <x:v>9204441.838326298</x:v>
      </x:c>
      <x:c r="N20" s="42" t="n">
        <x:f>SUMIFS(Inputs_Counterparties!$D$4:$D$15,Inputs_Counterparties!$A$4:$A$15,A20)</x:f>
        <x:v>0.5</x:v>
      </x:c>
      <x:c r="O20" s="43" t="n">
        <x:f>M20*N20</x:f>
        <x:v>4602220.919163149</x:v>
      </x:c>
      <x:c r="P20" s="43" t="n">
        <x:v>708240</x:v>
      </x:c>
      <x:c r="Q20" s="43" t="n">
        <x:v>5866361.313090214</x:v>
      </x:c>
      <x:c r="R20" s="41" t="n">
        <x:v>1</x:v>
      </x:c>
      <x:c r="S20" s="43" t="n">
        <x:v>5866361.313090214</x:v>
      </x:c>
      <x:c r="T20" s="43" t="n">
        <x:v>9204441.838326298</x:v>
      </x:c>
      <x:c r="U20" s="43" t="n">
        <x:v>4602220.919163149</x:v>
      </x:c>
      <x:c r="V20" s="43" t="n">
        <x:f>M20-T20</x:f>
        <x:v>0</x:v>
      </x:c>
      <x:c r="W20" s="27" t="str">
        <x:f>IF(ABS(V20)&lt;0.01,"OK","CHECK")</x:f>
        <x:v>OK</x:v>
      </x:c>
    </x:row>
    <x:row r="21">
      <x:c r="A21" s="27" t="str">
        <x:v>IND_BANK_002</x:v>
      </x:c>
      <x:c r="B21" s="27" t="str">
        <x:v>3132</x:v>
      </x:c>
      <x:c r="C21" s="43" t="n">
        <x:f>SUMIFS(Trade_Calc!$AB$4:$AB$301,Trade_Calc!$B$4:$B$301,A21,Trade_Calc!$C$4:$C$301,B21)</x:f>
        <x:v>-1851450.3</x:v>
      </x:c>
      <x:c r="D21" s="27" t="str">
        <x:f>IF(COUNTIFS(Trade_Calc!$B$4:$B$301,A21,Trade_Calc!$C$4:$C$301,B21,Trade_Calc!$AJ$4:$AJ$301,"M")&gt;0,"M","U")</x:f>
        <x:v>U</x:v>
      </x:c>
      <x:c r="E21" s="43" t="n">
        <x:f>SUMIFS(Inputs_Collateral!$D$4:$D$98,Inputs_Collateral!$A$4:$A$98,A21,Inputs_Collateral!$B$4:$B$98,B21)</x:f>
        <x:v>0</x:v>
      </x:c>
      <x:c r="F21" s="43" t="n">
        <x:f>SUMIFS(Inputs_Collateral!$E$4:$E$98,Inputs_Collateral!$A$4:$A$98,A21,Inputs_Collateral!$B$4:$B$98,B21)</x:f>
        <x:v>0</x:v>
      </x:c>
      <x:c r="G21" s="43" t="n">
        <x:f>SUMIFS(Inputs_Collateral!$F$4:$F$98,Inputs_Collateral!$A$4:$A$98,A21,Inputs_Collateral!$B$4:$B$98,B21)</x:f>
        <x:v>0</x:v>
      </x:c>
      <x:c r="H21" s="43" t="n">
        <x:f>SUMIFS(Inputs_Collateral!$G$4:$G$98,Inputs_Collateral!$A$4:$A$98,A21,Inputs_Collateral!$B$4:$B$98,B21)</x:f>
        <x:v>0</x:v>
      </x:c>
      <x:c r="I21" s="43" t="n">
        <x:f>IF(D21="M",MAX(C21-E21,F21+G21-H21,0),MAX(C21-E21,0))</x:f>
        <x:v>0</x:v>
      </x:c>
      <x:c r="J21" s="43" t="n">
        <x:f>SUMIFS(Asset_Class_AddOn!$D$4:$D$100,Asset_Class_AddOn!$A$4:$A$100,A21,Asset_Class_AddOn!$B$4:$B$100,B21)</x:f>
        <x:v>4694537.232740463</x:v>
      </x:c>
      <x:c r="K21" s="41" t="n">
        <x:f>IF(J21&lt;=0,1,MIN(1,Parameters!$B$5+(1-Parameters!$B$5)*EXP((C21-E21)/(2*(1-Parameters!$B$5)*J21))))</x:f>
        <x:v>0.8219281427479299</x:v>
      </x:c>
      <x:c r="L21" s="43" t="n">
        <x:f>K21*J21</x:f>
        <x:v>3858572.268767375</x:v>
      </x:c>
      <x:c r="M21" s="43" t="n">
        <x:f>Parameters!$B$4*(I21+L21)</x:f>
        <x:v>5402001.176274325</x:v>
      </x:c>
      <x:c r="N21" s="42" t="n">
        <x:f>SUMIFS(Inputs_Counterparties!$D$4:$D$15,Inputs_Counterparties!$A$4:$A$15,A21)</x:f>
        <x:v>0.5</x:v>
      </x:c>
      <x:c r="O21" s="43" t="n">
        <x:f>M21*N21</x:f>
        <x:v>2701000.5881371624</x:v>
      </x:c>
      <x:c r="P21" s="43" t="n">
        <x:v>0</x:v>
      </x:c>
      <x:c r="Q21" s="43" t="n">
        <x:v>4694537.232740463</x:v>
      </x:c>
      <x:c r="R21" s="41" t="n">
        <x:v>0.8219281427479299</x:v>
      </x:c>
      <x:c r="S21" s="43" t="n">
        <x:v>3858572.268767375</x:v>
      </x:c>
      <x:c r="T21" s="43" t="n">
        <x:v>5402001.176274325</x:v>
      </x:c>
      <x:c r="U21" s="43" t="n">
        <x:v>2701000.5881371624</x:v>
      </x:c>
      <x:c r="V21" s="43" t="n">
        <x:f>M21-T21</x:f>
        <x:v>0</x:v>
      </x:c>
      <x:c r="W21" s="27" t="str">
        <x:f>IF(ABS(V21)&lt;0.01,"OK","CHECK")</x:f>
        <x:v>OK</x:v>
      </x:c>
    </x:row>
    <x:row r="22">
      <x:c r="A22" s="27" t="str">
        <x:v>IND_BANK_002</x:v>
      </x:c>
      <x:c r="B22" s="27" t="str">
        <x:v>3259</x:v>
      </x:c>
      <x:c r="C22" s="43" t="n">
        <x:f>SUMIFS(Trade_Calc!$AB$4:$AB$301,Trade_Calc!$B$4:$B$301,A22,Trade_Calc!$C$4:$C$301,B22)</x:f>
        <x:v>-1159536</x:v>
      </x:c>
      <x:c r="D22" s="27" t="str">
        <x:f>IF(COUNTIFS(Trade_Calc!$B$4:$B$301,A22,Trade_Calc!$C$4:$C$301,B22,Trade_Calc!$AJ$4:$AJ$301,"M")&gt;0,"M","U")</x:f>
        <x:v>M</x:v>
      </x:c>
      <x:c r="E22" s="43" t="n">
        <x:f>SUMIFS(Inputs_Collateral!$D$4:$D$98,Inputs_Collateral!$A$4:$A$98,A22,Inputs_Collateral!$B$4:$B$98,B22)</x:f>
        <x:v>5305000</x:v>
      </x:c>
      <x:c r="F22" s="43" t="n">
        <x:f>SUMIFS(Inputs_Collateral!$E$4:$E$98,Inputs_Collateral!$A$4:$A$98,A22,Inputs_Collateral!$B$4:$B$98,B22)</x:f>
        <x:v>265250</x:v>
      </x:c>
      <x:c r="G22" s="43" t="n">
        <x:f>SUMIFS(Inputs_Collateral!$F$4:$F$98,Inputs_Collateral!$A$4:$A$98,A22,Inputs_Collateral!$B$4:$B$98,B22)</x:f>
        <x:v>106100</x:v>
      </x:c>
      <x:c r="H22" s="43" t="n">
        <x:f>SUMIFS(Inputs_Collateral!$G$4:$G$98,Inputs_Collateral!$A$4:$A$98,A22,Inputs_Collateral!$B$4:$B$98,B22)</x:f>
        <x:v>2122000</x:v>
      </x:c>
      <x:c r="I22" s="43" t="n">
        <x:f>IF(D22="M",MAX(C22-E22,F22+G22-H22,0),MAX(C22-E22,0))</x:f>
        <x:v>0</x:v>
      </x:c>
      <x:c r="J22" s="43" t="n">
        <x:f>SUMIFS(Asset_Class_AddOn!$D$4:$D$100,Asset_Class_AddOn!$A$4:$A$100,A22,Asset_Class_AddOn!$B$4:$B$100,B22)</x:f>
        <x:v>4918074.667346967</x:v>
      </x:c>
      <x:c r="K22" s="41" t="n">
        <x:f>IF(J22&lt;=0,1,MIN(1,Parameters!$B$5+(1-Parameters!$B$5)*EXP((C22-E22)/(2*(1-Parameters!$B$5)*J22))))</x:f>
        <x:v>0.5256342188114795</x:v>
      </x:c>
      <x:c r="L22" s="43" t="n">
        <x:f>K22*J22</x:f>
        <x:v>2585108.3358274503</x:v>
      </x:c>
      <x:c r="M22" s="43" t="n">
        <x:f>Parameters!$B$4*(I22+L22)</x:f>
        <x:v>3619151.67015843</x:v>
      </x:c>
      <x:c r="N22" s="42" t="n">
        <x:f>SUMIFS(Inputs_Counterparties!$D$4:$D$15,Inputs_Counterparties!$A$4:$A$15,A22)</x:f>
        <x:v>0.5</x:v>
      </x:c>
      <x:c r="O22" s="43" t="n">
        <x:f>M22*N22</x:f>
        <x:v>1809575.835079215</x:v>
      </x:c>
      <x:c r="P22" s="43" t="n">
        <x:v>0</x:v>
      </x:c>
      <x:c r="Q22" s="43" t="n">
        <x:v>4918074.667346969</x:v>
      </x:c>
      <x:c r="R22" s="41" t="n">
        <x:v>0.5256342188114796</x:v>
      </x:c>
      <x:c r="S22" s="43" t="n">
        <x:v>2585108.3358274517</x:v>
      </x:c>
      <x:c r="T22" s="43" t="n">
        <x:v>3619151.6701584323</x:v>
      </x:c>
      <x:c r="U22" s="43" t="n">
        <x:v>1809575.8350792162</x:v>
      </x:c>
      <x:c r="V22" s="43" t="n">
        <x:f>M22-T22</x:f>
        <x:v>-2.3283064365386963e-9</x:v>
      </x:c>
      <x:c r="W22" s="27" t="str">
        <x:f>IF(ABS(V22)&lt;0.01,"OK","CHECK")</x:f>
        <x:v>OK</x:v>
      </x:c>
    </x:row>
    <x:row r="23">
      <x:c r="A23" s="27" t="str">
        <x:v>IND_BANK_002</x:v>
      </x:c>
      <x:c r="B23" s="27" t="str">
        <x:v>3318</x:v>
      </x:c>
      <x:c r="C23" s="43" t="n">
        <x:f>SUMIFS(Trade_Calc!$AB$4:$AB$301,Trade_Calc!$B$4:$B$301,A23,Trade_Calc!$C$4:$C$301,B23)</x:f>
        <x:v>2882250</x:v>
      </x:c>
      <x:c r="D23" s="27" t="str">
        <x:f>IF(COUNTIFS(Trade_Calc!$B$4:$B$301,A23,Trade_Calc!$C$4:$C$301,B23,Trade_Calc!$AJ$4:$AJ$301,"M")&gt;0,"M","U")</x:f>
        <x:v>U</x:v>
      </x:c>
      <x:c r="E23" s="43" t="n">
        <x:f>SUMIFS(Inputs_Collateral!$D$4:$D$98,Inputs_Collateral!$A$4:$A$98,A23,Inputs_Collateral!$B$4:$B$98,B23)</x:f>
        <x:v>0</x:v>
      </x:c>
      <x:c r="F23" s="43" t="n">
        <x:f>SUMIFS(Inputs_Collateral!$E$4:$E$98,Inputs_Collateral!$A$4:$A$98,A23,Inputs_Collateral!$B$4:$B$98,B23)</x:f>
        <x:v>0</x:v>
      </x:c>
      <x:c r="G23" s="43" t="n">
        <x:f>SUMIFS(Inputs_Collateral!$F$4:$F$98,Inputs_Collateral!$A$4:$A$98,A23,Inputs_Collateral!$B$4:$B$98,B23)</x:f>
        <x:v>0</x:v>
      </x:c>
      <x:c r="H23" s="43" t="n">
        <x:f>SUMIFS(Inputs_Collateral!$G$4:$G$98,Inputs_Collateral!$A$4:$A$98,A23,Inputs_Collateral!$B$4:$B$98,B23)</x:f>
        <x:v>0</x:v>
      </x:c>
      <x:c r="I23" s="43" t="n">
        <x:f>IF(D23="M",MAX(C23-E23,F23+G23-H23,0),MAX(C23-E23,0))</x:f>
        <x:v>2882250</x:v>
      </x:c>
      <x:c r="J23" s="43" t="n">
        <x:f>SUMIFS(Asset_Class_AddOn!$D$4:$D$100,Asset_Class_AddOn!$A$4:$A$100,A23,Asset_Class_AddOn!$B$4:$B$100,B23)</x:f>
        <x:v>4580891.489874442</x:v>
      </x:c>
      <x:c r="K23" s="41" t="n">
        <x:f>IF(J23&lt;=0,1,MIN(1,Parameters!$B$5+(1-Parameters!$B$5)*EXP((C23-E23)/(2*(1-Parameters!$B$5)*J23))))</x:f>
        <x:v>1</x:v>
      </x:c>
      <x:c r="L23" s="43" t="n">
        <x:f>K23*J23</x:f>
        <x:v>4580891.489874442</x:v>
      </x:c>
      <x:c r="M23" s="43" t="n">
        <x:f>Parameters!$B$4*(I23+L23)</x:f>
        <x:v>10448398.085824218</x:v>
      </x:c>
      <x:c r="N23" s="42" t="n">
        <x:f>SUMIFS(Inputs_Counterparties!$D$4:$D$15,Inputs_Counterparties!$A$4:$A$15,A23)</x:f>
        <x:v>0.5</x:v>
      </x:c>
      <x:c r="O23" s="43" t="n">
        <x:f>M23*N23</x:f>
        <x:v>5224199.042912109</x:v>
      </x:c>
      <x:c r="P23" s="43" t="n">
        <x:v>2882250</x:v>
      </x:c>
      <x:c r="Q23" s="43" t="n">
        <x:v>4580891.489874442</x:v>
      </x:c>
      <x:c r="R23" s="41" t="n">
        <x:v>1</x:v>
      </x:c>
      <x:c r="S23" s="43" t="n">
        <x:v>4580891.489874442</x:v>
      </x:c>
      <x:c r="T23" s="43" t="n">
        <x:v>10448398.085824218</x:v>
      </x:c>
      <x:c r="U23" s="43" t="n">
        <x:v>5224199.042912109</x:v>
      </x:c>
      <x:c r="V23" s="43" t="n">
        <x:f>M23-T23</x:f>
        <x:v>0</x:v>
      </x:c>
      <x:c r="W23" s="27" t="str">
        <x:f>IF(ABS(V23)&lt;0.01,"OK","CHECK")</x:f>
        <x:v>OK</x:v>
      </x:c>
    </x:row>
    <x:row r="24">
      <x:c r="A24" s="27" t="str">
        <x:v>IND_BANK_002</x:v>
      </x:c>
      <x:c r="B24" s="27" t="str">
        <x:v>3323</x:v>
      </x:c>
      <x:c r="C24" s="43" t="n">
        <x:f>SUMIFS(Trade_Calc!$AB$4:$AB$301,Trade_Calc!$B$4:$B$301,A24,Trade_Calc!$C$4:$C$301,B24)</x:f>
        <x:v>158100</x:v>
      </x:c>
      <x:c r="D24" s="27" t="str">
        <x:f>IF(COUNTIFS(Trade_Calc!$B$4:$B$301,A24,Trade_Calc!$C$4:$C$301,B24,Trade_Calc!$AJ$4:$AJ$301,"M")&gt;0,"M","U")</x:f>
        <x:v>U</x:v>
      </x:c>
      <x:c r="E24" s="43" t="n">
        <x:f>SUMIFS(Inputs_Collateral!$D$4:$D$98,Inputs_Collateral!$A$4:$A$98,A24,Inputs_Collateral!$B$4:$B$98,B24)</x:f>
        <x:v>0</x:v>
      </x:c>
      <x:c r="F24" s="43" t="n">
        <x:f>SUMIFS(Inputs_Collateral!$E$4:$E$98,Inputs_Collateral!$A$4:$A$98,A24,Inputs_Collateral!$B$4:$B$98,B24)</x:f>
        <x:v>0</x:v>
      </x:c>
      <x:c r="G24" s="43" t="n">
        <x:f>SUMIFS(Inputs_Collateral!$F$4:$F$98,Inputs_Collateral!$A$4:$A$98,A24,Inputs_Collateral!$B$4:$B$98,B24)</x:f>
        <x:v>0</x:v>
      </x:c>
      <x:c r="H24" s="43" t="n">
        <x:f>SUMIFS(Inputs_Collateral!$G$4:$G$98,Inputs_Collateral!$A$4:$A$98,A24,Inputs_Collateral!$B$4:$B$98,B24)</x:f>
        <x:v>0</x:v>
      </x:c>
      <x:c r="I24" s="43" t="n">
        <x:f>IF(D24="M",MAX(C24-E24,F24+G24-H24,0),MAX(C24-E24,0))</x:f>
        <x:v>158100</x:v>
      </x:c>
      <x:c r="J24" s="43" t="n">
        <x:f>SUMIFS(Asset_Class_AddOn!$D$4:$D$100,Asset_Class_AddOn!$A$4:$A$100,A24,Asset_Class_AddOn!$B$4:$B$100,B24)</x:f>
        <x:v>1116000</x:v>
      </x:c>
      <x:c r="K24" s="41" t="n">
        <x:f>IF(J24&lt;=0,1,MIN(1,Parameters!$B$5+(1-Parameters!$B$5)*EXP((C24-E24)/(2*(1-Parameters!$B$5)*J24))))</x:f>
        <x:v>1</x:v>
      </x:c>
      <x:c r="L24" s="43" t="n">
        <x:f>K24*J24</x:f>
        <x:v>1116000</x:v>
      </x:c>
      <x:c r="M24" s="43" t="n">
        <x:f>Parameters!$B$4*(I24+L24)</x:f>
        <x:v>1783740</x:v>
      </x:c>
      <x:c r="N24" s="42" t="n">
        <x:f>SUMIFS(Inputs_Counterparties!$D$4:$D$15,Inputs_Counterparties!$A$4:$A$15,A24)</x:f>
        <x:v>0.5</x:v>
      </x:c>
      <x:c r="O24" s="43" t="n">
        <x:f>M24*N24</x:f>
        <x:v>891870</x:v>
      </x:c>
      <x:c r="P24" s="43" t="n">
        <x:v>158100</x:v>
      </x:c>
      <x:c r="Q24" s="43" t="n">
        <x:v>1116000</x:v>
      </x:c>
      <x:c r="R24" s="41" t="n">
        <x:v>1</x:v>
      </x:c>
      <x:c r="S24" s="43" t="n">
        <x:v>1116000</x:v>
      </x:c>
      <x:c r="T24" s="43" t="n">
        <x:v>1783740</x:v>
      </x:c>
      <x:c r="U24" s="43" t="n">
        <x:v>891870</x:v>
      </x:c>
      <x:c r="V24" s="43" t="n">
        <x:f>M24-T24</x:f>
        <x:v>0</x:v>
      </x:c>
      <x:c r="W24" s="27" t="str">
        <x:f>IF(ABS(V24)&lt;0.01,"OK","CHECK")</x:f>
        <x:v>OK</x:v>
      </x:c>
    </x:row>
    <x:row r="25">
      <x:c r="A25" s="27" t="str">
        <x:v>IND_BANK_002</x:v>
      </x:c>
      <x:c r="B25" s="27" t="str">
        <x:v>3331</x:v>
      </x:c>
      <x:c r="C25" s="43" t="n">
        <x:f>SUMIFS(Trade_Calc!$AB$4:$AB$301,Trade_Calc!$B$4:$B$301,A25,Trade_Calc!$C$4:$C$301,B25)</x:f>
        <x:v>-2767308</x:v>
      </x:c>
      <x:c r="D25" s="27" t="str">
        <x:f>IF(COUNTIFS(Trade_Calc!$B$4:$B$301,A25,Trade_Calc!$C$4:$C$301,B25,Trade_Calc!$AJ$4:$AJ$301,"M")&gt;0,"M","U")</x:f>
        <x:v>M</x:v>
      </x:c>
      <x:c r="E25" s="43" t="n">
        <x:f>SUMIFS(Inputs_Collateral!$D$4:$D$98,Inputs_Collateral!$A$4:$A$98,A25,Inputs_Collateral!$B$4:$B$98,B25)</x:f>
        <x:v>86070000</x:v>
      </x:c>
      <x:c r="F25" s="43" t="n">
        <x:f>SUMIFS(Inputs_Collateral!$E$4:$E$98,Inputs_Collateral!$A$4:$A$98,A25,Inputs_Collateral!$B$4:$B$98,B25)</x:f>
        <x:v>1434500</x:v>
      </x:c>
      <x:c r="G25" s="43" t="n">
        <x:f>SUMIFS(Inputs_Collateral!$F$4:$F$98,Inputs_Collateral!$A$4:$A$98,A25,Inputs_Collateral!$B$4:$B$98,B25)</x:f>
        <x:v>573800</x:v>
      </x:c>
      <x:c r="H25" s="43" t="n">
        <x:f>SUMIFS(Inputs_Collateral!$G$4:$G$98,Inputs_Collateral!$A$4:$A$98,A25,Inputs_Collateral!$B$4:$B$98,B25)</x:f>
        <x:v>5738000</x:v>
      </x:c>
      <x:c r="I25" s="43" t="n">
        <x:f>IF(D25="M",MAX(C25-E25,F25+G25-H25,0),MAX(C25-E25,0))</x:f>
        <x:v>0</x:v>
      </x:c>
      <x:c r="J25" s="43" t="n">
        <x:f>SUMIFS(Asset_Class_AddOn!$D$4:$D$100,Asset_Class_AddOn!$A$4:$A$100,A25,Asset_Class_AddOn!$B$4:$B$100,B25)</x:f>
        <x:v>5597705.051359762</x:v>
      </x:c>
      <x:c r="K25" s="41" t="n">
        <x:f>IF(J25&lt;=0,1,MIN(1,Parameters!$B$5+(1-Parameters!$B$5)*EXP((C25-E25)/(2*(1-Parameters!$B$5)*J25))))</x:f>
        <x:v>0.050223950071860105</x:v>
      </x:c>
      <x:c r="L25" s="43" t="n">
        <x:f>K25*J25</x:f>
        <x:v>281138.8590164918</x:v>
      </x:c>
      <x:c r="M25" s="43" t="n">
        <x:f>Parameters!$B$4*(I25+L25)</x:f>
        <x:v>393594.4026230885</x:v>
      </x:c>
      <x:c r="N25" s="42" t="n">
        <x:f>SUMIFS(Inputs_Counterparties!$D$4:$D$15,Inputs_Counterparties!$A$4:$A$15,A25)</x:f>
        <x:v>0.5</x:v>
      </x:c>
      <x:c r="O25" s="43" t="n">
        <x:f>M25*N25</x:f>
        <x:v>196797.20131154425</x:v>
      </x:c>
      <x:c r="P25" s="43" t="n">
        <x:v>0</x:v>
      </x:c>
      <x:c r="Q25" s="43" t="n">
        <x:v>5597705.051359762</x:v>
      </x:c>
      <x:c r="R25" s="41" t="n">
        <x:v>0.050223950071860105</x:v>
      </x:c>
      <x:c r="S25" s="43" t="n">
        <x:v>281138.8590164918</x:v>
      </x:c>
      <x:c r="T25" s="43" t="n">
        <x:v>393594.4026230885</x:v>
      </x:c>
      <x:c r="U25" s="43" t="n">
        <x:v>196797.20131154425</x:v>
      </x:c>
      <x:c r="V25" s="43" t="n">
        <x:f>M25-T25</x:f>
        <x:v>0</x:v>
      </x:c>
      <x:c r="W25" s="27" t="str">
        <x:f>IF(ABS(V25)&lt;0.01,"OK","CHECK")</x:f>
        <x:v>OK</x:v>
      </x:c>
    </x:row>
    <x:row r="26">
      <x:c r="A26" s="27" t="str">
        <x:v>IND_BANK_002</x:v>
      </x:c>
      <x:c r="B26" s="27" t="str">
        <x:v>3341</x:v>
      </x:c>
      <x:c r="C26" s="43" t="n">
        <x:f>SUMIFS(Trade_Calc!$AB$4:$AB$301,Trade_Calc!$B$4:$B$301,A26,Trade_Calc!$C$4:$C$301,B26)</x:f>
        <x:v>-1420072</x:v>
      </x:c>
      <x:c r="D26" s="27" t="str">
        <x:f>IF(COUNTIFS(Trade_Calc!$B$4:$B$301,A26,Trade_Calc!$C$4:$C$301,B26,Trade_Calc!$AJ$4:$AJ$301,"M")&gt;0,"M","U")</x:f>
        <x:v>M</x:v>
      </x:c>
      <x:c r="E26" s="43" t="n">
        <x:f>SUMIFS(Inputs_Collateral!$D$4:$D$98,Inputs_Collateral!$A$4:$A$98,A26,Inputs_Collateral!$B$4:$B$98,B26)</x:f>
        <x:v>43020000</x:v>
      </x:c>
      <x:c r="F26" s="43" t="n">
        <x:f>SUMIFS(Inputs_Collateral!$E$4:$E$98,Inputs_Collateral!$A$4:$A$98,A26,Inputs_Collateral!$B$4:$B$98,B26)</x:f>
        <x:v>717000</x:v>
      </x:c>
      <x:c r="G26" s="43" t="n">
        <x:f>SUMIFS(Inputs_Collateral!$F$4:$F$98,Inputs_Collateral!$A$4:$A$98,A26,Inputs_Collateral!$B$4:$B$98,B26)</x:f>
        <x:v>286800</x:v>
      </x:c>
      <x:c r="H26" s="43" t="n">
        <x:f>SUMIFS(Inputs_Collateral!$G$4:$G$98,Inputs_Collateral!$A$4:$A$98,A26,Inputs_Collateral!$B$4:$B$98,B26)</x:f>
        <x:v>5736000</x:v>
      </x:c>
      <x:c r="I26" s="43" t="n">
        <x:f>IF(D26="M",MAX(C26-E26,F26+G26-H26,0),MAX(C26-E26,0))</x:f>
        <x:v>0</x:v>
      </x:c>
      <x:c r="J26" s="43" t="n">
        <x:f>SUMIFS(Asset_Class_AddOn!$D$4:$D$100,Asset_Class_AddOn!$A$4:$A$100,A26,Asset_Class_AddOn!$B$4:$B$100,B26)</x:f>
        <x:v>345016.9463481193</x:v>
      </x:c>
      <x:c r="K26" s="41" t="n">
        <x:f>IF(J26&lt;=0,1,MIN(1,Parameters!$B$5+(1-Parameters!$B$5)*EXP((C26-E26)/(2*(1-Parameters!$B$5)*J26))))</x:f>
        <x:v>0.05</x:v>
      </x:c>
      <x:c r="L26" s="43" t="n">
        <x:f>K26*J26</x:f>
        <x:v>17250.847317405965</x:v>
      </x:c>
      <x:c r="M26" s="43" t="n">
        <x:f>Parameters!$B$4*(I26+L26)</x:f>
        <x:v>24151.18624436835</x:v>
      </x:c>
      <x:c r="N26" s="42" t="n">
        <x:f>SUMIFS(Inputs_Counterparties!$D$4:$D$15,Inputs_Counterparties!$A$4:$A$15,A26)</x:f>
        <x:v>0.5</x:v>
      </x:c>
      <x:c r="O26" s="43" t="n">
        <x:f>M26*N26</x:f>
        <x:v>12075.593122184175</x:v>
      </x:c>
      <x:c r="P26" s="43" t="n">
        <x:v>0</x:v>
      </x:c>
      <x:c r="Q26" s="43" t="n">
        <x:v>345016.94634811947</x:v>
      </x:c>
      <x:c r="R26" s="41" t="n">
        <x:v>0.05</x:v>
      </x:c>
      <x:c r="S26" s="43" t="n">
        <x:v>17250.847317405973</x:v>
      </x:c>
      <x:c r="T26" s="43" t="n">
        <x:v>24151.18624436836</x:v>
      </x:c>
      <x:c r="U26" s="43" t="n">
        <x:v>12075.59312218418</x:v>
      </x:c>
      <x:c r="V26" s="43" t="n">
        <x:f>M26-T26</x:f>
        <x:v>-1.0913936421275139e-11</x:v>
      </x:c>
      <x:c r="W26" s="27" t="str">
        <x:f>IF(ABS(V26)&lt;0.01,"OK","CHECK")</x:f>
        <x:v>OK</x:v>
      </x:c>
    </x:row>
    <x:row r="27">
      <x:c r="A27" s="27" t="str">
        <x:v>IND_BANK_002</x:v>
      </x:c>
      <x:c r="B27" s="27" t="str">
        <x:v>3386</x:v>
      </x:c>
      <x:c r="C27" s="43" t="n">
        <x:f>SUMIFS(Trade_Calc!$AB$4:$AB$301,Trade_Calc!$B$4:$B$301,A27,Trade_Calc!$C$4:$C$301,B27)</x:f>
        <x:v>-190863</x:v>
      </x:c>
      <x:c r="D27" s="27" t="str">
        <x:f>IF(COUNTIFS(Trade_Calc!$B$4:$B$301,A27,Trade_Calc!$C$4:$C$301,B27,Trade_Calc!$AJ$4:$AJ$301,"M")&gt;0,"M","U")</x:f>
        <x:v>M</x:v>
      </x:c>
      <x:c r="E27" s="43" t="n">
        <x:f>SUMIFS(Inputs_Collateral!$D$4:$D$98,Inputs_Collateral!$A$4:$A$98,A27,Inputs_Collateral!$B$4:$B$98,B27)</x:f>
        <x:v>8630000</x:v>
      </x:c>
      <x:c r="F27" s="43" t="n">
        <x:f>SUMIFS(Inputs_Collateral!$E$4:$E$98,Inputs_Collateral!$A$4:$A$98,A27,Inputs_Collateral!$B$4:$B$98,B27)</x:f>
        <x:v>215750</x:v>
      </x:c>
      <x:c r="G27" s="43" t="n">
        <x:f>SUMIFS(Inputs_Collateral!$F$4:$F$98,Inputs_Collateral!$A$4:$A$98,A27,Inputs_Collateral!$B$4:$B$98,B27)</x:f>
        <x:v>86300</x:v>
      </x:c>
      <x:c r="H27" s="43" t="n">
        <x:f>SUMIFS(Inputs_Collateral!$G$4:$G$98,Inputs_Collateral!$A$4:$A$98,A27,Inputs_Collateral!$B$4:$B$98,B27)</x:f>
        <x:v>0</x:v>
      </x:c>
      <x:c r="I27" s="43" t="n">
        <x:f>IF(D27="M",MAX(C27-E27,F27+G27-H27,0),MAX(C27-E27,0))</x:f>
        <x:v>302050</x:v>
      </x:c>
      <x:c r="J27" s="43" t="n">
        <x:f>SUMIFS(Asset_Class_AddOn!$D$4:$D$100,Asset_Class_AddOn!$A$4:$A$100,A27,Asset_Class_AddOn!$B$4:$B$100,B27)</x:f>
        <x:v>3187826.7476575486</x:v>
      </x:c>
      <x:c r="K27" s="41" t="n">
        <x:f>IF(J27&lt;=0,1,MIN(1,Parameters!$B$5+(1-Parameters!$B$5)*EXP((C27-E27)/(2*(1-Parameters!$B$5)*J27))))</x:f>
        <x:v>0.27143343519243046</x:v>
      </x:c>
      <x:c r="L27" s="43" t="n">
        <x:f>K27*J27</x:f>
        <x:v>865282.7649150016</x:v>
      </x:c>
      <x:c r="M27" s="43" t="n">
        <x:f>Parameters!$B$4*(I27+L27)</x:f>
        <x:v>1634265.8708810022</x:v>
      </x:c>
      <x:c r="N27" s="42" t="n">
        <x:f>SUMIFS(Inputs_Counterparties!$D$4:$D$15,Inputs_Counterparties!$A$4:$A$15,A27)</x:f>
        <x:v>0.5</x:v>
      </x:c>
      <x:c r="O27" s="43" t="n">
        <x:f>M27*N27</x:f>
        <x:v>817132.9354405011</x:v>
      </x:c>
      <x:c r="P27" s="43" t="n">
        <x:v>302050</x:v>
      </x:c>
      <x:c r="Q27" s="43" t="n">
        <x:v>3187826.7476575486</x:v>
      </x:c>
      <x:c r="R27" s="41" t="n">
        <x:v>0.27143343519243046</x:v>
      </x:c>
      <x:c r="S27" s="43" t="n">
        <x:v>865282.7649150016</x:v>
      </x:c>
      <x:c r="T27" s="43" t="n">
        <x:v>1634265.8708810022</x:v>
      </x:c>
      <x:c r="U27" s="43" t="n">
        <x:v>817132.9354405011</x:v>
      </x:c>
      <x:c r="V27" s="43" t="n">
        <x:f>M27-T27</x:f>
        <x:v>0</x:v>
      </x:c>
      <x:c r="W27" s="27" t="str">
        <x:f>IF(ABS(V27)&lt;0.01,"OK","CHECK")</x:f>
        <x:v>OK</x:v>
      </x:c>
    </x:row>
    <x:row r="28">
      <x:c r="A28" s="27" t="str">
        <x:v>IND_BROKER_001</x:v>
      </x:c>
      <x:c r="B28" s="27" t="str">
        <x:v>3195</x:v>
      </x:c>
      <x:c r="C28" s="43" t="n">
        <x:f>SUMIFS(Trade_Calc!$AB$4:$AB$301,Trade_Calc!$B$4:$B$301,A28,Trade_Calc!$C$4:$C$301,B28)</x:f>
        <x:v>969054</x:v>
      </x:c>
      <x:c r="D28" s="27" t="str">
        <x:f>IF(COUNTIFS(Trade_Calc!$B$4:$B$301,A28,Trade_Calc!$C$4:$C$301,B28,Trade_Calc!$AJ$4:$AJ$301,"M")&gt;0,"M","U")</x:f>
        <x:v>M</x:v>
      </x:c>
      <x:c r="E28" s="43" t="n">
        <x:f>SUMIFS(Inputs_Collateral!$D$4:$D$98,Inputs_Collateral!$A$4:$A$98,A28,Inputs_Collateral!$B$4:$B$98,B28)</x:f>
        <x:v>2165000</x:v>
      </x:c>
      <x:c r="F28" s="43" t="n">
        <x:f>SUMIFS(Inputs_Collateral!$E$4:$E$98,Inputs_Collateral!$A$4:$A$98,A28,Inputs_Collateral!$B$4:$B$98,B28)</x:f>
        <x:v>216500</x:v>
      </x:c>
      <x:c r="G28" s="43" t="n">
        <x:f>SUMIFS(Inputs_Collateral!$F$4:$F$98,Inputs_Collateral!$A$4:$A$98,A28,Inputs_Collateral!$B$4:$B$98,B28)</x:f>
        <x:v>43300</x:v>
      </x:c>
      <x:c r="H28" s="43" t="n">
        <x:f>SUMIFS(Inputs_Collateral!$G$4:$G$98,Inputs_Collateral!$A$4:$A$98,A28,Inputs_Collateral!$B$4:$B$98,B28)</x:f>
        <x:v>0</x:v>
      </x:c>
      <x:c r="I28" s="43" t="n">
        <x:f>IF(D28="M",MAX(C28-E28,F28+G28-H28,0),MAX(C28-E28,0))</x:f>
        <x:v>259800</x:v>
      </x:c>
      <x:c r="J28" s="43" t="n">
        <x:f>SUMIFS(Asset_Class_AddOn!$D$4:$D$100,Asset_Class_AddOn!$A$4:$A$100,A28,Asset_Class_AddOn!$B$4:$B$100,B28)</x:f>
        <x:v>4156800.0000000005</x:v>
      </x:c>
      <x:c r="K28" s="41" t="n">
        <x:f>IF(J28&lt;=0,1,MIN(1,Parameters!$B$5+(1-Parameters!$B$5)*EXP((C28-E28)/(2*(1-Parameters!$B$5)*J28))))</x:f>
        <x:v>0.8665078658621436</x:v>
      </x:c>
      <x:c r="L28" s="43" t="n">
        <x:f>K28*J28</x:f>
        <x:v>3601899.8968157587</x:v>
      </x:c>
      <x:c r="M28" s="43" t="n">
        <x:f>Parameters!$B$4*(I28+L28)</x:f>
        <x:v>5406379.855542062</x:v>
      </x:c>
      <x:c r="N28" s="42" t="n">
        <x:f>SUMIFS(Inputs_Counterparties!$D$4:$D$15,Inputs_Counterparties!$A$4:$A$15,A28)</x:f>
        <x:v>0.5</x:v>
      </x:c>
      <x:c r="O28" s="43" t="n">
        <x:f>M28*N28</x:f>
        <x:v>2703189.927771031</x:v>
      </x:c>
      <x:c r="P28" s="43" t="n">
        <x:v>259800</x:v>
      </x:c>
      <x:c r="Q28" s="43" t="n">
        <x:v>4156800.0000000005</x:v>
      </x:c>
      <x:c r="R28" s="41" t="n">
        <x:v>0.8665078658621436</x:v>
      </x:c>
      <x:c r="S28" s="43" t="n">
        <x:v>3601899.8968157587</x:v>
      </x:c>
      <x:c r="T28" s="43" t="n">
        <x:v>5406379.855542062</x:v>
      </x:c>
      <x:c r="U28" s="43" t="n">
        <x:v>2703189.927771031</x:v>
      </x:c>
      <x:c r="V28" s="43" t="n">
        <x:f>M28-T28</x:f>
        <x:v>0</x:v>
      </x:c>
      <x:c r="W28" s="27" t="str">
        <x:f>IF(ABS(V28)&lt;0.01,"OK","CHECK")</x:f>
        <x:v>OK</x:v>
      </x:c>
    </x:row>
    <x:row r="29">
      <x:c r="A29" s="27" t="str">
        <x:v>IND_BROKER_001</x:v>
      </x:c>
      <x:c r="B29" s="27" t="str">
        <x:v>3220</x:v>
      </x:c>
      <x:c r="C29" s="43" t="n">
        <x:f>SUMIFS(Trade_Calc!$AB$4:$AB$301,Trade_Calc!$B$4:$B$301,A29,Trade_Calc!$C$4:$C$301,B29)</x:f>
        <x:v>-1425708</x:v>
      </x:c>
      <x:c r="D29" s="27" t="str">
        <x:f>IF(COUNTIFS(Trade_Calc!$B$4:$B$301,A29,Trade_Calc!$C$4:$C$301,B29,Trade_Calc!$AJ$4:$AJ$301,"M")&gt;0,"M","U")</x:f>
        <x:v>U</x:v>
      </x:c>
      <x:c r="E29" s="43" t="n">
        <x:f>SUMIFS(Inputs_Collateral!$D$4:$D$98,Inputs_Collateral!$A$4:$A$98,A29,Inputs_Collateral!$B$4:$B$98,B29)</x:f>
        <x:v>0</x:v>
      </x:c>
      <x:c r="F29" s="43" t="n">
        <x:f>SUMIFS(Inputs_Collateral!$E$4:$E$98,Inputs_Collateral!$A$4:$A$98,A29,Inputs_Collateral!$B$4:$B$98,B29)</x:f>
        <x:v>0</x:v>
      </x:c>
      <x:c r="G29" s="43" t="n">
        <x:f>SUMIFS(Inputs_Collateral!$F$4:$F$98,Inputs_Collateral!$A$4:$A$98,A29,Inputs_Collateral!$B$4:$B$98,B29)</x:f>
        <x:v>0</x:v>
      </x:c>
      <x:c r="H29" s="43" t="n">
        <x:f>SUMIFS(Inputs_Collateral!$G$4:$G$98,Inputs_Collateral!$A$4:$A$98,A29,Inputs_Collateral!$B$4:$B$98,B29)</x:f>
        <x:v>0</x:v>
      </x:c>
      <x:c r="I29" s="43" t="n">
        <x:f>IF(D29="M",MAX(C29-E29,F29+G29-H29,0),MAX(C29-E29,0))</x:f>
        <x:v>0</x:v>
      </x:c>
      <x:c r="J29" s="43" t="n">
        <x:f>SUMIFS(Asset_Class_AddOn!$D$4:$D$100,Asset_Class_AddOn!$A$4:$A$100,A29,Asset_Class_AddOn!$B$4:$B$100,B29)</x:f>
        <x:v>969422.9613335751</x:v>
      </x:c>
      <x:c r="K29" s="41" t="n">
        <x:f>IF(J29&lt;=0,1,MIN(1,Parameters!$B$5+(1-Parameters!$B$5)*EXP((C29-E29)/(2*(1-Parameters!$B$5)*J29))))</x:f>
        <x:v>0.48808873745458153</x:v>
      </x:c>
      <x:c r="L29" s="43" t="n">
        <x:f>K29*J29</x:f>
        <x:v>473164.42925678624</x:v>
      </x:c>
      <x:c r="M29" s="43" t="n">
        <x:f>Parameters!$B$4*(I29+L29)</x:f>
        <x:v>662430.2009595007</x:v>
      </x:c>
      <x:c r="N29" s="42" t="n">
        <x:f>SUMIFS(Inputs_Counterparties!$D$4:$D$15,Inputs_Counterparties!$A$4:$A$15,A29)</x:f>
        <x:v>0.5</x:v>
      </x:c>
      <x:c r="O29" s="43" t="n">
        <x:f>M29*N29</x:f>
        <x:v>331215.10047975037</x:v>
      </x:c>
      <x:c r="P29" s="43" t="n">
        <x:v>0</x:v>
      </x:c>
      <x:c r="Q29" s="43" t="n">
        <x:v>969422.9613335753</x:v>
      </x:c>
      <x:c r="R29" s="41" t="n">
        <x:v>0.4880887374545816</x:v>
      </x:c>
      <x:c r="S29" s="43" t="n">
        <x:v>473164.4292567864</x:v>
      </x:c>
      <x:c r="T29" s="43" t="n">
        <x:v>662430.200959501</x:v>
      </x:c>
      <x:c r="U29" s="43" t="n">
        <x:v>331215.1004797505</x:v>
      </x:c>
      <x:c r="V29" s="43" t="n">
        <x:f>M29-T29</x:f>
        <x:v>-2.3283064365386963e-10</x:v>
      </x:c>
      <x:c r="W29" s="27" t="str">
        <x:f>IF(ABS(V29)&lt;0.01,"OK","CHECK")</x:f>
        <x:v>OK</x:v>
      </x:c>
    </x:row>
    <x:row r="30">
      <x:c r="A30" s="27" t="str">
        <x:v>IND_BROKER_001</x:v>
      </x:c>
      <x:c r="B30" s="27" t="str">
        <x:v>3276</x:v>
      </x:c>
      <x:c r="C30" s="43" t="n">
        <x:f>SUMIFS(Trade_Calc!$AB$4:$AB$301,Trade_Calc!$B$4:$B$301,A30,Trade_Calc!$C$4:$C$301,B30)</x:f>
        <x:v>1694394</x:v>
      </x:c>
      <x:c r="D30" s="27" t="str">
        <x:f>IF(COUNTIFS(Trade_Calc!$B$4:$B$301,A30,Trade_Calc!$C$4:$C$301,B30,Trade_Calc!$AJ$4:$AJ$301,"M")&gt;0,"M","U")</x:f>
        <x:v>M</x:v>
      </x:c>
      <x:c r="E30" s="43" t="n">
        <x:f>SUMIFS(Inputs_Collateral!$D$4:$D$98,Inputs_Collateral!$A$4:$A$98,A30,Inputs_Collateral!$B$4:$B$98,B30)</x:f>
        <x:v>15395000</x:v>
      </x:c>
      <x:c r="F30" s="43" t="n">
        <x:f>SUMIFS(Inputs_Collateral!$E$4:$E$98,Inputs_Collateral!$A$4:$A$98,A30,Inputs_Collateral!$B$4:$B$98,B30)</x:f>
        <x:v>3079000</x:v>
      </x:c>
      <x:c r="G30" s="43" t="n">
        <x:f>SUMIFS(Inputs_Collateral!$F$4:$F$98,Inputs_Collateral!$A$4:$A$98,A30,Inputs_Collateral!$B$4:$B$98,B30)</x:f>
        <x:v>307900</x:v>
      </x:c>
      <x:c r="H30" s="43" t="n">
        <x:f>SUMIFS(Inputs_Collateral!$G$4:$G$98,Inputs_Collateral!$A$4:$A$98,A30,Inputs_Collateral!$B$4:$B$98,B30)</x:f>
        <x:v>6158000</x:v>
      </x:c>
      <x:c r="I30" s="43" t="n">
        <x:f>IF(D30="M",MAX(C30-E30,F30+G30-H30,0),MAX(C30-E30,0))</x:f>
        <x:v>0</x:v>
      </x:c>
      <x:c r="J30" s="43" t="n">
        <x:f>SUMIFS(Asset_Class_AddOn!$D$4:$D$100,Asset_Class_AddOn!$A$4:$A$100,A30,Asset_Class_AddOn!$B$4:$B$100,B30)</x:f>
        <x:v>16000744.40789119</x:v>
      </x:c>
      <x:c r="K30" s="41" t="n">
        <x:f>IF(J30&lt;=0,1,MIN(1,Parameters!$B$5+(1-Parameters!$B$5)*EXP((C30-E30)/(2*(1-Parameters!$B$5)*J30))))</x:f>
        <x:v>0.6553489827260599</x:v>
      </x:c>
      <x:c r="L30" s="43" t="n">
        <x:f>K30*J30</x:f>
        <x:v>10486071.570571182</x:v>
      </x:c>
      <x:c r="M30" s="43" t="n">
        <x:f>Parameters!$B$4*(I30+L30)</x:f>
        <x:v>14680500.198799655</x:v>
      </x:c>
      <x:c r="N30" s="42" t="n">
        <x:f>SUMIFS(Inputs_Counterparties!$D$4:$D$15,Inputs_Counterparties!$A$4:$A$15,A30)</x:f>
        <x:v>0.5</x:v>
      </x:c>
      <x:c r="O30" s="43" t="n">
        <x:f>M30*N30</x:f>
        <x:v>7340250.099399827</x:v>
      </x:c>
      <x:c r="P30" s="43" t="n">
        <x:v>0</x:v>
      </x:c>
      <x:c r="Q30" s="43" t="n">
        <x:v>16000744.407891192</x:v>
      </x:c>
      <x:c r="R30" s="41" t="n">
        <x:v>0.65534898272606</x:v>
      </x:c>
      <x:c r="S30" s="43" t="n">
        <x:v>10486071.570571186</x:v>
      </x:c>
      <x:c r="T30" s="43" t="n">
        <x:v>14680500.198799659</x:v>
      </x:c>
      <x:c r="U30" s="43" t="n">
        <x:v>7340250.099399829</x:v>
      </x:c>
      <x:c r="V30" s="43" t="n">
        <x:f>M30-T30</x:f>
        <x:v>-3.725290298461914e-9</x:v>
      </x:c>
      <x:c r="W30" s="27" t="str">
        <x:f>IF(ABS(V30)&lt;0.01,"OK","CHECK")</x:f>
        <x:v>OK</x:v>
      </x:c>
    </x:row>
    <x:row r="31">
      <x:c r="A31" s="27" t="str">
        <x:v>IND_BROKER_001</x:v>
      </x:c>
      <x:c r="B31" s="27" t="str">
        <x:v>3332</x:v>
      </x:c>
      <x:c r="C31" s="43" t="n">
        <x:f>SUMIFS(Trade_Calc!$AB$4:$AB$301,Trade_Calc!$B$4:$B$301,A31,Trade_Calc!$C$4:$C$301,B31)</x:f>
        <x:v>-2481122.4</x:v>
      </x:c>
      <x:c r="D31" s="27" t="str">
        <x:f>IF(COUNTIFS(Trade_Calc!$B$4:$B$301,A31,Trade_Calc!$C$4:$C$301,B31,Trade_Calc!$AJ$4:$AJ$301,"M")&gt;0,"M","U")</x:f>
        <x:v>M</x:v>
      </x:c>
      <x:c r="E31" s="43" t="n">
        <x:f>SUMIFS(Inputs_Collateral!$D$4:$D$98,Inputs_Collateral!$A$4:$A$98,A31,Inputs_Collateral!$B$4:$B$98,B31)</x:f>
        <x:v>7224000</x:v>
      </x:c>
      <x:c r="F31" s="43" t="n">
        <x:f>SUMIFS(Inputs_Collateral!$E$4:$E$98,Inputs_Collateral!$A$4:$A$98,A31,Inputs_Collateral!$B$4:$B$98,B31)</x:f>
        <x:v>1806000</x:v>
      </x:c>
      <x:c r="G31" s="43" t="n">
        <x:f>SUMIFS(Inputs_Collateral!$F$4:$F$98,Inputs_Collateral!$A$4:$A$98,A31,Inputs_Collateral!$B$4:$B$98,B31)</x:f>
        <x:v>361200</x:v>
      </x:c>
      <x:c r="H31" s="43" t="n">
        <x:f>SUMIFS(Inputs_Collateral!$G$4:$G$98,Inputs_Collateral!$A$4:$A$98,A31,Inputs_Collateral!$B$4:$B$98,B31)</x:f>
        <x:v>3612000</x:v>
      </x:c>
      <x:c r="I31" s="43" t="n">
        <x:f>IF(D31="M",MAX(C31-E31,F31+G31-H31,0),MAX(C31-E31,0))</x:f>
        <x:v>0</x:v>
      </x:c>
      <x:c r="J31" s="43" t="n">
        <x:f>SUMIFS(Asset_Class_AddOn!$D$4:$D$100,Asset_Class_AddOn!$A$4:$A$100,A31,Asset_Class_AddOn!$B$4:$B$100,B31)</x:f>
        <x:v>560482.2809820215</x:v>
      </x:c>
      <x:c r="K31" s="41" t="n">
        <x:f>IF(J31&lt;=0,1,MIN(1,Parameters!$B$5+(1-Parameters!$B$5)*EXP((C31-E31)/(2*(1-Parameters!$B$5)*J31))))</x:f>
        <x:v>0.050104659301071004</x:v>
      </x:c>
      <x:c r="L31" s="43" t="n">
        <x:f>K31*J31</x:f>
        <x:v>28082.773732891335</x:v>
      </x:c>
      <x:c r="M31" s="43" t="n">
        <x:f>Parameters!$B$4*(I31+L31)</x:f>
        <x:v>39315.88322604787</x:v>
      </x:c>
      <x:c r="N31" s="42" t="n">
        <x:f>SUMIFS(Inputs_Counterparties!$D$4:$D$15,Inputs_Counterparties!$A$4:$A$15,A31)</x:f>
        <x:v>0.5</x:v>
      </x:c>
      <x:c r="O31" s="43" t="n">
        <x:f>M31*N31</x:f>
        <x:v>19657.941613023933</x:v>
      </x:c>
      <x:c r="P31" s="43" t="n">
        <x:v>0</x:v>
      </x:c>
      <x:c r="Q31" s="43" t="n">
        <x:v>560482.2809820212</x:v>
      </x:c>
      <x:c r="R31" s="41" t="n">
        <x:v>0.050104659301071004</x:v>
      </x:c>
      <x:c r="S31" s="43" t="n">
        <x:v>28082.773732891324</x:v>
      </x:c>
      <x:c r="T31" s="43" t="n">
        <x:v>39315.88322604785</x:v>
      </x:c>
      <x:c r="U31" s="43" t="n">
        <x:v>19657.941613023926</x:v>
      </x:c>
      <x:c r="V31" s="43" t="n">
        <x:f>M31-T31</x:f>
        <x:v>1.4551915228366852e-11</x:v>
      </x:c>
      <x:c r="W31" s="27" t="str">
        <x:f>IF(ABS(V31)&lt;0.01,"OK","CHECK")</x:f>
        <x:v>OK</x:v>
      </x:c>
    </x:row>
    <x:row r="32">
      <x:c r="A32" s="27" t="str">
        <x:v>IND_BROKER_001</x:v>
      </x:c>
      <x:c r="B32" s="27" t="str">
        <x:v>3384</x:v>
      </x:c>
      <x:c r="C32" s="43" t="n">
        <x:f>SUMIFS(Trade_Calc!$AB$4:$AB$301,Trade_Calc!$B$4:$B$301,A32,Trade_Calc!$C$4:$C$301,B32)</x:f>
        <x:v>-687152.5</x:v>
      </x:c>
      <x:c r="D32" s="27" t="str">
        <x:f>IF(COUNTIFS(Trade_Calc!$B$4:$B$301,A32,Trade_Calc!$C$4:$C$301,B32,Trade_Calc!$AJ$4:$AJ$301,"M")&gt;0,"M","U")</x:f>
        <x:v>U</x:v>
      </x:c>
      <x:c r="E32" s="43" t="n">
        <x:f>SUMIFS(Inputs_Collateral!$D$4:$D$98,Inputs_Collateral!$A$4:$A$98,A32,Inputs_Collateral!$B$4:$B$98,B32)</x:f>
        <x:v>0</x:v>
      </x:c>
      <x:c r="F32" s="43" t="n">
        <x:f>SUMIFS(Inputs_Collateral!$E$4:$E$98,Inputs_Collateral!$A$4:$A$98,A32,Inputs_Collateral!$B$4:$B$98,B32)</x:f>
        <x:v>0</x:v>
      </x:c>
      <x:c r="G32" s="43" t="n">
        <x:f>SUMIFS(Inputs_Collateral!$F$4:$F$98,Inputs_Collateral!$A$4:$A$98,A32,Inputs_Collateral!$B$4:$B$98,B32)</x:f>
        <x:v>0</x:v>
      </x:c>
      <x:c r="H32" s="43" t="n">
        <x:f>SUMIFS(Inputs_Collateral!$G$4:$G$98,Inputs_Collateral!$A$4:$A$98,A32,Inputs_Collateral!$B$4:$B$98,B32)</x:f>
        <x:v>0</x:v>
      </x:c>
      <x:c r="I32" s="43" t="n">
        <x:f>IF(D32="M",MAX(C32-E32,F32+G32-H32,0),MAX(C32-E32,0))</x:f>
        <x:v>0</x:v>
      </x:c>
      <x:c r="J32" s="43" t="n">
        <x:f>SUMIFS(Asset_Class_AddOn!$D$4:$D$100,Asset_Class_AddOn!$A$4:$A$100,A32,Asset_Class_AddOn!$B$4:$B$100,B32)</x:f>
        <x:v>1454589.157108885</x:v>
      </x:c>
      <x:c r="K32" s="41" t="n">
        <x:f>IF(J32&lt;=0,1,MIN(1,Parameters!$B$5+(1-Parameters!$B$5)*EXP((C32-E32)/(2*(1-Parameters!$B$5)*J32))))</x:f>
        <x:v>0.7908726496242695</x:v>
      </x:c>
      <x:c r="L32" s="43" t="n">
        <x:f>K32*J32</x:f>
        <x:v>1150394.7807974368</x:v>
      </x:c>
      <x:c r="M32" s="43" t="n">
        <x:f>Parameters!$B$4*(I32+L32)</x:f>
        <x:v>1610552.6931164116</x:v>
      </x:c>
      <x:c r="N32" s="42" t="n">
        <x:f>SUMIFS(Inputs_Counterparties!$D$4:$D$15,Inputs_Counterparties!$A$4:$A$15,A32)</x:f>
        <x:v>0.5</x:v>
      </x:c>
      <x:c r="O32" s="43" t="n">
        <x:f>M32*N32</x:f>
        <x:v>805276.3465582058</x:v>
      </x:c>
      <x:c r="P32" s="43" t="n">
        <x:v>0</x:v>
      </x:c>
      <x:c r="Q32" s="43" t="n">
        <x:v>1454589.157108885</x:v>
      </x:c>
      <x:c r="R32" s="41" t="n">
        <x:v>0.7908726496242694</x:v>
      </x:c>
      <x:c r="S32" s="43" t="n">
        <x:v>1150394.7807974366</x:v>
      </x:c>
      <x:c r="T32" s="43" t="n">
        <x:v>1610552.693116411</x:v>
      </x:c>
      <x:c r="U32" s="43" t="n">
        <x:v>805276.3465582056</x:v>
      </x:c>
      <x:c r="V32" s="43" t="n">
        <x:f>M32-T32</x:f>
        <x:v>4.656612873077393e-10</x:v>
      </x:c>
      <x:c r="W32" s="27" t="str">
        <x:f>IF(ABS(V32)&lt;0.01,"OK","CHECK")</x:f>
        <x:v>OK</x:v>
      </x:c>
    </x:row>
    <x:row r="33">
      <x:c r="A33" s="27" t="str">
        <x:v>IND_CLEARING_MEMBER_001</x:v>
      </x:c>
      <x:c r="B33" s="27" t="str">
        <x:v>3020</x:v>
      </x:c>
      <x:c r="C33" s="43" t="n">
        <x:f>SUMIFS(Trade_Calc!$AB$4:$AB$301,Trade_Calc!$B$4:$B$301,A33,Trade_Calc!$C$4:$C$301,B33)</x:f>
        <x:v>1403822.4</x:v>
      </x:c>
      <x:c r="D33" s="27" t="str">
        <x:f>IF(COUNTIFS(Trade_Calc!$B$4:$B$301,A33,Trade_Calc!$C$4:$C$301,B33,Trade_Calc!$AJ$4:$AJ$301,"M")&gt;0,"M","U")</x:f>
        <x:v>M</x:v>
      </x:c>
      <x:c r="E33" s="43" t="n">
        <x:f>SUMIFS(Inputs_Collateral!$D$4:$D$98,Inputs_Collateral!$A$4:$A$98,A33,Inputs_Collateral!$B$4:$B$98,B33)</x:f>
        <x:v>38912000</x:v>
      </x:c>
      <x:c r="F33" s="43" t="n">
        <x:f>SUMIFS(Inputs_Collateral!$E$4:$E$98,Inputs_Collateral!$A$4:$A$98,A33,Inputs_Collateral!$B$4:$B$98,B33)</x:f>
        <x:v>4864000</x:v>
      </x:c>
      <x:c r="G33" s="43" t="n">
        <x:f>SUMIFS(Inputs_Collateral!$F$4:$F$98,Inputs_Collateral!$A$4:$A$98,A33,Inputs_Collateral!$B$4:$B$98,B33)</x:f>
        <x:v>1945600</x:v>
      </x:c>
      <x:c r="H33" s="43" t="n">
        <x:f>SUMIFS(Inputs_Collateral!$G$4:$G$98,Inputs_Collateral!$A$4:$A$98,A33,Inputs_Collateral!$B$4:$B$98,B33)</x:f>
        <x:v>19456000</x:v>
      </x:c>
      <x:c r="I33" s="43" t="n">
        <x:f>IF(D33="M",MAX(C33-E33,F33+G33-H33,0),MAX(C33-E33,0))</x:f>
        <x:v>0</x:v>
      </x:c>
      <x:c r="J33" s="43" t="n">
        <x:f>SUMIFS(Asset_Class_AddOn!$D$4:$D$100,Asset_Class_AddOn!$A$4:$A$100,A33,Asset_Class_AddOn!$B$4:$B$100,B33)</x:f>
        <x:v>18552913.463673744</x:v>
      </x:c>
      <x:c r="K33" s="41" t="n">
        <x:f>IF(J33&lt;=0,1,MIN(1,Parameters!$B$5+(1-Parameters!$B$5)*EXP((C33-E33)/(2*(1-Parameters!$B$5)*J33))))</x:f>
        <x:v>0.37780416612856393</x:v>
      </x:c>
      <x:c r="L33" s="43" t="n">
        <x:f>K33*J33</x:f>
        <x:v>7009368.000398666</x:v>
      </x:c>
      <x:c r="M33" s="43" t="n">
        <x:f>Parameters!$B$4*(I33+L33)</x:f>
        <x:v>9813115.200558132</x:v>
      </x:c>
      <x:c r="N33" s="42" t="n">
        <x:f>SUMIFS(Inputs_Counterparties!$D$4:$D$15,Inputs_Counterparties!$A$4:$A$15,A33)</x:f>
        <x:v>0.5</x:v>
      </x:c>
      <x:c r="O33" s="43" t="n">
        <x:f>M33*N33</x:f>
        <x:v>4906557.600279066</x:v>
      </x:c>
      <x:c r="P33" s="43" t="n">
        <x:v>0</x:v>
      </x:c>
      <x:c r="Q33" s="43" t="n">
        <x:v>18552913.463673744</x:v>
      </x:c>
      <x:c r="R33" s="41" t="n">
        <x:v>0.377804166128564</x:v>
      </x:c>
      <x:c r="S33" s="43" t="n">
        <x:v>7009368.000398667</x:v>
      </x:c>
      <x:c r="T33" s="43" t="n">
        <x:v>9813115.200558133</x:v>
      </x:c>
      <x:c r="U33" s="43" t="n">
        <x:v>4906557.600279067</x:v>
      </x:c>
      <x:c r="V33" s="43" t="n">
        <x:f>M33-T33</x:f>
        <x:v>-1.862645149230957e-9</x:v>
      </x:c>
      <x:c r="W33" s="27" t="str">
        <x:f>IF(ABS(V33)&lt;0.01,"OK","CHECK")</x:f>
        <x:v>OK</x:v>
      </x:c>
    </x:row>
    <x:row r="34">
      <x:c r="A34" s="27" t="str">
        <x:v>IND_CLEARING_MEMBER_001</x:v>
      </x:c>
      <x:c r="B34" s="27" t="str">
        <x:v>3108</x:v>
      </x:c>
      <x:c r="C34" s="43" t="n">
        <x:f>SUMIFS(Trade_Calc!$AB$4:$AB$301,Trade_Calc!$B$4:$B$301,A34,Trade_Calc!$C$4:$C$301,B34)</x:f>
        <x:v>-789748.5</x:v>
      </x:c>
      <x:c r="D34" s="27" t="str">
        <x:f>IF(COUNTIFS(Trade_Calc!$B$4:$B$301,A34,Trade_Calc!$C$4:$C$301,B34,Trade_Calc!$AJ$4:$AJ$301,"M")&gt;0,"M","U")</x:f>
        <x:v>M</x:v>
      </x:c>
      <x:c r="E34" s="43" t="n">
        <x:f>SUMIFS(Inputs_Collateral!$D$4:$D$98,Inputs_Collateral!$A$4:$A$98,A34,Inputs_Collateral!$B$4:$B$98,B34)</x:f>
        <x:v>15640000</x:v>
      </x:c>
      <x:c r="F34" s="43" t="n">
        <x:f>SUMIFS(Inputs_Collateral!$E$4:$E$98,Inputs_Collateral!$A$4:$A$98,A34,Inputs_Collateral!$B$4:$B$98,B34)</x:f>
        <x:v>391000</x:v>
      </x:c>
      <x:c r="G34" s="43" t="n">
        <x:f>SUMIFS(Inputs_Collateral!$F$4:$F$98,Inputs_Collateral!$A$4:$A$98,A34,Inputs_Collateral!$B$4:$B$98,B34)</x:f>
        <x:v>156400</x:v>
      </x:c>
      <x:c r="H34" s="43" t="n">
        <x:f>SUMIFS(Inputs_Collateral!$G$4:$G$98,Inputs_Collateral!$A$4:$A$98,A34,Inputs_Collateral!$B$4:$B$98,B34)</x:f>
        <x:v>1564000</x:v>
      </x:c>
      <x:c r="I34" s="43" t="n">
        <x:f>IF(D34="M",MAX(C34-E34,F34+G34-H34,0),MAX(C34-E34,0))</x:f>
        <x:v>0</x:v>
      </x:c>
      <x:c r="J34" s="43" t="n">
        <x:f>SUMIFS(Asset_Class_AddOn!$D$4:$D$100,Asset_Class_AddOn!$A$4:$A$100,A34,Asset_Class_AddOn!$B$4:$B$100,B34)</x:f>
        <x:v>7669750.998970759</x:v>
      </x:c>
      <x:c r="K34" s="41" t="n">
        <x:f>IF(J34&lt;=0,1,MIN(1,Parameters!$B$5+(1-Parameters!$B$5)*EXP((C34-E34)/(2*(1-Parameters!$B$5)*J34))))</x:f>
        <x:v>0.3576661315296329</x:v>
      </x:c>
      <x:c r="L34" s="43" t="n">
        <x:f>K34*J34</x:f>
        <x:v>2743210.1695974087</x:v>
      </x:c>
      <x:c r="M34" s="43" t="n">
        <x:f>Parameters!$B$4*(I34+L34)</x:f>
        <x:v>3840494.237436372</x:v>
      </x:c>
      <x:c r="N34" s="42" t="n">
        <x:f>SUMIFS(Inputs_Counterparties!$D$4:$D$15,Inputs_Counterparties!$A$4:$A$15,A34)</x:f>
        <x:v>0.5</x:v>
      </x:c>
      <x:c r="O34" s="43" t="n">
        <x:f>M34*N34</x:f>
        <x:v>1920247.118718186</x:v>
      </x:c>
      <x:c r="P34" s="43" t="n">
        <x:v>0</x:v>
      </x:c>
      <x:c r="Q34" s="43" t="n">
        <x:v>7669750.998970759</x:v>
      </x:c>
      <x:c r="R34" s="41" t="n">
        <x:v>0.3576661315296329</x:v>
      </x:c>
      <x:c r="S34" s="43" t="n">
        <x:v>2743210.1695974087</x:v>
      </x:c>
      <x:c r="T34" s="43" t="n">
        <x:v>3840494.237436372</x:v>
      </x:c>
      <x:c r="U34" s="43" t="n">
        <x:v>1920247.118718186</x:v>
      </x:c>
      <x:c r="V34" s="43" t="n">
        <x:f>M34-T34</x:f>
        <x:v>0</x:v>
      </x:c>
      <x:c r="W34" s="27" t="str">
        <x:f>IF(ABS(V34)&lt;0.01,"OK","CHECK")</x:f>
        <x:v>OK</x:v>
      </x:c>
    </x:row>
    <x:row r="35">
      <x:c r="A35" s="27" t="str">
        <x:v>IND_CLEARING_MEMBER_001</x:v>
      </x:c>
      <x:c r="B35" s="27" t="str">
        <x:v>3116</x:v>
      </x:c>
      <x:c r="C35" s="43" t="n">
        <x:f>SUMIFS(Trade_Calc!$AB$4:$AB$301,Trade_Calc!$B$4:$B$301,A35,Trade_Calc!$C$4:$C$301,B35)</x:f>
        <x:v>-1632000</x:v>
      </x:c>
      <x:c r="D35" s="27" t="str">
        <x:f>IF(COUNTIFS(Trade_Calc!$B$4:$B$301,A35,Trade_Calc!$C$4:$C$301,B35,Trade_Calc!$AJ$4:$AJ$301,"M")&gt;0,"M","U")</x:f>
        <x:v>M</x:v>
      </x:c>
      <x:c r="E35" s="43" t="n">
        <x:f>SUMIFS(Inputs_Collateral!$D$4:$D$98,Inputs_Collateral!$A$4:$A$98,A35,Inputs_Collateral!$B$4:$B$98,B35)</x:f>
        <x:v>5100000</x:v>
      </x:c>
      <x:c r="F35" s="43" t="n">
        <x:f>SUMIFS(Inputs_Collateral!$E$4:$E$98,Inputs_Collateral!$A$4:$A$98,A35,Inputs_Collateral!$B$4:$B$98,B35)</x:f>
        <x:v>255000</x:v>
      </x:c>
      <x:c r="G35" s="43" t="n">
        <x:f>SUMIFS(Inputs_Collateral!$F$4:$F$98,Inputs_Collateral!$A$4:$A$98,A35,Inputs_Collateral!$B$4:$B$98,B35)</x:f>
        <x:v>102000</x:v>
      </x:c>
      <x:c r="H35" s="43" t="n">
        <x:f>SUMIFS(Inputs_Collateral!$G$4:$G$98,Inputs_Collateral!$A$4:$A$98,A35,Inputs_Collateral!$B$4:$B$98,B35)</x:f>
        <x:v>1020000</x:v>
      </x:c>
      <x:c r="I35" s="43" t="n">
        <x:f>IF(D35="M",MAX(C35-E35,F35+G35-H35,0),MAX(C35-E35,0))</x:f>
        <x:v>0</x:v>
      </x:c>
      <x:c r="J35" s="43" t="n">
        <x:f>SUMIFS(Asset_Class_AddOn!$D$4:$D$100,Asset_Class_AddOn!$A$4:$A$100,A35,Asset_Class_AddOn!$B$4:$B$100,B35)</x:f>
        <x:v>918128.9373543155</x:v>
      </x:c>
      <x:c r="K35" s="41" t="n">
        <x:f>IF(J35&lt;=0,1,MIN(1,Parameters!$B$5+(1-Parameters!$B$5)*EXP((C35-E35)/(2*(1-Parameters!$B$5)*J35))))</x:f>
        <x:v>0.07003247869731294</x:v>
      </x:c>
      <x:c r="L35" s="43" t="n">
        <x:f>K35*J35</x:f>
        <x:v>64298.845246652665</x:v>
      </x:c>
      <x:c r="M35" s="43" t="n">
        <x:f>Parameters!$B$4*(I35+L35)</x:f>
        <x:v>90018.38334531372</x:v>
      </x:c>
      <x:c r="N35" s="42" t="n">
        <x:f>SUMIFS(Inputs_Counterparties!$D$4:$D$15,Inputs_Counterparties!$A$4:$A$15,A35)</x:f>
        <x:v>0.5</x:v>
      </x:c>
      <x:c r="O35" s="43" t="n">
        <x:f>M35*N35</x:f>
        <x:v>45009.19167265686</x:v>
      </x:c>
      <x:c r="P35" s="43" t="n">
        <x:v>0</x:v>
      </x:c>
      <x:c r="Q35" s="43" t="n">
        <x:v>918128.9373543155</x:v>
      </x:c>
      <x:c r="R35" s="41" t="n">
        <x:v>0.07003247869731294</x:v>
      </x:c>
      <x:c r="S35" s="43" t="n">
        <x:v>64298.845246652665</x:v>
      </x:c>
      <x:c r="T35" s="43" t="n">
        <x:v>90018.38334531372</x:v>
      </x:c>
      <x:c r="U35" s="43" t="n">
        <x:v>45009.19167265686</x:v>
      </x:c>
      <x:c r="V35" s="43" t="n">
        <x:f>M35-T35</x:f>
        <x:v>0</x:v>
      </x:c>
      <x:c r="W35" s="27" t="str">
        <x:f>IF(ABS(V35)&lt;0.01,"OK","CHECK")</x:f>
        <x:v>OK</x:v>
      </x:c>
    </x:row>
    <x:row r="36">
      <x:c r="A36" s="27" t="str">
        <x:v>IND_CLEARING_MEMBER_001</x:v>
      </x:c>
      <x:c r="B36" s="27" t="str">
        <x:v>3161</x:v>
      </x:c>
      <x:c r="C36" s="43" t="n">
        <x:f>SUMIFS(Trade_Calc!$AB$4:$AB$301,Trade_Calc!$B$4:$B$301,A36,Trade_Calc!$C$4:$C$301,B36)</x:f>
        <x:v>490023</x:v>
      </x:c>
      <x:c r="D36" s="27" t="str">
        <x:f>IF(COUNTIFS(Trade_Calc!$B$4:$B$301,A36,Trade_Calc!$C$4:$C$301,B36,Trade_Calc!$AJ$4:$AJ$301,"M")&gt;0,"M","U")</x:f>
        <x:v>U</x:v>
      </x:c>
      <x:c r="E36" s="43" t="n">
        <x:f>SUMIFS(Inputs_Collateral!$D$4:$D$98,Inputs_Collateral!$A$4:$A$98,A36,Inputs_Collateral!$B$4:$B$98,B36)</x:f>
        <x:v>0</x:v>
      </x:c>
      <x:c r="F36" s="43" t="n">
        <x:f>SUMIFS(Inputs_Collateral!$E$4:$E$98,Inputs_Collateral!$A$4:$A$98,A36,Inputs_Collateral!$B$4:$B$98,B36)</x:f>
        <x:v>0</x:v>
      </x:c>
      <x:c r="G36" s="43" t="n">
        <x:f>SUMIFS(Inputs_Collateral!$F$4:$F$98,Inputs_Collateral!$A$4:$A$98,A36,Inputs_Collateral!$B$4:$B$98,B36)</x:f>
        <x:v>0</x:v>
      </x:c>
      <x:c r="H36" s="43" t="n">
        <x:f>SUMIFS(Inputs_Collateral!$G$4:$G$98,Inputs_Collateral!$A$4:$A$98,A36,Inputs_Collateral!$B$4:$B$98,B36)</x:f>
        <x:v>0</x:v>
      </x:c>
      <x:c r="I36" s="43" t="n">
        <x:f>IF(D36="M",MAX(C36-E36,F36+G36-H36,0),MAX(C36-E36,0))</x:f>
        <x:v>490023</x:v>
      </x:c>
      <x:c r="J36" s="43" t="n">
        <x:f>SUMIFS(Asset_Class_AddOn!$D$4:$D$100,Asset_Class_AddOn!$A$4:$A$100,A36,Asset_Class_AddOn!$B$4:$B$100,B36)</x:f>
        <x:v>15305903.0927465</x:v>
      </x:c>
      <x:c r="K36" s="41" t="n">
        <x:f>IF(J36&lt;=0,1,MIN(1,Parameters!$B$5+(1-Parameters!$B$5)*EXP((C36-E36)/(2*(1-Parameters!$B$5)*J36))))</x:f>
        <x:v>1</x:v>
      </x:c>
      <x:c r="L36" s="43" t="n">
        <x:f>K36*J36</x:f>
        <x:v>15305903.0927465</x:v>
      </x:c>
      <x:c r="M36" s="43" t="n">
        <x:f>Parameters!$B$4*(I36+L36)</x:f>
        <x:v>22114296.5298451</x:v>
      </x:c>
      <x:c r="N36" s="42" t="n">
        <x:f>SUMIFS(Inputs_Counterparties!$D$4:$D$15,Inputs_Counterparties!$A$4:$A$15,A36)</x:f>
        <x:v>0.5</x:v>
      </x:c>
      <x:c r="O36" s="43" t="n">
        <x:f>M36*N36</x:f>
        <x:v>11057148.26492255</x:v>
      </x:c>
      <x:c r="P36" s="43" t="n">
        <x:v>490023</x:v>
      </x:c>
      <x:c r="Q36" s="43" t="n">
        <x:v>15305903.0927465</x:v>
      </x:c>
      <x:c r="R36" s="41" t="n">
        <x:v>1</x:v>
      </x:c>
      <x:c r="S36" s="43" t="n">
        <x:v>15305903.0927465</x:v>
      </x:c>
      <x:c r="T36" s="43" t="n">
        <x:v>22114296.5298451</x:v>
      </x:c>
      <x:c r="U36" s="43" t="n">
        <x:v>11057148.26492255</x:v>
      </x:c>
      <x:c r="V36" s="43" t="n">
        <x:f>M36-T36</x:f>
        <x:v>0</x:v>
      </x:c>
      <x:c r="W36" s="27" t="str">
        <x:f>IF(ABS(V36)&lt;0.01,"OK","CHECK")</x:f>
        <x:v>OK</x:v>
      </x:c>
    </x:row>
    <x:row r="37">
      <x:c r="A37" s="27" t="str">
        <x:v>IND_CLEARING_MEMBER_001</x:v>
      </x:c>
      <x:c r="B37" s="27" t="str">
        <x:v>3186</x:v>
      </x:c>
      <x:c r="C37" s="43" t="n">
        <x:f>SUMIFS(Trade_Calc!$AB$4:$AB$301,Trade_Calc!$B$4:$B$301,A37,Trade_Calc!$C$4:$C$301,B37)</x:f>
        <x:v>547615.5</x:v>
      </x:c>
      <x:c r="D37" s="27" t="str">
        <x:f>IF(COUNTIFS(Trade_Calc!$B$4:$B$301,A37,Trade_Calc!$C$4:$C$301,B37,Trade_Calc!$AJ$4:$AJ$301,"M")&gt;0,"M","U")</x:f>
        <x:v>U</x:v>
      </x:c>
      <x:c r="E37" s="43" t="n">
        <x:f>SUMIFS(Inputs_Collateral!$D$4:$D$98,Inputs_Collateral!$A$4:$A$98,A37,Inputs_Collateral!$B$4:$B$98,B37)</x:f>
        <x:v>0</x:v>
      </x:c>
      <x:c r="F37" s="43" t="n">
        <x:f>SUMIFS(Inputs_Collateral!$E$4:$E$98,Inputs_Collateral!$A$4:$A$98,A37,Inputs_Collateral!$B$4:$B$98,B37)</x:f>
        <x:v>0</x:v>
      </x:c>
      <x:c r="G37" s="43" t="n">
        <x:f>SUMIFS(Inputs_Collateral!$F$4:$F$98,Inputs_Collateral!$A$4:$A$98,A37,Inputs_Collateral!$B$4:$B$98,B37)</x:f>
        <x:v>0</x:v>
      </x:c>
      <x:c r="H37" s="43" t="n">
        <x:f>SUMIFS(Inputs_Collateral!$G$4:$G$98,Inputs_Collateral!$A$4:$A$98,A37,Inputs_Collateral!$B$4:$B$98,B37)</x:f>
        <x:v>0</x:v>
      </x:c>
      <x:c r="I37" s="43" t="n">
        <x:f>IF(D37="M",MAX(C37-E37,F37+G37-H37,0),MAX(C37-E37,0))</x:f>
        <x:v>547615.5</x:v>
      </x:c>
      <x:c r="J37" s="43" t="n">
        <x:f>SUMIFS(Asset_Class_AddOn!$D$4:$D$100,Asset_Class_AddOn!$A$4:$A$100,A37,Asset_Class_AddOn!$B$4:$B$100,B37)</x:f>
        <x:v>5753829.434618188</x:v>
      </x:c>
      <x:c r="K37" s="41" t="n">
        <x:f>IF(J37&lt;=0,1,MIN(1,Parameters!$B$5+(1-Parameters!$B$5)*EXP((C37-E37)/(2*(1-Parameters!$B$5)*J37))))</x:f>
        <x:v>1</x:v>
      </x:c>
      <x:c r="L37" s="43" t="n">
        <x:f>K37*J37</x:f>
        <x:v>5753829.434618188</x:v>
      </x:c>
      <x:c r="M37" s="43" t="n">
        <x:f>Parameters!$B$4*(I37+L37)</x:f>
        <x:v>8822022.908465462</x:v>
      </x:c>
      <x:c r="N37" s="42" t="n">
        <x:f>SUMIFS(Inputs_Counterparties!$D$4:$D$15,Inputs_Counterparties!$A$4:$A$15,A37)</x:f>
        <x:v>0.5</x:v>
      </x:c>
      <x:c r="O37" s="43" t="n">
        <x:f>M37*N37</x:f>
        <x:v>4411011.454232731</x:v>
      </x:c>
      <x:c r="P37" s="43" t="n">
        <x:v>547615.5</x:v>
      </x:c>
      <x:c r="Q37" s="43" t="n">
        <x:v>5753829.434618186</x:v>
      </x:c>
      <x:c r="R37" s="41" t="n">
        <x:v>1</x:v>
      </x:c>
      <x:c r="S37" s="43" t="n">
        <x:v>5753829.434618186</x:v>
      </x:c>
      <x:c r="T37" s="43" t="n">
        <x:v>8822022.90846546</x:v>
      </x:c>
      <x:c r="U37" s="43" t="n">
        <x:v>4411011.45423273</x:v>
      </x:c>
      <x:c r="V37" s="43" t="n">
        <x:f>M37-T37</x:f>
        <x:v>1.862645149230957e-9</x:v>
      </x:c>
      <x:c r="W37" s="27" t="str">
        <x:f>IF(ABS(V37)&lt;0.01,"OK","CHECK")</x:f>
        <x:v>OK</x:v>
      </x:c>
    </x:row>
    <x:row r="38">
      <x:c r="A38" s="27" t="str">
        <x:v>IND_CLEARING_MEMBER_001</x:v>
      </x:c>
      <x:c r="B38" s="27" t="str">
        <x:v>3206</x:v>
      </x:c>
      <x:c r="C38" s="43" t="n">
        <x:f>SUMIFS(Trade_Calc!$AB$4:$AB$301,Trade_Calc!$B$4:$B$301,A38,Trade_Calc!$C$4:$C$301,B38)</x:f>
        <x:v>338060</x:v>
      </x:c>
      <x:c r="D38" s="27" t="str">
        <x:f>IF(COUNTIFS(Trade_Calc!$B$4:$B$301,A38,Trade_Calc!$C$4:$C$301,B38,Trade_Calc!$AJ$4:$AJ$301,"M")&gt;0,"M","U")</x:f>
        <x:v>M</x:v>
      </x:c>
      <x:c r="E38" s="43" t="n">
        <x:f>SUMIFS(Inputs_Collateral!$D$4:$D$98,Inputs_Collateral!$A$4:$A$98,A38,Inputs_Collateral!$B$4:$B$98,B38)</x:f>
        <x:v>7830000</x:v>
      </x:c>
      <x:c r="F38" s="43" t="n">
        <x:f>SUMIFS(Inputs_Collateral!$E$4:$E$98,Inputs_Collateral!$A$4:$A$98,A38,Inputs_Collateral!$B$4:$B$98,B38)</x:f>
        <x:v>3915000</x:v>
      </x:c>
      <x:c r="G38" s="43" t="n">
        <x:f>SUMIFS(Inputs_Collateral!$F$4:$F$98,Inputs_Collateral!$A$4:$A$98,A38,Inputs_Collateral!$B$4:$B$98,B38)</x:f>
        <x:v>391500</x:v>
      </x:c>
      <x:c r="H38" s="43" t="n">
        <x:f>SUMIFS(Inputs_Collateral!$G$4:$G$98,Inputs_Collateral!$A$4:$A$98,A38,Inputs_Collateral!$B$4:$B$98,B38)</x:f>
        <x:v>7830000</x:v>
      </x:c>
      <x:c r="I38" s="43" t="n">
        <x:f>IF(D38="M",MAX(C38-E38,F38+G38-H38,0),MAX(C38-E38,0))</x:f>
        <x:v>0</x:v>
      </x:c>
      <x:c r="J38" s="43" t="n">
        <x:f>SUMIFS(Asset_Class_AddOn!$D$4:$D$100,Asset_Class_AddOn!$A$4:$A$100,A38,Asset_Class_AddOn!$B$4:$B$100,B38)</x:f>
        <x:v>1230799.049505133</x:v>
      </x:c>
      <x:c r="K38" s="41" t="n">
        <x:f>IF(J38&lt;=0,1,MIN(1,Parameters!$B$5+(1-Parameters!$B$5)*EXP((C38-E38)/(2*(1-Parameters!$B$5)*J38))))</x:f>
        <x:v>0.08858059661333856</x:v>
      </x:c>
      <x:c r="L38" s="43" t="n">
        <x:f>K38*J38</x:f>
        <x:v>109024.91411629469</x:v>
      </x:c>
      <x:c r="M38" s="43" t="n">
        <x:f>Parameters!$B$4*(I38+L38)</x:f>
        <x:v>152634.87976281255</x:v>
      </x:c>
      <x:c r="N38" s="42" t="n">
        <x:f>SUMIFS(Inputs_Counterparties!$D$4:$D$15,Inputs_Counterparties!$A$4:$A$15,A38)</x:f>
        <x:v>0.5</x:v>
      </x:c>
      <x:c r="O38" s="43" t="n">
        <x:f>M38*N38</x:f>
        <x:v>76317.43988140627</x:v>
      </x:c>
      <x:c r="P38" s="43" t="n">
        <x:v>0</x:v>
      </x:c>
      <x:c r="Q38" s="43" t="n">
        <x:v>1230799.049505133</x:v>
      </x:c>
      <x:c r="R38" s="41" t="n">
        <x:v>0.08858059661333856</x:v>
      </x:c>
      <x:c r="S38" s="43" t="n">
        <x:v>109024.91411629469</x:v>
      </x:c>
      <x:c r="T38" s="43" t="n">
        <x:v>152634.87976281255</x:v>
      </x:c>
      <x:c r="U38" s="43" t="n">
        <x:v>76317.43988140627</x:v>
      </x:c>
      <x:c r="V38" s="43" t="n">
        <x:f>M38-T38</x:f>
        <x:v>0</x:v>
      </x:c>
      <x:c r="W38" s="27" t="str">
        <x:f>IF(ABS(V38)&lt;0.01,"OK","CHECK")</x:f>
        <x:v>OK</x:v>
      </x:c>
    </x:row>
    <x:row r="39">
      <x:c r="A39" s="27" t="str">
        <x:v>IND_CLEARING_MEMBER_001</x:v>
      </x:c>
      <x:c r="B39" s="27" t="str">
        <x:v>3288</x:v>
      </x:c>
      <x:c r="C39" s="43" t="n">
        <x:f>SUMIFS(Trade_Calc!$AB$4:$AB$301,Trade_Calc!$B$4:$B$301,A39,Trade_Calc!$C$4:$C$301,B39)</x:f>
        <x:v>-144384</x:v>
      </x:c>
      <x:c r="D39" s="27" t="str">
        <x:f>IF(COUNTIFS(Trade_Calc!$B$4:$B$301,A39,Trade_Calc!$C$4:$C$301,B39,Trade_Calc!$AJ$4:$AJ$301,"M")&gt;0,"M","U")</x:f>
        <x:v>U</x:v>
      </x:c>
      <x:c r="E39" s="43" t="n">
        <x:f>SUMIFS(Inputs_Collateral!$D$4:$D$98,Inputs_Collateral!$A$4:$A$98,A39,Inputs_Collateral!$B$4:$B$98,B39)</x:f>
        <x:v>0</x:v>
      </x:c>
      <x:c r="F39" s="43" t="n">
        <x:f>SUMIFS(Inputs_Collateral!$E$4:$E$98,Inputs_Collateral!$A$4:$A$98,A39,Inputs_Collateral!$B$4:$B$98,B39)</x:f>
        <x:v>0</x:v>
      </x:c>
      <x:c r="G39" s="43" t="n">
        <x:f>SUMIFS(Inputs_Collateral!$F$4:$F$98,Inputs_Collateral!$A$4:$A$98,A39,Inputs_Collateral!$B$4:$B$98,B39)</x:f>
        <x:v>0</x:v>
      </x:c>
      <x:c r="H39" s="43" t="n">
        <x:f>SUMIFS(Inputs_Collateral!$G$4:$G$98,Inputs_Collateral!$A$4:$A$98,A39,Inputs_Collateral!$B$4:$B$98,B39)</x:f>
        <x:v>0</x:v>
      </x:c>
      <x:c r="I39" s="43" t="n">
        <x:f>IF(D39="M",MAX(C39-E39,F39+G39-H39,0),MAX(C39-E39,0))</x:f>
        <x:v>0</x:v>
      </x:c>
      <x:c r="J39" s="43" t="n">
        <x:f>SUMIFS(Asset_Class_AddOn!$D$4:$D$100,Asset_Class_AddOn!$A$4:$A$100,A39,Asset_Class_AddOn!$B$4:$B$100,B39)</x:f>
        <x:v>3514538.58124479</x:v>
      </x:c>
      <x:c r="K39" s="41" t="n">
        <x:f>IF(J39&lt;=0,1,MIN(1,Parameters!$B$5+(1-Parameters!$B$5)*EXP((C39-E39)/(2*(1-Parameters!$B$5)*J39))))</x:f>
        <x:v>0.9796795160538814</x:v>
      </x:c>
      <x:c r="L39" s="43" t="n">
        <x:f>K39*J39</x:f>
        <x:v>3443121.4564265907</x:v>
      </x:c>
      <x:c r="M39" s="43" t="n">
        <x:f>Parameters!$B$4*(I39+L39)</x:f>
        <x:v>4820370.038997226</x:v>
      </x:c>
      <x:c r="N39" s="42" t="n">
        <x:f>SUMIFS(Inputs_Counterparties!$D$4:$D$15,Inputs_Counterparties!$A$4:$A$15,A39)</x:f>
        <x:v>0.5</x:v>
      </x:c>
      <x:c r="O39" s="43" t="n">
        <x:f>M39*N39</x:f>
        <x:v>2410185.019498613</x:v>
      </x:c>
      <x:c r="P39" s="43" t="n">
        <x:v>0</x:v>
      </x:c>
      <x:c r="Q39" s="43" t="n">
        <x:v>3514538.5812447895</x:v>
      </x:c>
      <x:c r="R39" s="41" t="n">
        <x:v>0.9796795160538814</x:v>
      </x:c>
      <x:c r="S39" s="43" t="n">
        <x:v>3443121.45642659</x:v>
      </x:c>
      <x:c r="T39" s="43" t="n">
        <x:v>4820370.038997226</x:v>
      </x:c>
      <x:c r="U39" s="43" t="n">
        <x:v>2410185.019498613</x:v>
      </x:c>
      <x:c r="V39" s="43" t="n">
        <x:f>M39-T39</x:f>
        <x:v>0</x:v>
      </x:c>
      <x:c r="W39" s="27" t="str">
        <x:f>IF(ABS(V39)&lt;0.01,"OK","CHECK")</x:f>
        <x:v>OK</x:v>
      </x:c>
    </x:row>
    <x:row r="40">
      <x:c r="A40" s="27" t="str">
        <x:v>IND_CLEARING_MEMBER_001</x:v>
      </x:c>
      <x:c r="B40" s="27" t="str">
        <x:v>3340</x:v>
      </x:c>
      <x:c r="C40" s="43" t="n">
        <x:f>SUMIFS(Trade_Calc!$AB$4:$AB$301,Trade_Calc!$B$4:$B$301,A40,Trade_Calc!$C$4:$C$301,B40)</x:f>
        <x:v>31470</x:v>
      </x:c>
      <x:c r="D40" s="27" t="str">
        <x:f>IF(COUNTIFS(Trade_Calc!$B$4:$B$301,A40,Trade_Calc!$C$4:$C$301,B40,Trade_Calc!$AJ$4:$AJ$301,"M")&gt;0,"M","U")</x:f>
        <x:v>M</x:v>
      </x:c>
      <x:c r="E40" s="43" t="n">
        <x:f>SUMIFS(Inputs_Collateral!$D$4:$D$98,Inputs_Collateral!$A$4:$A$98,A40,Inputs_Collateral!$B$4:$B$98,B40)</x:f>
        <x:v>2040000</x:v>
      </x:c>
      <x:c r="F40" s="43" t="n">
        <x:f>SUMIFS(Inputs_Collateral!$E$4:$E$98,Inputs_Collateral!$A$4:$A$98,A40,Inputs_Collateral!$B$4:$B$98,B40)</x:f>
        <x:v>68000</x:v>
      </x:c>
      <x:c r="G40" s="43" t="n">
        <x:f>SUMIFS(Inputs_Collateral!$F$4:$F$98,Inputs_Collateral!$A$4:$A$98,A40,Inputs_Collateral!$B$4:$B$98,B40)</x:f>
        <x:v>13600</x:v>
      </x:c>
      <x:c r="H40" s="43" t="n">
        <x:f>SUMIFS(Inputs_Collateral!$G$4:$G$98,Inputs_Collateral!$A$4:$A$98,A40,Inputs_Collateral!$B$4:$B$98,B40)</x:f>
        <x:v>272000</x:v>
      </x:c>
      <x:c r="I40" s="43" t="n">
        <x:f>IF(D40="M",MAX(C40-E40,F40+G40-H40,0),MAX(C40-E40,0))</x:f>
        <x:v>0</x:v>
      </x:c>
      <x:c r="J40" s="43" t="n">
        <x:f>SUMIFS(Asset_Class_AddOn!$D$4:$D$100,Asset_Class_AddOn!$A$4:$A$100,A40,Asset_Class_AddOn!$B$4:$B$100,B40)</x:f>
        <x:v>1434000.0000000002</x:v>
      </x:c>
      <x:c r="K40" s="41" t="n">
        <x:f>IF(J40&lt;=0,1,MIN(1,Parameters!$B$5+(1-Parameters!$B$5)*EXP((C40-E40)/(2*(1-Parameters!$B$5)*J40))))</x:f>
        <x:v>0.5045366483606432</x:v>
      </x:c>
      <x:c r="L40" s="43" t="n">
        <x:f>K40*J40</x:f>
        <x:v>723505.5537491624</x:v>
      </x:c>
      <x:c r="M40" s="43" t="n">
        <x:f>Parameters!$B$4*(I40+L40)</x:f>
        <x:v>1012907.7752488272</x:v>
      </x:c>
      <x:c r="N40" s="42" t="n">
        <x:f>SUMIFS(Inputs_Counterparties!$D$4:$D$15,Inputs_Counterparties!$A$4:$A$15,A40)</x:f>
        <x:v>0.5</x:v>
      </x:c>
      <x:c r="O40" s="43" t="n">
        <x:f>M40*N40</x:f>
        <x:v>506453.8876244136</x:v>
      </x:c>
      <x:c r="P40" s="43" t="n">
        <x:v>0</x:v>
      </x:c>
      <x:c r="Q40" s="43" t="n">
        <x:v>1434000.0000000002</x:v>
      </x:c>
      <x:c r="R40" s="41" t="n">
        <x:v>0.5045366483606432</x:v>
      </x:c>
      <x:c r="S40" s="43" t="n">
        <x:v>723505.5537491624</x:v>
      </x:c>
      <x:c r="T40" s="43" t="n">
        <x:v>1012907.7752488272</x:v>
      </x:c>
      <x:c r="U40" s="43" t="n">
        <x:v>506453.8876244136</x:v>
      </x:c>
      <x:c r="V40" s="43" t="n">
        <x:f>M40-T40</x:f>
        <x:v>0</x:v>
      </x:c>
      <x:c r="W40" s="27" t="str">
        <x:f>IF(ABS(V40)&lt;0.01,"OK","CHECK")</x:f>
        <x:v>OK</x:v>
      </x:c>
    </x:row>
    <x:row r="41">
      <x:c r="A41" s="27" t="str">
        <x:v>IND_CLEARING_MEMBER_001</x:v>
      </x:c>
      <x:c r="B41" s="27" t="str">
        <x:v>3399</x:v>
      </x:c>
      <x:c r="C41" s="43" t="n">
        <x:f>SUMIFS(Trade_Calc!$AB$4:$AB$301,Trade_Calc!$B$4:$B$301,A41,Trade_Calc!$C$4:$C$301,B41)</x:f>
        <x:v>2328231</x:v>
      </x:c>
      <x:c r="D41" s="27" t="str">
        <x:f>IF(COUNTIFS(Trade_Calc!$B$4:$B$301,A41,Trade_Calc!$C$4:$C$301,B41,Trade_Calc!$AJ$4:$AJ$301,"M")&gt;0,"M","U")</x:f>
        <x:v>U</x:v>
      </x:c>
      <x:c r="E41" s="43" t="n">
        <x:f>SUMIFS(Inputs_Collateral!$D$4:$D$98,Inputs_Collateral!$A$4:$A$98,A41,Inputs_Collateral!$B$4:$B$98,B41)</x:f>
        <x:v>0</x:v>
      </x:c>
      <x:c r="F41" s="43" t="n">
        <x:f>SUMIFS(Inputs_Collateral!$E$4:$E$98,Inputs_Collateral!$A$4:$A$98,A41,Inputs_Collateral!$B$4:$B$98,B41)</x:f>
        <x:v>0</x:v>
      </x:c>
      <x:c r="G41" s="43" t="n">
        <x:f>SUMIFS(Inputs_Collateral!$F$4:$F$98,Inputs_Collateral!$A$4:$A$98,A41,Inputs_Collateral!$B$4:$B$98,B41)</x:f>
        <x:v>0</x:v>
      </x:c>
      <x:c r="H41" s="43" t="n">
        <x:f>SUMIFS(Inputs_Collateral!$G$4:$G$98,Inputs_Collateral!$A$4:$A$98,A41,Inputs_Collateral!$B$4:$B$98,B41)</x:f>
        <x:v>0</x:v>
      </x:c>
      <x:c r="I41" s="43" t="n">
        <x:f>IF(D41="M",MAX(C41-E41,F41+G41-H41,0),MAX(C41-E41,0))</x:f>
        <x:v>2328231</x:v>
      </x:c>
      <x:c r="J41" s="43" t="n">
        <x:f>SUMIFS(Asset_Class_AddOn!$D$4:$D$100,Asset_Class_AddOn!$A$4:$A$100,A41,Asset_Class_AddOn!$B$4:$B$100,B41)</x:f>
        <x:v>6023004.507666882</x:v>
      </x:c>
      <x:c r="K41" s="41" t="n">
        <x:f>IF(J41&lt;=0,1,MIN(1,Parameters!$B$5+(1-Parameters!$B$5)*EXP((C41-E41)/(2*(1-Parameters!$B$5)*J41))))</x:f>
        <x:v>1</x:v>
      </x:c>
      <x:c r="L41" s="43" t="n">
        <x:f>K41*J41</x:f>
        <x:v>6023004.507666882</x:v>
      </x:c>
      <x:c r="M41" s="43" t="n">
        <x:f>Parameters!$B$4*(I41+L41)</x:f>
        <x:v>11691729.710733633</x:v>
      </x:c>
      <x:c r="N41" s="42" t="n">
        <x:f>SUMIFS(Inputs_Counterparties!$D$4:$D$15,Inputs_Counterparties!$A$4:$A$15,A41)</x:f>
        <x:v>0.5</x:v>
      </x:c>
      <x:c r="O41" s="43" t="n">
        <x:f>M41*N41</x:f>
        <x:v>5845864.855366817</x:v>
      </x:c>
      <x:c r="P41" s="43" t="n">
        <x:v>2328231</x:v>
      </x:c>
      <x:c r="Q41" s="43" t="n">
        <x:v>6023004.5076668775</x:v>
      </x:c>
      <x:c r="R41" s="41" t="n">
        <x:v>1</x:v>
      </x:c>
      <x:c r="S41" s="43" t="n">
        <x:v>6023004.5076668775</x:v>
      </x:c>
      <x:c r="T41" s="43" t="n">
        <x:v>11691729.710733628</x:v>
      </x:c>
      <x:c r="U41" s="43" t="n">
        <x:v>5845864.855366814</x:v>
      </x:c>
      <x:c r="V41" s="43" t="n">
        <x:f>M41-T41</x:f>
        <x:v>5.587935447692871e-9</x:v>
      </x:c>
      <x:c r="W41" s="27" t="str">
        <x:f>IF(ABS(V41)&lt;0.01,"OK","CHECK")</x:f>
        <x:v>OK</x:v>
      </x:c>
    </x:row>
    <x:row r="42">
      <x:c r="A42" s="27" t="str">
        <x:v>IND_CORPORATE_001</x:v>
      </x:c>
      <x:c r="B42" s="27" t="str">
        <x:v>3004</x:v>
      </x:c>
      <x:c r="C42" s="43" t="n">
        <x:f>SUMIFS(Trade_Calc!$AB$4:$AB$301,Trade_Calc!$B$4:$B$301,A42,Trade_Calc!$C$4:$C$301,B42)</x:f>
        <x:v>24915</x:v>
      </x:c>
      <x:c r="D42" s="27" t="str">
        <x:f>IF(COUNTIFS(Trade_Calc!$B$4:$B$301,A42,Trade_Calc!$C$4:$C$301,B42,Trade_Calc!$AJ$4:$AJ$301,"M")&gt;0,"M","U")</x:f>
        <x:v>M</x:v>
      </x:c>
      <x:c r="E42" s="43" t="n">
        <x:f>SUMIFS(Inputs_Collateral!$D$4:$D$98,Inputs_Collateral!$A$4:$A$98,A42,Inputs_Collateral!$B$4:$B$98,B42)</x:f>
        <x:v>22510000</x:v>
      </x:c>
      <x:c r="F42" s="43" t="n">
        <x:f>SUMIFS(Inputs_Collateral!$E$4:$E$98,Inputs_Collateral!$A$4:$A$98,A42,Inputs_Collateral!$B$4:$B$98,B42)</x:f>
        <x:v>1125500</x:v>
      </x:c>
      <x:c r="G42" s="43" t="n">
        <x:f>SUMIFS(Inputs_Collateral!$F$4:$F$98,Inputs_Collateral!$A$4:$A$98,A42,Inputs_Collateral!$B$4:$B$98,B42)</x:f>
        <x:v>450200</x:v>
      </x:c>
      <x:c r="H42" s="43" t="n">
        <x:f>SUMIFS(Inputs_Collateral!$G$4:$G$98,Inputs_Collateral!$A$4:$A$98,A42,Inputs_Collateral!$B$4:$B$98,B42)</x:f>
        <x:v>4502000</x:v>
      </x:c>
      <x:c r="I42" s="43" t="n">
        <x:f>IF(D42="M",MAX(C42-E42,F42+G42-H42,0),MAX(C42-E42,0))</x:f>
        <x:v>0</x:v>
      </x:c>
      <x:c r="J42" s="43" t="n">
        <x:f>SUMIFS(Asset_Class_AddOn!$D$4:$D$100,Asset_Class_AddOn!$A$4:$A$100,A42,Asset_Class_AddOn!$B$4:$B$100,B42)</x:f>
        <x:v>1100958.7135473804</x:v>
      </x:c>
      <x:c r="K42" s="41" t="n">
        <x:f>IF(J42&lt;=0,1,MIN(1,Parameters!$B$5+(1-Parameters!$B$5)*EXP((C42-E42)/(2*(1-Parameters!$B$5)*J42))))</x:f>
        <x:v>0.05002039259412959</x:v>
      </x:c>
      <x:c r="L42" s="43" t="n">
        <x:f>K42*J42</x:f>
        <x:v>55070.387081567824</x:v>
      </x:c>
      <x:c r="M42" s="43" t="n">
        <x:f>Parameters!$B$4*(I42+L42)</x:f>
        <x:v>77098.54191419495</x:v>
      </x:c>
      <x:c r="N42" s="42" t="n">
        <x:f>SUMIFS(Inputs_Counterparties!$D$4:$D$15,Inputs_Counterparties!$A$4:$A$15,A42)</x:f>
        <x:v>1</x:v>
      </x:c>
      <x:c r="O42" s="43" t="n">
        <x:f>M42*N42</x:f>
        <x:v>77098.54191419495</x:v>
      </x:c>
      <x:c r="P42" s="43" t="n">
        <x:v>0</x:v>
      </x:c>
      <x:c r="Q42" s="43" t="n">
        <x:v>1100958.7135473804</x:v>
      </x:c>
      <x:c r="R42" s="41" t="n">
        <x:v>0.05002039259412959</x:v>
      </x:c>
      <x:c r="S42" s="43" t="n">
        <x:v>55070.387081567824</x:v>
      </x:c>
      <x:c r="T42" s="43" t="n">
        <x:v>77098.54191419495</x:v>
      </x:c>
      <x:c r="U42" s="43" t="n">
        <x:v>77098.54191419495</x:v>
      </x:c>
      <x:c r="V42" s="43" t="n">
        <x:f>M42-T42</x:f>
        <x:v>0</x:v>
      </x:c>
      <x:c r="W42" s="27" t="str">
        <x:f>IF(ABS(V42)&lt;0.01,"OK","CHECK")</x:f>
        <x:v>OK</x:v>
      </x:c>
    </x:row>
    <x:row r="43">
      <x:c r="A43" s="27" t="str">
        <x:v>IND_CORPORATE_001</x:v>
      </x:c>
      <x:c r="B43" s="27" t="str">
        <x:v>3015</x:v>
      </x:c>
      <x:c r="C43" s="43" t="n">
        <x:f>SUMIFS(Trade_Calc!$AB$4:$AB$301,Trade_Calc!$B$4:$B$301,A43,Trade_Calc!$C$4:$C$301,B43)</x:f>
        <x:v>686944</x:v>
      </x:c>
      <x:c r="D43" s="27" t="str">
        <x:f>IF(COUNTIFS(Trade_Calc!$B$4:$B$301,A43,Trade_Calc!$C$4:$C$301,B43,Trade_Calc!$AJ$4:$AJ$301,"M")&gt;0,"M","U")</x:f>
        <x:v>U</x:v>
      </x:c>
      <x:c r="E43" s="43" t="n">
        <x:f>SUMIFS(Inputs_Collateral!$D$4:$D$98,Inputs_Collateral!$A$4:$A$98,A43,Inputs_Collateral!$B$4:$B$98,B43)</x:f>
        <x:v>0</x:v>
      </x:c>
      <x:c r="F43" s="43" t="n">
        <x:f>SUMIFS(Inputs_Collateral!$E$4:$E$98,Inputs_Collateral!$A$4:$A$98,A43,Inputs_Collateral!$B$4:$B$98,B43)</x:f>
        <x:v>0</x:v>
      </x:c>
      <x:c r="G43" s="43" t="n">
        <x:f>SUMIFS(Inputs_Collateral!$F$4:$F$98,Inputs_Collateral!$A$4:$A$98,A43,Inputs_Collateral!$B$4:$B$98,B43)</x:f>
        <x:v>0</x:v>
      </x:c>
      <x:c r="H43" s="43" t="n">
        <x:f>SUMIFS(Inputs_Collateral!$G$4:$G$98,Inputs_Collateral!$A$4:$A$98,A43,Inputs_Collateral!$B$4:$B$98,B43)</x:f>
        <x:v>0</x:v>
      </x:c>
      <x:c r="I43" s="43" t="n">
        <x:f>IF(D43="M",MAX(C43-E43,F43+G43-H43,0),MAX(C43-E43,0))</x:f>
        <x:v>686944</x:v>
      </x:c>
      <x:c r="J43" s="43" t="n">
        <x:f>SUMIFS(Asset_Class_AddOn!$D$4:$D$100,Asset_Class_AddOn!$A$4:$A$100,A43,Asset_Class_AddOn!$B$4:$B$100,B43)</x:f>
        <x:v>501106.2636925688</x:v>
      </x:c>
      <x:c r="K43" s="41" t="n">
        <x:f>IF(J43&lt;=0,1,MIN(1,Parameters!$B$5+(1-Parameters!$B$5)*EXP((C43-E43)/(2*(1-Parameters!$B$5)*J43))))</x:f>
        <x:v>1</x:v>
      </x:c>
      <x:c r="L43" s="43" t="n">
        <x:f>K43*J43</x:f>
        <x:v>501106.2636925688</x:v>
      </x:c>
      <x:c r="M43" s="43" t="n">
        <x:f>Parameters!$B$4*(I43+L43)</x:f>
        <x:v>1663270.3691695961</x:v>
      </x:c>
      <x:c r="N43" s="42" t="n">
        <x:f>SUMIFS(Inputs_Counterparties!$D$4:$D$15,Inputs_Counterparties!$A$4:$A$15,A43)</x:f>
        <x:v>1</x:v>
      </x:c>
      <x:c r="O43" s="43" t="n">
        <x:f>M43*N43</x:f>
        <x:v>1663270.3691695961</x:v>
      </x:c>
      <x:c r="P43" s="43" t="n">
        <x:v>686944</x:v>
      </x:c>
      <x:c r="Q43" s="43" t="n">
        <x:v>501106.2636925688</x:v>
      </x:c>
      <x:c r="R43" s="41" t="n">
        <x:v>1</x:v>
      </x:c>
      <x:c r="S43" s="43" t="n">
        <x:v>501106.2636925688</x:v>
      </x:c>
      <x:c r="T43" s="43" t="n">
        <x:v>1663270.3691695961</x:v>
      </x:c>
      <x:c r="U43" s="43" t="n">
        <x:v>1663270.3691695961</x:v>
      </x:c>
      <x:c r="V43" s="43" t="n">
        <x:f>M43-T43</x:f>
        <x:v>0</x:v>
      </x:c>
      <x:c r="W43" s="27" t="str">
        <x:f>IF(ABS(V43)&lt;0.01,"OK","CHECK")</x:f>
        <x:v>OK</x:v>
      </x:c>
    </x:row>
    <x:row r="44">
      <x:c r="A44" s="27" t="str">
        <x:v>IND_CORPORATE_001</x:v>
      </x:c>
      <x:c r="B44" s="27" t="str">
        <x:v>3040</x:v>
      </x:c>
      <x:c r="C44" s="43" t="n">
        <x:f>SUMIFS(Trade_Calc!$AB$4:$AB$301,Trade_Calc!$B$4:$B$301,A44,Trade_Calc!$C$4:$C$301,B44)</x:f>
        <x:v>-487116</x:v>
      </x:c>
      <x:c r="D44" s="27" t="str">
        <x:f>IF(COUNTIFS(Trade_Calc!$B$4:$B$301,A44,Trade_Calc!$C$4:$C$301,B44,Trade_Calc!$AJ$4:$AJ$301,"M")&gt;0,"M","U")</x:f>
        <x:v>M</x:v>
      </x:c>
      <x:c r="E44" s="43" t="n">
        <x:f>SUMIFS(Inputs_Collateral!$D$4:$D$98,Inputs_Collateral!$A$4:$A$98,A44,Inputs_Collateral!$B$4:$B$98,B44)</x:f>
        <x:v>6085000</x:v>
      </x:c>
      <x:c r="F44" s="43" t="n">
        <x:f>SUMIFS(Inputs_Collateral!$E$4:$E$98,Inputs_Collateral!$A$4:$A$98,A44,Inputs_Collateral!$B$4:$B$98,B44)</x:f>
        <x:v>1217000</x:v>
      </x:c>
      <x:c r="G44" s="43" t="n">
        <x:f>SUMIFS(Inputs_Collateral!$F$4:$F$98,Inputs_Collateral!$A$4:$A$98,A44,Inputs_Collateral!$B$4:$B$98,B44)</x:f>
        <x:v>121700</x:v>
      </x:c>
      <x:c r="H44" s="43" t="n">
        <x:f>SUMIFS(Inputs_Collateral!$G$4:$G$98,Inputs_Collateral!$A$4:$A$98,A44,Inputs_Collateral!$B$4:$B$98,B44)</x:f>
        <x:v>2434000</x:v>
      </x:c>
      <x:c r="I44" s="43" t="n">
        <x:f>IF(D44="M",MAX(C44-E44,F44+G44-H44,0),MAX(C44-E44,0))</x:f>
        <x:v>0</x:v>
      </x:c>
      <x:c r="J44" s="43" t="n">
        <x:f>SUMIFS(Asset_Class_AddOn!$D$4:$D$100,Asset_Class_AddOn!$A$4:$A$100,A44,Asset_Class_AddOn!$B$4:$B$100,B44)</x:f>
        <x:v>684590.2687736201</x:v>
      </x:c>
      <x:c r="K44" s="41" t="n">
        <x:f>IF(J44&lt;=0,1,MIN(1,Parameters!$B$5+(1-Parameters!$B$5)*EXP((C44-E44)/(2*(1-Parameters!$B$5)*J44))))</x:f>
        <x:v>0.05607263377640101</x:v>
      </x:c>
      <x:c r="L44" s="43" t="n">
        <x:f>K44*J44</x:f>
        <x:v>38386.77942783114</x:v>
      </x:c>
      <x:c r="M44" s="43" t="n">
        <x:f>Parameters!$B$4*(I44+L44)</x:f>
        <x:v>53741.491198963595</x:v>
      </x:c>
      <x:c r="N44" s="42" t="n">
        <x:f>SUMIFS(Inputs_Counterparties!$D$4:$D$15,Inputs_Counterparties!$A$4:$A$15,A44)</x:f>
        <x:v>1</x:v>
      </x:c>
      <x:c r="O44" s="43" t="n">
        <x:f>M44*N44</x:f>
        <x:v>53741.491198963595</x:v>
      </x:c>
      <x:c r="P44" s="43" t="n">
        <x:v>0</x:v>
      </x:c>
      <x:c r="Q44" s="43" t="n">
        <x:v>684590.2687736201</x:v>
      </x:c>
      <x:c r="R44" s="41" t="n">
        <x:v>0.05607263377640101</x:v>
      </x:c>
      <x:c r="S44" s="43" t="n">
        <x:v>38386.77942783114</x:v>
      </x:c>
      <x:c r="T44" s="43" t="n">
        <x:v>53741.491198963595</x:v>
      </x:c>
      <x:c r="U44" s="43" t="n">
        <x:v>53741.491198963595</x:v>
      </x:c>
      <x:c r="V44" s="43" t="n">
        <x:f>M44-T44</x:f>
        <x:v>0</x:v>
      </x:c>
      <x:c r="W44" s="27" t="str">
        <x:f>IF(ABS(V44)&lt;0.01,"OK","CHECK")</x:f>
        <x:v>OK</x:v>
      </x:c>
    </x:row>
    <x:row r="45">
      <x:c r="A45" s="27" t="str">
        <x:v>IND_CORPORATE_001</x:v>
      </x:c>
      <x:c r="B45" s="27" t="str">
        <x:v>3041</x:v>
      </x:c>
      <x:c r="C45" s="43" t="n">
        <x:f>SUMIFS(Trade_Calc!$AB$4:$AB$301,Trade_Calc!$B$4:$B$301,A45,Trade_Calc!$C$4:$C$301,B45)</x:f>
        <x:v>1237294</x:v>
      </x:c>
      <x:c r="D45" s="27" t="str">
        <x:f>IF(COUNTIFS(Trade_Calc!$B$4:$B$301,A45,Trade_Calc!$C$4:$C$301,B45,Trade_Calc!$AJ$4:$AJ$301,"M")&gt;0,"M","U")</x:f>
        <x:v>M</x:v>
      </x:c>
      <x:c r="E45" s="43" t="n">
        <x:f>SUMIFS(Inputs_Collateral!$D$4:$D$98,Inputs_Collateral!$A$4:$A$98,A45,Inputs_Collateral!$B$4:$B$98,B45)</x:f>
        <x:v>46065000</x:v>
      </x:c>
      <x:c r="F45" s="43" t="n">
        <x:f>SUMIFS(Inputs_Collateral!$E$4:$E$98,Inputs_Collateral!$A$4:$A$98,A45,Inputs_Collateral!$B$4:$B$98,B45)</x:f>
        <x:v>767750</x:v>
      </x:c>
      <x:c r="G45" s="43" t="n">
        <x:f>SUMIFS(Inputs_Collateral!$F$4:$F$98,Inputs_Collateral!$A$4:$A$98,A45,Inputs_Collateral!$B$4:$B$98,B45)</x:f>
        <x:v>307100</x:v>
      </x:c>
      <x:c r="H45" s="43" t="n">
        <x:f>SUMIFS(Inputs_Collateral!$G$4:$G$98,Inputs_Collateral!$A$4:$A$98,A45,Inputs_Collateral!$B$4:$B$98,B45)</x:f>
        <x:v>3071000</x:v>
      </x:c>
      <x:c r="I45" s="43" t="n">
        <x:f>IF(D45="M",MAX(C45-E45,F45+G45-H45,0),MAX(C45-E45,0))</x:f>
        <x:v>0</x:v>
      </x:c>
      <x:c r="J45" s="43" t="n">
        <x:f>SUMIFS(Asset_Class_AddOn!$D$4:$D$100,Asset_Class_AddOn!$A$4:$A$100,A45,Asset_Class_AddOn!$B$4:$B$100,B45)</x:f>
        <x:v>3309924.8238075697</x:v>
      </x:c>
      <x:c r="K45" s="41" t="n">
        <x:f>IF(J45&lt;=0,1,MIN(1,Parameters!$B$5+(1-Parameters!$B$5)*EXP((C45-E45)/(2*(1-Parameters!$B$5)*J45))))</x:f>
        <x:v>0.050762117579174065</x:v>
      </x:c>
      <x:c r="L45" s="43" t="n">
        <x:f>K45*J45</x:f>
        <x:v>168018.79308434686</x:v>
      </x:c>
      <x:c r="M45" s="43" t="n">
        <x:f>Parameters!$B$4*(I45+L45)</x:f>
        <x:v>235226.3103180856</x:v>
      </x:c>
      <x:c r="N45" s="42" t="n">
        <x:f>SUMIFS(Inputs_Counterparties!$D$4:$D$15,Inputs_Counterparties!$A$4:$A$15,A45)</x:f>
        <x:v>1</x:v>
      </x:c>
      <x:c r="O45" s="43" t="n">
        <x:f>M45*N45</x:f>
        <x:v>235226.3103180856</x:v>
      </x:c>
      <x:c r="P45" s="43" t="n">
        <x:v>0</x:v>
      </x:c>
      <x:c r="Q45" s="43" t="n">
        <x:v>3309924.8238075697</x:v>
      </x:c>
      <x:c r="R45" s="41" t="n">
        <x:v>0.050762117579174065</x:v>
      </x:c>
      <x:c r="S45" s="43" t="n">
        <x:v>168018.79308434686</x:v>
      </x:c>
      <x:c r="T45" s="43" t="n">
        <x:v>235226.3103180856</x:v>
      </x:c>
      <x:c r="U45" s="43" t="n">
        <x:v>235226.3103180856</x:v>
      </x:c>
      <x:c r="V45" s="43" t="n">
        <x:f>M45-T45</x:f>
        <x:v>0</x:v>
      </x:c>
      <x:c r="W45" s="27" t="str">
        <x:f>IF(ABS(V45)&lt;0.01,"OK","CHECK")</x:f>
        <x:v>OK</x:v>
      </x:c>
    </x:row>
    <x:row r="46">
      <x:c r="A46" s="27" t="str">
        <x:v>IND_CORPORATE_001</x:v>
      </x:c>
      <x:c r="B46" s="27" t="str">
        <x:v>3092</x:v>
      </x:c>
      <x:c r="C46" s="43" t="n">
        <x:f>SUMIFS(Trade_Calc!$AB$4:$AB$301,Trade_Calc!$B$4:$B$301,A46,Trade_Calc!$C$4:$C$301,B46)</x:f>
        <x:v>512059</x:v>
      </x:c>
      <x:c r="D46" s="27" t="str">
        <x:f>IF(COUNTIFS(Trade_Calc!$B$4:$B$301,A46,Trade_Calc!$C$4:$C$301,B46,Trade_Calc!$AJ$4:$AJ$301,"M")&gt;0,"M","U")</x:f>
        <x:v>U</x:v>
      </x:c>
      <x:c r="E46" s="43" t="n">
        <x:f>SUMIFS(Inputs_Collateral!$D$4:$D$98,Inputs_Collateral!$A$4:$A$98,A46,Inputs_Collateral!$B$4:$B$98,B46)</x:f>
        <x:v>0</x:v>
      </x:c>
      <x:c r="F46" s="43" t="n">
        <x:f>SUMIFS(Inputs_Collateral!$E$4:$E$98,Inputs_Collateral!$A$4:$A$98,A46,Inputs_Collateral!$B$4:$B$98,B46)</x:f>
        <x:v>0</x:v>
      </x:c>
      <x:c r="G46" s="43" t="n">
        <x:f>SUMIFS(Inputs_Collateral!$F$4:$F$98,Inputs_Collateral!$A$4:$A$98,A46,Inputs_Collateral!$B$4:$B$98,B46)</x:f>
        <x:v>0</x:v>
      </x:c>
      <x:c r="H46" s="43" t="n">
        <x:f>SUMIFS(Inputs_Collateral!$G$4:$G$98,Inputs_Collateral!$A$4:$A$98,A46,Inputs_Collateral!$B$4:$B$98,B46)</x:f>
        <x:v>0</x:v>
      </x:c>
      <x:c r="I46" s="43" t="n">
        <x:f>IF(D46="M",MAX(C46-E46,F46+G46-H46,0),MAX(C46-E46,0))</x:f>
        <x:v>512059</x:v>
      </x:c>
      <x:c r="J46" s="43" t="n">
        <x:f>SUMIFS(Asset_Class_AddOn!$D$4:$D$100,Asset_Class_AddOn!$A$4:$A$100,A46,Asset_Class_AddOn!$B$4:$B$100,B46)</x:f>
        <x:v>3027697.6010804637</x:v>
      </x:c>
      <x:c r="K46" s="41" t="n">
        <x:f>IF(J46&lt;=0,1,MIN(1,Parameters!$B$5+(1-Parameters!$B$5)*EXP((C46-E46)/(2*(1-Parameters!$B$5)*J46))))</x:f>
        <x:v>1</x:v>
      </x:c>
      <x:c r="L46" s="43" t="n">
        <x:f>K46*J46</x:f>
        <x:v>3027697.6010804637</x:v>
      </x:c>
      <x:c r="M46" s="43" t="n">
        <x:f>Parameters!$B$4*(I46+L46)</x:f>
        <x:v>4955659.241512649</x:v>
      </x:c>
      <x:c r="N46" s="42" t="n">
        <x:f>SUMIFS(Inputs_Counterparties!$D$4:$D$15,Inputs_Counterparties!$A$4:$A$15,A46)</x:f>
        <x:v>1</x:v>
      </x:c>
      <x:c r="O46" s="43" t="n">
        <x:f>M46*N46</x:f>
        <x:v>4955659.241512649</x:v>
      </x:c>
      <x:c r="P46" s="43" t="n">
        <x:v>512059</x:v>
      </x:c>
      <x:c r="Q46" s="43" t="n">
        <x:v>3027697.6010804637</x:v>
      </x:c>
      <x:c r="R46" s="41" t="n">
        <x:v>1</x:v>
      </x:c>
      <x:c r="S46" s="43" t="n">
        <x:v>3027697.6010804637</x:v>
      </x:c>
      <x:c r="T46" s="43" t="n">
        <x:v>4955659.241512649</x:v>
      </x:c>
      <x:c r="U46" s="43" t="n">
        <x:v>4955659.241512649</x:v>
      </x:c>
      <x:c r="V46" s="43" t="n">
        <x:f>M46-T46</x:f>
        <x:v>0</x:v>
      </x:c>
      <x:c r="W46" s="27" t="str">
        <x:f>IF(ABS(V46)&lt;0.01,"OK","CHECK")</x:f>
        <x:v>OK</x:v>
      </x:c>
    </x:row>
    <x:row r="47">
      <x:c r="A47" s="27" t="str">
        <x:v>IND_CORPORATE_001</x:v>
      </x:c>
      <x:c r="B47" s="27" t="str">
        <x:v>3100</x:v>
      </x:c>
      <x:c r="C47" s="43" t="n">
        <x:f>SUMIFS(Trade_Calc!$AB$4:$AB$301,Trade_Calc!$B$4:$B$301,A47,Trade_Calc!$C$4:$C$301,B47)</x:f>
        <x:v>831534</x:v>
      </x:c>
      <x:c r="D47" s="27" t="str">
        <x:f>IF(COUNTIFS(Trade_Calc!$B$4:$B$301,A47,Trade_Calc!$C$4:$C$301,B47,Trade_Calc!$AJ$4:$AJ$301,"M")&gt;0,"M","U")</x:f>
        <x:v>M</x:v>
      </x:c>
      <x:c r="E47" s="43" t="n">
        <x:f>SUMIFS(Inputs_Collateral!$D$4:$D$98,Inputs_Collateral!$A$4:$A$98,A47,Inputs_Collateral!$B$4:$B$98,B47)</x:f>
        <x:v>4256000</x:v>
      </x:c>
      <x:c r="F47" s="43" t="n">
        <x:f>SUMIFS(Inputs_Collateral!$E$4:$E$98,Inputs_Collateral!$A$4:$A$98,A47,Inputs_Collateral!$B$4:$B$98,B47)</x:f>
        <x:v>1064000</x:v>
      </x:c>
      <x:c r="G47" s="43" t="n">
        <x:f>SUMIFS(Inputs_Collateral!$F$4:$F$98,Inputs_Collateral!$A$4:$A$98,A47,Inputs_Collateral!$B$4:$B$98,B47)</x:f>
        <x:v>212800</x:v>
      </x:c>
      <x:c r="H47" s="43" t="n">
        <x:f>SUMIFS(Inputs_Collateral!$G$4:$G$98,Inputs_Collateral!$A$4:$A$98,A47,Inputs_Collateral!$B$4:$B$98,B47)</x:f>
        <x:v>4256000</x:v>
      </x:c>
      <x:c r="I47" s="43" t="n">
        <x:f>IF(D47="M",MAX(C47-E47,F47+G47-H47,0),MAX(C47-E47,0))</x:f>
        <x:v>0</x:v>
      </x:c>
      <x:c r="J47" s="43" t="n">
        <x:f>SUMIFS(Asset_Class_AddOn!$D$4:$D$100,Asset_Class_AddOn!$A$4:$A$100,A47,Asset_Class_AddOn!$B$4:$B$100,B47)</x:f>
        <x:v>961200</x:v>
      </x:c>
      <x:c r="K47" s="41" t="n">
        <x:f>IF(J47&lt;=0,1,MIN(1,Parameters!$B$5+(1-Parameters!$B$5)*EXP((C47-E47)/(2*(1-Parameters!$B$5)*J47))))</x:f>
        <x:v>0.19567198272082414</x:v>
      </x:c>
      <x:c r="L47" s="43" t="n">
        <x:f>K47*J47</x:f>
        <x:v>188079.90979125616</x:v>
      </x:c>
      <x:c r="M47" s="43" t="n">
        <x:f>Parameters!$B$4*(I47+L47)</x:f>
        <x:v>263311.8737077586</x:v>
      </x:c>
      <x:c r="N47" s="42" t="n">
        <x:f>SUMIFS(Inputs_Counterparties!$D$4:$D$15,Inputs_Counterparties!$A$4:$A$15,A47)</x:f>
        <x:v>1</x:v>
      </x:c>
      <x:c r="O47" s="43" t="n">
        <x:f>M47*N47</x:f>
        <x:v>263311.8737077586</x:v>
      </x:c>
      <x:c r="P47" s="43" t="n">
        <x:v>0</x:v>
      </x:c>
      <x:c r="Q47" s="43" t="n">
        <x:v>961200</x:v>
      </x:c>
      <x:c r="R47" s="41" t="n">
        <x:v>0.19567198272082414</x:v>
      </x:c>
      <x:c r="S47" s="43" t="n">
        <x:v>188079.90979125616</x:v>
      </x:c>
      <x:c r="T47" s="43" t="n">
        <x:v>263311.8737077586</x:v>
      </x:c>
      <x:c r="U47" s="43" t="n">
        <x:v>263311.8737077586</x:v>
      </x:c>
      <x:c r="V47" s="43" t="n">
        <x:f>M47-T47</x:f>
        <x:v>0</x:v>
      </x:c>
      <x:c r="W47" s="27" t="str">
        <x:f>IF(ABS(V47)&lt;0.01,"OK","CHECK")</x:f>
        <x:v>OK</x:v>
      </x:c>
    </x:row>
    <x:row r="48">
      <x:c r="A48" s="27" t="str">
        <x:v>IND_CORPORATE_001</x:v>
      </x:c>
      <x:c r="B48" s="27" t="str">
        <x:v>3161</x:v>
      </x:c>
      <x:c r="C48" s="43" t="n">
        <x:f>SUMIFS(Trade_Calc!$AB$4:$AB$301,Trade_Calc!$B$4:$B$301,A48,Trade_Calc!$C$4:$C$301,B48)</x:f>
        <x:v>-314838.6</x:v>
      </x:c>
      <x:c r="D48" s="27" t="str">
        <x:f>IF(COUNTIFS(Trade_Calc!$B$4:$B$301,A48,Trade_Calc!$C$4:$C$301,B48,Trade_Calc!$AJ$4:$AJ$301,"M")&gt;0,"M","U")</x:f>
        <x:v>U</x:v>
      </x:c>
      <x:c r="E48" s="43" t="n">
        <x:f>SUMIFS(Inputs_Collateral!$D$4:$D$98,Inputs_Collateral!$A$4:$A$98,A48,Inputs_Collateral!$B$4:$B$98,B48)</x:f>
        <x:v>0</x:v>
      </x:c>
      <x:c r="F48" s="43" t="n">
        <x:f>SUMIFS(Inputs_Collateral!$E$4:$E$98,Inputs_Collateral!$A$4:$A$98,A48,Inputs_Collateral!$B$4:$B$98,B48)</x:f>
        <x:v>0</x:v>
      </x:c>
      <x:c r="G48" s="43" t="n">
        <x:f>SUMIFS(Inputs_Collateral!$F$4:$F$98,Inputs_Collateral!$A$4:$A$98,A48,Inputs_Collateral!$B$4:$B$98,B48)</x:f>
        <x:v>0</x:v>
      </x:c>
      <x:c r="H48" s="43" t="n">
        <x:f>SUMIFS(Inputs_Collateral!$G$4:$G$98,Inputs_Collateral!$A$4:$A$98,A48,Inputs_Collateral!$B$4:$B$98,B48)</x:f>
        <x:v>0</x:v>
      </x:c>
      <x:c r="I48" s="43" t="n">
        <x:f>IF(D48="M",MAX(C48-E48,F48+G48-H48,0),MAX(C48-E48,0))</x:f>
        <x:v>0</x:v>
      </x:c>
      <x:c r="J48" s="43" t="n">
        <x:f>SUMIFS(Asset_Class_AddOn!$D$4:$D$100,Asset_Class_AddOn!$A$4:$A$100,A48,Asset_Class_AddOn!$B$4:$B$100,B48)</x:f>
        <x:v>8294520.942047758</x:v>
      </x:c>
      <x:c r="K48" s="41" t="n">
        <x:f>IF(J48&lt;=0,1,MIN(1,Parameters!$B$5+(1-Parameters!$B$5)*EXP((C48-E48)/(2*(1-Parameters!$B$5)*J48))))</x:f>
        <x:v>0.9812096091970154</x:v>
      </x:c>
      <x:c r="L48" s="43" t="n">
        <x:f>K48*J48</x:f>
        <x:v>8138663.65202314</x:v>
      </x:c>
      <x:c r="M48" s="43" t="n">
        <x:f>Parameters!$B$4*(I48+L48)</x:f>
        <x:v>11394129.112832395</x:v>
      </x:c>
      <x:c r="N48" s="42" t="n">
        <x:f>SUMIFS(Inputs_Counterparties!$D$4:$D$15,Inputs_Counterparties!$A$4:$A$15,A48)</x:f>
        <x:v>1</x:v>
      </x:c>
      <x:c r="O48" s="43" t="n">
        <x:f>M48*N48</x:f>
        <x:v>11394129.112832395</x:v>
      </x:c>
      <x:c r="P48" s="43" t="n">
        <x:v>0</x:v>
      </x:c>
      <x:c r="Q48" s="43" t="n">
        <x:v>8294520.942047758</x:v>
      </x:c>
      <x:c r="R48" s="41" t="n">
        <x:v>0.9812096091970154</x:v>
      </x:c>
      <x:c r="S48" s="43" t="n">
        <x:v>8138663.65202314</x:v>
      </x:c>
      <x:c r="T48" s="43" t="n">
        <x:v>11394129.112832395</x:v>
      </x:c>
      <x:c r="U48" s="43" t="n">
        <x:v>11394129.112832395</x:v>
      </x:c>
      <x:c r="V48" s="43" t="n">
        <x:f>M48-T48</x:f>
        <x:v>0</x:v>
      </x:c>
      <x:c r="W48" s="27" t="str">
        <x:f>IF(ABS(V48)&lt;0.01,"OK","CHECK")</x:f>
        <x:v>OK</x:v>
      </x:c>
    </x:row>
    <x:row r="49">
      <x:c r="A49" s="27" t="str">
        <x:v>IND_CORPORATE_001</x:v>
      </x:c>
      <x:c r="B49" s="27" t="str">
        <x:v>3358</x:v>
      </x:c>
      <x:c r="C49" s="43" t="n">
        <x:f>SUMIFS(Trade_Calc!$AB$4:$AB$301,Trade_Calc!$B$4:$B$301,A49,Trade_Calc!$C$4:$C$301,B49)</x:f>
        <x:v>300186</x:v>
      </x:c>
      <x:c r="D49" s="27" t="str">
        <x:f>IF(COUNTIFS(Trade_Calc!$B$4:$B$301,A49,Trade_Calc!$C$4:$C$301,B49,Trade_Calc!$AJ$4:$AJ$301,"M")&gt;0,"M","U")</x:f>
        <x:v>U</x:v>
      </x:c>
      <x:c r="E49" s="43" t="n">
        <x:f>SUMIFS(Inputs_Collateral!$D$4:$D$98,Inputs_Collateral!$A$4:$A$98,A49,Inputs_Collateral!$B$4:$B$98,B49)</x:f>
        <x:v>0</x:v>
      </x:c>
      <x:c r="F49" s="43" t="n">
        <x:f>SUMIFS(Inputs_Collateral!$E$4:$E$98,Inputs_Collateral!$A$4:$A$98,A49,Inputs_Collateral!$B$4:$B$98,B49)</x:f>
        <x:v>0</x:v>
      </x:c>
      <x:c r="G49" s="43" t="n">
        <x:f>SUMIFS(Inputs_Collateral!$F$4:$F$98,Inputs_Collateral!$A$4:$A$98,A49,Inputs_Collateral!$B$4:$B$98,B49)</x:f>
        <x:v>0</x:v>
      </x:c>
      <x:c r="H49" s="43" t="n">
        <x:f>SUMIFS(Inputs_Collateral!$G$4:$G$98,Inputs_Collateral!$A$4:$A$98,A49,Inputs_Collateral!$B$4:$B$98,B49)</x:f>
        <x:v>0</x:v>
      </x:c>
      <x:c r="I49" s="43" t="n">
        <x:f>IF(D49="M",MAX(C49-E49,F49+G49-H49,0),MAX(C49-E49,0))</x:f>
        <x:v>300186</x:v>
      </x:c>
      <x:c r="J49" s="43" t="n">
        <x:f>SUMIFS(Asset_Class_AddOn!$D$4:$D$100,Asset_Class_AddOn!$A$4:$A$100,A49,Asset_Class_AddOn!$B$4:$B$100,B49)</x:f>
        <x:v>1836000</x:v>
      </x:c>
      <x:c r="K49" s="41" t="n">
        <x:f>IF(J49&lt;=0,1,MIN(1,Parameters!$B$5+(1-Parameters!$B$5)*EXP((C49-E49)/(2*(1-Parameters!$B$5)*J49))))</x:f>
        <x:v>1</x:v>
      </x:c>
      <x:c r="L49" s="43" t="n">
        <x:f>K49*J49</x:f>
        <x:v>1836000</x:v>
      </x:c>
      <x:c r="M49" s="43" t="n">
        <x:f>Parameters!$B$4*(I49+L49)</x:f>
        <x:v>2990660.4</x:v>
      </x:c>
      <x:c r="N49" s="42" t="n">
        <x:f>SUMIFS(Inputs_Counterparties!$D$4:$D$15,Inputs_Counterparties!$A$4:$A$15,A49)</x:f>
        <x:v>1</x:v>
      </x:c>
      <x:c r="O49" s="43" t="n">
        <x:f>M49*N49</x:f>
        <x:v>2990660.4</x:v>
      </x:c>
      <x:c r="P49" s="43" t="n">
        <x:v>300186</x:v>
      </x:c>
      <x:c r="Q49" s="43" t="n">
        <x:v>1836000</x:v>
      </x:c>
      <x:c r="R49" s="41" t="n">
        <x:v>1</x:v>
      </x:c>
      <x:c r="S49" s="43" t="n">
        <x:v>1836000</x:v>
      </x:c>
      <x:c r="T49" s="43" t="n">
        <x:v>2990660.4</x:v>
      </x:c>
      <x:c r="U49" s="43" t="n">
        <x:v>2990660.4</x:v>
      </x:c>
      <x:c r="V49" s="43" t="n">
        <x:f>M49-T49</x:f>
        <x:v>0</x:v>
      </x:c>
      <x:c r="W49" s="27" t="str">
        <x:f>IF(ABS(V49)&lt;0.01,"OK","CHECK")</x:f>
        <x:v>OK</x:v>
      </x:c>
    </x:row>
    <x:row r="50">
      <x:c r="A50" s="27" t="str">
        <x:v>IND_CORPORATE_001</x:v>
      </x:c>
      <x:c r="B50" s="27" t="str">
        <x:v>3380</x:v>
      </x:c>
      <x:c r="C50" s="43" t="n">
        <x:f>SUMIFS(Trade_Calc!$AB$4:$AB$301,Trade_Calc!$B$4:$B$301,A50,Trade_Calc!$C$4:$C$301,B50)</x:f>
        <x:v>-38655</x:v>
      </x:c>
      <x:c r="D50" s="27" t="str">
        <x:f>IF(COUNTIFS(Trade_Calc!$B$4:$B$301,A50,Trade_Calc!$C$4:$C$301,B50,Trade_Calc!$AJ$4:$AJ$301,"M")&gt;0,"M","U")</x:f>
        <x:v>U</x:v>
      </x:c>
      <x:c r="E50" s="43" t="n">
        <x:f>SUMIFS(Inputs_Collateral!$D$4:$D$98,Inputs_Collateral!$A$4:$A$98,A50,Inputs_Collateral!$B$4:$B$98,B50)</x:f>
        <x:v>0</x:v>
      </x:c>
      <x:c r="F50" s="43" t="n">
        <x:f>SUMIFS(Inputs_Collateral!$E$4:$E$98,Inputs_Collateral!$A$4:$A$98,A50,Inputs_Collateral!$B$4:$B$98,B50)</x:f>
        <x:v>0</x:v>
      </x:c>
      <x:c r="G50" s="43" t="n">
        <x:f>SUMIFS(Inputs_Collateral!$F$4:$F$98,Inputs_Collateral!$A$4:$A$98,A50,Inputs_Collateral!$B$4:$B$98,B50)</x:f>
        <x:v>0</x:v>
      </x:c>
      <x:c r="H50" s="43" t="n">
        <x:f>SUMIFS(Inputs_Collateral!$G$4:$G$98,Inputs_Collateral!$A$4:$A$98,A50,Inputs_Collateral!$B$4:$B$98,B50)</x:f>
        <x:v>0</x:v>
      </x:c>
      <x:c r="I50" s="43" t="n">
        <x:f>IF(D50="M",MAX(C50-E50,F50+G50-H50,0),MAX(C50-E50,0))</x:f>
        <x:v>0</x:v>
      </x:c>
      <x:c r="J50" s="43" t="n">
        <x:f>SUMIFS(Asset_Class_AddOn!$D$4:$D$100,Asset_Class_AddOn!$A$4:$A$100,A50,Asset_Class_AddOn!$B$4:$B$100,B50)</x:f>
        <x:v>480000</x:v>
      </x:c>
      <x:c r="K50" s="41" t="n">
        <x:f>IF(J50&lt;=0,1,MIN(1,Parameters!$B$5+(1-Parameters!$B$5)*EXP((C50-E50)/(2*(1-Parameters!$B$5)*J50))))</x:f>
        <x:v>0.9605757722365713</x:v>
      </x:c>
      <x:c r="L50" s="43" t="n">
        <x:f>K50*J50</x:f>
        <x:v>461076.37067355425</x:v>
      </x:c>
      <x:c r="M50" s="43" t="n">
        <x:f>Parameters!$B$4*(I50+L50)</x:f>
        <x:v>645506.9189429759</x:v>
      </x:c>
      <x:c r="N50" s="42" t="n">
        <x:f>SUMIFS(Inputs_Counterparties!$D$4:$D$15,Inputs_Counterparties!$A$4:$A$15,A50)</x:f>
        <x:v>1</x:v>
      </x:c>
      <x:c r="O50" s="43" t="n">
        <x:f>M50*N50</x:f>
        <x:v>645506.9189429759</x:v>
      </x:c>
      <x:c r="P50" s="43" t="n">
        <x:v>0</x:v>
      </x:c>
      <x:c r="Q50" s="43" t="n">
        <x:v>480000</x:v>
      </x:c>
      <x:c r="R50" s="41" t="n">
        <x:v>0.9605757722365713</x:v>
      </x:c>
      <x:c r="S50" s="43" t="n">
        <x:v>461076.37067355425</x:v>
      </x:c>
      <x:c r="T50" s="43" t="n">
        <x:v>645506.9189429759</x:v>
      </x:c>
      <x:c r="U50" s="43" t="n">
        <x:v>645506.9189429759</x:v>
      </x:c>
      <x:c r="V50" s="43" t="n">
        <x:f>M50-T50</x:f>
        <x:v>0</x:v>
      </x:c>
      <x:c r="W50" s="27" t="str">
        <x:f>IF(ABS(V50)&lt;0.01,"OK","CHECK")</x:f>
        <x:v>OK</x:v>
      </x:c>
    </x:row>
    <x:row r="51">
      <x:c r="A51" s="27" t="str">
        <x:v>IND_CORPORATE_002</x:v>
      </x:c>
      <x:c r="B51" s="27" t="str">
        <x:v>3074</x:v>
      </x:c>
      <x:c r="C51" s="43" t="n">
        <x:f>SUMIFS(Trade_Calc!$AB$4:$AB$301,Trade_Calc!$B$4:$B$301,A51,Trade_Calc!$C$4:$C$301,B51)</x:f>
        <x:v>-7862448</x:v>
      </x:c>
      <x:c r="D51" s="27" t="str">
        <x:f>IF(COUNTIFS(Trade_Calc!$B$4:$B$301,A51,Trade_Calc!$C$4:$C$301,B51,Trade_Calc!$AJ$4:$AJ$301,"M")&gt;0,"M","U")</x:f>
        <x:v>M</x:v>
      </x:c>
      <x:c r="E51" s="43" t="n">
        <x:f>SUMIFS(Inputs_Collateral!$D$4:$D$98,Inputs_Collateral!$A$4:$A$98,A51,Inputs_Collateral!$B$4:$B$98,B51)</x:f>
        <x:v>415400000</x:v>
      </x:c>
      <x:c r="F51" s="43" t="n">
        <x:f>SUMIFS(Inputs_Collateral!$E$4:$E$98,Inputs_Collateral!$A$4:$A$98,A51,Inputs_Collateral!$B$4:$B$98,B51)</x:f>
        <x:v>20770000</x:v>
      </x:c>
      <x:c r="G51" s="43" t="n">
        <x:f>SUMIFS(Inputs_Collateral!$F$4:$F$98,Inputs_Collateral!$A$4:$A$98,A51,Inputs_Collateral!$B$4:$B$98,B51)</x:f>
        <x:v>4154000</x:v>
      </x:c>
      <x:c r="H51" s="43" t="n">
        <x:f>SUMIFS(Inputs_Collateral!$G$4:$G$98,Inputs_Collateral!$A$4:$A$98,A51,Inputs_Collateral!$B$4:$B$98,B51)</x:f>
        <x:v>0</x:v>
      </x:c>
      <x:c r="I51" s="43" t="n">
        <x:f>IF(D51="M",MAX(C51-E51,F51+G51-H51,0),MAX(C51-E51,0))</x:f>
        <x:v>24924000</x:v>
      </x:c>
      <x:c r="J51" s="43" t="n">
        <x:f>SUMIFS(Asset_Class_AddOn!$D$4:$D$100,Asset_Class_AddOn!$A$4:$A$100,A51,Asset_Class_AddOn!$B$4:$B$100,B51)</x:f>
        <x:v>26540884.6099034</x:v>
      </x:c>
      <x:c r="K51" s="41" t="n">
        <x:f>IF(J51&lt;=0,1,MIN(1,Parameters!$B$5+(1-Parameters!$B$5)*EXP((C51-E51)/(2*(1-Parameters!$B$5)*J51))))</x:f>
        <x:v>0.050215026802693824</x:v>
      </x:c>
      <x:c r="L51" s="43" t="n">
        <x:f>K51*J51</x:f>
        <x:v>1332751.2320535032</x:v>
      </x:c>
      <x:c r="M51" s="43" t="n">
        <x:f>Parameters!$B$4*(I51+L51)</x:f>
        <x:v>36759451.7248749</x:v>
      </x:c>
      <x:c r="N51" s="42" t="n">
        <x:f>SUMIFS(Inputs_Counterparties!$D$4:$D$15,Inputs_Counterparties!$A$4:$A$15,A51)</x:f>
        <x:v>1</x:v>
      </x:c>
      <x:c r="O51" s="43" t="n">
        <x:f>M51*N51</x:f>
        <x:v>36759451.7248749</x:v>
      </x:c>
      <x:c r="P51" s="43" t="n">
        <x:v>24924000</x:v>
      </x:c>
      <x:c r="Q51" s="43" t="n">
        <x:v>26540884.6099034</x:v>
      </x:c>
      <x:c r="R51" s="41" t="n">
        <x:v>0.050215026802693824</x:v>
      </x:c>
      <x:c r="S51" s="43" t="n">
        <x:v>1332751.2320535032</x:v>
      </x:c>
      <x:c r="T51" s="43" t="n">
        <x:v>36759451.7248749</x:v>
      </x:c>
      <x:c r="U51" s="43" t="n">
        <x:v>36759451.7248749</x:v>
      </x:c>
      <x:c r="V51" s="43" t="n">
        <x:f>M51-T51</x:f>
        <x:v>0</x:v>
      </x:c>
      <x:c r="W51" s="27" t="str">
        <x:f>IF(ABS(V51)&lt;0.01,"OK","CHECK")</x:f>
        <x:v>OK</x:v>
      </x:c>
    </x:row>
    <x:row r="52">
      <x:c r="A52" s="27" t="str">
        <x:v>IND_CORPORATE_002</x:v>
      </x:c>
      <x:c r="B52" s="27" t="str">
        <x:v>3126</x:v>
      </x:c>
      <x:c r="C52" s="43" t="n">
        <x:f>SUMIFS(Trade_Calc!$AB$4:$AB$301,Trade_Calc!$B$4:$B$301,A52,Trade_Calc!$C$4:$C$301,B52)</x:f>
        <x:v>-823395</x:v>
      </x:c>
      <x:c r="D52" s="27" t="str">
        <x:f>IF(COUNTIFS(Trade_Calc!$B$4:$B$301,A52,Trade_Calc!$C$4:$C$301,B52,Trade_Calc!$AJ$4:$AJ$301,"M")&gt;0,"M","U")</x:f>
        <x:v>M</x:v>
      </x:c>
      <x:c r="E52" s="43" t="n">
        <x:f>SUMIFS(Inputs_Collateral!$D$4:$D$98,Inputs_Collateral!$A$4:$A$98,A52,Inputs_Collateral!$B$4:$B$98,B52)</x:f>
        <x:v>2680000</x:v>
      </x:c>
      <x:c r="F52" s="43" t="n">
        <x:f>SUMIFS(Inputs_Collateral!$E$4:$E$98,Inputs_Collateral!$A$4:$A$98,A52,Inputs_Collateral!$B$4:$B$98,B52)</x:f>
        <x:v>134000</x:v>
      </x:c>
      <x:c r="G52" s="43" t="n">
        <x:f>SUMIFS(Inputs_Collateral!$F$4:$F$98,Inputs_Collateral!$A$4:$A$98,A52,Inputs_Collateral!$B$4:$B$98,B52)</x:f>
        <x:v>53600</x:v>
      </x:c>
      <x:c r="H52" s="43" t="n">
        <x:f>SUMIFS(Inputs_Collateral!$G$4:$G$98,Inputs_Collateral!$A$4:$A$98,A52,Inputs_Collateral!$B$4:$B$98,B52)</x:f>
        <x:v>0</x:v>
      </x:c>
      <x:c r="I52" s="43" t="n">
        <x:f>IF(D52="M",MAX(C52-E52,F52+G52-H52,0),MAX(C52-E52,0))</x:f>
        <x:v>187600</x:v>
      </x:c>
      <x:c r="J52" s="43" t="n">
        <x:f>SUMIFS(Asset_Class_AddOn!$D$4:$D$100,Asset_Class_AddOn!$A$4:$A$100,A52,Asset_Class_AddOn!$B$4:$B$100,B52)</x:f>
        <x:v>2052000.0000000002</x:v>
      </x:c>
      <x:c r="K52" s="41" t="n">
        <x:f>IF(J52&lt;=0,1,MIN(1,Parameters!$B$5+(1-Parameters!$B$5)*EXP((C52-E52)/(2*(1-Parameters!$B$5)*J52))))</x:f>
        <x:v>0.43678890817150134</x:v>
      </x:c>
      <x:c r="L52" s="43" t="n">
        <x:f>K52*J52</x:f>
        <x:v>896290.8395679209</x:v>
      </x:c>
      <x:c r="M52" s="43" t="n">
        <x:f>Parameters!$B$4*(I52+L52)</x:f>
        <x:v>1517447.1753950892</x:v>
      </x:c>
      <x:c r="N52" s="42" t="n">
        <x:f>SUMIFS(Inputs_Counterparties!$D$4:$D$15,Inputs_Counterparties!$A$4:$A$15,A52)</x:f>
        <x:v>1</x:v>
      </x:c>
      <x:c r="O52" s="43" t="n">
        <x:f>M52*N52</x:f>
        <x:v>1517447.1753950892</x:v>
      </x:c>
      <x:c r="P52" s="43" t="n">
        <x:v>187600</x:v>
      </x:c>
      <x:c r="Q52" s="43" t="n">
        <x:v>2052000.0000000002</x:v>
      </x:c>
      <x:c r="R52" s="41" t="n">
        <x:v>0.43678890817150134</x:v>
      </x:c>
      <x:c r="S52" s="43" t="n">
        <x:v>896290.8395679209</x:v>
      </x:c>
      <x:c r="T52" s="43" t="n">
        <x:v>1517447.1753950892</x:v>
      </x:c>
      <x:c r="U52" s="43" t="n">
        <x:v>1517447.1753950892</x:v>
      </x:c>
      <x:c r="V52" s="43" t="n">
        <x:f>M52-T52</x:f>
        <x:v>0</x:v>
      </x:c>
      <x:c r="W52" s="27" t="str">
        <x:f>IF(ABS(V52)&lt;0.01,"OK","CHECK")</x:f>
        <x:v>OK</x:v>
      </x:c>
    </x:row>
    <x:row r="53">
      <x:c r="A53" s="27" t="str">
        <x:v>IND_CORPORATE_002</x:v>
      </x:c>
      <x:c r="B53" s="27" t="str">
        <x:v>3130</x:v>
      </x:c>
      <x:c r="C53" s="43" t="n">
        <x:f>SUMIFS(Trade_Calc!$AB$4:$AB$301,Trade_Calc!$B$4:$B$301,A53,Trade_Calc!$C$4:$C$301,B53)</x:f>
        <x:v>1354143</x:v>
      </x:c>
      <x:c r="D53" s="27" t="str">
        <x:f>IF(COUNTIFS(Trade_Calc!$B$4:$B$301,A53,Trade_Calc!$C$4:$C$301,B53,Trade_Calc!$AJ$4:$AJ$301,"M")&gt;0,"M","U")</x:f>
        <x:v>U</x:v>
      </x:c>
      <x:c r="E53" s="43" t="n">
        <x:f>SUMIFS(Inputs_Collateral!$D$4:$D$98,Inputs_Collateral!$A$4:$A$98,A53,Inputs_Collateral!$B$4:$B$98,B53)</x:f>
        <x:v>0</x:v>
      </x:c>
      <x:c r="F53" s="43" t="n">
        <x:f>SUMIFS(Inputs_Collateral!$E$4:$E$98,Inputs_Collateral!$A$4:$A$98,A53,Inputs_Collateral!$B$4:$B$98,B53)</x:f>
        <x:v>0</x:v>
      </x:c>
      <x:c r="G53" s="43" t="n">
        <x:f>SUMIFS(Inputs_Collateral!$F$4:$F$98,Inputs_Collateral!$A$4:$A$98,A53,Inputs_Collateral!$B$4:$B$98,B53)</x:f>
        <x:v>0</x:v>
      </x:c>
      <x:c r="H53" s="43" t="n">
        <x:f>SUMIFS(Inputs_Collateral!$G$4:$G$98,Inputs_Collateral!$A$4:$A$98,A53,Inputs_Collateral!$B$4:$B$98,B53)</x:f>
        <x:v>0</x:v>
      </x:c>
      <x:c r="I53" s="43" t="n">
        <x:f>IF(D53="M",MAX(C53-E53,F53+G53-H53,0),MAX(C53-E53,0))</x:f>
        <x:v>1354143</x:v>
      </x:c>
      <x:c r="J53" s="43" t="n">
        <x:f>SUMIFS(Asset_Class_AddOn!$D$4:$D$100,Asset_Class_AddOn!$A$4:$A$100,A53,Asset_Class_AddOn!$B$4:$B$100,B53)</x:f>
        <x:v>2184539.3680102364</x:v>
      </x:c>
      <x:c r="K53" s="41" t="n">
        <x:f>IF(J53&lt;=0,1,MIN(1,Parameters!$B$5+(1-Parameters!$B$5)*EXP((C53-E53)/(2*(1-Parameters!$B$5)*J53))))</x:f>
        <x:v>1</x:v>
      </x:c>
      <x:c r="L53" s="43" t="n">
        <x:f>K53*J53</x:f>
        <x:v>2184539.3680102364</x:v>
      </x:c>
      <x:c r="M53" s="43" t="n">
        <x:f>Parameters!$B$4*(I53+L53)</x:f>
        <x:v>4954155.31521433</x:v>
      </x:c>
      <x:c r="N53" s="42" t="n">
        <x:f>SUMIFS(Inputs_Counterparties!$D$4:$D$15,Inputs_Counterparties!$A$4:$A$15,A53)</x:f>
        <x:v>1</x:v>
      </x:c>
      <x:c r="O53" s="43" t="n">
        <x:f>M53*N53</x:f>
        <x:v>4954155.31521433</x:v>
      </x:c>
      <x:c r="P53" s="43" t="n">
        <x:v>1354143</x:v>
      </x:c>
      <x:c r="Q53" s="43" t="n">
        <x:v>2184539.3680102364</x:v>
      </x:c>
      <x:c r="R53" s="41" t="n">
        <x:v>1</x:v>
      </x:c>
      <x:c r="S53" s="43" t="n">
        <x:v>2184539.3680102364</x:v>
      </x:c>
      <x:c r="T53" s="43" t="n">
        <x:v>4954155.31521433</x:v>
      </x:c>
      <x:c r="U53" s="43" t="n">
        <x:v>4954155.31521433</x:v>
      </x:c>
      <x:c r="V53" s="43" t="n">
        <x:f>M53-T53</x:f>
        <x:v>0</x:v>
      </x:c>
      <x:c r="W53" s="27" t="str">
        <x:f>IF(ABS(V53)&lt;0.01,"OK","CHECK")</x:f>
        <x:v>OK</x:v>
      </x:c>
    </x:row>
    <x:row r="54">
      <x:c r="A54" s="27" t="str">
        <x:v>IND_CORPORATE_002</x:v>
      </x:c>
      <x:c r="B54" s="27" t="str">
        <x:v>3187</x:v>
      </x:c>
      <x:c r="C54" s="43" t="n">
        <x:f>SUMIFS(Trade_Calc!$AB$4:$AB$301,Trade_Calc!$B$4:$B$301,A54,Trade_Calc!$C$4:$C$301,B54)</x:f>
        <x:v>-207683</x:v>
      </x:c>
      <x:c r="D54" s="27" t="str">
        <x:f>IF(COUNTIFS(Trade_Calc!$B$4:$B$301,A54,Trade_Calc!$C$4:$C$301,B54,Trade_Calc!$AJ$4:$AJ$301,"M")&gt;0,"M","U")</x:f>
        <x:v>U</x:v>
      </x:c>
      <x:c r="E54" s="43" t="n">
        <x:f>SUMIFS(Inputs_Collateral!$D$4:$D$98,Inputs_Collateral!$A$4:$A$98,A54,Inputs_Collateral!$B$4:$B$98,B54)</x:f>
        <x:v>0</x:v>
      </x:c>
      <x:c r="F54" s="43" t="n">
        <x:f>SUMIFS(Inputs_Collateral!$E$4:$E$98,Inputs_Collateral!$A$4:$A$98,A54,Inputs_Collateral!$B$4:$B$98,B54)</x:f>
        <x:v>0</x:v>
      </x:c>
      <x:c r="G54" s="43" t="n">
        <x:f>SUMIFS(Inputs_Collateral!$F$4:$F$98,Inputs_Collateral!$A$4:$A$98,A54,Inputs_Collateral!$B$4:$B$98,B54)</x:f>
        <x:v>0</x:v>
      </x:c>
      <x:c r="H54" s="43" t="n">
        <x:f>SUMIFS(Inputs_Collateral!$G$4:$G$98,Inputs_Collateral!$A$4:$A$98,A54,Inputs_Collateral!$B$4:$B$98,B54)</x:f>
        <x:v>0</x:v>
      </x:c>
      <x:c r="I54" s="43" t="n">
        <x:f>IF(D54="M",MAX(C54-E54,F54+G54-H54,0),MAX(C54-E54,0))</x:f>
        <x:v>0</x:v>
      </x:c>
      <x:c r="J54" s="43" t="n">
        <x:f>SUMIFS(Asset_Class_AddOn!$D$4:$D$100,Asset_Class_AddOn!$A$4:$A$100,A54,Asset_Class_AddOn!$B$4:$B$100,B54)</x:f>
        <x:v>1299603.5201710137</x:v>
      </x:c>
      <x:c r="K54" s="41" t="n">
        <x:f>IF(J54&lt;=0,1,MIN(1,Parameters!$B$5+(1-Parameters!$B$5)*EXP((C54-E54)/(2*(1-Parameters!$B$5)*J54))))</x:f>
        <x:v>0.9233655063794518</x:v>
      </x:c>
      <x:c r="L54" s="43" t="n">
        <x:f>K54*J54</x:f>
        <x:v>1200009.062495226</x:v>
      </x:c>
      <x:c r="M54" s="43" t="n">
        <x:f>Parameters!$B$4*(I54+L54)</x:f>
        <x:v>1680012.6874933164</x:v>
      </x:c>
      <x:c r="N54" s="42" t="n">
        <x:f>SUMIFS(Inputs_Counterparties!$D$4:$D$15,Inputs_Counterparties!$A$4:$A$15,A54)</x:f>
        <x:v>1</x:v>
      </x:c>
      <x:c r="O54" s="43" t="n">
        <x:f>M54*N54</x:f>
        <x:v>1680012.6874933164</x:v>
      </x:c>
      <x:c r="P54" s="43" t="n">
        <x:v>0</x:v>
      </x:c>
      <x:c r="Q54" s="43" t="n">
        <x:v>1299603.5201710137</x:v>
      </x:c>
      <x:c r="R54" s="41" t="n">
        <x:v>0.9233655063794518</x:v>
      </x:c>
      <x:c r="S54" s="43" t="n">
        <x:v>1200009.062495226</x:v>
      </x:c>
      <x:c r="T54" s="43" t="n">
        <x:v>1680012.6874933164</x:v>
      </x:c>
      <x:c r="U54" s="43" t="n">
        <x:v>1680012.6874933164</x:v>
      </x:c>
      <x:c r="V54" s="43" t="n">
        <x:f>M54-T54</x:f>
        <x:v>0</x:v>
      </x:c>
      <x:c r="W54" s="27" t="str">
        <x:f>IF(ABS(V54)&lt;0.01,"OK","CHECK")</x:f>
        <x:v>OK</x:v>
      </x:c>
    </x:row>
    <x:row r="55">
      <x:c r="A55" s="27" t="str">
        <x:v>IND_CORPORATE_002</x:v>
      </x:c>
      <x:c r="B55" s="27" t="str">
        <x:v>3273</x:v>
      </x:c>
      <x:c r="C55" s="43" t="n">
        <x:f>SUMIFS(Trade_Calc!$AB$4:$AB$301,Trade_Calc!$B$4:$B$301,A55,Trade_Calc!$C$4:$C$301,B55)</x:f>
        <x:v>386130</x:v>
      </x:c>
      <x:c r="D55" s="27" t="str">
        <x:f>IF(COUNTIFS(Trade_Calc!$B$4:$B$301,A55,Trade_Calc!$C$4:$C$301,B55,Trade_Calc!$AJ$4:$AJ$301,"M")&gt;0,"M","U")</x:f>
        <x:v>U</x:v>
      </x:c>
      <x:c r="E55" s="43" t="n">
        <x:f>SUMIFS(Inputs_Collateral!$D$4:$D$98,Inputs_Collateral!$A$4:$A$98,A55,Inputs_Collateral!$B$4:$B$98,B55)</x:f>
        <x:v>0</x:v>
      </x:c>
      <x:c r="F55" s="43" t="n">
        <x:f>SUMIFS(Inputs_Collateral!$E$4:$E$98,Inputs_Collateral!$A$4:$A$98,A55,Inputs_Collateral!$B$4:$B$98,B55)</x:f>
        <x:v>0</x:v>
      </x:c>
      <x:c r="G55" s="43" t="n">
        <x:f>SUMIFS(Inputs_Collateral!$F$4:$F$98,Inputs_Collateral!$A$4:$A$98,A55,Inputs_Collateral!$B$4:$B$98,B55)</x:f>
        <x:v>0</x:v>
      </x:c>
      <x:c r="H55" s="43" t="n">
        <x:f>SUMIFS(Inputs_Collateral!$G$4:$G$98,Inputs_Collateral!$A$4:$A$98,A55,Inputs_Collateral!$B$4:$B$98,B55)</x:f>
        <x:v>0</x:v>
      </x:c>
      <x:c r="I55" s="43" t="n">
        <x:f>IF(D55="M",MAX(C55-E55,F55+G55-H55,0),MAX(C55-E55,0))</x:f>
        <x:v>386130</x:v>
      </x:c>
      <x:c r="J55" s="43" t="n">
        <x:f>SUMIFS(Asset_Class_AddOn!$D$4:$D$100,Asset_Class_AddOn!$A$4:$A$100,A55,Asset_Class_AddOn!$B$4:$B$100,B55)</x:f>
        <x:v>11505948.264206408</x:v>
      </x:c>
      <x:c r="K55" s="41" t="n">
        <x:f>IF(J55&lt;=0,1,MIN(1,Parameters!$B$5+(1-Parameters!$B$5)*EXP((C55-E55)/(2*(1-Parameters!$B$5)*J55))))</x:f>
        <x:v>1</x:v>
      </x:c>
      <x:c r="L55" s="43" t="n">
        <x:f>K55*J55</x:f>
        <x:v>11505948.264206408</x:v>
      </x:c>
      <x:c r="M55" s="43" t="n">
        <x:f>Parameters!$B$4*(I55+L55)</x:f>
        <x:v>16648909.56988897</x:v>
      </x:c>
      <x:c r="N55" s="42" t="n">
        <x:f>SUMIFS(Inputs_Counterparties!$D$4:$D$15,Inputs_Counterparties!$A$4:$A$15,A55)</x:f>
        <x:v>1</x:v>
      </x:c>
      <x:c r="O55" s="43" t="n">
        <x:f>M55*N55</x:f>
        <x:v>16648909.56988897</x:v>
      </x:c>
      <x:c r="P55" s="43" t="n">
        <x:v>386130</x:v>
      </x:c>
      <x:c r="Q55" s="43" t="n">
        <x:v>11505948.264206408</x:v>
      </x:c>
      <x:c r="R55" s="41" t="n">
        <x:v>1</x:v>
      </x:c>
      <x:c r="S55" s="43" t="n">
        <x:v>11505948.264206408</x:v>
      </x:c>
      <x:c r="T55" s="43" t="n">
        <x:v>16648909.56988897</x:v>
      </x:c>
      <x:c r="U55" s="43" t="n">
        <x:v>16648909.56988897</x:v>
      </x:c>
      <x:c r="V55" s="43" t="n">
        <x:f>M55-T55</x:f>
        <x:v>0</x:v>
      </x:c>
      <x:c r="W55" s="27" t="str">
        <x:f>IF(ABS(V55)&lt;0.01,"OK","CHECK")</x:f>
        <x:v>OK</x:v>
      </x:c>
    </x:row>
    <x:row r="56">
      <x:c r="A56" s="27" t="str">
        <x:v>IND_CORPORATE_002</x:v>
      </x:c>
      <x:c r="B56" s="27" t="str">
        <x:v>3331</x:v>
      </x:c>
      <x:c r="C56" s="43" t="n">
        <x:f>SUMIFS(Trade_Calc!$AB$4:$AB$301,Trade_Calc!$B$4:$B$301,A56,Trade_Calc!$C$4:$C$301,B56)</x:f>
        <x:v>111321</x:v>
      </x:c>
      <x:c r="D56" s="27" t="str">
        <x:f>IF(COUNTIFS(Trade_Calc!$B$4:$B$301,A56,Trade_Calc!$C$4:$C$301,B56,Trade_Calc!$AJ$4:$AJ$301,"M")&gt;0,"M","U")</x:f>
        <x:v>M</x:v>
      </x:c>
      <x:c r="E56" s="43" t="n">
        <x:f>SUMIFS(Inputs_Collateral!$D$4:$D$98,Inputs_Collateral!$A$4:$A$98,A56,Inputs_Collateral!$B$4:$B$98,B56)</x:f>
        <x:v>155000</x:v>
      </x:c>
      <x:c r="F56" s="43" t="n">
        <x:f>SUMIFS(Inputs_Collateral!$E$4:$E$98,Inputs_Collateral!$A$4:$A$98,A56,Inputs_Collateral!$B$4:$B$98,B56)</x:f>
        <x:v>7750</x:v>
      </x:c>
      <x:c r="G56" s="43" t="n">
        <x:f>SUMIFS(Inputs_Collateral!$F$4:$F$98,Inputs_Collateral!$A$4:$A$98,A56,Inputs_Collateral!$B$4:$B$98,B56)</x:f>
        <x:v>3100</x:v>
      </x:c>
      <x:c r="H56" s="43" t="n">
        <x:f>SUMIFS(Inputs_Collateral!$G$4:$G$98,Inputs_Collateral!$A$4:$A$98,A56,Inputs_Collateral!$B$4:$B$98,B56)</x:f>
        <x:v>0</x:v>
      </x:c>
      <x:c r="I56" s="43" t="n">
        <x:f>IF(D56="M",MAX(C56-E56,F56+G56-H56,0),MAX(C56-E56,0))</x:f>
        <x:v>10850</x:v>
      </x:c>
      <x:c r="J56" s="43" t="n">
        <x:f>SUMIFS(Asset_Class_AddOn!$D$4:$D$100,Asset_Class_AddOn!$A$4:$A$100,A56,Asset_Class_AddOn!$B$4:$B$100,B56)</x:f>
        <x:v>124177.70840605149</x:v>
      </x:c>
      <x:c r="K56" s="41" t="n">
        <x:f>IF(J56&lt;=0,1,MIN(1,Parameters!$B$5+(1-Parameters!$B$5)*EXP((C56-E56)/(2*(1-Parameters!$B$5)*J56))))</x:f>
        <x:v>0.8394468913415208</x:v>
      </x:c>
      <x:c r="L56" s="43" t="n">
        <x:f>K56*J56</x:f>
        <x:v>104240.59129537376</x:v>
      </x:c>
      <x:c r="M56" s="43" t="n">
        <x:f>Parameters!$B$4*(I56+L56)</x:f>
        <x:v>161126.82781352324</x:v>
      </x:c>
      <x:c r="N56" s="42" t="n">
        <x:f>SUMIFS(Inputs_Counterparties!$D$4:$D$15,Inputs_Counterparties!$A$4:$A$15,A56)</x:f>
        <x:v>1</x:v>
      </x:c>
      <x:c r="O56" s="43" t="n">
        <x:f>M56*N56</x:f>
        <x:v>161126.82781352324</x:v>
      </x:c>
      <x:c r="P56" s="43" t="n">
        <x:v>10850</x:v>
      </x:c>
      <x:c r="Q56" s="43" t="n">
        <x:v>124177.7084060515</x:v>
      </x:c>
      <x:c r="R56" s="41" t="n">
        <x:v>0.839446891341521</x:v>
      </x:c>
      <x:c r="S56" s="43" t="n">
        <x:v>104240.59129537379</x:v>
      </x:c>
      <x:c r="T56" s="43" t="n">
        <x:v>161126.8278135233</x:v>
      </x:c>
      <x:c r="U56" s="43" t="n">
        <x:v>161126.8278135233</x:v>
      </x:c>
      <x:c r="V56" s="43" t="n">
        <x:f>M56-T56</x:f>
        <x:v>-5.820766091346741e-11</x:v>
      </x:c>
      <x:c r="W56" s="27" t="str">
        <x:f>IF(ABS(V56)&lt;0.01,"OK","CHECK")</x:f>
        <x:v>OK</x:v>
      </x:c>
    </x:row>
    <x:row r="57">
      <x:c r="A57" s="27" t="str">
        <x:v>IND_CORPORATE_002</x:v>
      </x:c>
      <x:c r="B57" s="27" t="str">
        <x:v>3346</x:v>
      </x:c>
      <x:c r="C57" s="43" t="n">
        <x:f>SUMIFS(Trade_Calc!$AB$4:$AB$301,Trade_Calc!$B$4:$B$301,A57,Trade_Calc!$C$4:$C$301,B57)</x:f>
        <x:v>-20294</x:v>
      </x:c>
      <x:c r="D57" s="27" t="str">
        <x:f>IF(COUNTIFS(Trade_Calc!$B$4:$B$301,A57,Trade_Calc!$C$4:$C$301,B57,Trade_Calc!$AJ$4:$AJ$301,"M")&gt;0,"M","U")</x:f>
        <x:v>M</x:v>
      </x:c>
      <x:c r="E57" s="43" t="n">
        <x:f>SUMIFS(Inputs_Collateral!$D$4:$D$98,Inputs_Collateral!$A$4:$A$98,A57,Inputs_Collateral!$B$4:$B$98,B57)</x:f>
        <x:v>67755000</x:v>
      </x:c>
      <x:c r="F57" s="43" t="n">
        <x:f>SUMIFS(Inputs_Collateral!$E$4:$E$98,Inputs_Collateral!$A$4:$A$98,A57,Inputs_Collateral!$B$4:$B$98,B57)</x:f>
        <x:v>4517000</x:v>
      </x:c>
      <x:c r="G57" s="43" t="n">
        <x:f>SUMIFS(Inputs_Collateral!$F$4:$F$98,Inputs_Collateral!$A$4:$A$98,A57,Inputs_Collateral!$B$4:$B$98,B57)</x:f>
        <x:v>451700</x:v>
      </x:c>
      <x:c r="H57" s="43" t="n">
        <x:f>SUMIFS(Inputs_Collateral!$G$4:$G$98,Inputs_Collateral!$A$4:$A$98,A57,Inputs_Collateral!$B$4:$B$98,B57)</x:f>
        <x:v>0</x:v>
      </x:c>
      <x:c r="I57" s="43" t="n">
        <x:f>IF(D57="M",MAX(C57-E57,F57+G57-H57,0),MAX(C57-E57,0))</x:f>
        <x:v>4968700</x:v>
      </x:c>
      <x:c r="J57" s="43" t="n">
        <x:f>SUMIFS(Asset_Class_AddOn!$D$4:$D$100,Asset_Class_AddOn!$A$4:$A$100,A57,Asset_Class_AddOn!$B$4:$B$100,B57)</x:f>
        <x:v>3871946.5261487933</x:v>
      </x:c>
      <x:c r="K57" s="41" t="n">
        <x:f>IF(J57&lt;=0,1,MIN(1,Parameters!$B$5+(1-Parameters!$B$5)*EXP((C57-E57)/(2*(1-Parameters!$B$5)*J57))))</x:f>
        <x:v>0.05009477302509057</x:v>
      </x:c>
      <x:c r="L57" s="43" t="n">
        <x:f>K57*J57</x:f>
        <x:v>193964.2823927117</x:v>
      </x:c>
      <x:c r="M57" s="43" t="n">
        <x:f>Parameters!$B$4*(I57+L57)</x:f>
        <x:v>7227729.995349796</x:v>
      </x:c>
      <x:c r="N57" s="42" t="n">
        <x:f>SUMIFS(Inputs_Counterparties!$D$4:$D$15,Inputs_Counterparties!$A$4:$A$15,A57)</x:f>
        <x:v>1</x:v>
      </x:c>
      <x:c r="O57" s="43" t="n">
        <x:f>M57*N57</x:f>
        <x:v>7227729.995349796</x:v>
      </x:c>
      <x:c r="P57" s="43" t="n">
        <x:v>4968700</x:v>
      </x:c>
      <x:c r="Q57" s="43" t="n">
        <x:v>3871946.526148793</x:v>
      </x:c>
      <x:c r="R57" s="41" t="n">
        <x:v>0.05009477302509057</x:v>
      </x:c>
      <x:c r="S57" s="43" t="n">
        <x:v>193964.2823927117</x:v>
      </x:c>
      <x:c r="T57" s="43" t="n">
        <x:v>7227729.995349796</x:v>
      </x:c>
      <x:c r="U57" s="43" t="n">
        <x:v>7227729.995349796</x:v>
      </x:c>
      <x:c r="V57" s="43" t="n">
        <x:f>M57-T57</x:f>
        <x:v>0</x:v>
      </x:c>
      <x:c r="W57" s="27" t="str">
        <x:f>IF(ABS(V57)&lt;0.01,"OK","CHECK")</x:f>
        <x:v>OK</x:v>
      </x:c>
    </x:row>
    <x:row r="58">
      <x:c r="A58" s="27" t="str">
        <x:v>IND_CORPORATE_002</x:v>
      </x:c>
      <x:c r="B58" s="27" t="str">
        <x:v>3389</x:v>
      </x:c>
      <x:c r="C58" s="43" t="n">
        <x:f>SUMIFS(Trade_Calc!$AB$4:$AB$301,Trade_Calc!$B$4:$B$301,A58,Trade_Calc!$C$4:$C$301,B58)</x:f>
        <x:v>16800</x:v>
      </x:c>
      <x:c r="D58" s="27" t="str">
        <x:f>IF(COUNTIFS(Trade_Calc!$B$4:$B$301,A58,Trade_Calc!$C$4:$C$301,B58,Trade_Calc!$AJ$4:$AJ$301,"M")&gt;0,"M","U")</x:f>
        <x:v>M</x:v>
      </x:c>
      <x:c r="E58" s="43" t="n">
        <x:f>SUMIFS(Inputs_Collateral!$D$4:$D$98,Inputs_Collateral!$A$4:$A$98,A58,Inputs_Collateral!$B$4:$B$98,B58)</x:f>
        <x:v>18750000</x:v>
      </x:c>
      <x:c r="F58" s="43" t="n">
        <x:f>SUMIFS(Inputs_Collateral!$E$4:$E$98,Inputs_Collateral!$A$4:$A$98,A58,Inputs_Collateral!$B$4:$B$98,B58)</x:f>
        <x:v>937500</x:v>
      </x:c>
      <x:c r="G58" s="43" t="n">
        <x:f>SUMIFS(Inputs_Collateral!$F$4:$F$98,Inputs_Collateral!$A$4:$A$98,A58,Inputs_Collateral!$B$4:$B$98,B58)</x:f>
        <x:v>375000</x:v>
      </x:c>
      <x:c r="H58" s="43" t="n">
        <x:f>SUMIFS(Inputs_Collateral!$G$4:$G$98,Inputs_Collateral!$A$4:$A$98,A58,Inputs_Collateral!$B$4:$B$98,B58)</x:f>
        <x:v>7500000</x:v>
      </x:c>
      <x:c r="I58" s="43" t="n">
        <x:f>IF(D58="M",MAX(C58-E58,F58+G58-H58,0),MAX(C58-E58,0))</x:f>
        <x:v>0</x:v>
      </x:c>
      <x:c r="J58" s="43" t="n">
        <x:f>SUMIFS(Asset_Class_AddOn!$D$4:$D$100,Asset_Class_AddOn!$A$4:$A$100,A58,Asset_Class_AddOn!$B$4:$B$100,B58)</x:f>
        <x:v>722821.3848213615</x:v>
      </x:c>
      <x:c r="K58" s="41" t="n">
        <x:f>IF(J58&lt;=0,1,MIN(1,Parameters!$B$5+(1-Parameters!$B$5)*EXP((C58-E58)/(2*(1-Parameters!$B$5)*J58))))</x:f>
        <x:v>0.05000113179943116</x:v>
      </x:c>
      <x:c r="L58" s="43" t="n">
        <x:f>K58*J58</x:f>
        <x:v>36141.887329900244</x:v>
      </x:c>
      <x:c r="M58" s="43" t="n">
        <x:f>Parameters!$B$4*(I58+L58)</x:f>
        <x:v>50598.64226186034</x:v>
      </x:c>
      <x:c r="N58" s="42" t="n">
        <x:f>SUMIFS(Inputs_Counterparties!$D$4:$D$15,Inputs_Counterparties!$A$4:$A$15,A58)</x:f>
        <x:v>1</x:v>
      </x:c>
      <x:c r="O58" s="43" t="n">
        <x:f>M58*N58</x:f>
        <x:v>50598.64226186034</x:v>
      </x:c>
      <x:c r="P58" s="43" t="n">
        <x:v>0</x:v>
      </x:c>
      <x:c r="Q58" s="43" t="n">
        <x:v>722821.3848213615</x:v>
      </x:c>
      <x:c r="R58" s="41" t="n">
        <x:v>0.05000113179943116</x:v>
      </x:c>
      <x:c r="S58" s="43" t="n">
        <x:v>36141.887329900244</x:v>
      </x:c>
      <x:c r="T58" s="43" t="n">
        <x:v>50598.64226186034</x:v>
      </x:c>
      <x:c r="U58" s="43" t="n">
        <x:v>50598.64226186034</x:v>
      </x:c>
      <x:c r="V58" s="43" t="n">
        <x:f>M58-T58</x:f>
        <x:v>0</x:v>
      </x:c>
      <x:c r="W58" s="27" t="str">
        <x:f>IF(ABS(V58)&lt;0.01,"OK","CHECK")</x:f>
        <x:v>OK</x:v>
      </x:c>
    </x:row>
    <x:row r="59">
      <x:c r="A59" s="27" t="str">
        <x:v>IND_HEDGE_FUND_001</x:v>
      </x:c>
      <x:c r="B59" s="27" t="str">
        <x:v>3012</x:v>
      </x:c>
      <x:c r="C59" s="43" t="n">
        <x:f>SUMIFS(Trade_Calc!$AB$4:$AB$301,Trade_Calc!$B$4:$B$301,A59,Trade_Calc!$C$4:$C$301,B59)</x:f>
        <x:v>512742</x:v>
      </x:c>
      <x:c r="D59" s="27" t="str">
        <x:f>IF(COUNTIFS(Trade_Calc!$B$4:$B$301,A59,Trade_Calc!$C$4:$C$301,B59,Trade_Calc!$AJ$4:$AJ$301,"M")&gt;0,"M","U")</x:f>
        <x:v>U</x:v>
      </x:c>
      <x:c r="E59" s="43" t="n">
        <x:f>SUMIFS(Inputs_Collateral!$D$4:$D$98,Inputs_Collateral!$A$4:$A$98,A59,Inputs_Collateral!$B$4:$B$98,B59)</x:f>
        <x:v>0</x:v>
      </x:c>
      <x:c r="F59" s="43" t="n">
        <x:f>SUMIFS(Inputs_Collateral!$E$4:$E$98,Inputs_Collateral!$A$4:$A$98,A59,Inputs_Collateral!$B$4:$B$98,B59)</x:f>
        <x:v>0</x:v>
      </x:c>
      <x:c r="G59" s="43" t="n">
        <x:f>SUMIFS(Inputs_Collateral!$F$4:$F$98,Inputs_Collateral!$A$4:$A$98,A59,Inputs_Collateral!$B$4:$B$98,B59)</x:f>
        <x:v>0</x:v>
      </x:c>
      <x:c r="H59" s="43" t="n">
        <x:f>SUMIFS(Inputs_Collateral!$G$4:$G$98,Inputs_Collateral!$A$4:$A$98,A59,Inputs_Collateral!$B$4:$B$98,B59)</x:f>
        <x:v>0</x:v>
      </x:c>
      <x:c r="I59" s="43" t="n">
        <x:f>IF(D59="M",MAX(C59-E59,F59+G59-H59,0),MAX(C59-E59,0))</x:f>
        <x:v>512742</x:v>
      </x:c>
      <x:c r="J59" s="43" t="n">
        <x:f>SUMIFS(Asset_Class_AddOn!$D$4:$D$100,Asset_Class_AddOn!$A$4:$A$100,A59,Asset_Class_AddOn!$B$4:$B$100,B59)</x:f>
        <x:v>36236798.109723434</x:v>
      </x:c>
      <x:c r="K59" s="41" t="n">
        <x:f>IF(J59&lt;=0,1,MIN(1,Parameters!$B$5+(1-Parameters!$B$5)*EXP((C59-E59)/(2*(1-Parameters!$B$5)*J59))))</x:f>
        <x:v>1</x:v>
      </x:c>
      <x:c r="L59" s="43" t="n">
        <x:f>K59*J59</x:f>
        <x:v>36236798.109723434</x:v>
      </x:c>
      <x:c r="M59" s="43" t="n">
        <x:f>Parameters!$B$4*(I59+L59)</x:f>
        <x:v>51449356.15361281</x:v>
      </x:c>
      <x:c r="N59" s="42" t="n">
        <x:f>SUMIFS(Inputs_Counterparties!$D$4:$D$15,Inputs_Counterparties!$A$4:$A$15,A59)</x:f>
        <x:v>1</x:v>
      </x:c>
      <x:c r="O59" s="43" t="n">
        <x:f>M59*N59</x:f>
        <x:v>51449356.15361281</x:v>
      </x:c>
      <x:c r="P59" s="43" t="n">
        <x:v>512742</x:v>
      </x:c>
      <x:c r="Q59" s="43" t="n">
        <x:v>36236798.109723434</x:v>
      </x:c>
      <x:c r="R59" s="41" t="n">
        <x:v>1</x:v>
      </x:c>
      <x:c r="S59" s="43" t="n">
        <x:v>36236798.109723434</x:v>
      </x:c>
      <x:c r="T59" s="43" t="n">
        <x:v>51449356.15361281</x:v>
      </x:c>
      <x:c r="U59" s="43" t="n">
        <x:v>51449356.15361281</x:v>
      </x:c>
      <x:c r="V59" s="43" t="n">
        <x:f>M59-T59</x:f>
        <x:v>0</x:v>
      </x:c>
      <x:c r="W59" s="27" t="str">
        <x:f>IF(ABS(V59)&lt;0.01,"OK","CHECK")</x:f>
        <x:v>OK</x:v>
      </x:c>
    </x:row>
    <x:row r="60">
      <x:c r="A60" s="27" t="str">
        <x:v>IND_HEDGE_FUND_001</x:v>
      </x:c>
      <x:c r="B60" s="27" t="str">
        <x:v>3040</x:v>
      </x:c>
      <x:c r="C60" s="43" t="n">
        <x:f>SUMIFS(Trade_Calc!$AB$4:$AB$301,Trade_Calc!$B$4:$B$301,A60,Trade_Calc!$C$4:$C$301,B60)</x:f>
        <x:v>1051266</x:v>
      </x:c>
      <x:c r="D60" s="27" t="str">
        <x:f>IF(COUNTIFS(Trade_Calc!$B$4:$B$301,A60,Trade_Calc!$C$4:$C$301,B60,Trade_Calc!$AJ$4:$AJ$301,"M")&gt;0,"M","U")</x:f>
        <x:v>M</x:v>
      </x:c>
      <x:c r="E60" s="43" t="n">
        <x:f>SUMIFS(Inputs_Collateral!$D$4:$D$98,Inputs_Collateral!$A$4:$A$98,A60,Inputs_Collateral!$B$4:$B$98,B60)</x:f>
        <x:v>4708000</x:v>
      </x:c>
      <x:c r="F60" s="43" t="n">
        <x:f>SUMIFS(Inputs_Collateral!$E$4:$E$98,Inputs_Collateral!$A$4:$A$98,A60,Inputs_Collateral!$B$4:$B$98,B60)</x:f>
        <x:v>588500</x:v>
      </x:c>
      <x:c r="G60" s="43" t="n">
        <x:f>SUMIFS(Inputs_Collateral!$F$4:$F$98,Inputs_Collateral!$A$4:$A$98,A60,Inputs_Collateral!$B$4:$B$98,B60)</x:f>
        <x:v>235400</x:v>
      </x:c>
      <x:c r="H60" s="43" t="n">
        <x:f>SUMIFS(Inputs_Collateral!$G$4:$G$98,Inputs_Collateral!$A$4:$A$98,A60,Inputs_Collateral!$B$4:$B$98,B60)</x:f>
        <x:v>4708000</x:v>
      </x:c>
      <x:c r="I60" s="43" t="n">
        <x:f>IF(D60="M",MAX(C60-E60,F60+G60-H60,0),MAX(C60-E60,0))</x:f>
        <x:v>0</x:v>
      </x:c>
      <x:c r="J60" s="43" t="n">
        <x:f>SUMIFS(Asset_Class_AddOn!$D$4:$D$100,Asset_Class_AddOn!$A$4:$A$100,A60,Asset_Class_AddOn!$B$4:$B$100,B60)</x:f>
        <x:v>3253266.619173352</x:v>
      </x:c>
      <x:c r="K60" s="41" t="n">
        <x:f>IF(J60&lt;=0,1,MIN(1,Parameters!$B$5+(1-Parameters!$B$5)*EXP((C60-E60)/(2*(1-Parameters!$B$5)*J60))))</x:f>
        <x:v>0.5757747846817793</x:v>
      </x:c>
      <x:c r="L60" s="43" t="n">
        <x:f>K60*J60</x:f>
        <x:v>1873148.8871669571</x:v>
      </x:c>
      <x:c r="M60" s="43" t="n">
        <x:f>Parameters!$B$4*(I60+L60)</x:f>
        <x:v>2622408.4420337398</x:v>
      </x:c>
      <x:c r="N60" s="42" t="n">
        <x:f>SUMIFS(Inputs_Counterparties!$D$4:$D$15,Inputs_Counterparties!$A$4:$A$15,A60)</x:f>
        <x:v>1</x:v>
      </x:c>
      <x:c r="O60" s="43" t="n">
        <x:f>M60*N60</x:f>
        <x:v>2622408.4420337398</x:v>
      </x:c>
      <x:c r="P60" s="43" t="n">
        <x:v>0</x:v>
      </x:c>
      <x:c r="Q60" s="43" t="n">
        <x:v>3253266.619173352</x:v>
      </x:c>
      <x:c r="R60" s="41" t="n">
        <x:v>0.5757747846817793</x:v>
      </x:c>
      <x:c r="S60" s="43" t="n">
        <x:v>1873148.8871669571</x:v>
      </x:c>
      <x:c r="T60" s="43" t="n">
        <x:v>2622408.4420337398</x:v>
      </x:c>
      <x:c r="U60" s="43" t="n">
        <x:v>2622408.4420337398</x:v>
      </x:c>
      <x:c r="V60" s="43" t="n">
        <x:f>M60-T60</x:f>
        <x:v>0</x:v>
      </x:c>
      <x:c r="W60" s="27" t="str">
        <x:f>IF(ABS(V60)&lt;0.01,"OK","CHECK")</x:f>
        <x:v>OK</x:v>
      </x:c>
    </x:row>
    <x:row r="61">
      <x:c r="A61" s="27" t="str">
        <x:v>IND_HEDGE_FUND_001</x:v>
      </x:c>
      <x:c r="B61" s="27" t="str">
        <x:v>3109</x:v>
      </x:c>
      <x:c r="C61" s="43" t="n">
        <x:f>SUMIFS(Trade_Calc!$AB$4:$AB$301,Trade_Calc!$B$4:$B$301,A61,Trade_Calc!$C$4:$C$301,B61)</x:f>
        <x:v>4788855</x:v>
      </x:c>
      <x:c r="D61" s="27" t="str">
        <x:f>IF(COUNTIFS(Trade_Calc!$B$4:$B$301,A61,Trade_Calc!$C$4:$C$301,B61,Trade_Calc!$AJ$4:$AJ$301,"M")&gt;0,"M","U")</x:f>
        <x:v>M</x:v>
      </x:c>
      <x:c r="E61" s="43" t="n">
        <x:f>SUMIFS(Inputs_Collateral!$D$4:$D$98,Inputs_Collateral!$A$4:$A$98,A61,Inputs_Collateral!$B$4:$B$98,B61)</x:f>
        <x:v>23910000</x:v>
      </x:c>
      <x:c r="F61" s="43" t="n">
        <x:f>SUMIFS(Inputs_Collateral!$E$4:$E$98,Inputs_Collateral!$A$4:$A$98,A61,Inputs_Collateral!$B$4:$B$98,B61)</x:f>
        <x:v>398500</x:v>
      </x:c>
      <x:c r="G61" s="43" t="n">
        <x:f>SUMIFS(Inputs_Collateral!$F$4:$F$98,Inputs_Collateral!$A$4:$A$98,A61,Inputs_Collateral!$B$4:$B$98,B61)</x:f>
        <x:v>159400</x:v>
      </x:c>
      <x:c r="H61" s="43" t="n">
        <x:f>SUMIFS(Inputs_Collateral!$G$4:$G$98,Inputs_Collateral!$A$4:$A$98,A61,Inputs_Collateral!$B$4:$B$98,B61)</x:f>
        <x:v>3188000</x:v>
      </x:c>
      <x:c r="I61" s="43" t="n">
        <x:f>IF(D61="M",MAX(C61-E61,F61+G61-H61,0),MAX(C61-E61,0))</x:f>
        <x:v>0</x:v>
      </x:c>
      <x:c r="J61" s="43" t="n">
        <x:f>SUMIFS(Asset_Class_AddOn!$D$4:$D$100,Asset_Class_AddOn!$A$4:$A$100,A61,Asset_Class_AddOn!$B$4:$B$100,B61)</x:f>
        <x:v>3569951.576404154</x:v>
      </x:c>
      <x:c r="K61" s="41" t="n">
        <x:f>IF(J61&lt;=0,1,MIN(1,Parameters!$B$5+(1-Parameters!$B$5)*EXP((C61-E61)/(2*(1-Parameters!$B$5)*J61))))</x:f>
        <x:v>0.10668123523648754</x:v>
      </x:c>
      <x:c r="L61" s="43" t="n">
        <x:f>K61*J61</x:f>
        <x:v>380846.84390524105</x:v>
      </x:c>
      <x:c r="M61" s="43" t="n">
        <x:f>Parameters!$B$4*(I61+L61)</x:f>
        <x:v>533185.5814673374</x:v>
      </x:c>
      <x:c r="N61" s="42" t="n">
        <x:f>SUMIFS(Inputs_Counterparties!$D$4:$D$15,Inputs_Counterparties!$A$4:$A$15,A61)</x:f>
        <x:v>1</x:v>
      </x:c>
      <x:c r="O61" s="43" t="n">
        <x:f>M61*N61</x:f>
        <x:v>533185.5814673374</x:v>
      </x:c>
      <x:c r="P61" s="43" t="n">
        <x:v>0</x:v>
      </x:c>
      <x:c r="Q61" s="43" t="n">
        <x:v>3569951.5764041524</x:v>
      </x:c>
      <x:c r="R61" s="41" t="n">
        <x:v>0.10668123523648748</x:v>
      </x:c>
      <x:c r="S61" s="43" t="n">
        <x:v>380846.8439052407</x:v>
      </x:c>
      <x:c r="T61" s="43" t="n">
        <x:v>533185.581467337</x:v>
      </x:c>
      <x:c r="U61" s="43" t="n">
        <x:v>533185.581467337</x:v>
      </x:c>
      <x:c r="V61" s="43" t="n">
        <x:f>M61-T61</x:f>
        <x:v>4.656612873077393e-10</x:v>
      </x:c>
      <x:c r="W61" s="27" t="str">
        <x:f>IF(ABS(V61)&lt;0.01,"OK","CHECK")</x:f>
        <x:v>OK</x:v>
      </x:c>
    </x:row>
    <x:row r="62">
      <x:c r="A62" s="27" t="str">
        <x:v>IND_HEDGE_FUND_001</x:v>
      </x:c>
      <x:c r="B62" s="27" t="str">
        <x:v>3205</x:v>
      </x:c>
      <x:c r="C62" s="43" t="n">
        <x:f>SUMIFS(Trade_Calc!$AB$4:$AB$301,Trade_Calc!$B$4:$B$301,A62,Trade_Calc!$C$4:$C$301,B62)</x:f>
        <x:v>-176435</x:v>
      </x:c>
      <x:c r="D62" s="27" t="str">
        <x:f>IF(COUNTIFS(Trade_Calc!$B$4:$B$301,A62,Trade_Calc!$C$4:$C$301,B62,Trade_Calc!$AJ$4:$AJ$301,"M")&gt;0,"M","U")</x:f>
        <x:v>M</x:v>
      </x:c>
      <x:c r="E62" s="43" t="n">
        <x:f>SUMIFS(Inputs_Collateral!$D$4:$D$98,Inputs_Collateral!$A$4:$A$98,A62,Inputs_Collateral!$B$4:$B$98,B62)</x:f>
        <x:v>6690000</x:v>
      </x:c>
      <x:c r="F62" s="43" t="n">
        <x:f>SUMIFS(Inputs_Collateral!$E$4:$E$98,Inputs_Collateral!$A$4:$A$98,A62,Inputs_Collateral!$B$4:$B$98,B62)</x:f>
        <x:v>334500</x:v>
      </x:c>
      <x:c r="G62" s="43" t="n">
        <x:f>SUMIFS(Inputs_Collateral!$F$4:$F$98,Inputs_Collateral!$A$4:$A$98,A62,Inputs_Collateral!$B$4:$B$98,B62)</x:f>
        <x:v>133800</x:v>
      </x:c>
      <x:c r="H62" s="43" t="n">
        <x:f>SUMIFS(Inputs_Collateral!$G$4:$G$98,Inputs_Collateral!$A$4:$A$98,A62,Inputs_Collateral!$B$4:$B$98,B62)</x:f>
        <x:v>2676000</x:v>
      </x:c>
      <x:c r="I62" s="43" t="n">
        <x:f>IF(D62="M",MAX(C62-E62,F62+G62-H62,0),MAX(C62-E62,0))</x:f>
        <x:v>0</x:v>
      </x:c>
      <x:c r="J62" s="43" t="n">
        <x:f>SUMIFS(Asset_Class_AddOn!$D$4:$D$100,Asset_Class_AddOn!$A$4:$A$100,A62,Asset_Class_AddOn!$B$4:$B$100,B62)</x:f>
        <x:v>581549.4754292858</x:v>
      </x:c>
      <x:c r="K62" s="41" t="n">
        <x:f>IF(J62&lt;=0,1,MIN(1,Parameters!$B$5+(1-Parameters!$B$5)*EXP((C62-E62)/(2*(1-Parameters!$B$5)*J62))))</x:f>
        <x:v>0.05190061733289126</x:v>
      </x:c>
      <x:c r="L62" s="43" t="n">
        <x:f>K62*J62</x:f>
        <x:v>30182.776784399008</x:v>
      </x:c>
      <x:c r="M62" s="43" t="n">
        <x:f>Parameters!$B$4*(I62+L62)</x:f>
        <x:v>42255.887498158605</x:v>
      </x:c>
      <x:c r="N62" s="42" t="n">
        <x:f>SUMIFS(Inputs_Counterparties!$D$4:$D$15,Inputs_Counterparties!$A$4:$A$15,A62)</x:f>
        <x:v>1</x:v>
      </x:c>
      <x:c r="O62" s="43" t="n">
        <x:f>M62*N62</x:f>
        <x:v>42255.887498158605</x:v>
      </x:c>
      <x:c r="P62" s="43" t="n">
        <x:v>0</x:v>
      </x:c>
      <x:c r="Q62" s="43" t="n">
        <x:v>581549.4754292858</x:v>
      </x:c>
      <x:c r="R62" s="41" t="n">
        <x:v>0.05190061733289126</x:v>
      </x:c>
      <x:c r="S62" s="43" t="n">
        <x:v>30182.776784399008</x:v>
      </x:c>
      <x:c r="T62" s="43" t="n">
        <x:v>42255.887498158605</x:v>
      </x:c>
      <x:c r="U62" s="43" t="n">
        <x:v>42255.887498158605</x:v>
      </x:c>
      <x:c r="V62" s="43" t="n">
        <x:f>M62-T62</x:f>
        <x:v>0</x:v>
      </x:c>
      <x:c r="W62" s="27" t="str">
        <x:f>IF(ABS(V62)&lt;0.01,"OK","CHECK")</x:f>
        <x:v>OK</x:v>
      </x:c>
    </x:row>
    <x:row r="63">
      <x:c r="A63" s="27" t="str">
        <x:v>IND_HEDGE_FUND_001</x:v>
      </x:c>
      <x:c r="B63" s="27" t="str">
        <x:v>3289</x:v>
      </x:c>
      <x:c r="C63" s="43" t="n">
        <x:f>SUMIFS(Trade_Calc!$AB$4:$AB$301,Trade_Calc!$B$4:$B$301,A63,Trade_Calc!$C$4:$C$301,B63)</x:f>
        <x:v>-433176</x:v>
      </x:c>
      <x:c r="D63" s="27" t="str">
        <x:f>IF(COUNTIFS(Trade_Calc!$B$4:$B$301,A63,Trade_Calc!$C$4:$C$301,B63,Trade_Calc!$AJ$4:$AJ$301,"M")&gt;0,"M","U")</x:f>
        <x:v>M</x:v>
      </x:c>
      <x:c r="E63" s="43" t="n">
        <x:f>SUMIFS(Inputs_Collateral!$D$4:$D$98,Inputs_Collateral!$A$4:$A$98,A63,Inputs_Collateral!$B$4:$B$98,B63)</x:f>
        <x:v>12855000</x:v>
      </x:c>
      <x:c r="F63" s="43" t="n">
        <x:f>SUMIFS(Inputs_Collateral!$E$4:$E$98,Inputs_Collateral!$A$4:$A$98,A63,Inputs_Collateral!$B$4:$B$98,B63)</x:f>
        <x:v>1285500</x:v>
      </x:c>
      <x:c r="G63" s="43" t="n">
        <x:f>SUMIFS(Inputs_Collateral!$F$4:$F$98,Inputs_Collateral!$A$4:$A$98,A63,Inputs_Collateral!$B$4:$B$98,B63)</x:f>
        <x:v>257100</x:v>
      </x:c>
      <x:c r="H63" s="43" t="n">
        <x:f>SUMIFS(Inputs_Collateral!$G$4:$G$98,Inputs_Collateral!$A$4:$A$98,A63,Inputs_Collateral!$B$4:$B$98,B63)</x:f>
        <x:v>0</x:v>
      </x:c>
      <x:c r="I63" s="43" t="n">
        <x:f>IF(D63="M",MAX(C63-E63,F63+G63-H63,0),MAX(C63-E63,0))</x:f>
        <x:v>1542600</x:v>
      </x:c>
      <x:c r="J63" s="43" t="n">
        <x:f>SUMIFS(Asset_Class_AddOn!$D$4:$D$100,Asset_Class_AddOn!$A$4:$A$100,A63,Asset_Class_AddOn!$B$4:$B$100,B63)</x:f>
        <x:v>1149164.5220523032</x:v>
      </x:c>
      <x:c r="K63" s="41" t="n">
        <x:f>IF(J63&lt;=0,1,MIN(1,Parameters!$B$5+(1-Parameters!$B$5)*EXP((C63-E63)/(2*(1-Parameters!$B$5)*J63))))</x:f>
        <x:v>0.05216083654096744</x:v>
      </x:c>
      <x:c r="L63" s="43" t="n">
        <x:f>K63*J63</x:f>
        <x:v>59941.38279344916</x:v>
      </x:c>
      <x:c r="M63" s="43" t="n">
        <x:f>Parameters!$B$4*(I63+L63)</x:f>
        <x:v>2243557.9359108284</x:v>
      </x:c>
      <x:c r="N63" s="42" t="n">
        <x:f>SUMIFS(Inputs_Counterparties!$D$4:$D$15,Inputs_Counterparties!$A$4:$A$15,A63)</x:f>
        <x:v>1</x:v>
      </x:c>
      <x:c r="O63" s="43" t="n">
        <x:f>M63*N63</x:f>
        <x:v>2243557.9359108284</x:v>
      </x:c>
      <x:c r="P63" s="43" t="n">
        <x:v>1542600</x:v>
      </x:c>
      <x:c r="Q63" s="43" t="n">
        <x:v>1149164.5220523034</x:v>
      </x:c>
      <x:c r="R63" s="41" t="n">
        <x:v>0.05216083654096744</x:v>
      </x:c>
      <x:c r="S63" s="43" t="n">
        <x:v>59941.38279344917</x:v>
      </x:c>
      <x:c r="T63" s="43" t="n">
        <x:v>2243557.9359108284</x:v>
      </x:c>
      <x:c r="U63" s="43" t="n">
        <x:v>2243557.9359108284</x:v>
      </x:c>
      <x:c r="V63" s="43" t="n">
        <x:f>M63-T63</x:f>
        <x:v>0</x:v>
      </x:c>
      <x:c r="W63" s="27" t="str">
        <x:f>IF(ABS(V63)&lt;0.01,"OK","CHECK")</x:f>
        <x:v>OK</x:v>
      </x:c>
    </x:row>
    <x:row r="64">
      <x:c r="A64" s="27" t="str">
        <x:v>IND_HEDGE_FUND_001</x:v>
      </x:c>
      <x:c r="B64" s="27" t="str">
        <x:v>3338</x:v>
      </x:c>
      <x:c r="C64" s="43" t="n">
        <x:f>SUMIFS(Trade_Calc!$AB$4:$AB$301,Trade_Calc!$B$4:$B$301,A64,Trade_Calc!$C$4:$C$301,B64)</x:f>
        <x:v>40736</x:v>
      </x:c>
      <x:c r="D64" s="27" t="str">
        <x:f>IF(COUNTIFS(Trade_Calc!$B$4:$B$301,A64,Trade_Calc!$C$4:$C$301,B64,Trade_Calc!$AJ$4:$AJ$301,"M")&gt;0,"M","U")</x:f>
        <x:v>U</x:v>
      </x:c>
      <x:c r="E64" s="43" t="n">
        <x:f>SUMIFS(Inputs_Collateral!$D$4:$D$98,Inputs_Collateral!$A$4:$A$98,A64,Inputs_Collateral!$B$4:$B$98,B64)</x:f>
        <x:v>0</x:v>
      </x:c>
      <x:c r="F64" s="43" t="n">
        <x:f>SUMIFS(Inputs_Collateral!$E$4:$E$98,Inputs_Collateral!$A$4:$A$98,A64,Inputs_Collateral!$B$4:$B$98,B64)</x:f>
        <x:v>0</x:v>
      </x:c>
      <x:c r="G64" s="43" t="n">
        <x:f>SUMIFS(Inputs_Collateral!$F$4:$F$98,Inputs_Collateral!$A$4:$A$98,A64,Inputs_Collateral!$B$4:$B$98,B64)</x:f>
        <x:v>0</x:v>
      </x:c>
      <x:c r="H64" s="43" t="n">
        <x:f>SUMIFS(Inputs_Collateral!$G$4:$G$98,Inputs_Collateral!$A$4:$A$98,A64,Inputs_Collateral!$B$4:$B$98,B64)</x:f>
        <x:v>0</x:v>
      </x:c>
      <x:c r="I64" s="43" t="n">
        <x:f>IF(D64="M",MAX(C64-E64,F64+G64-H64,0),MAX(C64-E64,0))</x:f>
        <x:v>40736</x:v>
      </x:c>
      <x:c r="J64" s="43" t="n">
        <x:f>SUMIFS(Asset_Class_AddOn!$D$4:$D$100,Asset_Class_AddOn!$A$4:$A$100,A64,Asset_Class_AddOn!$B$4:$B$100,B64)</x:f>
        <x:v>1069871.4367438597</x:v>
      </x:c>
      <x:c r="K64" s="41" t="n">
        <x:f>IF(J64&lt;=0,1,MIN(1,Parameters!$B$5+(1-Parameters!$B$5)*EXP((C64-E64)/(2*(1-Parameters!$B$5)*J64))))</x:f>
        <x:v>1</x:v>
      </x:c>
      <x:c r="L64" s="43" t="n">
        <x:f>K64*J64</x:f>
        <x:v>1069871.4367438597</x:v>
      </x:c>
      <x:c r="M64" s="43" t="n">
        <x:f>Parameters!$B$4*(I64+L64)</x:f>
        <x:v>1554850.4114414034</x:v>
      </x:c>
      <x:c r="N64" s="42" t="n">
        <x:f>SUMIFS(Inputs_Counterparties!$D$4:$D$15,Inputs_Counterparties!$A$4:$A$15,A64)</x:f>
        <x:v>1</x:v>
      </x:c>
      <x:c r="O64" s="43" t="n">
        <x:f>M64*N64</x:f>
        <x:v>1554850.4114414034</x:v>
      </x:c>
      <x:c r="P64" s="43" t="n">
        <x:v>40736</x:v>
      </x:c>
      <x:c r="Q64" s="43" t="n">
        <x:v>1069871.4367438597</x:v>
      </x:c>
      <x:c r="R64" s="41" t="n">
        <x:v>1</x:v>
      </x:c>
      <x:c r="S64" s="43" t="n">
        <x:v>1069871.4367438597</x:v>
      </x:c>
      <x:c r="T64" s="43" t="n">
        <x:v>1554850.4114414034</x:v>
      </x:c>
      <x:c r="U64" s="43" t="n">
        <x:v>1554850.4114414034</x:v>
      </x:c>
      <x:c r="V64" s="43" t="n">
        <x:f>M64-T64</x:f>
        <x:v>0</x:v>
      </x:c>
      <x:c r="W64" s="27" t="str">
        <x:f>IF(ABS(V64)&lt;0.01,"OK","CHECK")</x:f>
        <x:v>OK</x:v>
      </x:c>
    </x:row>
    <x:row r="65">
      <x:c r="A65" s="27" t="str">
        <x:v>IND_HEDGE_FUND_001</x:v>
      </x:c>
      <x:c r="B65" s="27" t="str">
        <x:v>3345</x:v>
      </x:c>
      <x:c r="C65" s="43" t="n">
        <x:f>SUMIFS(Trade_Calc!$AB$4:$AB$301,Trade_Calc!$B$4:$B$301,A65,Trade_Calc!$C$4:$C$301,B65)</x:f>
        <x:v>6725697</x:v>
      </x:c>
      <x:c r="D65" s="27" t="str">
        <x:f>IF(COUNTIFS(Trade_Calc!$B$4:$B$301,A65,Trade_Calc!$C$4:$C$301,B65,Trade_Calc!$AJ$4:$AJ$301,"M")&gt;0,"M","U")</x:f>
        <x:v>M</x:v>
      </x:c>
      <x:c r="E65" s="43" t="n">
        <x:f>SUMIFS(Inputs_Collateral!$D$4:$D$98,Inputs_Collateral!$A$4:$A$98,A65,Inputs_Collateral!$B$4:$B$98,B65)</x:f>
        <x:v>962985000</x:v>
      </x:c>
      <x:c r="F65" s="43" t="n">
        <x:f>SUMIFS(Inputs_Collateral!$E$4:$E$98,Inputs_Collateral!$A$4:$A$98,A65,Inputs_Collateral!$B$4:$B$98,B65)</x:f>
        <x:v>32099500</x:v>
      </x:c>
      <x:c r="G65" s="43" t="n">
        <x:f>SUMIFS(Inputs_Collateral!$F$4:$F$98,Inputs_Collateral!$A$4:$A$98,A65,Inputs_Collateral!$B$4:$B$98,B65)</x:f>
        <x:v>6419900</x:v>
      </x:c>
      <x:c r="H65" s="43" t="n">
        <x:f>SUMIFS(Inputs_Collateral!$G$4:$G$98,Inputs_Collateral!$A$4:$A$98,A65,Inputs_Collateral!$B$4:$B$98,B65)</x:f>
        <x:v>128398000</x:v>
      </x:c>
      <x:c r="I65" s="43" t="n">
        <x:f>IF(D65="M",MAX(C65-E65,F65+G65-H65,0),MAX(C65-E65,0))</x:f>
        <x:v>0</x:v>
      </x:c>
      <x:c r="J65" s="43" t="n">
        <x:f>SUMIFS(Asset_Class_AddOn!$D$4:$D$100,Asset_Class_AddOn!$A$4:$A$100,A65,Asset_Class_AddOn!$B$4:$B$100,B65)</x:f>
        <x:v>13343331.056255389</x:v>
      </x:c>
      <x:c r="K65" s="41" t="n">
        <x:f>IF(J65&lt;=0,1,MIN(1,Parameters!$B$5+(1-Parameters!$B$5)*EXP((C65-E65)/(2*(1-Parameters!$B$5)*J65))))</x:f>
        <x:v>0.050000000000000044</x:v>
      </x:c>
      <x:c r="L65" s="43" t="n">
        <x:f>K65*J65</x:f>
        <x:v>667166.55281277</x:v>
      </x:c>
      <x:c r="M65" s="43" t="n">
        <x:f>Parameters!$B$4*(I65+L65)</x:f>
        <x:v>934033.173937878</x:v>
      </x:c>
      <x:c r="N65" s="42" t="n">
        <x:f>SUMIFS(Inputs_Counterparties!$D$4:$D$15,Inputs_Counterparties!$A$4:$A$15,A65)</x:f>
        <x:v>1</x:v>
      </x:c>
      <x:c r="O65" s="43" t="n">
        <x:f>M65*N65</x:f>
        <x:v>934033.173937878</x:v>
      </x:c>
      <x:c r="P65" s="43" t="n">
        <x:v>0</x:v>
      </x:c>
      <x:c r="Q65" s="43" t="n">
        <x:v>13343331.056255396</x:v>
      </x:c>
      <x:c r="R65" s="41" t="n">
        <x:v>0.050000000000000044</x:v>
      </x:c>
      <x:c r="S65" s="43" t="n">
        <x:v>667166.5528127704</x:v>
      </x:c>
      <x:c r="T65" s="43" t="n">
        <x:v>934033.1739378785</x:v>
      </x:c>
      <x:c r="U65" s="43" t="n">
        <x:v>934033.1739378785</x:v>
      </x:c>
      <x:c r="V65" s="43" t="n">
        <x:f>M65-T65</x:f>
        <x:v>-4.656612873077393e-10</x:v>
      </x:c>
      <x:c r="W65" s="27" t="str">
        <x:f>IF(ABS(V65)&lt;0.01,"OK","CHECK")</x:f>
        <x:v>OK</x:v>
      </x:c>
    </x:row>
    <x:row r="66">
      <x:c r="A66" s="27" t="str">
        <x:v>IND_INSURER_001</x:v>
      </x:c>
      <x:c r="B66" s="27" t="str">
        <x:v>3048</x:v>
      </x:c>
      <x:c r="C66" s="43" t="n">
        <x:f>SUMIFS(Trade_Calc!$AB$4:$AB$301,Trade_Calc!$B$4:$B$301,A66,Trade_Calc!$C$4:$C$301,B66)</x:f>
        <x:v>4811061.6</x:v>
      </x:c>
      <x:c r="D66" s="27" t="str">
        <x:f>IF(COUNTIFS(Trade_Calc!$B$4:$B$301,A66,Trade_Calc!$C$4:$C$301,B66,Trade_Calc!$AJ$4:$AJ$301,"M")&gt;0,"M","U")</x:f>
        <x:v>U</x:v>
      </x:c>
      <x:c r="E66" s="43" t="n">
        <x:f>SUMIFS(Inputs_Collateral!$D$4:$D$98,Inputs_Collateral!$A$4:$A$98,A66,Inputs_Collateral!$B$4:$B$98,B66)</x:f>
        <x:v>0</x:v>
      </x:c>
      <x:c r="F66" s="43" t="n">
        <x:f>SUMIFS(Inputs_Collateral!$E$4:$E$98,Inputs_Collateral!$A$4:$A$98,A66,Inputs_Collateral!$B$4:$B$98,B66)</x:f>
        <x:v>0</x:v>
      </x:c>
      <x:c r="G66" s="43" t="n">
        <x:f>SUMIFS(Inputs_Collateral!$F$4:$F$98,Inputs_Collateral!$A$4:$A$98,A66,Inputs_Collateral!$B$4:$B$98,B66)</x:f>
        <x:v>0</x:v>
      </x:c>
      <x:c r="H66" s="43" t="n">
        <x:f>SUMIFS(Inputs_Collateral!$G$4:$G$98,Inputs_Collateral!$A$4:$A$98,A66,Inputs_Collateral!$B$4:$B$98,B66)</x:f>
        <x:v>0</x:v>
      </x:c>
      <x:c r="I66" s="43" t="n">
        <x:f>IF(D66="M",MAX(C66-E66,F66+G66-H66,0),MAX(C66-E66,0))</x:f>
        <x:v>4811061.6</x:v>
      </x:c>
      <x:c r="J66" s="43" t="n">
        <x:f>SUMIFS(Asset_Class_AddOn!$D$4:$D$100,Asset_Class_AddOn!$A$4:$A$100,A66,Asset_Class_AddOn!$B$4:$B$100,B66)</x:f>
        <x:v>31784308.72313044</x:v>
      </x:c>
      <x:c r="K66" s="41" t="n">
        <x:f>IF(J66&lt;=0,1,MIN(1,Parameters!$B$5+(1-Parameters!$B$5)*EXP((C66-E66)/(2*(1-Parameters!$B$5)*J66))))</x:f>
        <x:v>1</x:v>
      </x:c>
      <x:c r="L66" s="43" t="n">
        <x:f>K66*J66</x:f>
        <x:v>31784308.72313044</x:v>
      </x:c>
      <x:c r="M66" s="43" t="n">
        <x:f>Parameters!$B$4*(I66+L66)</x:f>
        <x:v>51233518.45238261</x:v>
      </x:c>
      <x:c r="N66" s="42" t="n">
        <x:f>SUMIFS(Inputs_Counterparties!$D$4:$D$15,Inputs_Counterparties!$A$4:$A$15,A66)</x:f>
        <x:v>0.5</x:v>
      </x:c>
      <x:c r="O66" s="43" t="n">
        <x:f>M66*N66</x:f>
        <x:v>25616759.226191305</x:v>
      </x:c>
      <x:c r="P66" s="43" t="n">
        <x:v>4811061.6</x:v>
      </x:c>
      <x:c r="Q66" s="43" t="n">
        <x:v>31784308.72313044</x:v>
      </x:c>
      <x:c r="R66" s="41" t="n">
        <x:v>1</x:v>
      </x:c>
      <x:c r="S66" s="43" t="n">
        <x:v>31784308.72313044</x:v>
      </x:c>
      <x:c r="T66" s="43" t="n">
        <x:v>51233518.45238261</x:v>
      </x:c>
      <x:c r="U66" s="43" t="n">
        <x:v>25616759.226191305</x:v>
      </x:c>
      <x:c r="V66" s="43" t="n">
        <x:f>M66-T66</x:f>
        <x:v>0</x:v>
      </x:c>
      <x:c r="W66" s="27" t="str">
        <x:f>IF(ABS(V66)&lt;0.01,"OK","CHECK")</x:f>
        <x:v>OK</x:v>
      </x:c>
    </x:row>
    <x:row r="67">
      <x:c r="A67" s="27" t="str">
        <x:v>IND_INSURER_001</x:v>
      </x:c>
      <x:c r="B67" s="27" t="str">
        <x:v>3094</x:v>
      </x:c>
      <x:c r="C67" s="43" t="n">
        <x:f>SUMIFS(Trade_Calc!$AB$4:$AB$301,Trade_Calc!$B$4:$B$301,A67,Trade_Calc!$C$4:$C$301,B67)</x:f>
        <x:v>1496511</x:v>
      </x:c>
      <x:c r="D67" s="27" t="str">
        <x:f>IF(COUNTIFS(Trade_Calc!$B$4:$B$301,A67,Trade_Calc!$C$4:$C$301,B67,Trade_Calc!$AJ$4:$AJ$301,"M")&gt;0,"M","U")</x:f>
        <x:v>U</x:v>
      </x:c>
      <x:c r="E67" s="43" t="n">
        <x:f>SUMIFS(Inputs_Collateral!$D$4:$D$98,Inputs_Collateral!$A$4:$A$98,A67,Inputs_Collateral!$B$4:$B$98,B67)</x:f>
        <x:v>0</x:v>
      </x:c>
      <x:c r="F67" s="43" t="n">
        <x:f>SUMIFS(Inputs_Collateral!$E$4:$E$98,Inputs_Collateral!$A$4:$A$98,A67,Inputs_Collateral!$B$4:$B$98,B67)</x:f>
        <x:v>0</x:v>
      </x:c>
      <x:c r="G67" s="43" t="n">
        <x:f>SUMIFS(Inputs_Collateral!$F$4:$F$98,Inputs_Collateral!$A$4:$A$98,A67,Inputs_Collateral!$B$4:$B$98,B67)</x:f>
        <x:v>0</x:v>
      </x:c>
      <x:c r="H67" s="43" t="n">
        <x:f>SUMIFS(Inputs_Collateral!$G$4:$G$98,Inputs_Collateral!$A$4:$A$98,A67,Inputs_Collateral!$B$4:$B$98,B67)</x:f>
        <x:v>0</x:v>
      </x:c>
      <x:c r="I67" s="43" t="n">
        <x:f>IF(D67="M",MAX(C67-E67,F67+G67-H67,0),MAX(C67-E67,0))</x:f>
        <x:v>1496511</x:v>
      </x:c>
      <x:c r="J67" s="43" t="n">
        <x:f>SUMIFS(Asset_Class_AddOn!$D$4:$D$100,Asset_Class_AddOn!$A$4:$A$100,A67,Asset_Class_AddOn!$B$4:$B$100,B67)</x:f>
        <x:v>4442673.687243265</x:v>
      </x:c>
      <x:c r="K67" s="41" t="n">
        <x:f>IF(J67&lt;=0,1,MIN(1,Parameters!$B$5+(1-Parameters!$B$5)*EXP((C67-E67)/(2*(1-Parameters!$B$5)*J67))))</x:f>
        <x:v>1</x:v>
      </x:c>
      <x:c r="L67" s="43" t="n">
        <x:f>K67*J67</x:f>
        <x:v>4442673.687243265</x:v>
      </x:c>
      <x:c r="M67" s="43" t="n">
        <x:f>Parameters!$B$4*(I67+L67)</x:f>
        <x:v>8314858.562140571</x:v>
      </x:c>
      <x:c r="N67" s="42" t="n">
        <x:f>SUMIFS(Inputs_Counterparties!$D$4:$D$15,Inputs_Counterparties!$A$4:$A$15,A67)</x:f>
        <x:v>0.5</x:v>
      </x:c>
      <x:c r="O67" s="43" t="n">
        <x:f>M67*N67</x:f>
        <x:v>4157429.2810702855</x:v>
      </x:c>
      <x:c r="P67" s="43" t="n">
        <x:v>1496511</x:v>
      </x:c>
      <x:c r="Q67" s="43" t="n">
        <x:v>4442673.687243264</x:v>
      </x:c>
      <x:c r="R67" s="41" t="n">
        <x:v>1</x:v>
      </x:c>
      <x:c r="S67" s="43" t="n">
        <x:v>4442673.687243264</x:v>
      </x:c>
      <x:c r="T67" s="43" t="n">
        <x:v>8314858.562140569</x:v>
      </x:c>
      <x:c r="U67" s="43" t="n">
        <x:v>4157429.2810702845</x:v>
      </x:c>
      <x:c r="V67" s="43" t="n">
        <x:f>M67-T67</x:f>
        <x:v>1.862645149230957e-9</x:v>
      </x:c>
      <x:c r="W67" s="27" t="str">
        <x:f>IF(ABS(V67)&lt;0.01,"OK","CHECK")</x:f>
        <x:v>OK</x:v>
      </x:c>
    </x:row>
    <x:row r="68">
      <x:c r="A68" s="27" t="str">
        <x:v>IND_INSURER_001</x:v>
      </x:c>
      <x:c r="B68" s="27" t="str">
        <x:v>3122</x:v>
      </x:c>
      <x:c r="C68" s="43" t="n">
        <x:f>SUMIFS(Trade_Calc!$AB$4:$AB$301,Trade_Calc!$B$4:$B$301,A68,Trade_Calc!$C$4:$C$301,B68)</x:f>
        <x:v>3420</x:v>
      </x:c>
      <x:c r="D68" s="27" t="str">
        <x:f>IF(COUNTIFS(Trade_Calc!$B$4:$B$301,A68,Trade_Calc!$C$4:$C$301,B68,Trade_Calc!$AJ$4:$AJ$301,"M")&gt;0,"M","U")</x:f>
        <x:v>M</x:v>
      </x:c>
      <x:c r="E68" s="43" t="n">
        <x:f>SUMIFS(Inputs_Collateral!$D$4:$D$98,Inputs_Collateral!$A$4:$A$98,A68,Inputs_Collateral!$B$4:$B$98,B68)</x:f>
        <x:v>5500000</x:v>
      </x:c>
      <x:c r="F68" s="43" t="n">
        <x:f>SUMIFS(Inputs_Collateral!$E$4:$E$98,Inputs_Collateral!$A$4:$A$98,A68,Inputs_Collateral!$B$4:$B$98,B68)</x:f>
        <x:v>687500</x:v>
      </x:c>
      <x:c r="G68" s="43" t="n">
        <x:f>SUMIFS(Inputs_Collateral!$F$4:$F$98,Inputs_Collateral!$A$4:$A$98,A68,Inputs_Collateral!$B$4:$B$98,B68)</x:f>
        <x:v>275000</x:v>
      </x:c>
      <x:c r="H68" s="43" t="n">
        <x:f>SUMIFS(Inputs_Collateral!$G$4:$G$98,Inputs_Collateral!$A$4:$A$98,A68,Inputs_Collateral!$B$4:$B$98,B68)</x:f>
        <x:v>2750000</x:v>
      </x:c>
      <x:c r="I68" s="43" t="n">
        <x:f>IF(D68="M",MAX(C68-E68,F68+G68-H68,0),MAX(C68-E68,0))</x:f>
        <x:v>0</x:v>
      </x:c>
      <x:c r="J68" s="43" t="n">
        <x:f>SUMIFS(Asset_Class_AddOn!$D$4:$D$100,Asset_Class_AddOn!$A$4:$A$100,A68,Asset_Class_AddOn!$B$4:$B$100,B68)</x:f>
        <x:v>3300000.0000000005</x:v>
      </x:c>
      <x:c r="K68" s="41" t="n">
        <x:f>IF(J68&lt;=0,1,MIN(1,Parameters!$B$5+(1-Parameters!$B$5)*EXP((C68-E68)/(2*(1-Parameters!$B$5)*J68))))</x:f>
        <x:v>0.44536700364445464</x:v>
      </x:c>
      <x:c r="L68" s="43" t="n">
        <x:f>K68*J68</x:f>
        <x:v>1469711.1120267005</x:v>
      </x:c>
      <x:c r="M68" s="43" t="n">
        <x:f>Parameters!$B$4*(I68+L68)</x:f>
        <x:v>2057595.5568373806</x:v>
      </x:c>
      <x:c r="N68" s="42" t="n">
        <x:f>SUMIFS(Inputs_Counterparties!$D$4:$D$15,Inputs_Counterparties!$A$4:$A$15,A68)</x:f>
        <x:v>0.5</x:v>
      </x:c>
      <x:c r="O68" s="43" t="n">
        <x:f>M68*N68</x:f>
        <x:v>1028797.7784186903</x:v>
      </x:c>
      <x:c r="P68" s="43" t="n">
        <x:v>0</x:v>
      </x:c>
      <x:c r="Q68" s="43" t="n">
        <x:v>3300000.0000000005</x:v>
      </x:c>
      <x:c r="R68" s="41" t="n">
        <x:v>0.44536700364445464</x:v>
      </x:c>
      <x:c r="S68" s="43" t="n">
        <x:v>1469711.1120267005</x:v>
      </x:c>
      <x:c r="T68" s="43" t="n">
        <x:v>2057595.5568373806</x:v>
      </x:c>
      <x:c r="U68" s="43" t="n">
        <x:v>1028797.7784186903</x:v>
      </x:c>
      <x:c r="V68" s="43" t="n">
        <x:f>M68-T68</x:f>
        <x:v>0</x:v>
      </x:c>
      <x:c r="W68" s="27" t="str">
        <x:f>IF(ABS(V68)&lt;0.01,"OK","CHECK")</x:f>
        <x:v>OK</x:v>
      </x:c>
    </x:row>
    <x:row r="69">
      <x:c r="A69" s="27" t="str">
        <x:v>IND_INSURER_001</x:v>
      </x:c>
      <x:c r="B69" s="27" t="str">
        <x:v>3257</x:v>
      </x:c>
      <x:c r="C69" s="43" t="n">
        <x:f>SUMIFS(Trade_Calc!$AB$4:$AB$301,Trade_Calc!$B$4:$B$301,A69,Trade_Calc!$C$4:$C$301,B69)</x:f>
        <x:v>1361796</x:v>
      </x:c>
      <x:c r="D69" s="27" t="str">
        <x:f>IF(COUNTIFS(Trade_Calc!$B$4:$B$301,A69,Trade_Calc!$C$4:$C$301,B69,Trade_Calc!$AJ$4:$AJ$301,"M")&gt;0,"M","U")</x:f>
        <x:v>M</x:v>
      </x:c>
      <x:c r="E69" s="43" t="n">
        <x:f>SUMIFS(Inputs_Collateral!$D$4:$D$98,Inputs_Collateral!$A$4:$A$98,A69,Inputs_Collateral!$B$4:$B$98,B69)</x:f>
        <x:v>7480000</x:v>
      </x:c>
      <x:c r="F69" s="43" t="n">
        <x:f>SUMIFS(Inputs_Collateral!$E$4:$E$98,Inputs_Collateral!$A$4:$A$98,A69,Inputs_Collateral!$B$4:$B$98,B69)</x:f>
        <x:v>748000</x:v>
      </x:c>
      <x:c r="G69" s="43" t="n">
        <x:f>SUMIFS(Inputs_Collateral!$F$4:$F$98,Inputs_Collateral!$A$4:$A$98,A69,Inputs_Collateral!$B$4:$B$98,B69)</x:f>
        <x:v>74800</x:v>
      </x:c>
      <x:c r="H69" s="43" t="n">
        <x:f>SUMIFS(Inputs_Collateral!$G$4:$G$98,Inputs_Collateral!$A$4:$A$98,A69,Inputs_Collateral!$B$4:$B$98,B69)</x:f>
        <x:v>0</x:v>
      </x:c>
      <x:c r="I69" s="43" t="n">
        <x:f>IF(D69="M",MAX(C69-E69,F69+G69-H69,0),MAX(C69-E69,0))</x:f>
        <x:v>822800</x:v>
      </x:c>
      <x:c r="J69" s="43" t="n">
        <x:f>SUMIFS(Asset_Class_AddOn!$D$4:$D$100,Asset_Class_AddOn!$A$4:$A$100,A69,Asset_Class_AddOn!$B$4:$B$100,B69)</x:f>
        <x:v>4039200.0000000005</x:v>
      </x:c>
      <x:c r="K69" s="41" t="n">
        <x:f>IF(J69&lt;=0,1,MIN(1,Parameters!$B$5+(1-Parameters!$B$5)*EXP((C69-E69)/(2*(1-Parameters!$B$5)*J69))))</x:f>
        <x:v>0.4780533516048635</x:v>
      </x:c>
      <x:c r="L69" s="43" t="n">
        <x:f>K69*J69</x:f>
        <x:v>1930953.097802365</x:v>
      </x:c>
      <x:c r="M69" s="43" t="n">
        <x:f>Parameters!$B$4*(I69+L69)</x:f>
        <x:v>3855254.336923311</x:v>
      </x:c>
      <x:c r="N69" s="42" t="n">
        <x:f>SUMIFS(Inputs_Counterparties!$D$4:$D$15,Inputs_Counterparties!$A$4:$A$15,A69)</x:f>
        <x:v>0.5</x:v>
      </x:c>
      <x:c r="O69" s="43" t="n">
        <x:f>M69*N69</x:f>
        <x:v>1927627.1684616555</x:v>
      </x:c>
      <x:c r="P69" s="43" t="n">
        <x:v>822800</x:v>
      </x:c>
      <x:c r="Q69" s="43" t="n">
        <x:v>4039200.0000000005</x:v>
      </x:c>
      <x:c r="R69" s="41" t="n">
        <x:v>0.4780533516048635</x:v>
      </x:c>
      <x:c r="S69" s="43" t="n">
        <x:v>1930953.097802365</x:v>
      </x:c>
      <x:c r="T69" s="43" t="n">
        <x:v>3855254.336923311</x:v>
      </x:c>
      <x:c r="U69" s="43" t="n">
        <x:v>1927627.1684616555</x:v>
      </x:c>
      <x:c r="V69" s="43" t="n">
        <x:f>M69-T69</x:f>
        <x:v>0</x:v>
      </x:c>
      <x:c r="W69" s="27" t="str">
        <x:f>IF(ABS(V69)&lt;0.01,"OK","CHECK")</x:f>
        <x:v>OK</x:v>
      </x:c>
    </x:row>
    <x:row r="70">
      <x:c r="A70" s="27" t="str">
        <x:v>IND_INSURER_001</x:v>
      </x:c>
      <x:c r="B70" s="27" t="str">
        <x:v>3297</x:v>
      </x:c>
      <x:c r="C70" s="43" t="n">
        <x:f>SUMIFS(Trade_Calc!$AB$4:$AB$301,Trade_Calc!$B$4:$B$301,A70,Trade_Calc!$C$4:$C$301,B70)</x:f>
        <x:v>-9968220</x:v>
      </x:c>
      <x:c r="D70" s="27" t="str">
        <x:f>IF(COUNTIFS(Trade_Calc!$B$4:$B$301,A70,Trade_Calc!$C$4:$C$301,B70,Trade_Calc!$AJ$4:$AJ$301,"M")&gt;0,"M","U")</x:f>
        <x:v>M</x:v>
      </x:c>
      <x:c r="E70" s="43" t="n">
        <x:f>SUMIFS(Inputs_Collateral!$D$4:$D$98,Inputs_Collateral!$A$4:$A$98,A70,Inputs_Collateral!$B$4:$B$98,B70)</x:f>
        <x:v>58460000</x:v>
      </x:c>
      <x:c r="F70" s="43" t="n">
        <x:f>SUMIFS(Inputs_Collateral!$E$4:$E$98,Inputs_Collateral!$A$4:$A$98,A70,Inputs_Collateral!$B$4:$B$98,B70)</x:f>
        <x:v>7307500</x:v>
      </x:c>
      <x:c r="G70" s="43" t="n">
        <x:f>SUMIFS(Inputs_Collateral!$F$4:$F$98,Inputs_Collateral!$A$4:$A$98,A70,Inputs_Collateral!$B$4:$B$98,B70)</x:f>
        <x:v>2923000</x:v>
      </x:c>
      <x:c r="H70" s="43" t="n">
        <x:f>SUMIFS(Inputs_Collateral!$G$4:$G$98,Inputs_Collateral!$A$4:$A$98,A70,Inputs_Collateral!$B$4:$B$98,B70)</x:f>
        <x:v>58460000</x:v>
      </x:c>
      <x:c r="I70" s="43" t="n">
        <x:f>IF(D70="M",MAX(C70-E70,F70+G70-H70,0),MAX(C70-E70,0))</x:f>
        <x:v>0</x:v>
      </x:c>
      <x:c r="J70" s="43" t="n">
        <x:f>SUMIFS(Asset_Class_AddOn!$D$4:$D$100,Asset_Class_AddOn!$A$4:$A$100,A70,Asset_Class_AddOn!$B$4:$B$100,B70)</x:f>
        <x:v>18810268.177057065</x:v>
      </x:c>
      <x:c r="K70" s="41" t="n">
        <x:f>IF(J70&lt;=0,1,MIN(1,Parameters!$B$5+(1-Parameters!$B$5)*EXP((C70-E70)/(2*(1-Parameters!$B$5)*J70))))</x:f>
        <x:v>0.1900254329736219</x:v>
      </x:c>
      <x:c r="L70" s="43" t="n">
        <x:f>K70*J70</x:f>
        <x:v>3574429.3546952102</x:v>
      </x:c>
      <x:c r="M70" s="43" t="n">
        <x:f>Parameters!$B$4*(I70+L70)</x:f>
        <x:v>5004201.096573294</x:v>
      </x:c>
      <x:c r="N70" s="42" t="n">
        <x:f>SUMIFS(Inputs_Counterparties!$D$4:$D$15,Inputs_Counterparties!$A$4:$A$15,A70)</x:f>
        <x:v>0.5</x:v>
      </x:c>
      <x:c r="O70" s="43" t="n">
        <x:f>M70*N70</x:f>
        <x:v>2502100.548286647</x:v>
      </x:c>
      <x:c r="P70" s="43" t="n">
        <x:v>0</x:v>
      </x:c>
      <x:c r="Q70" s="43" t="n">
        <x:v>18810268.177057065</x:v>
      </x:c>
      <x:c r="R70" s="41" t="n">
        <x:v>0.1900254329736219</x:v>
      </x:c>
      <x:c r="S70" s="43" t="n">
        <x:v>3574429.3546952102</x:v>
      </x:c>
      <x:c r="T70" s="43" t="n">
        <x:v>5004201.096573294</x:v>
      </x:c>
      <x:c r="U70" s="43" t="n">
        <x:v>2502100.548286647</x:v>
      </x:c>
      <x:c r="V70" s="43" t="n">
        <x:f>M70-T70</x:f>
        <x:v>0</x:v>
      </x:c>
      <x:c r="W70" s="27" t="str">
        <x:f>IF(ABS(V70)&lt;0.01,"OK","CHECK")</x:f>
        <x:v>OK</x:v>
      </x:c>
    </x:row>
    <x:row r="71">
      <x:c r="A71" s="27" t="str">
        <x:v>IND_INSURER_001</x:v>
      </x:c>
      <x:c r="B71" s="27" t="str">
        <x:v>3338</x:v>
      </x:c>
      <x:c r="C71" s="43" t="n">
        <x:f>SUMIFS(Trade_Calc!$AB$4:$AB$301,Trade_Calc!$B$4:$B$301,A71,Trade_Calc!$C$4:$C$301,B71)</x:f>
        <x:v>207420</x:v>
      </x:c>
      <x:c r="D71" s="27" t="str">
        <x:f>IF(COUNTIFS(Trade_Calc!$B$4:$B$301,A71,Trade_Calc!$C$4:$C$301,B71,Trade_Calc!$AJ$4:$AJ$301,"M")&gt;0,"M","U")</x:f>
        <x:v>U</x:v>
      </x:c>
      <x:c r="E71" s="43" t="n">
        <x:f>SUMIFS(Inputs_Collateral!$D$4:$D$98,Inputs_Collateral!$A$4:$A$98,A71,Inputs_Collateral!$B$4:$B$98,B71)</x:f>
        <x:v>0</x:v>
      </x:c>
      <x:c r="F71" s="43" t="n">
        <x:f>SUMIFS(Inputs_Collateral!$E$4:$E$98,Inputs_Collateral!$A$4:$A$98,A71,Inputs_Collateral!$B$4:$B$98,B71)</x:f>
        <x:v>0</x:v>
      </x:c>
      <x:c r="G71" s="43" t="n">
        <x:f>SUMIFS(Inputs_Collateral!$F$4:$F$98,Inputs_Collateral!$A$4:$A$98,A71,Inputs_Collateral!$B$4:$B$98,B71)</x:f>
        <x:v>0</x:v>
      </x:c>
      <x:c r="H71" s="43" t="n">
        <x:f>SUMIFS(Inputs_Collateral!$G$4:$G$98,Inputs_Collateral!$A$4:$A$98,A71,Inputs_Collateral!$B$4:$B$98,B71)</x:f>
        <x:v>0</x:v>
      </x:c>
      <x:c r="I71" s="43" t="n">
        <x:f>IF(D71="M",MAX(C71-E71,F71+G71-H71,0),MAX(C71-E71,0))</x:f>
        <x:v>207420</x:v>
      </x:c>
      <x:c r="J71" s="43" t="n">
        <x:f>SUMIFS(Asset_Class_AddOn!$D$4:$D$100,Asset_Class_AddOn!$A$4:$A$100,A71,Asset_Class_AddOn!$B$4:$B$100,B71)</x:f>
        <x:v>616257.7716211872</x:v>
      </x:c>
      <x:c r="K71" s="41" t="n">
        <x:f>IF(J71&lt;=0,1,MIN(1,Parameters!$B$5+(1-Parameters!$B$5)*EXP((C71-E71)/(2*(1-Parameters!$B$5)*J71))))</x:f>
        <x:v>1</x:v>
      </x:c>
      <x:c r="L71" s="43" t="n">
        <x:f>K71*J71</x:f>
        <x:v>616257.7716211872</x:v>
      </x:c>
      <x:c r="M71" s="43" t="n">
        <x:f>Parameters!$B$4*(I71+L71)</x:f>
        <x:v>1153148.880269662</x:v>
      </x:c>
      <x:c r="N71" s="42" t="n">
        <x:f>SUMIFS(Inputs_Counterparties!$D$4:$D$15,Inputs_Counterparties!$A$4:$A$15,A71)</x:f>
        <x:v>0.5</x:v>
      </x:c>
      <x:c r="O71" s="43" t="n">
        <x:f>M71*N71</x:f>
        <x:v>576574.440134831</x:v>
      </x:c>
      <x:c r="P71" s="43" t="n">
        <x:v>207420</x:v>
      </x:c>
      <x:c r="Q71" s="43" t="n">
        <x:v>616257.7716211872</x:v>
      </x:c>
      <x:c r="R71" s="41" t="n">
        <x:v>1</x:v>
      </x:c>
      <x:c r="S71" s="43" t="n">
        <x:v>616257.7716211872</x:v>
      </x:c>
      <x:c r="T71" s="43" t="n">
        <x:v>1153148.880269662</x:v>
      </x:c>
      <x:c r="U71" s="43" t="n">
        <x:v>576574.440134831</x:v>
      </x:c>
      <x:c r="V71" s="43" t="n">
        <x:f>M71-T71</x:f>
        <x:v>0</x:v>
      </x:c>
      <x:c r="W71" s="27" t="str">
        <x:f>IF(ABS(V71)&lt;0.01,"OK","CHECK")</x:f>
        <x:v>OK</x:v>
      </x:c>
    </x:row>
    <x:row r="72">
      <x:c r="A72" s="27" t="str">
        <x:v>IND_INSURER_001</x:v>
      </x:c>
      <x:c r="B72" s="27" t="str">
        <x:v>3390</x:v>
      </x:c>
      <x:c r="C72" s="43" t="n">
        <x:f>SUMIFS(Trade_Calc!$AB$4:$AB$301,Trade_Calc!$B$4:$B$301,A72,Trade_Calc!$C$4:$C$301,B72)</x:f>
        <x:v>3237138</x:v>
      </x:c>
      <x:c r="D72" s="27" t="str">
        <x:f>IF(COUNTIFS(Trade_Calc!$B$4:$B$301,A72,Trade_Calc!$C$4:$C$301,B72,Trade_Calc!$AJ$4:$AJ$301,"M")&gt;0,"M","U")</x:f>
        <x:v>U</x:v>
      </x:c>
      <x:c r="E72" s="43" t="n">
        <x:f>SUMIFS(Inputs_Collateral!$D$4:$D$98,Inputs_Collateral!$A$4:$A$98,A72,Inputs_Collateral!$B$4:$B$98,B72)</x:f>
        <x:v>0</x:v>
      </x:c>
      <x:c r="F72" s="43" t="n">
        <x:f>SUMIFS(Inputs_Collateral!$E$4:$E$98,Inputs_Collateral!$A$4:$A$98,A72,Inputs_Collateral!$B$4:$B$98,B72)</x:f>
        <x:v>0</x:v>
      </x:c>
      <x:c r="G72" s="43" t="n">
        <x:f>SUMIFS(Inputs_Collateral!$F$4:$F$98,Inputs_Collateral!$A$4:$A$98,A72,Inputs_Collateral!$B$4:$B$98,B72)</x:f>
        <x:v>0</x:v>
      </x:c>
      <x:c r="H72" s="43" t="n">
        <x:f>SUMIFS(Inputs_Collateral!$G$4:$G$98,Inputs_Collateral!$A$4:$A$98,A72,Inputs_Collateral!$B$4:$B$98,B72)</x:f>
        <x:v>0</x:v>
      </x:c>
      <x:c r="I72" s="43" t="n">
        <x:f>IF(D72="M",MAX(C72-E72,F72+G72-H72,0),MAX(C72-E72,0))</x:f>
        <x:v>3237138</x:v>
      </x:c>
      <x:c r="J72" s="43" t="n">
        <x:f>SUMIFS(Asset_Class_AddOn!$D$4:$D$100,Asset_Class_AddOn!$A$4:$A$100,A72,Asset_Class_AddOn!$B$4:$B$100,B72)</x:f>
        <x:v>10485563.042870814</x:v>
      </x:c>
      <x:c r="K72" s="41" t="n">
        <x:f>IF(J72&lt;=0,1,MIN(1,Parameters!$B$5+(1-Parameters!$B$5)*EXP((C72-E72)/(2*(1-Parameters!$B$5)*J72))))</x:f>
        <x:v>1</x:v>
      </x:c>
      <x:c r="L72" s="43" t="n">
        <x:f>K72*J72</x:f>
        <x:v>10485563.042870814</x:v>
      </x:c>
      <x:c r="M72" s="43" t="n">
        <x:f>Parameters!$B$4*(I72+L72)</x:f>
        <x:v>19211781.460019138</x:v>
      </x:c>
      <x:c r="N72" s="42" t="n">
        <x:f>SUMIFS(Inputs_Counterparties!$D$4:$D$15,Inputs_Counterparties!$A$4:$A$15,A72)</x:f>
        <x:v>0.5</x:v>
      </x:c>
      <x:c r="O72" s="43" t="n">
        <x:f>M72*N72</x:f>
        <x:v>9605890.730009569</x:v>
      </x:c>
      <x:c r="P72" s="43" t="n">
        <x:v>3237138</x:v>
      </x:c>
      <x:c r="Q72" s="43" t="n">
        <x:v>10485563.042870814</x:v>
      </x:c>
      <x:c r="R72" s="41" t="n">
        <x:v>1</x:v>
      </x:c>
      <x:c r="S72" s="43" t="n">
        <x:v>10485563.042870814</x:v>
      </x:c>
      <x:c r="T72" s="43" t="n">
        <x:v>19211781.460019138</x:v>
      </x:c>
      <x:c r="U72" s="43" t="n">
        <x:v>9605890.730009569</x:v>
      </x:c>
      <x:c r="V72" s="43" t="n">
        <x:f>M72-T72</x:f>
        <x:v>0</x:v>
      </x:c>
      <x:c r="W72" s="27" t="str">
        <x:f>IF(ABS(V72)&lt;0.01,"OK","CHECK")</x:f>
        <x:v>OK</x:v>
      </x:c>
    </x:row>
    <x:row r="73">
      <x:c r="A73" s="27" t="str">
        <x:v>IND_PENSION_001</x:v>
      </x:c>
      <x:c r="B73" s="27" t="str">
        <x:v>3036</x:v>
      </x:c>
      <x:c r="C73" s="43" t="n">
        <x:f>SUMIFS(Trade_Calc!$AB$4:$AB$301,Trade_Calc!$B$4:$B$301,A73,Trade_Calc!$C$4:$C$301,B73)</x:f>
        <x:v>-1505250</x:v>
      </x:c>
      <x:c r="D73" s="27" t="str">
        <x:f>IF(COUNTIFS(Trade_Calc!$B$4:$B$301,A73,Trade_Calc!$C$4:$C$301,B73,Trade_Calc!$AJ$4:$AJ$301,"M")&gt;0,"M","U")</x:f>
        <x:v>U</x:v>
      </x:c>
      <x:c r="E73" s="43" t="n">
        <x:f>SUMIFS(Inputs_Collateral!$D$4:$D$98,Inputs_Collateral!$A$4:$A$98,A73,Inputs_Collateral!$B$4:$B$98,B73)</x:f>
        <x:v>0</x:v>
      </x:c>
      <x:c r="F73" s="43" t="n">
        <x:f>SUMIFS(Inputs_Collateral!$E$4:$E$98,Inputs_Collateral!$A$4:$A$98,A73,Inputs_Collateral!$B$4:$B$98,B73)</x:f>
        <x:v>0</x:v>
      </x:c>
      <x:c r="G73" s="43" t="n">
        <x:f>SUMIFS(Inputs_Collateral!$F$4:$F$98,Inputs_Collateral!$A$4:$A$98,A73,Inputs_Collateral!$B$4:$B$98,B73)</x:f>
        <x:v>0</x:v>
      </x:c>
      <x:c r="H73" s="43" t="n">
        <x:f>SUMIFS(Inputs_Collateral!$G$4:$G$98,Inputs_Collateral!$A$4:$A$98,A73,Inputs_Collateral!$B$4:$B$98,B73)</x:f>
        <x:v>0</x:v>
      </x:c>
      <x:c r="I73" s="43" t="n">
        <x:f>IF(D73="M",MAX(C73-E73,F73+G73-H73,0),MAX(C73-E73,0))</x:f>
        <x:v>0</x:v>
      </x:c>
      <x:c r="J73" s="43" t="n">
        <x:f>SUMIFS(Asset_Class_AddOn!$D$4:$D$100,Asset_Class_AddOn!$A$4:$A$100,A73,Asset_Class_AddOn!$B$4:$B$100,B73)</x:f>
        <x:v>1590701.8220125777</x:v>
      </x:c>
      <x:c r="K73" s="41" t="n">
        <x:f>IF(J73&lt;=0,1,MIN(1,Parameters!$B$5+(1-Parameters!$B$5)*EXP((C73-E73)/(2*(1-Parameters!$B$5)*J73))))</x:f>
        <x:v>0.6273332490021419</x:v>
      </x:c>
      <x:c r="L73" s="43" t="n">
        <x:f>K73*J73</x:f>
        <x:v>997900.1421967773</x:v>
      </x:c>
      <x:c r="M73" s="43" t="n">
        <x:f>Parameters!$B$4*(I73+L73)</x:f>
        <x:v>1397060.1990754881</x:v>
      </x:c>
      <x:c r="N73" s="42" t="n">
        <x:f>SUMIFS(Inputs_Counterparties!$D$4:$D$15,Inputs_Counterparties!$A$4:$A$15,A73)</x:f>
        <x:v>0.5</x:v>
      </x:c>
      <x:c r="O73" s="43" t="n">
        <x:f>M73*N73</x:f>
        <x:v>698530.0995377441</x:v>
      </x:c>
      <x:c r="P73" s="43" t="n">
        <x:v>0</x:v>
      </x:c>
      <x:c r="Q73" s="43" t="n">
        <x:v>1590701.8220125777</x:v>
      </x:c>
      <x:c r="R73" s="41" t="n">
        <x:v>0.6273332490021419</x:v>
      </x:c>
      <x:c r="S73" s="43" t="n">
        <x:v>997900.1421967773</x:v>
      </x:c>
      <x:c r="T73" s="43" t="n">
        <x:v>1397060.1990754881</x:v>
      </x:c>
      <x:c r="U73" s="43" t="n">
        <x:v>698530.0995377441</x:v>
      </x:c>
      <x:c r="V73" s="43" t="n">
        <x:f>M73-T73</x:f>
        <x:v>0</x:v>
      </x:c>
      <x:c r="W73" s="27" t="str">
        <x:f>IF(ABS(V73)&lt;0.01,"OK","CHECK")</x:f>
        <x:v>OK</x:v>
      </x:c>
    </x:row>
    <x:row r="74">
      <x:c r="A74" s="27" t="str">
        <x:v>IND_PENSION_001</x:v>
      </x:c>
      <x:c r="B74" s="27" t="str">
        <x:v>3060</x:v>
      </x:c>
      <x:c r="C74" s="43" t="n">
        <x:f>SUMIFS(Trade_Calc!$AB$4:$AB$301,Trade_Calc!$B$4:$B$301,A74,Trade_Calc!$C$4:$C$301,B74)</x:f>
        <x:v>-902895</x:v>
      </x:c>
      <x:c r="D74" s="27" t="str">
        <x:f>IF(COUNTIFS(Trade_Calc!$B$4:$B$301,A74,Trade_Calc!$C$4:$C$301,B74,Trade_Calc!$AJ$4:$AJ$301,"M")&gt;0,"M","U")</x:f>
        <x:v>U</x:v>
      </x:c>
      <x:c r="E74" s="43" t="n">
        <x:f>SUMIFS(Inputs_Collateral!$D$4:$D$98,Inputs_Collateral!$A$4:$A$98,A74,Inputs_Collateral!$B$4:$B$98,B74)</x:f>
        <x:v>0</x:v>
      </x:c>
      <x:c r="F74" s="43" t="n">
        <x:f>SUMIFS(Inputs_Collateral!$E$4:$E$98,Inputs_Collateral!$A$4:$A$98,A74,Inputs_Collateral!$B$4:$B$98,B74)</x:f>
        <x:v>0</x:v>
      </x:c>
      <x:c r="G74" s="43" t="n">
        <x:f>SUMIFS(Inputs_Collateral!$F$4:$F$98,Inputs_Collateral!$A$4:$A$98,A74,Inputs_Collateral!$B$4:$B$98,B74)</x:f>
        <x:v>0</x:v>
      </x:c>
      <x:c r="H74" s="43" t="n">
        <x:f>SUMIFS(Inputs_Collateral!$G$4:$G$98,Inputs_Collateral!$A$4:$A$98,A74,Inputs_Collateral!$B$4:$B$98,B74)</x:f>
        <x:v>0</x:v>
      </x:c>
      <x:c r="I74" s="43" t="n">
        <x:f>IF(D74="M",MAX(C74-E74,F74+G74-H74,0),MAX(C74-E74,0))</x:f>
        <x:v>0</x:v>
      </x:c>
      <x:c r="J74" s="43" t="n">
        <x:f>SUMIFS(Asset_Class_AddOn!$D$4:$D$100,Asset_Class_AddOn!$A$4:$A$100,A74,Asset_Class_AddOn!$B$4:$B$100,B74)</x:f>
        <x:v>19759924.51190038</x:v>
      </x:c>
      <x:c r="K74" s="41" t="n">
        <x:f>IF(J74&lt;=0,1,MIN(1,Parameters!$B$5+(1-Parameters!$B$5)*EXP((C74-E74)/(2*(1-Parameters!$B$5)*J74))))</x:f>
        <x:v>0.9774259102825933</x:v>
      </x:c>
      <x:c r="L74" s="43" t="n">
        <x:f>K74*J74</x:f>
        <x:v>19313862.203159556</x:v>
      </x:c>
      <x:c r="M74" s="43" t="n">
        <x:f>Parameters!$B$4*(I74+L74)</x:f>
        <x:v>27039407.084423378</x:v>
      </x:c>
      <x:c r="N74" s="42" t="n">
        <x:f>SUMIFS(Inputs_Counterparties!$D$4:$D$15,Inputs_Counterparties!$A$4:$A$15,A74)</x:f>
        <x:v>0.5</x:v>
      </x:c>
      <x:c r="O74" s="43" t="n">
        <x:f>M74*N74</x:f>
        <x:v>13519703.542211689</x:v>
      </x:c>
      <x:c r="P74" s="43" t="n">
        <x:v>0</x:v>
      </x:c>
      <x:c r="Q74" s="43" t="n">
        <x:v>19759924.511900373</x:v>
      </x:c>
      <x:c r="R74" s="41" t="n">
        <x:v>0.9774259102825933</x:v>
      </x:c>
      <x:c r="S74" s="43" t="n">
        <x:v>19313862.20315955</x:v>
      </x:c>
      <x:c r="T74" s="43" t="n">
        <x:v>27039407.084423367</x:v>
      </x:c>
      <x:c r="U74" s="43" t="n">
        <x:v>13519703.542211683</x:v>
      </x:c>
      <x:c r="V74" s="43" t="n">
        <x:f>M74-T74</x:f>
        <x:v>1.1175870895385742e-8</x:v>
      </x:c>
      <x:c r="W74" s="27" t="str">
        <x:f>IF(ABS(V74)&lt;0.01,"OK","CHECK")</x:f>
        <x:v>OK</x:v>
      </x:c>
    </x:row>
    <x:row r="75">
      <x:c r="A75" s="27" t="str">
        <x:v>IND_PENSION_001</x:v>
      </x:c>
      <x:c r="B75" s="27" t="str">
        <x:v>3103</x:v>
      </x:c>
      <x:c r="C75" s="43" t="n">
        <x:f>SUMIFS(Trade_Calc!$AB$4:$AB$301,Trade_Calc!$B$4:$B$301,A75,Trade_Calc!$C$4:$C$301,B75)</x:f>
        <x:v>-1198743.6</x:v>
      </x:c>
      <x:c r="D75" s="27" t="str">
        <x:f>IF(COUNTIFS(Trade_Calc!$B$4:$B$301,A75,Trade_Calc!$C$4:$C$301,B75,Trade_Calc!$AJ$4:$AJ$301,"M")&gt;0,"M","U")</x:f>
        <x:v>M</x:v>
      </x:c>
      <x:c r="E75" s="43" t="n">
        <x:f>SUMIFS(Inputs_Collateral!$D$4:$D$98,Inputs_Collateral!$A$4:$A$98,A75,Inputs_Collateral!$B$4:$B$98,B75)</x:f>
        <x:v>88568000</x:v>
      </x:c>
      <x:c r="F75" s="43" t="n">
        <x:f>SUMIFS(Inputs_Collateral!$E$4:$E$98,Inputs_Collateral!$A$4:$A$98,A75,Inputs_Collateral!$B$4:$B$98,B75)</x:f>
        <x:v>44284000</x:v>
      </x:c>
      <x:c r="G75" s="43" t="n">
        <x:f>SUMIFS(Inputs_Collateral!$F$4:$F$98,Inputs_Collateral!$A$4:$A$98,A75,Inputs_Collateral!$B$4:$B$98,B75)</x:f>
        <x:v>4428400</x:v>
      </x:c>
      <x:c r="H75" s="43" t="n">
        <x:f>SUMIFS(Inputs_Collateral!$G$4:$G$98,Inputs_Collateral!$A$4:$A$98,A75,Inputs_Collateral!$B$4:$B$98,B75)</x:f>
        <x:v>44284000</x:v>
      </x:c>
      <x:c r="I75" s="43" t="n">
        <x:f>IF(D75="M",MAX(C75-E75,F75+G75-H75,0),MAX(C75-E75,0))</x:f>
        <x:v>4428400</x:v>
      </x:c>
      <x:c r="J75" s="43" t="n">
        <x:f>SUMIFS(Asset_Class_AddOn!$D$4:$D$100,Asset_Class_AddOn!$A$4:$A$100,A75,Asset_Class_AddOn!$B$4:$B$100,B75)</x:f>
        <x:v>8742348.346640676</x:v>
      </x:c>
      <x:c r="K75" s="41" t="n">
        <x:f>IF(J75&lt;=0,1,MIN(1,Parameters!$B$5+(1-Parameters!$B$5)*EXP((C75-E75)/(2*(1-Parameters!$B$5)*J75))))</x:f>
        <x:v>0.05427264361214062</x:v>
      </x:c>
      <x:c r="L75" s="43" t="n">
        <x:f>K75*J75</x:f>
        <x:v>474470.3561504162</x:v>
      </x:c>
      <x:c r="M75" s="43" t="n">
        <x:f>Parameters!$B$4*(I75+L75)</x:f>
        <x:v>6864018.498610583</x:v>
      </x:c>
      <x:c r="N75" s="42" t="n">
        <x:f>SUMIFS(Inputs_Counterparties!$D$4:$D$15,Inputs_Counterparties!$A$4:$A$15,A75)</x:f>
        <x:v>0.5</x:v>
      </x:c>
      <x:c r="O75" s="43" t="n">
        <x:f>M75*N75</x:f>
        <x:v>3432009.2493052916</x:v>
      </x:c>
      <x:c r="P75" s="43" t="n">
        <x:v>4428400</x:v>
      </x:c>
      <x:c r="Q75" s="43" t="n">
        <x:v>8742348.34664068</x:v>
      </x:c>
      <x:c r="R75" s="41" t="n">
        <x:v>0.05427264361214063</x:v>
      </x:c>
      <x:c r="S75" s="43" t="n">
        <x:v>474470.35615041654</x:v>
      </x:c>
      <x:c r="T75" s="43" t="n">
        <x:v>6864018.498610583</x:v>
      </x:c>
      <x:c r="U75" s="43" t="n">
        <x:v>3432009.2493052916</x:v>
      </x:c>
      <x:c r="V75" s="43" t="n">
        <x:f>M75-T75</x:f>
        <x:v>0</x:v>
      </x:c>
      <x:c r="W75" s="27" t="str">
        <x:f>IF(ABS(V75)&lt;0.01,"OK","CHECK")</x:f>
        <x:v>OK</x:v>
      </x:c>
    </x:row>
    <x:row r="76">
      <x:c r="A76" s="27" t="str">
        <x:v>IND_PENSION_001</x:v>
      </x:c>
      <x:c r="B76" s="27" t="str">
        <x:v>3113</x:v>
      </x:c>
      <x:c r="C76" s="43" t="n">
        <x:f>SUMIFS(Trade_Calc!$AB$4:$AB$301,Trade_Calc!$B$4:$B$301,A76,Trade_Calc!$C$4:$C$301,B76)</x:f>
        <x:v>986415</x:v>
      </x:c>
      <x:c r="D76" s="27" t="str">
        <x:f>IF(COUNTIFS(Trade_Calc!$B$4:$B$301,A76,Trade_Calc!$C$4:$C$301,B76,Trade_Calc!$AJ$4:$AJ$301,"M")&gt;0,"M","U")</x:f>
        <x:v>M</x:v>
      </x:c>
      <x:c r="E76" s="43" t="n">
        <x:f>SUMIFS(Inputs_Collateral!$D$4:$D$98,Inputs_Collateral!$A$4:$A$98,A76,Inputs_Collateral!$B$4:$B$98,B76)</x:f>
        <x:v>3670000</x:v>
      </x:c>
      <x:c r="F76" s="43" t="n">
        <x:f>SUMIFS(Inputs_Collateral!$E$4:$E$98,Inputs_Collateral!$A$4:$A$98,A76,Inputs_Collateral!$B$4:$B$98,B76)</x:f>
        <x:v>917500</x:v>
      </x:c>
      <x:c r="G76" s="43" t="n">
        <x:f>SUMIFS(Inputs_Collateral!$F$4:$F$98,Inputs_Collateral!$A$4:$A$98,A76,Inputs_Collateral!$B$4:$B$98,B76)</x:f>
        <x:v>183500</x:v>
      </x:c>
      <x:c r="H76" s="43" t="n">
        <x:f>SUMIFS(Inputs_Collateral!$G$4:$G$98,Inputs_Collateral!$A$4:$A$98,A76,Inputs_Collateral!$B$4:$B$98,B76)</x:f>
        <x:v>0</x:v>
      </x:c>
      <x:c r="I76" s="43" t="n">
        <x:f>IF(D76="M",MAX(C76-E76,F76+G76-H76,0),MAX(C76-E76,0))</x:f>
        <x:v>1101000</x:v>
      </x:c>
      <x:c r="J76" s="43" t="n">
        <x:f>SUMIFS(Asset_Class_AddOn!$D$4:$D$100,Asset_Class_AddOn!$A$4:$A$100,A76,Asset_Class_AddOn!$B$4:$B$100,B76)</x:f>
        <x:v>9909000.000000002</x:v>
      </x:c>
      <x:c r="K76" s="41" t="n">
        <x:f>IF(J76&lt;=0,1,MIN(1,Parameters!$B$5+(1-Parameters!$B$5)*EXP((C76-E76)/(2*(1-Parameters!$B$5)*J76))))</x:f>
        <x:v>0.8737965295218413</x:v>
      </x:c>
      <x:c r="L76" s="43" t="n">
        <x:f>K76*J76</x:f>
        <x:v>8658449.811031926</x:v>
      </x:c>
      <x:c r="M76" s="43" t="n">
        <x:f>Parameters!$B$4*(I76+L76)</x:f>
        <x:v>13663229.735444697</x:v>
      </x:c>
      <x:c r="N76" s="42" t="n">
        <x:f>SUMIFS(Inputs_Counterparties!$D$4:$D$15,Inputs_Counterparties!$A$4:$A$15,A76)</x:f>
        <x:v>0.5</x:v>
      </x:c>
      <x:c r="O76" s="43" t="n">
        <x:f>M76*N76</x:f>
        <x:v>6831614.867722348</x:v>
      </x:c>
      <x:c r="P76" s="43" t="n">
        <x:v>1101000</x:v>
      </x:c>
      <x:c r="Q76" s="43" t="n">
        <x:v>9909000.000000002</x:v>
      </x:c>
      <x:c r="R76" s="41" t="n">
        <x:v>0.8737965295218413</x:v>
      </x:c>
      <x:c r="S76" s="43" t="n">
        <x:v>8658449.811031926</x:v>
      </x:c>
      <x:c r="T76" s="43" t="n">
        <x:v>13663229.735444697</x:v>
      </x:c>
      <x:c r="U76" s="43" t="n">
        <x:v>6831614.867722348</x:v>
      </x:c>
      <x:c r="V76" s="43" t="n">
        <x:f>M76-T76</x:f>
        <x:v>0</x:v>
      </x:c>
      <x:c r="W76" s="27" t="str">
        <x:f>IF(ABS(V76)&lt;0.01,"OK","CHECK")</x:f>
        <x:v>OK</x:v>
      </x:c>
    </x:row>
    <x:row r="77">
      <x:c r="A77" s="27" t="str">
        <x:v>IND_PENSION_001</x:v>
      </x:c>
      <x:c r="B77" s="27" t="str">
        <x:v>3121</x:v>
      </x:c>
      <x:c r="C77" s="43" t="n">
        <x:f>SUMIFS(Trade_Calc!$AB$4:$AB$301,Trade_Calc!$B$4:$B$301,A77,Trade_Calc!$C$4:$C$301,B77)</x:f>
        <x:v>644076</x:v>
      </x:c>
      <x:c r="D77" s="27" t="str">
        <x:f>IF(COUNTIFS(Trade_Calc!$B$4:$B$301,A77,Trade_Calc!$C$4:$C$301,B77,Trade_Calc!$AJ$4:$AJ$301,"M")&gt;0,"M","U")</x:f>
        <x:v>M</x:v>
      </x:c>
      <x:c r="E77" s="43" t="n">
        <x:f>SUMIFS(Inputs_Collateral!$D$4:$D$98,Inputs_Collateral!$A$4:$A$98,A77,Inputs_Collateral!$B$4:$B$98,B77)</x:f>
        <x:v>3990000</x:v>
      </x:c>
      <x:c r="F77" s="43" t="n">
        <x:f>SUMIFS(Inputs_Collateral!$E$4:$E$98,Inputs_Collateral!$A$4:$A$98,A77,Inputs_Collateral!$B$4:$B$98,B77)</x:f>
        <x:v>399000</x:v>
      </x:c>
      <x:c r="G77" s="43" t="n">
        <x:f>SUMIFS(Inputs_Collateral!$F$4:$F$98,Inputs_Collateral!$A$4:$A$98,A77,Inputs_Collateral!$B$4:$B$98,B77)</x:f>
        <x:v>39900</x:v>
      </x:c>
      <x:c r="H77" s="43" t="n">
        <x:f>SUMIFS(Inputs_Collateral!$G$4:$G$98,Inputs_Collateral!$A$4:$A$98,A77,Inputs_Collateral!$B$4:$B$98,B77)</x:f>
        <x:v>0</x:v>
      </x:c>
      <x:c r="I77" s="43" t="n">
        <x:f>IF(D77="M",MAX(C77-E77,F77+G77-H77,0),MAX(C77-E77,0))</x:f>
        <x:v>438900</x:v>
      </x:c>
      <x:c r="J77" s="43" t="n">
        <x:f>SUMIFS(Asset_Class_AddOn!$D$4:$D$100,Asset_Class_AddOn!$A$4:$A$100,A77,Asset_Class_AddOn!$B$4:$B$100,B77)</x:f>
        <x:v>3688087.1139386073</x:v>
      </x:c>
      <x:c r="K77" s="41" t="n">
        <x:f>IF(J77&lt;=0,1,MIN(1,Parameters!$B$5+(1-Parameters!$B$5)*EXP((C77-E77)/(2*(1-Parameters!$B$5)*J77))))</x:f>
        <x:v>0.6393234954878334</x:v>
      </x:c>
      <x:c r="L77" s="43" t="n">
        <x:f>K77*J77</x:f>
        <x:v>2357880.7453468656</x:v>
      </x:c>
      <x:c r="M77" s="43" t="n">
        <x:f>Parameters!$B$4*(I77+L77)</x:f>
        <x:v>3915493.0434856117</x:v>
      </x:c>
      <x:c r="N77" s="42" t="n">
        <x:f>SUMIFS(Inputs_Counterparties!$D$4:$D$15,Inputs_Counterparties!$A$4:$A$15,A77)</x:f>
        <x:v>0.5</x:v>
      </x:c>
      <x:c r="O77" s="43" t="n">
        <x:f>M77*N77</x:f>
        <x:v>1957746.5217428058</x:v>
      </x:c>
      <x:c r="P77" s="43" t="n">
        <x:v>438900</x:v>
      </x:c>
      <x:c r="Q77" s="43" t="n">
        <x:v>3688087.1139386073</x:v>
      </x:c>
      <x:c r="R77" s="41" t="n">
        <x:v>0.6393234954878334</x:v>
      </x:c>
      <x:c r="S77" s="43" t="n">
        <x:v>2357880.7453468656</x:v>
      </x:c>
      <x:c r="T77" s="43" t="n">
        <x:v>3915493.0434856117</x:v>
      </x:c>
      <x:c r="U77" s="43" t="n">
        <x:v>1957746.5217428058</x:v>
      </x:c>
      <x:c r="V77" s="43" t="n">
        <x:f>M77-T77</x:f>
        <x:v>0</x:v>
      </x:c>
      <x:c r="W77" s="27" t="str">
        <x:f>IF(ABS(V77)&lt;0.01,"OK","CHECK")</x:f>
        <x:v>OK</x:v>
      </x:c>
    </x:row>
    <x:row r="78">
      <x:c r="A78" s="27" t="str">
        <x:v>IND_PENSION_001</x:v>
      </x:c>
      <x:c r="B78" s="27" t="str">
        <x:v>3174</x:v>
      </x:c>
      <x:c r="C78" s="43" t="n">
        <x:f>SUMIFS(Trade_Calc!$AB$4:$AB$301,Trade_Calc!$B$4:$B$301,A78,Trade_Calc!$C$4:$C$301,B78)</x:f>
        <x:v>150660</x:v>
      </x:c>
      <x:c r="D78" s="27" t="str">
        <x:f>IF(COUNTIFS(Trade_Calc!$B$4:$B$301,A78,Trade_Calc!$C$4:$C$301,B78,Trade_Calc!$AJ$4:$AJ$301,"M")&gt;0,"M","U")</x:f>
        <x:v>U</x:v>
      </x:c>
      <x:c r="E78" s="43" t="n">
        <x:f>SUMIFS(Inputs_Collateral!$D$4:$D$98,Inputs_Collateral!$A$4:$A$98,A78,Inputs_Collateral!$B$4:$B$98,B78)</x:f>
        <x:v>0</x:v>
      </x:c>
      <x:c r="F78" s="43" t="n">
        <x:f>SUMIFS(Inputs_Collateral!$E$4:$E$98,Inputs_Collateral!$A$4:$A$98,A78,Inputs_Collateral!$B$4:$B$98,B78)</x:f>
        <x:v>0</x:v>
      </x:c>
      <x:c r="G78" s="43" t="n">
        <x:f>SUMIFS(Inputs_Collateral!$F$4:$F$98,Inputs_Collateral!$A$4:$A$98,A78,Inputs_Collateral!$B$4:$B$98,B78)</x:f>
        <x:v>0</x:v>
      </x:c>
      <x:c r="H78" s="43" t="n">
        <x:f>SUMIFS(Inputs_Collateral!$G$4:$G$98,Inputs_Collateral!$A$4:$A$98,A78,Inputs_Collateral!$B$4:$B$98,B78)</x:f>
        <x:v>0</x:v>
      </x:c>
      <x:c r="I78" s="43" t="n">
        <x:f>IF(D78="M",MAX(C78-E78,F78+G78-H78,0),MAX(C78-E78,0))</x:f>
        <x:v>150660</x:v>
      </x:c>
      <x:c r="J78" s="43" t="n">
        <x:f>SUMIFS(Asset_Class_AddOn!$D$4:$D$100,Asset_Class_AddOn!$A$4:$A$100,A78,Asset_Class_AddOn!$B$4:$B$100,B78)</x:f>
        <x:v>315506.84692620346</x:v>
      </x:c>
      <x:c r="K78" s="41" t="n">
        <x:f>IF(J78&lt;=0,1,MIN(1,Parameters!$B$5+(1-Parameters!$B$5)*EXP((C78-E78)/(2*(1-Parameters!$B$5)*J78))))</x:f>
        <x:v>1</x:v>
      </x:c>
      <x:c r="L78" s="43" t="n">
        <x:f>K78*J78</x:f>
        <x:v>315506.84692620346</x:v>
      </x:c>
      <x:c r="M78" s="43" t="n">
        <x:f>Parameters!$B$4*(I78+L78)</x:f>
        <x:v>652633.5856966848</x:v>
      </x:c>
      <x:c r="N78" s="42" t="n">
        <x:f>SUMIFS(Inputs_Counterparties!$D$4:$D$15,Inputs_Counterparties!$A$4:$A$15,A78)</x:f>
        <x:v>0.5</x:v>
      </x:c>
      <x:c r="O78" s="43" t="n">
        <x:f>M78*N78</x:f>
        <x:v>326316.7928483424</x:v>
      </x:c>
      <x:c r="P78" s="43" t="n">
        <x:v>150660</x:v>
      </x:c>
      <x:c r="Q78" s="43" t="n">
        <x:v>315506.84692620346</x:v>
      </x:c>
      <x:c r="R78" s="41" t="n">
        <x:v>1</x:v>
      </x:c>
      <x:c r="S78" s="43" t="n">
        <x:v>315506.84692620346</x:v>
      </x:c>
      <x:c r="T78" s="43" t="n">
        <x:v>652633.5856966848</x:v>
      </x:c>
      <x:c r="U78" s="43" t="n">
        <x:v>326316.7928483424</x:v>
      </x:c>
      <x:c r="V78" s="43" t="n">
        <x:f>M78-T78</x:f>
        <x:v>0</x:v>
      </x:c>
      <x:c r="W78" s="27" t="str">
        <x:f>IF(ABS(V78)&lt;0.01,"OK","CHECK")</x:f>
        <x:v>OK</x:v>
      </x:c>
    </x:row>
    <x:row r="79">
      <x:c r="A79" s="27" t="str">
        <x:v>IND_PENSION_001</x:v>
      </x:c>
      <x:c r="B79" s="27" t="str">
        <x:v>3242</x:v>
      </x:c>
      <x:c r="C79" s="43" t="n">
        <x:f>SUMIFS(Trade_Calc!$AB$4:$AB$301,Trade_Calc!$B$4:$B$301,A79,Trade_Calc!$C$4:$C$301,B79)</x:f>
        <x:v>356928</x:v>
      </x:c>
      <x:c r="D79" s="27" t="str">
        <x:f>IF(COUNTIFS(Trade_Calc!$B$4:$B$301,A79,Trade_Calc!$C$4:$C$301,B79,Trade_Calc!$AJ$4:$AJ$301,"M")&gt;0,"M","U")</x:f>
        <x:v>M</x:v>
      </x:c>
      <x:c r="E79" s="43" t="n">
        <x:f>SUMIFS(Inputs_Collateral!$D$4:$D$98,Inputs_Collateral!$A$4:$A$98,A79,Inputs_Collateral!$B$4:$B$98,B79)</x:f>
        <x:v>2080000</x:v>
      </x:c>
      <x:c r="F79" s="43" t="n">
        <x:f>SUMIFS(Inputs_Collateral!$E$4:$E$98,Inputs_Collateral!$A$4:$A$98,A79,Inputs_Collateral!$B$4:$B$98,B79)</x:f>
        <x:v>416000</x:v>
      </x:c>
      <x:c r="G79" s="43" t="n">
        <x:f>SUMIFS(Inputs_Collateral!$F$4:$F$98,Inputs_Collateral!$A$4:$A$98,A79,Inputs_Collateral!$B$4:$B$98,B79)</x:f>
        <x:v>41600</x:v>
      </x:c>
      <x:c r="H79" s="43" t="n">
        <x:f>SUMIFS(Inputs_Collateral!$G$4:$G$98,Inputs_Collateral!$A$4:$A$98,A79,Inputs_Collateral!$B$4:$B$98,B79)</x:f>
        <x:v>0</x:v>
      </x:c>
      <x:c r="I79" s="43" t="n">
        <x:f>IF(D79="M",MAX(C79-E79,F79+G79-H79,0),MAX(C79-E79,0))</x:f>
        <x:v>457600</x:v>
      </x:c>
      <x:c r="J79" s="43" t="n">
        <x:f>SUMIFS(Asset_Class_AddOn!$D$4:$D$100,Asset_Class_AddOn!$A$4:$A$100,A79,Asset_Class_AddOn!$B$4:$B$100,B79)</x:f>
        <x:v>131933.83642557342</x:v>
      </x:c>
      <x:c r="K79" s="41" t="n">
        <x:f>IF(J79&lt;=0,1,MIN(1,Parameters!$B$5+(1-Parameters!$B$5)*EXP((C79-E79)/(2*(1-Parameters!$B$5)*J79))))</x:f>
        <x:v>0.05098286211537985</x:v>
      </x:c>
      <x:c r="L79" s="43" t="n">
        <x:f>K79*J79</x:f>
        <x:v>6726.364590838089</x:v>
      </x:c>
      <x:c r="M79" s="43" t="n">
        <x:f>Parameters!$B$4*(I79+L79)</x:f>
        <x:v>650056.9104271733</x:v>
      </x:c>
      <x:c r="N79" s="42" t="n">
        <x:f>SUMIFS(Inputs_Counterparties!$D$4:$D$15,Inputs_Counterparties!$A$4:$A$15,A79)</x:f>
        <x:v>0.5</x:v>
      </x:c>
      <x:c r="O79" s="43" t="n">
        <x:f>M79*N79</x:f>
        <x:v>325028.4552135866</x:v>
      </x:c>
      <x:c r="P79" s="43" t="n">
        <x:v>457600</x:v>
      </x:c>
      <x:c r="Q79" s="43" t="n">
        <x:v>131933.83642557342</x:v>
      </x:c>
      <x:c r="R79" s="41" t="n">
        <x:v>0.05098286211537985</x:v>
      </x:c>
      <x:c r="S79" s="43" t="n">
        <x:v>6726.364590838089</x:v>
      </x:c>
      <x:c r="T79" s="43" t="n">
        <x:v>650056.9104271733</x:v>
      </x:c>
      <x:c r="U79" s="43" t="n">
        <x:v>325028.4552135866</x:v>
      </x:c>
      <x:c r="V79" s="43" t="n">
        <x:f>M79-T79</x:f>
        <x:v>0</x:v>
      </x:c>
      <x:c r="W79" s="27" t="str">
        <x:f>IF(ABS(V79)&lt;0.01,"OK","CHECK")</x:f>
        <x:v>OK</x:v>
      </x:c>
    </x:row>
    <x:row r="80">
      <x:c r="A80" s="27" t="str">
        <x:v>IND_PENSION_001</x:v>
      </x:c>
      <x:c r="B80" s="27" t="str">
        <x:v>3254</x:v>
      </x:c>
      <x:c r="C80" s="43" t="n">
        <x:f>SUMIFS(Trade_Calc!$AB$4:$AB$301,Trade_Calc!$B$4:$B$301,A80,Trade_Calc!$C$4:$C$301,B80)</x:f>
        <x:v>-661242</x:v>
      </x:c>
      <x:c r="D80" s="27" t="str">
        <x:f>IF(COUNTIFS(Trade_Calc!$B$4:$B$301,A80,Trade_Calc!$C$4:$C$301,B80,Trade_Calc!$AJ$4:$AJ$301,"M")&gt;0,"M","U")</x:f>
        <x:v>U</x:v>
      </x:c>
      <x:c r="E80" s="43" t="n">
        <x:f>SUMIFS(Inputs_Collateral!$D$4:$D$98,Inputs_Collateral!$A$4:$A$98,A80,Inputs_Collateral!$B$4:$B$98,B80)</x:f>
        <x:v>0</x:v>
      </x:c>
      <x:c r="F80" s="43" t="n">
        <x:f>SUMIFS(Inputs_Collateral!$E$4:$E$98,Inputs_Collateral!$A$4:$A$98,A80,Inputs_Collateral!$B$4:$B$98,B80)</x:f>
        <x:v>0</x:v>
      </x:c>
      <x:c r="G80" s="43" t="n">
        <x:f>SUMIFS(Inputs_Collateral!$F$4:$F$98,Inputs_Collateral!$A$4:$A$98,A80,Inputs_Collateral!$B$4:$B$98,B80)</x:f>
        <x:v>0</x:v>
      </x:c>
      <x:c r="H80" s="43" t="n">
        <x:f>SUMIFS(Inputs_Collateral!$G$4:$G$98,Inputs_Collateral!$A$4:$A$98,A80,Inputs_Collateral!$B$4:$B$98,B80)</x:f>
        <x:v>0</x:v>
      </x:c>
      <x:c r="I80" s="43" t="n">
        <x:f>IF(D80="M",MAX(C80-E80,F80+G80-H80,0),MAX(C80-E80,0))</x:f>
        <x:v>0</x:v>
      </x:c>
      <x:c r="J80" s="43" t="n">
        <x:f>SUMIFS(Asset_Class_AddOn!$D$4:$D$100,Asset_Class_AddOn!$A$4:$A$100,A80,Asset_Class_AddOn!$B$4:$B$100,B80)</x:f>
        <x:v>2404214.4076105123</x:v>
      </x:c>
      <x:c r="K80" s="41" t="n">
        <x:f>IF(J80&lt;=0,1,MIN(1,Parameters!$B$5+(1-Parameters!$B$5)*EXP((C80-E80)/(2*(1-Parameters!$B$5)*J80))))</x:f>
        <x:v>0.8719725204129828</x:v>
      </x:c>
      <x:c r="L80" s="43" t="n">
        <x:f>K80*J80</x:f>
        <x:v>2096408.8966173448</x:v>
      </x:c>
      <x:c r="M80" s="43" t="n">
        <x:f>Parameters!$B$4*(I80+L80)</x:f>
        <x:v>2934972.4552642824</x:v>
      </x:c>
      <x:c r="N80" s="42" t="n">
        <x:f>SUMIFS(Inputs_Counterparties!$D$4:$D$15,Inputs_Counterparties!$A$4:$A$15,A80)</x:f>
        <x:v>0.5</x:v>
      </x:c>
      <x:c r="O80" s="43" t="n">
        <x:f>M80*N80</x:f>
        <x:v>1467486.2276321412</x:v>
      </x:c>
      <x:c r="P80" s="43" t="n">
        <x:v>0</x:v>
      </x:c>
      <x:c r="Q80" s="43" t="n">
        <x:v>2404214.4076105123</x:v>
      </x:c>
      <x:c r="R80" s="41" t="n">
        <x:v>0.8719725204129828</x:v>
      </x:c>
      <x:c r="S80" s="43" t="n">
        <x:v>2096408.8966173448</x:v>
      </x:c>
      <x:c r="T80" s="43" t="n">
        <x:v>2934972.4552642824</x:v>
      </x:c>
      <x:c r="U80" s="43" t="n">
        <x:v>1467486.2276321412</x:v>
      </x:c>
      <x:c r="V80" s="43" t="n">
        <x:f>M80-T80</x:f>
        <x:v>0</x:v>
      </x:c>
      <x:c r="W80" s="27" t="str">
        <x:f>IF(ABS(V80)&lt;0.01,"OK","CHECK")</x:f>
        <x:v>OK</x:v>
      </x:c>
    </x:row>
    <x:row r="81">
      <x:c r="A81" s="27" t="str">
        <x:v>IND_PENSION_001</x:v>
      </x:c>
      <x:c r="B81" s="27" t="str">
        <x:v>3294</x:v>
      </x:c>
      <x:c r="C81" s="43" t="n">
        <x:f>SUMIFS(Trade_Calc!$AB$4:$AB$301,Trade_Calc!$B$4:$B$301,A81,Trade_Calc!$C$4:$C$301,B81)</x:f>
        <x:v>1286775</x:v>
      </x:c>
      <x:c r="D81" s="27" t="str">
        <x:f>IF(COUNTIFS(Trade_Calc!$B$4:$B$301,A81,Trade_Calc!$C$4:$C$301,B81,Trade_Calc!$AJ$4:$AJ$301,"M")&gt;0,"M","U")</x:f>
        <x:v>M</x:v>
      </x:c>
      <x:c r="E81" s="43" t="n">
        <x:f>SUMIFS(Inputs_Collateral!$D$4:$D$98,Inputs_Collateral!$A$4:$A$98,A81,Inputs_Collateral!$B$4:$B$98,B81)</x:f>
        <x:v>32390000</x:v>
      </x:c>
      <x:c r="F81" s="43" t="n">
        <x:f>SUMIFS(Inputs_Collateral!$E$4:$E$98,Inputs_Collateral!$A$4:$A$98,A81,Inputs_Collateral!$B$4:$B$98,B81)</x:f>
        <x:v>3239000</x:v>
      </x:c>
      <x:c r="G81" s="43" t="n">
        <x:f>SUMIFS(Inputs_Collateral!$F$4:$F$98,Inputs_Collateral!$A$4:$A$98,A81,Inputs_Collateral!$B$4:$B$98,B81)</x:f>
        <x:v>323900</x:v>
      </x:c>
      <x:c r="H81" s="43" t="n">
        <x:f>SUMIFS(Inputs_Collateral!$G$4:$G$98,Inputs_Collateral!$A$4:$A$98,A81,Inputs_Collateral!$B$4:$B$98,B81)</x:f>
        <x:v>6478000</x:v>
      </x:c>
      <x:c r="I81" s="43" t="n">
        <x:f>IF(D81="M",MAX(C81-E81,F81+G81-H81,0),MAX(C81-E81,0))</x:f>
        <x:v>0</x:v>
      </x:c>
      <x:c r="J81" s="43" t="n">
        <x:f>SUMIFS(Asset_Class_AddOn!$D$4:$D$100,Asset_Class_AddOn!$A$4:$A$100,A81,Asset_Class_AddOn!$B$4:$B$100,B81)</x:f>
        <x:v>3776400.000000001</x:v>
      </x:c>
      <x:c r="K81" s="41" t="n">
        <x:f>IF(J81&lt;=0,1,MIN(1,Parameters!$B$5+(1-Parameters!$B$5)*EXP((C81-E81)/(2*(1-Parameters!$B$5)*J81))))</x:f>
        <x:v>0.06244867758646111</x:v>
      </x:c>
      <x:c r="L81" s="43" t="n">
        <x:f>K81*J81</x:f>
        <x:v>235831.1860375118</x:v>
      </x:c>
      <x:c r="M81" s="43" t="n">
        <x:f>Parameters!$B$4*(I81+L81)</x:f>
        <x:v>330163.6604525165</x:v>
      </x:c>
      <x:c r="N81" s="42" t="n">
        <x:f>SUMIFS(Inputs_Counterparties!$D$4:$D$15,Inputs_Counterparties!$A$4:$A$15,A81)</x:f>
        <x:v>0.5</x:v>
      </x:c>
      <x:c r="O81" s="43" t="n">
        <x:f>M81*N81</x:f>
        <x:v>165081.83022625826</x:v>
      </x:c>
      <x:c r="P81" s="43" t="n">
        <x:v>0</x:v>
      </x:c>
      <x:c r="Q81" s="43" t="n">
        <x:v>3776400.000000001</x:v>
      </x:c>
      <x:c r="R81" s="41" t="n">
        <x:v>0.06244867758646111</x:v>
      </x:c>
      <x:c r="S81" s="43" t="n">
        <x:v>235831.1860375118</x:v>
      </x:c>
      <x:c r="T81" s="43" t="n">
        <x:v>330163.6604525165</x:v>
      </x:c>
      <x:c r="U81" s="43" t="n">
        <x:v>165081.83022625826</x:v>
      </x:c>
      <x:c r="V81" s="43" t="n">
        <x:f>M81-T81</x:f>
        <x:v>0</x:v>
      </x:c>
      <x:c r="W81" s="27" t="str">
        <x:f>IF(ABS(V81)&lt;0.01,"OK","CHECK")</x:f>
        <x:v>OK</x:v>
      </x:c>
    </x:row>
    <x:row r="82">
      <x:c r="A82" s="27" t="str">
        <x:v>IND_REGIONAL_BANK_001</x:v>
      </x:c>
      <x:c r="B82" s="27" t="str">
        <x:v>3054</x:v>
      </x:c>
      <x:c r="C82" s="43" t="n">
        <x:f>SUMIFS(Trade_Calc!$AB$4:$AB$301,Trade_Calc!$B$4:$B$301,A82,Trade_Calc!$C$4:$C$301,B82)</x:f>
        <x:v>462794.4</x:v>
      </x:c>
      <x:c r="D82" s="27" t="str">
        <x:f>IF(COUNTIFS(Trade_Calc!$B$4:$B$301,A82,Trade_Calc!$C$4:$C$301,B82,Trade_Calc!$AJ$4:$AJ$301,"M")&gt;0,"M","U")</x:f>
        <x:v>U</x:v>
      </x:c>
      <x:c r="E82" s="43" t="n">
        <x:f>SUMIFS(Inputs_Collateral!$D$4:$D$98,Inputs_Collateral!$A$4:$A$98,A82,Inputs_Collateral!$B$4:$B$98,B82)</x:f>
        <x:v>0</x:v>
      </x:c>
      <x:c r="F82" s="43" t="n">
        <x:f>SUMIFS(Inputs_Collateral!$E$4:$E$98,Inputs_Collateral!$A$4:$A$98,A82,Inputs_Collateral!$B$4:$B$98,B82)</x:f>
        <x:v>0</x:v>
      </x:c>
      <x:c r="G82" s="43" t="n">
        <x:f>SUMIFS(Inputs_Collateral!$F$4:$F$98,Inputs_Collateral!$A$4:$A$98,A82,Inputs_Collateral!$B$4:$B$98,B82)</x:f>
        <x:v>0</x:v>
      </x:c>
      <x:c r="H82" s="43" t="n">
        <x:f>SUMIFS(Inputs_Collateral!$G$4:$G$98,Inputs_Collateral!$A$4:$A$98,A82,Inputs_Collateral!$B$4:$B$98,B82)</x:f>
        <x:v>0</x:v>
      </x:c>
      <x:c r="I82" s="43" t="n">
        <x:f>IF(D82="M",MAX(C82-E82,F82+G82-H82,0),MAX(C82-E82,0))</x:f>
        <x:v>462794.4</x:v>
      </x:c>
      <x:c r="J82" s="43" t="n">
        <x:f>SUMIFS(Asset_Class_AddOn!$D$4:$D$100,Asset_Class_AddOn!$A$4:$A$100,A82,Asset_Class_AddOn!$B$4:$B$100,B82)</x:f>
        <x:v>15280896.091243856</x:v>
      </x:c>
      <x:c r="K82" s="41" t="n">
        <x:f>IF(J82&lt;=0,1,MIN(1,Parameters!$B$5+(1-Parameters!$B$5)*EXP((C82-E82)/(2*(1-Parameters!$B$5)*J82))))</x:f>
        <x:v>1</x:v>
      </x:c>
      <x:c r="L82" s="43" t="n">
        <x:f>K82*J82</x:f>
        <x:v>15280896.091243856</x:v>
      </x:c>
      <x:c r="M82" s="43" t="n">
        <x:f>Parameters!$B$4*(I82+L82)</x:f>
        <x:v>22041166.6877414</x:v>
      </x:c>
      <x:c r="N82" s="42" t="n">
        <x:f>SUMIFS(Inputs_Counterparties!$D$4:$D$15,Inputs_Counterparties!$A$4:$A$15,A82)</x:f>
        <x:v>0.5</x:v>
      </x:c>
      <x:c r="O82" s="43" t="n">
        <x:f>M82*N82</x:f>
        <x:v>11020583.3438707</x:v>
      </x:c>
      <x:c r="P82" s="43" t="n">
        <x:v>462794.4</x:v>
      </x:c>
      <x:c r="Q82" s="43" t="n">
        <x:v>15280896.091243856</x:v>
      </x:c>
      <x:c r="R82" s="41" t="n">
        <x:v>1</x:v>
      </x:c>
      <x:c r="S82" s="43" t="n">
        <x:v>15280896.091243856</x:v>
      </x:c>
      <x:c r="T82" s="43" t="n">
        <x:v>22041166.6877414</x:v>
      </x:c>
      <x:c r="U82" s="43" t="n">
        <x:v>11020583.3438707</x:v>
      </x:c>
      <x:c r="V82" s="43" t="n">
        <x:f>M82-T82</x:f>
        <x:v>0</x:v>
      </x:c>
      <x:c r="W82" s="27" t="str">
        <x:f>IF(ABS(V82)&lt;0.01,"OK","CHECK")</x:f>
        <x:v>OK</x:v>
      </x:c>
    </x:row>
    <x:row r="83">
      <x:c r="A83" s="27" t="str">
        <x:v>IND_REGIONAL_BANK_001</x:v>
      </x:c>
      <x:c r="B83" s="27" t="str">
        <x:v>3082</x:v>
      </x:c>
      <x:c r="C83" s="43" t="n">
        <x:f>SUMIFS(Trade_Calc!$AB$4:$AB$301,Trade_Calc!$B$4:$B$301,A83,Trade_Calc!$C$4:$C$301,B83)</x:f>
        <x:v>-930513</x:v>
      </x:c>
      <x:c r="D83" s="27" t="str">
        <x:f>IF(COUNTIFS(Trade_Calc!$B$4:$B$301,A83,Trade_Calc!$C$4:$C$301,B83,Trade_Calc!$AJ$4:$AJ$301,"M")&gt;0,"M","U")</x:f>
        <x:v>M</x:v>
      </x:c>
      <x:c r="E83" s="43" t="n">
        <x:f>SUMIFS(Inputs_Collateral!$D$4:$D$98,Inputs_Collateral!$A$4:$A$98,A83,Inputs_Collateral!$B$4:$B$98,B83)</x:f>
        <x:v>10620000</x:v>
      </x:c>
      <x:c r="F83" s="43" t="n">
        <x:f>SUMIFS(Inputs_Collateral!$E$4:$E$98,Inputs_Collateral!$A$4:$A$98,A83,Inputs_Collateral!$B$4:$B$98,B83)</x:f>
        <x:v>1062000</x:v>
      </x:c>
      <x:c r="G83" s="43" t="n">
        <x:f>SUMIFS(Inputs_Collateral!$F$4:$F$98,Inputs_Collateral!$A$4:$A$98,A83,Inputs_Collateral!$B$4:$B$98,B83)</x:f>
        <x:v>106200</x:v>
      </x:c>
      <x:c r="H83" s="43" t="n">
        <x:f>SUMIFS(Inputs_Collateral!$G$4:$G$98,Inputs_Collateral!$A$4:$A$98,A83,Inputs_Collateral!$B$4:$B$98,B83)</x:f>
        <x:v>0</x:v>
      </x:c>
      <x:c r="I83" s="43" t="n">
        <x:f>IF(D83="M",MAX(C83-E83,F83+G83-H83,0),MAX(C83-E83,0))</x:f>
        <x:v>1168200</x:v>
      </x:c>
      <x:c r="J83" s="43" t="n">
        <x:f>SUMIFS(Asset_Class_AddOn!$D$4:$D$100,Asset_Class_AddOn!$A$4:$A$100,A83,Asset_Class_AddOn!$B$4:$B$100,B83)</x:f>
        <x:v>6203400.000000001</x:v>
      </x:c>
      <x:c r="K83" s="41" t="n">
        <x:f>IF(J83&lt;=0,1,MIN(1,Parameters!$B$5+(1-Parameters!$B$5)*EXP((C83-E83)/(2*(1-Parameters!$B$5)*J83))))</x:f>
        <x:v>0.4065521325144805</x:v>
      </x:c>
      <x:c r="L83" s="43" t="n">
        <x:f>K83*J83</x:f>
        <x:v>2522005.498840329</x:v>
      </x:c>
      <x:c r="M83" s="43" t="n">
        <x:f>Parameters!$B$4*(I83+L83)</x:f>
        <x:v>5166287.69837646</x:v>
      </x:c>
      <x:c r="N83" s="42" t="n">
        <x:f>SUMIFS(Inputs_Counterparties!$D$4:$D$15,Inputs_Counterparties!$A$4:$A$15,A83)</x:f>
        <x:v>0.5</x:v>
      </x:c>
      <x:c r="O83" s="43" t="n">
        <x:f>M83*N83</x:f>
        <x:v>2583143.84918823</x:v>
      </x:c>
      <x:c r="P83" s="43" t="n">
        <x:v>1168200</x:v>
      </x:c>
      <x:c r="Q83" s="43" t="n">
        <x:v>6203400.000000001</x:v>
      </x:c>
      <x:c r="R83" s="41" t="n">
        <x:v>0.4065521325144805</x:v>
      </x:c>
      <x:c r="S83" s="43" t="n">
        <x:v>2522005.498840329</x:v>
      </x:c>
      <x:c r="T83" s="43" t="n">
        <x:v>5166287.69837646</x:v>
      </x:c>
      <x:c r="U83" s="43" t="n">
        <x:v>2583143.84918823</x:v>
      </x:c>
      <x:c r="V83" s="43" t="n">
        <x:f>M83-T83</x:f>
        <x:v>0</x:v>
      </x:c>
      <x:c r="W83" s="27" t="str">
        <x:f>IF(ABS(V83)&lt;0.01,"OK","CHECK")</x:f>
        <x:v>OK</x:v>
      </x:c>
    </x:row>
    <x:row r="84">
      <x:c r="A84" s="27" t="str">
        <x:v>IND_REGIONAL_BANK_001</x:v>
      </x:c>
      <x:c r="B84" s="27" t="str">
        <x:v>3161</x:v>
      </x:c>
      <x:c r="C84" s="43" t="n">
        <x:f>SUMIFS(Trade_Calc!$AB$4:$AB$301,Trade_Calc!$B$4:$B$301,A84,Trade_Calc!$C$4:$C$301,B84)</x:f>
        <x:v>2270800</x:v>
      </x:c>
      <x:c r="D84" s="27" t="str">
        <x:f>IF(COUNTIFS(Trade_Calc!$B$4:$B$301,A84,Trade_Calc!$C$4:$C$301,B84,Trade_Calc!$AJ$4:$AJ$301,"M")&gt;0,"M","U")</x:f>
        <x:v>U</x:v>
      </x:c>
      <x:c r="E84" s="43" t="n">
        <x:f>SUMIFS(Inputs_Collateral!$D$4:$D$98,Inputs_Collateral!$A$4:$A$98,A84,Inputs_Collateral!$B$4:$B$98,B84)</x:f>
        <x:v>0</x:v>
      </x:c>
      <x:c r="F84" s="43" t="n">
        <x:f>SUMIFS(Inputs_Collateral!$E$4:$E$98,Inputs_Collateral!$A$4:$A$98,A84,Inputs_Collateral!$B$4:$B$98,B84)</x:f>
        <x:v>0</x:v>
      </x:c>
      <x:c r="G84" s="43" t="n">
        <x:f>SUMIFS(Inputs_Collateral!$F$4:$F$98,Inputs_Collateral!$A$4:$A$98,A84,Inputs_Collateral!$B$4:$B$98,B84)</x:f>
        <x:v>0</x:v>
      </x:c>
      <x:c r="H84" s="43" t="n">
        <x:f>SUMIFS(Inputs_Collateral!$G$4:$G$98,Inputs_Collateral!$A$4:$A$98,A84,Inputs_Collateral!$B$4:$B$98,B84)</x:f>
        <x:v>0</x:v>
      </x:c>
      <x:c r="I84" s="43" t="n">
        <x:f>IF(D84="M",MAX(C84-E84,F84+G84-H84,0),MAX(C84-E84,0))</x:f>
        <x:v>2270800</x:v>
      </x:c>
      <x:c r="J84" s="43" t="n">
        <x:f>SUMIFS(Asset_Class_AddOn!$D$4:$D$100,Asset_Class_AddOn!$A$4:$A$100,A84,Asset_Class_AddOn!$B$4:$B$100,B84)</x:f>
        <x:v>5649459.236787042</x:v>
      </x:c>
      <x:c r="K84" s="41" t="n">
        <x:f>IF(J84&lt;=0,1,MIN(1,Parameters!$B$5+(1-Parameters!$B$5)*EXP((C84-E84)/(2*(1-Parameters!$B$5)*J84))))</x:f>
        <x:v>1</x:v>
      </x:c>
      <x:c r="L84" s="43" t="n">
        <x:f>K84*J84</x:f>
        <x:v>5649459.236787042</x:v>
      </x:c>
      <x:c r="M84" s="43" t="n">
        <x:f>Parameters!$B$4*(I84+L84)</x:f>
        <x:v>11088362.931501858</x:v>
      </x:c>
      <x:c r="N84" s="42" t="n">
        <x:f>SUMIFS(Inputs_Counterparties!$D$4:$D$15,Inputs_Counterparties!$A$4:$A$15,A84)</x:f>
        <x:v>0.5</x:v>
      </x:c>
      <x:c r="O84" s="43" t="n">
        <x:f>M84*N84</x:f>
        <x:v>5544181.465750929</x:v>
      </x:c>
      <x:c r="P84" s="43" t="n">
        <x:v>2270800</x:v>
      </x:c>
      <x:c r="Q84" s="43" t="n">
        <x:v>5649459.236787042</x:v>
      </x:c>
      <x:c r="R84" s="41" t="n">
        <x:v>1</x:v>
      </x:c>
      <x:c r="S84" s="43" t="n">
        <x:v>5649459.236787042</x:v>
      </x:c>
      <x:c r="T84" s="43" t="n">
        <x:v>11088362.931501858</x:v>
      </x:c>
      <x:c r="U84" s="43" t="n">
        <x:v>5544181.465750929</x:v>
      </x:c>
      <x:c r="V84" s="43" t="n">
        <x:f>M84-T84</x:f>
        <x:v>0</x:v>
      </x:c>
      <x:c r="W84" s="27" t="str">
        <x:f>IF(ABS(V84)&lt;0.01,"OK","CHECK")</x:f>
        <x:v>OK</x:v>
      </x:c>
    </x:row>
    <x:row r="85">
      <x:c r="A85" s="27" t="str">
        <x:v>IND_REGIONAL_BANK_001</x:v>
      </x:c>
      <x:c r="B85" s="27" t="str">
        <x:v>3194</x:v>
      </x:c>
      <x:c r="C85" s="43" t="n">
        <x:f>SUMIFS(Trade_Calc!$AB$4:$AB$301,Trade_Calc!$B$4:$B$301,A85,Trade_Calc!$C$4:$C$301,B85)</x:f>
        <x:v>838519.5</x:v>
      </x:c>
      <x:c r="D85" s="27" t="str">
        <x:f>IF(COUNTIFS(Trade_Calc!$B$4:$B$301,A85,Trade_Calc!$C$4:$C$301,B85,Trade_Calc!$AJ$4:$AJ$301,"M")&gt;0,"M","U")</x:f>
        <x:v>M</x:v>
      </x:c>
      <x:c r="E85" s="43" t="n">
        <x:f>SUMIFS(Inputs_Collateral!$D$4:$D$98,Inputs_Collateral!$A$4:$A$98,A85,Inputs_Collateral!$B$4:$B$98,B85)</x:f>
        <x:v>1930000</x:v>
      </x:c>
      <x:c r="F85" s="43" t="n">
        <x:f>SUMIFS(Inputs_Collateral!$E$4:$E$98,Inputs_Collateral!$A$4:$A$98,A85,Inputs_Collateral!$B$4:$B$98,B85)</x:f>
        <x:v>241250</x:v>
      </x:c>
      <x:c r="G85" s="43" t="n">
        <x:f>SUMIFS(Inputs_Collateral!$F$4:$F$98,Inputs_Collateral!$A$4:$A$98,A85,Inputs_Collateral!$B$4:$B$98,B85)</x:f>
        <x:v>96500</x:v>
      </x:c>
      <x:c r="H85" s="43" t="n">
        <x:f>SUMIFS(Inputs_Collateral!$G$4:$G$98,Inputs_Collateral!$A$4:$A$98,A85,Inputs_Collateral!$B$4:$B$98,B85)</x:f>
        <x:v>0</x:v>
      </x:c>
      <x:c r="I85" s="43" t="n">
        <x:f>IF(D85="M",MAX(C85-E85,F85+G85-H85,0),MAX(C85-E85,0))</x:f>
        <x:v>337750</x:v>
      </x:c>
      <x:c r="J85" s="43" t="n">
        <x:f>SUMIFS(Asset_Class_AddOn!$D$4:$D$100,Asset_Class_AddOn!$A$4:$A$100,A85,Asset_Class_AddOn!$B$4:$B$100,B85)</x:f>
        <x:v>3590830.188077495</x:v>
      </x:c>
      <x:c r="K85" s="41" t="n">
        <x:f>IF(J85&lt;=0,1,MIN(1,Parameters!$B$5+(1-Parameters!$B$5)*EXP((C85-E85)/(2*(1-Parameters!$B$5)*J85))))</x:f>
        <x:v>0.8595522476265955</x:v>
      </x:c>
      <x:c r="L85" s="43" t="n">
        <x:f>K85*J85</x:f>
        <x:v>3086506.1590074417</x:v>
      </x:c>
      <x:c r="M85" s="43" t="n">
        <x:f>Parameters!$B$4*(I85+L85)</x:f>
        <x:v>4793958.622610418</x:v>
      </x:c>
      <x:c r="N85" s="42" t="n">
        <x:f>SUMIFS(Inputs_Counterparties!$D$4:$D$15,Inputs_Counterparties!$A$4:$A$15,A85)</x:f>
        <x:v>0.5</x:v>
      </x:c>
      <x:c r="O85" s="43" t="n">
        <x:f>M85*N85</x:f>
        <x:v>2396979.311305209</x:v>
      </x:c>
      <x:c r="P85" s="43" t="n">
        <x:v>337750</x:v>
      </x:c>
      <x:c r="Q85" s="43" t="n">
        <x:v>3590830.188077495</x:v>
      </x:c>
      <x:c r="R85" s="41" t="n">
        <x:v>0.8595522476265955</x:v>
      </x:c>
      <x:c r="S85" s="43" t="n">
        <x:v>3086506.1590074417</x:v>
      </x:c>
      <x:c r="T85" s="43" t="n">
        <x:v>4793958.622610418</x:v>
      </x:c>
      <x:c r="U85" s="43" t="n">
        <x:v>2396979.311305209</x:v>
      </x:c>
      <x:c r="V85" s="43" t="n">
        <x:f>M85-T85</x:f>
        <x:v>0</x:v>
      </x:c>
      <x:c r="W85" s="27" t="str">
        <x:f>IF(ABS(V85)&lt;0.01,"OK","CHECK")</x:f>
        <x:v>OK</x:v>
      </x:c>
    </x:row>
    <x:row r="86">
      <x:c r="A86" s="27" t="str">
        <x:v>IND_REGIONAL_BANK_001</x:v>
      </x:c>
      <x:c r="B86" s="27" t="str">
        <x:v>3210</x:v>
      </x:c>
      <x:c r="C86" s="43" t="n">
        <x:f>SUMIFS(Trade_Calc!$AB$4:$AB$301,Trade_Calc!$B$4:$B$301,A86,Trade_Calc!$C$4:$C$301,B86)</x:f>
        <x:v>1984431</x:v>
      </x:c>
      <x:c r="D86" s="27" t="str">
        <x:f>IF(COUNTIFS(Trade_Calc!$B$4:$B$301,A86,Trade_Calc!$C$4:$C$301,B86,Trade_Calc!$AJ$4:$AJ$301,"M")&gt;0,"M","U")</x:f>
        <x:v>M</x:v>
      </x:c>
      <x:c r="E86" s="43" t="n">
        <x:f>SUMIFS(Inputs_Collateral!$D$4:$D$98,Inputs_Collateral!$A$4:$A$98,A86,Inputs_Collateral!$B$4:$B$98,B86)</x:f>
        <x:v>21305000</x:v>
      </x:c>
      <x:c r="F86" s="43" t="n">
        <x:f>SUMIFS(Inputs_Collateral!$E$4:$E$98,Inputs_Collateral!$A$4:$A$98,A86,Inputs_Collateral!$B$4:$B$98,B86)</x:f>
        <x:v>2130500</x:v>
      </x:c>
      <x:c r="G86" s="43" t="n">
        <x:f>SUMIFS(Inputs_Collateral!$F$4:$F$98,Inputs_Collateral!$A$4:$A$98,A86,Inputs_Collateral!$B$4:$B$98,B86)</x:f>
        <x:v>426100</x:v>
      </x:c>
      <x:c r="H86" s="43" t="n">
        <x:f>SUMIFS(Inputs_Collateral!$G$4:$G$98,Inputs_Collateral!$A$4:$A$98,A86,Inputs_Collateral!$B$4:$B$98,B86)</x:f>
        <x:v>8522000</x:v>
      </x:c>
      <x:c r="I86" s="43" t="n">
        <x:f>IF(D86="M",MAX(C86-E86,F86+G86-H86,0),MAX(C86-E86,0))</x:f>
        <x:v>0</x:v>
      </x:c>
      <x:c r="J86" s="43" t="n">
        <x:f>SUMIFS(Asset_Class_AddOn!$D$4:$D$100,Asset_Class_AddOn!$A$4:$A$100,A86,Asset_Class_AddOn!$B$4:$B$100,B86)</x:f>
        <x:v>2177773.6367068347</x:v>
      </x:c>
      <x:c r="K86" s="41" t="n">
        <x:f>IF(J86&lt;=0,1,MIN(1,Parameters!$B$5+(1-Parameters!$B$5)*EXP((C86-E86)/(2*(1-Parameters!$B$5)*J86))))</x:f>
        <x:v>0.05890971861405444</x:v>
      </x:c>
      <x:c r="L86" s="43" t="n">
        <x:f>K86*J86</x:f>
        <x:v>128292.03214350565</x:v>
      </x:c>
      <x:c r="M86" s="43" t="n">
        <x:f>Parameters!$B$4*(I86+L86)</x:f>
        <x:v>179608.8450009079</x:v>
      </x:c>
      <x:c r="N86" s="42" t="n">
        <x:f>SUMIFS(Inputs_Counterparties!$D$4:$D$15,Inputs_Counterparties!$A$4:$A$15,A86)</x:f>
        <x:v>0.5</x:v>
      </x:c>
      <x:c r="O86" s="43" t="n">
        <x:f>M86*N86</x:f>
        <x:v>89804.42250045395</x:v>
      </x:c>
      <x:c r="P86" s="43" t="n">
        <x:v>0</x:v>
      </x:c>
      <x:c r="Q86" s="43" t="n">
        <x:v>2177773.6367068347</x:v>
      </x:c>
      <x:c r="R86" s="41" t="n">
        <x:v>0.05890971861405444</x:v>
      </x:c>
      <x:c r="S86" s="43" t="n">
        <x:v>128292.03214350565</x:v>
      </x:c>
      <x:c r="T86" s="43" t="n">
        <x:v>179608.8450009079</x:v>
      </x:c>
      <x:c r="U86" s="43" t="n">
        <x:v>89804.42250045395</x:v>
      </x:c>
      <x:c r="V86" s="43" t="n">
        <x:f>M86-T86</x:f>
        <x:v>0</x:v>
      </x:c>
      <x:c r="W86" s="27" t="str">
        <x:f>IF(ABS(V86)&lt;0.01,"OK","CHECK")</x:f>
        <x:v>OK</x:v>
      </x:c>
    </x:row>
    <x:row r="87">
      <x:c r="A87" s="27" t="str">
        <x:v>IND_REGIONAL_BANK_001</x:v>
      </x:c>
      <x:c r="B87" s="27" t="str">
        <x:v>3237</x:v>
      </x:c>
      <x:c r="C87" s="43" t="n">
        <x:f>SUMIFS(Trade_Calc!$AB$4:$AB$301,Trade_Calc!$B$4:$B$301,A87,Trade_Calc!$C$4:$C$301,B87)</x:f>
        <x:v>-3105184</x:v>
      </x:c>
      <x:c r="D87" s="27" t="str">
        <x:f>IF(COUNTIFS(Trade_Calc!$B$4:$B$301,A87,Trade_Calc!$C$4:$C$301,B87,Trade_Calc!$AJ$4:$AJ$301,"M")&gt;0,"M","U")</x:f>
        <x:v>M</x:v>
      </x:c>
      <x:c r="E87" s="43" t="n">
        <x:f>SUMIFS(Inputs_Collateral!$D$4:$D$98,Inputs_Collateral!$A$4:$A$98,A87,Inputs_Collateral!$B$4:$B$98,B87)</x:f>
        <x:v>27870000</x:v>
      </x:c>
      <x:c r="F87" s="43" t="n">
        <x:f>SUMIFS(Inputs_Collateral!$E$4:$E$98,Inputs_Collateral!$A$4:$A$98,A87,Inputs_Collateral!$B$4:$B$98,B87)</x:f>
        <x:v>1858000</x:v>
      </x:c>
      <x:c r="G87" s="43" t="n">
        <x:f>SUMIFS(Inputs_Collateral!$F$4:$F$98,Inputs_Collateral!$A$4:$A$98,A87,Inputs_Collateral!$B$4:$B$98,B87)</x:f>
        <x:v>185800</x:v>
      </x:c>
      <x:c r="H87" s="43" t="n">
        <x:f>SUMIFS(Inputs_Collateral!$G$4:$G$98,Inputs_Collateral!$A$4:$A$98,A87,Inputs_Collateral!$B$4:$B$98,B87)</x:f>
        <x:v>1858000</x:v>
      </x:c>
      <x:c r="I87" s="43" t="n">
        <x:f>IF(D87="M",MAX(C87-E87,F87+G87-H87,0),MAX(C87-E87,0))</x:f>
        <x:v>185800</x:v>
      </x:c>
      <x:c r="J87" s="43" t="n">
        <x:f>SUMIFS(Asset_Class_AddOn!$D$4:$D$100,Asset_Class_AddOn!$A$4:$A$100,A87,Asset_Class_AddOn!$B$4:$B$100,B87)</x:f>
        <x:v>3924087.3539465335</x:v>
      </x:c>
      <x:c r="K87" s="41" t="n">
        <x:f>IF(J87&lt;=0,1,MIN(1,Parameters!$B$5+(1-Parameters!$B$5)*EXP((C87-E87)/(2*(1-Parameters!$B$5)*J87))))</x:f>
        <x:v>0.0649085457286328</x:v>
      </x:c>
      <x:c r="L87" s="43" t="n">
        <x:f>K87*J87</x:f>
        <x:v>254706.80345678827</x:v>
      </x:c>
      <x:c r="M87" s="43" t="n">
        <x:f>Parameters!$B$4*(I87+L87)</x:f>
        <x:v>616709.5248395036</x:v>
      </x:c>
      <x:c r="N87" s="42" t="n">
        <x:f>SUMIFS(Inputs_Counterparties!$D$4:$D$15,Inputs_Counterparties!$A$4:$A$15,A87)</x:f>
        <x:v>0.5</x:v>
      </x:c>
      <x:c r="O87" s="43" t="n">
        <x:f>M87*N87</x:f>
        <x:v>308354.7624197518</x:v>
      </x:c>
      <x:c r="P87" s="43" t="n">
        <x:v>185800</x:v>
      </x:c>
      <x:c r="Q87" s="43" t="n">
        <x:v>3924087.3539465335</x:v>
      </x:c>
      <x:c r="R87" s="41" t="n">
        <x:v>0.0649085457286328</x:v>
      </x:c>
      <x:c r="S87" s="43" t="n">
        <x:v>254706.80345678827</x:v>
      </x:c>
      <x:c r="T87" s="43" t="n">
        <x:v>616709.5248395036</x:v>
      </x:c>
      <x:c r="U87" s="43" t="n">
        <x:v>308354.7624197518</x:v>
      </x:c>
      <x:c r="V87" s="43" t="n">
        <x:f>M87-T87</x:f>
        <x:v>0</x:v>
      </x:c>
      <x:c r="W87" s="27" t="str">
        <x:f>IF(ABS(V87)&lt;0.01,"OK","CHECK")</x:f>
        <x:v>OK</x:v>
      </x:c>
    </x:row>
    <x:row r="88">
      <x:c r="A88" s="27" t="str">
        <x:v>IND_REGIONAL_BANK_001</x:v>
      </x:c>
      <x:c r="B88" s="27" t="str">
        <x:v>3245</x:v>
      </x:c>
      <x:c r="C88" s="43" t="n">
        <x:f>SUMIFS(Trade_Calc!$AB$4:$AB$301,Trade_Calc!$B$4:$B$301,A88,Trade_Calc!$C$4:$C$301,B88)</x:f>
        <x:v>690787</x:v>
      </x:c>
      <x:c r="D88" s="27" t="str">
        <x:f>IF(COUNTIFS(Trade_Calc!$B$4:$B$301,A88,Trade_Calc!$C$4:$C$301,B88,Trade_Calc!$AJ$4:$AJ$301,"M")&gt;0,"M","U")</x:f>
        <x:v>U</x:v>
      </x:c>
      <x:c r="E88" s="43" t="n">
        <x:f>SUMIFS(Inputs_Collateral!$D$4:$D$98,Inputs_Collateral!$A$4:$A$98,A88,Inputs_Collateral!$B$4:$B$98,B88)</x:f>
        <x:v>0</x:v>
      </x:c>
      <x:c r="F88" s="43" t="n">
        <x:f>SUMIFS(Inputs_Collateral!$E$4:$E$98,Inputs_Collateral!$A$4:$A$98,A88,Inputs_Collateral!$B$4:$B$98,B88)</x:f>
        <x:v>0</x:v>
      </x:c>
      <x:c r="G88" s="43" t="n">
        <x:f>SUMIFS(Inputs_Collateral!$F$4:$F$98,Inputs_Collateral!$A$4:$A$98,A88,Inputs_Collateral!$B$4:$B$98,B88)</x:f>
        <x:v>0</x:v>
      </x:c>
      <x:c r="H88" s="43" t="n">
        <x:f>SUMIFS(Inputs_Collateral!$G$4:$G$98,Inputs_Collateral!$A$4:$A$98,A88,Inputs_Collateral!$B$4:$B$98,B88)</x:f>
        <x:v>0</x:v>
      </x:c>
      <x:c r="I88" s="43" t="n">
        <x:f>IF(D88="M",MAX(C88-E88,F88+G88-H88,0),MAX(C88-E88,0))</x:f>
        <x:v>690787</x:v>
      </x:c>
      <x:c r="J88" s="43" t="n">
        <x:f>SUMIFS(Asset_Class_AddOn!$D$4:$D$100,Asset_Class_AddOn!$A$4:$A$100,A88,Asset_Class_AddOn!$B$4:$B$100,B88)</x:f>
        <x:v>4808000</x:v>
      </x:c>
      <x:c r="K88" s="41" t="n">
        <x:f>IF(J88&lt;=0,1,MIN(1,Parameters!$B$5+(1-Parameters!$B$5)*EXP((C88-E88)/(2*(1-Parameters!$B$5)*J88))))</x:f>
        <x:v>1</x:v>
      </x:c>
      <x:c r="L88" s="43" t="n">
        <x:f>K88*J88</x:f>
        <x:v>4808000</x:v>
      </x:c>
      <x:c r="M88" s="43" t="n">
        <x:f>Parameters!$B$4*(I88+L88)</x:f>
        <x:v>7698301.8</x:v>
      </x:c>
      <x:c r="N88" s="42" t="n">
        <x:f>SUMIFS(Inputs_Counterparties!$D$4:$D$15,Inputs_Counterparties!$A$4:$A$15,A88)</x:f>
        <x:v>0.5</x:v>
      </x:c>
      <x:c r="O88" s="43" t="n">
        <x:f>M88*N88</x:f>
        <x:v>3849150.9</x:v>
      </x:c>
      <x:c r="P88" s="43" t="n">
        <x:v>690787</x:v>
      </x:c>
      <x:c r="Q88" s="43" t="n">
        <x:v>4808000</x:v>
      </x:c>
      <x:c r="R88" s="41" t="n">
        <x:v>1</x:v>
      </x:c>
      <x:c r="S88" s="43" t="n">
        <x:v>4808000</x:v>
      </x:c>
      <x:c r="T88" s="43" t="n">
        <x:v>7698301.8</x:v>
      </x:c>
      <x:c r="U88" s="43" t="n">
        <x:v>3849150.9</x:v>
      </x:c>
      <x:c r="V88" s="43" t="n">
        <x:f>M88-T88</x:f>
        <x:v>0</x:v>
      </x:c>
      <x:c r="W88" s="27" t="str">
        <x:f>IF(ABS(V88)&lt;0.01,"OK","CHECK")</x:f>
        <x:v>OK</x:v>
      </x:c>
    </x:row>
    <x:row r="89">
      <x:c r="A89" s="27" t="str">
        <x:v>IND_REGIONAL_BANK_001</x:v>
      </x:c>
      <x:c r="B89" s="27" t="str">
        <x:v>3315</x:v>
      </x:c>
      <x:c r="C89" s="43" t="n">
        <x:f>SUMIFS(Trade_Calc!$AB$4:$AB$301,Trade_Calc!$B$4:$B$301,A89,Trade_Calc!$C$4:$C$301,B89)</x:f>
        <x:v>3959677.2</x:v>
      </x:c>
      <x:c r="D89" s="27" t="str">
        <x:f>IF(COUNTIFS(Trade_Calc!$B$4:$B$301,A89,Trade_Calc!$C$4:$C$301,B89,Trade_Calc!$AJ$4:$AJ$301,"M")&gt;0,"M","U")</x:f>
        <x:v>M</x:v>
      </x:c>
      <x:c r="E89" s="43" t="n">
        <x:f>SUMIFS(Inputs_Collateral!$D$4:$D$98,Inputs_Collateral!$A$4:$A$98,A89,Inputs_Collateral!$B$4:$B$98,B89)</x:f>
        <x:v>71830000</x:v>
      </x:c>
      <x:c r="F89" s="43" t="n">
        <x:f>SUMIFS(Inputs_Collateral!$E$4:$E$98,Inputs_Collateral!$A$4:$A$98,A89,Inputs_Collateral!$B$4:$B$98,B89)</x:f>
        <x:v>7183000</x:v>
      </x:c>
      <x:c r="G89" s="43" t="n">
        <x:f>SUMIFS(Inputs_Collateral!$F$4:$F$98,Inputs_Collateral!$A$4:$A$98,A89,Inputs_Collateral!$B$4:$B$98,B89)</x:f>
        <x:v>1436600</x:v>
      </x:c>
      <x:c r="H89" s="43" t="n">
        <x:f>SUMIFS(Inputs_Collateral!$G$4:$G$98,Inputs_Collateral!$A$4:$A$98,A89,Inputs_Collateral!$B$4:$B$98,B89)</x:f>
        <x:v>28732000</x:v>
      </x:c>
      <x:c r="I89" s="43" t="n">
        <x:f>IF(D89="M",MAX(C89-E89,F89+G89-H89,0),MAX(C89-E89,0))</x:f>
        <x:v>0</x:v>
      </x:c>
      <x:c r="J89" s="43" t="n">
        <x:f>SUMIFS(Asset_Class_AddOn!$D$4:$D$100,Asset_Class_AddOn!$A$4:$A$100,A89,Asset_Class_AddOn!$B$4:$B$100,B89)</x:f>
        <x:v>3422606.959892162</x:v>
      </x:c>
      <x:c r="K89" s="41" t="n">
        <x:f>IF(J89&lt;=0,1,MIN(1,Parameters!$B$5+(1-Parameters!$B$5)*EXP((C89-E89)/(2*(1-Parameters!$B$5)*J89))))</x:f>
        <x:v>0.05002786498936511</x:v>
      </x:c>
      <x:c r="L89" s="43" t="n">
        <x:f>K89*J89</x:f>
        <x:v>171225.71890114644</x:v>
      </x:c>
      <x:c r="M89" s="43" t="n">
        <x:f>Parameters!$B$4*(I89+L89)</x:f>
        <x:v>239716.006461605</x:v>
      </x:c>
      <x:c r="N89" s="42" t="n">
        <x:f>SUMIFS(Inputs_Counterparties!$D$4:$D$15,Inputs_Counterparties!$A$4:$A$15,A89)</x:f>
        <x:v>0.5</x:v>
      </x:c>
      <x:c r="O89" s="43" t="n">
        <x:f>M89*N89</x:f>
        <x:v>119858.0032308025</x:v>
      </x:c>
      <x:c r="P89" s="43" t="n">
        <x:v>0</x:v>
      </x:c>
      <x:c r="Q89" s="43" t="n">
        <x:v>3422606.959892163</x:v>
      </x:c>
      <x:c r="R89" s="41" t="n">
        <x:v>0.05002786498936511</x:v>
      </x:c>
      <x:c r="S89" s="43" t="n">
        <x:v>171225.7189011465</x:v>
      </x:c>
      <x:c r="T89" s="43" t="n">
        <x:v>239716.00646160508</x:v>
      </x:c>
      <x:c r="U89" s="43" t="n">
        <x:v>119858.00323080254</x:v>
      </x:c>
      <x:c r="V89" s="43" t="n">
        <x:f>M89-T89</x:f>
        <x:v>-8.731149137020111e-11</x:v>
      </x:c>
      <x:c r="W89" s="27" t="str">
        <x:f>IF(ABS(V89)&lt;0.01,"OK","CHECK")</x:f>
        <x:v>OK</x:v>
      </x:c>
    </x:row>
    <x:row r="90">
      <x:c r="A90" s="27" t="str">
        <x:v>IND_SOVEREIGN_001</x:v>
      </x:c>
      <x:c r="B90" s="27" t="str">
        <x:v>3042</x:v>
      </x:c>
      <x:c r="C90" s="43" t="n">
        <x:f>SUMIFS(Trade_Calc!$AB$4:$AB$301,Trade_Calc!$B$4:$B$301,A90,Trade_Calc!$C$4:$C$301,B90)</x:f>
        <x:v>517060</x:v>
      </x:c>
      <x:c r="D90" s="27" t="str">
        <x:f>IF(COUNTIFS(Trade_Calc!$B$4:$B$301,A90,Trade_Calc!$C$4:$C$301,B90,Trade_Calc!$AJ$4:$AJ$301,"M")&gt;0,"M","U")</x:f>
        <x:v>M</x:v>
      </x:c>
      <x:c r="E90" s="43" t="n">
        <x:f>SUMIFS(Inputs_Collateral!$D$4:$D$98,Inputs_Collateral!$A$4:$A$98,A90,Inputs_Collateral!$B$4:$B$98,B90)</x:f>
        <x:v>2060000</x:v>
      </x:c>
      <x:c r="F90" s="43" t="n">
        <x:f>SUMIFS(Inputs_Collateral!$E$4:$E$98,Inputs_Collateral!$A$4:$A$98,A90,Inputs_Collateral!$B$4:$B$98,B90)</x:f>
        <x:v>1030000</x:v>
      </x:c>
      <x:c r="G90" s="43" t="n">
        <x:f>SUMIFS(Inputs_Collateral!$F$4:$F$98,Inputs_Collateral!$A$4:$A$98,A90,Inputs_Collateral!$B$4:$B$98,B90)</x:f>
        <x:v>103000</x:v>
      </x:c>
      <x:c r="H90" s="43" t="n">
        <x:f>SUMIFS(Inputs_Collateral!$G$4:$G$98,Inputs_Collateral!$A$4:$A$98,A90,Inputs_Collateral!$B$4:$B$98,B90)</x:f>
        <x:v>0</x:v>
      </x:c>
      <x:c r="I90" s="43" t="n">
        <x:f>IF(D90="M",MAX(C90-E90,F90+G90-H90,0),MAX(C90-E90,0))</x:f>
        <x:v>1133000</x:v>
      </x:c>
      <x:c r="J90" s="43" t="n">
        <x:f>SUMIFS(Asset_Class_AddOn!$D$4:$D$100,Asset_Class_AddOn!$A$4:$A$100,A90,Asset_Class_AddOn!$B$4:$B$100,B90)</x:f>
        <x:v>450320.6895615736</x:v>
      </x:c>
      <x:c r="K90" s="41" t="n">
        <x:f>IF(J90&lt;=0,1,MIN(1,Parameters!$B$5+(1-Parameters!$B$5)*EXP((C90-E90)/(2*(1-Parameters!$B$5)*J90))))</x:f>
        <x:v>0.2065129765607603</x:v>
      </x:c>
      <x:c r="L90" s="43" t="n">
        <x:f>K90*J90</x:f>
        <x:v>92997.06600825467</x:v>
      </x:c>
      <x:c r="M90" s="43" t="n">
        <x:f>Parameters!$B$4*(I90+L90)</x:f>
        <x:v>1716395.8924115563</x:v>
      </x:c>
      <x:c r="N90" s="42" t="n">
        <x:f>SUMIFS(Inputs_Counterparties!$D$4:$D$15,Inputs_Counterparties!$A$4:$A$15,A90)</x:f>
        <x:v>0.2</x:v>
      </x:c>
      <x:c r="O90" s="43" t="n">
        <x:f>M90*N90</x:f>
        <x:v>343279.1784823113</x:v>
      </x:c>
      <x:c r="P90" s="43" t="n">
        <x:v>1133000</x:v>
      </x:c>
      <x:c r="Q90" s="43" t="n">
        <x:v>450320.6895615736</x:v>
      </x:c>
      <x:c r="R90" s="41" t="n">
        <x:v>0.20651297656076023</x:v>
      </x:c>
      <x:c r="S90" s="43" t="n">
        <x:v>92997.06600825464</x:v>
      </x:c>
      <x:c r="T90" s="43" t="n">
        <x:v>1716395.8924115563</x:v>
      </x:c>
      <x:c r="U90" s="43" t="n">
        <x:v>343279.1784823113</x:v>
      </x:c>
      <x:c r="V90" s="43" t="n">
        <x:f>M90-T90</x:f>
        <x:v>0</x:v>
      </x:c>
      <x:c r="W90" s="27" t="str">
        <x:f>IF(ABS(V90)&lt;0.01,"OK","CHECK")</x:f>
        <x:v>OK</x:v>
      </x:c>
    </x:row>
    <x:row r="91">
      <x:c r="A91" s="27" t="str">
        <x:v>IND_SOVEREIGN_001</x:v>
      </x:c>
      <x:c r="B91" s="27" t="str">
        <x:v>3065</x:v>
      </x:c>
      <x:c r="C91" s="43" t="n">
        <x:f>SUMIFS(Trade_Calc!$AB$4:$AB$301,Trade_Calc!$B$4:$B$301,A91,Trade_Calc!$C$4:$C$301,B91)</x:f>
        <x:v>1521929.4</x:v>
      </x:c>
      <x:c r="D91" s="27" t="str">
        <x:f>IF(COUNTIFS(Trade_Calc!$B$4:$B$301,A91,Trade_Calc!$C$4:$C$301,B91,Trade_Calc!$AJ$4:$AJ$301,"M")&gt;0,"M","U")</x:f>
        <x:v>U</x:v>
      </x:c>
      <x:c r="E91" s="43" t="n">
        <x:f>SUMIFS(Inputs_Collateral!$D$4:$D$98,Inputs_Collateral!$A$4:$A$98,A91,Inputs_Collateral!$B$4:$B$98,B91)</x:f>
        <x:v>0</x:v>
      </x:c>
      <x:c r="F91" s="43" t="n">
        <x:f>SUMIFS(Inputs_Collateral!$E$4:$E$98,Inputs_Collateral!$A$4:$A$98,A91,Inputs_Collateral!$B$4:$B$98,B91)</x:f>
        <x:v>0</x:v>
      </x:c>
      <x:c r="G91" s="43" t="n">
        <x:f>SUMIFS(Inputs_Collateral!$F$4:$F$98,Inputs_Collateral!$A$4:$A$98,A91,Inputs_Collateral!$B$4:$B$98,B91)</x:f>
        <x:v>0</x:v>
      </x:c>
      <x:c r="H91" s="43" t="n">
        <x:f>SUMIFS(Inputs_Collateral!$G$4:$G$98,Inputs_Collateral!$A$4:$A$98,A91,Inputs_Collateral!$B$4:$B$98,B91)</x:f>
        <x:v>0</x:v>
      </x:c>
      <x:c r="I91" s="43" t="n">
        <x:f>IF(D91="M",MAX(C91-E91,F91+G91-H91,0),MAX(C91-E91,0))</x:f>
        <x:v>1521929.4</x:v>
      </x:c>
      <x:c r="J91" s="43" t="n">
        <x:f>SUMIFS(Asset_Class_AddOn!$D$4:$D$100,Asset_Class_AddOn!$A$4:$A$100,A91,Asset_Class_AddOn!$B$4:$B$100,B91)</x:f>
        <x:v>11289206.531979304</x:v>
      </x:c>
      <x:c r="K91" s="41" t="n">
        <x:f>IF(J91&lt;=0,1,MIN(1,Parameters!$B$5+(1-Parameters!$B$5)*EXP((C91-E91)/(2*(1-Parameters!$B$5)*J91))))</x:f>
        <x:v>1</x:v>
      </x:c>
      <x:c r="L91" s="43" t="n">
        <x:f>K91*J91</x:f>
        <x:v>11289206.531979304</x:v>
      </x:c>
      <x:c r="M91" s="43" t="n">
        <x:f>Parameters!$B$4*(I91+L91)</x:f>
        <x:v>17935590.304771025</x:v>
      </x:c>
      <x:c r="N91" s="42" t="n">
        <x:f>SUMIFS(Inputs_Counterparties!$D$4:$D$15,Inputs_Counterparties!$A$4:$A$15,A91)</x:f>
        <x:v>0.2</x:v>
      </x:c>
      <x:c r="O91" s="43" t="n">
        <x:f>M91*N91</x:f>
        <x:v>3587118.060954205</x:v>
      </x:c>
      <x:c r="P91" s="43" t="n">
        <x:v>1521929.4</x:v>
      </x:c>
      <x:c r="Q91" s="43" t="n">
        <x:v>11289206.531979304</x:v>
      </x:c>
      <x:c r="R91" s="41" t="n">
        <x:v>1</x:v>
      </x:c>
      <x:c r="S91" s="43" t="n">
        <x:v>11289206.531979304</x:v>
      </x:c>
      <x:c r="T91" s="43" t="n">
        <x:v>17935590.304771025</x:v>
      </x:c>
      <x:c r="U91" s="43" t="n">
        <x:v>3587118.060954205</x:v>
      </x:c>
      <x:c r="V91" s="43" t="n">
        <x:f>M91-T91</x:f>
        <x:v>0</x:v>
      </x:c>
      <x:c r="W91" s="27" t="str">
        <x:f>IF(ABS(V91)&lt;0.01,"OK","CHECK")</x:f>
        <x:v>OK</x:v>
      </x:c>
    </x:row>
    <x:row r="92">
      <x:c r="A92" s="27" t="str">
        <x:v>IND_SOVEREIGN_001</x:v>
      </x:c>
      <x:c r="B92" s="27" t="str">
        <x:v>3084</x:v>
      </x:c>
      <x:c r="C92" s="43" t="n">
        <x:f>SUMIFS(Trade_Calc!$AB$4:$AB$301,Trade_Calc!$B$4:$B$301,A92,Trade_Calc!$C$4:$C$301,B92)</x:f>
        <x:v>-159810</x:v>
      </x:c>
      <x:c r="D92" s="27" t="str">
        <x:f>IF(COUNTIFS(Trade_Calc!$B$4:$B$301,A92,Trade_Calc!$C$4:$C$301,B92,Trade_Calc!$AJ$4:$AJ$301,"M")&gt;0,"M","U")</x:f>
        <x:v>U</x:v>
      </x:c>
      <x:c r="E92" s="43" t="n">
        <x:f>SUMIFS(Inputs_Collateral!$D$4:$D$98,Inputs_Collateral!$A$4:$A$98,A92,Inputs_Collateral!$B$4:$B$98,B92)</x:f>
        <x:v>0</x:v>
      </x:c>
      <x:c r="F92" s="43" t="n">
        <x:f>SUMIFS(Inputs_Collateral!$E$4:$E$98,Inputs_Collateral!$A$4:$A$98,A92,Inputs_Collateral!$B$4:$B$98,B92)</x:f>
        <x:v>0</x:v>
      </x:c>
      <x:c r="G92" s="43" t="n">
        <x:f>SUMIFS(Inputs_Collateral!$F$4:$F$98,Inputs_Collateral!$A$4:$A$98,A92,Inputs_Collateral!$B$4:$B$98,B92)</x:f>
        <x:v>0</x:v>
      </x:c>
      <x:c r="H92" s="43" t="n">
        <x:f>SUMIFS(Inputs_Collateral!$G$4:$G$98,Inputs_Collateral!$A$4:$A$98,A92,Inputs_Collateral!$B$4:$B$98,B92)</x:f>
        <x:v>0</x:v>
      </x:c>
      <x:c r="I92" s="43" t="n">
        <x:f>IF(D92="M",MAX(C92-E92,F92+G92-H92,0),MAX(C92-E92,0))</x:f>
        <x:v>0</x:v>
      </x:c>
      <x:c r="J92" s="43" t="n">
        <x:f>SUMIFS(Asset_Class_AddOn!$D$4:$D$100,Asset_Class_AddOn!$A$4:$A$100,A92,Asset_Class_AddOn!$B$4:$B$100,B92)</x:f>
        <x:v>2065232.6167001186</x:v>
      </x:c>
      <x:c r="K92" s="41" t="n">
        <x:f>IF(J92&lt;=0,1,MIN(1,Parameters!$B$5+(1-Parameters!$B$5)*EXP((C92-E92)/(2*(1-Parameters!$B$5)*J92))))</x:f>
        <x:v>0.9620867285337151</x:v>
      </x:c>
      <x:c r="L92" s="43" t="n">
        <x:f>K92*J92</x:f>
        <x:v>1986932.8918621412</x:v>
      </x:c>
      <x:c r="M92" s="43" t="n">
        <x:f>Parameters!$B$4*(I92+L92)</x:f>
        <x:v>2781706.0486069974</x:v>
      </x:c>
      <x:c r="N92" s="42" t="n">
        <x:f>SUMIFS(Inputs_Counterparties!$D$4:$D$15,Inputs_Counterparties!$A$4:$A$15,A92)</x:f>
        <x:v>0.2</x:v>
      </x:c>
      <x:c r="O92" s="43" t="n">
        <x:f>M92*N92</x:f>
        <x:v>556341.2097213995</x:v>
      </x:c>
      <x:c r="P92" s="43" t="n">
        <x:v>0</x:v>
      </x:c>
      <x:c r="Q92" s="43" t="n">
        <x:v>2065232.6167001186</x:v>
      </x:c>
      <x:c r="R92" s="41" t="n">
        <x:v>0.9620867285337151</x:v>
      </x:c>
      <x:c r="S92" s="43" t="n">
        <x:v>1986932.8918621412</x:v>
      </x:c>
      <x:c r="T92" s="43" t="n">
        <x:v>2781706.0486069974</x:v>
      </x:c>
      <x:c r="U92" s="43" t="n">
        <x:v>556341.2097213995</x:v>
      </x:c>
      <x:c r="V92" s="43" t="n">
        <x:f>M92-T92</x:f>
        <x:v>0</x:v>
      </x:c>
      <x:c r="W92" s="27" t="str">
        <x:f>IF(ABS(V92)&lt;0.01,"OK","CHECK")</x:f>
        <x:v>OK</x:v>
      </x:c>
    </x:row>
    <x:row r="93">
      <x:c r="A93" s="27" t="str">
        <x:v>IND_SOVEREIGN_001</x:v>
      </x:c>
      <x:c r="B93" s="27" t="str">
        <x:v>3126</x:v>
      </x:c>
      <x:c r="C93" s="43" t="n">
        <x:f>SUMIFS(Trade_Calc!$AB$4:$AB$301,Trade_Calc!$B$4:$B$301,A93,Trade_Calc!$C$4:$C$301,B93)</x:f>
        <x:v>21798</x:v>
      </x:c>
      <x:c r="D93" s="27" t="str">
        <x:f>IF(COUNTIFS(Trade_Calc!$B$4:$B$301,A93,Trade_Calc!$C$4:$C$301,B93,Trade_Calc!$AJ$4:$AJ$301,"M")&gt;0,"M","U")</x:f>
        <x:v>U</x:v>
      </x:c>
      <x:c r="E93" s="43" t="n">
        <x:f>SUMIFS(Inputs_Collateral!$D$4:$D$98,Inputs_Collateral!$A$4:$A$98,A93,Inputs_Collateral!$B$4:$B$98,B93)</x:f>
        <x:v>0</x:v>
      </x:c>
      <x:c r="F93" s="43" t="n">
        <x:f>SUMIFS(Inputs_Collateral!$E$4:$E$98,Inputs_Collateral!$A$4:$A$98,A93,Inputs_Collateral!$B$4:$B$98,B93)</x:f>
        <x:v>0</x:v>
      </x:c>
      <x:c r="G93" s="43" t="n">
        <x:f>SUMIFS(Inputs_Collateral!$F$4:$F$98,Inputs_Collateral!$A$4:$A$98,A93,Inputs_Collateral!$B$4:$B$98,B93)</x:f>
        <x:v>0</x:v>
      </x:c>
      <x:c r="H93" s="43" t="n">
        <x:f>SUMIFS(Inputs_Collateral!$G$4:$G$98,Inputs_Collateral!$A$4:$A$98,A93,Inputs_Collateral!$B$4:$B$98,B93)</x:f>
        <x:v>0</x:v>
      </x:c>
      <x:c r="I93" s="43" t="n">
        <x:f>IF(D93="M",MAX(C93-E93,F93+G93-H93,0),MAX(C93-E93,0))</x:f>
        <x:v>21798</x:v>
      </x:c>
      <x:c r="J93" s="43" t="n">
        <x:f>SUMIFS(Asset_Class_AddOn!$D$4:$D$100,Asset_Class_AddOn!$A$4:$A$100,A93,Asset_Class_AddOn!$B$4:$B$100,B93)</x:f>
        <x:v>9728085.273896612</x:v>
      </x:c>
      <x:c r="K93" s="41" t="n">
        <x:f>IF(J93&lt;=0,1,MIN(1,Parameters!$B$5+(1-Parameters!$B$5)*EXP((C93-E93)/(2*(1-Parameters!$B$5)*J93))))</x:f>
        <x:v>1</x:v>
      </x:c>
      <x:c r="L93" s="43" t="n">
        <x:f>K93*J93</x:f>
        <x:v>9728085.273896612</x:v>
      </x:c>
      <x:c r="M93" s="43" t="n">
        <x:f>Parameters!$B$4*(I93+L93)</x:f>
        <x:v>13649836.583455257</x:v>
      </x:c>
      <x:c r="N93" s="42" t="n">
        <x:f>SUMIFS(Inputs_Counterparties!$D$4:$D$15,Inputs_Counterparties!$A$4:$A$15,A93)</x:f>
        <x:v>0.2</x:v>
      </x:c>
      <x:c r="O93" s="43" t="n">
        <x:f>M93*N93</x:f>
        <x:v>2729967.3166910517</x:v>
      </x:c>
      <x:c r="P93" s="43" t="n">
        <x:v>21798</x:v>
      </x:c>
      <x:c r="Q93" s="43" t="n">
        <x:v>9728085.273896614</x:v>
      </x:c>
      <x:c r="R93" s="41" t="n">
        <x:v>1</x:v>
      </x:c>
      <x:c r="S93" s="43" t="n">
        <x:v>9728085.273896614</x:v>
      </x:c>
      <x:c r="T93" s="43" t="n">
        <x:v>13649836.583455259</x:v>
      </x:c>
      <x:c r="U93" s="43" t="n">
        <x:v>2729967.316691052</x:v>
      </x:c>
      <x:c r="V93" s="43" t="n">
        <x:f>M93-T93</x:f>
        <x:v>-1.862645149230957e-9</x:v>
      </x:c>
      <x:c r="W93" s="27" t="str">
        <x:f>IF(ABS(V93)&lt;0.01,"OK","CHECK")</x:f>
        <x:v>OK</x:v>
      </x:c>
    </x:row>
    <x:row r="94">
      <x:c r="A94" s="27" t="str">
        <x:v>IND_SOVEREIGN_001</x:v>
      </x:c>
      <x:c r="B94" s="27" t="str">
        <x:v>3246</x:v>
      </x:c>
      <x:c r="C94" s="43" t="n">
        <x:f>SUMIFS(Trade_Calc!$AB$4:$AB$301,Trade_Calc!$B$4:$B$301,A94,Trade_Calc!$C$4:$C$301,B94)</x:f>
        <x:v>2946249</x:v>
      </x:c>
      <x:c r="D94" s="27" t="str">
        <x:f>IF(COUNTIFS(Trade_Calc!$B$4:$B$301,A94,Trade_Calc!$C$4:$C$301,B94,Trade_Calc!$AJ$4:$AJ$301,"M")&gt;0,"M","U")</x:f>
        <x:v>M</x:v>
      </x:c>
      <x:c r="E94" s="43" t="n">
        <x:f>SUMIFS(Inputs_Collateral!$D$4:$D$98,Inputs_Collateral!$A$4:$A$98,A94,Inputs_Collateral!$B$4:$B$98,B94)</x:f>
        <x:v>496200000</x:v>
      </x:c>
      <x:c r="F94" s="43" t="n">
        <x:f>SUMIFS(Inputs_Collateral!$E$4:$E$98,Inputs_Collateral!$A$4:$A$98,A94,Inputs_Collateral!$B$4:$B$98,B94)</x:f>
        <x:v>8270000</x:v>
      </x:c>
      <x:c r="G94" s="43" t="n">
        <x:f>SUMIFS(Inputs_Collateral!$F$4:$F$98,Inputs_Collateral!$A$4:$A$98,A94,Inputs_Collateral!$B$4:$B$98,B94)</x:f>
        <x:v>3308000</x:v>
      </x:c>
      <x:c r="H94" s="43" t="n">
        <x:f>SUMIFS(Inputs_Collateral!$G$4:$G$98,Inputs_Collateral!$A$4:$A$98,A94,Inputs_Collateral!$B$4:$B$98,B94)</x:f>
        <x:v>0</x:v>
      </x:c>
      <x:c r="I94" s="43" t="n">
        <x:f>IF(D94="M",MAX(C94-E94,F94+G94-H94,0),MAX(C94-E94,0))</x:f>
        <x:v>11578000</x:v>
      </x:c>
      <x:c r="J94" s="43" t="n">
        <x:f>SUMIFS(Asset_Class_AddOn!$D$4:$D$100,Asset_Class_AddOn!$A$4:$A$100,A94,Asset_Class_AddOn!$B$4:$B$100,B94)</x:f>
        <x:v>21210487.356791325</x:v>
      </x:c>
      <x:c r="K94" s="41" t="n">
        <x:f>IF(J94&lt;=0,1,MIN(1,Parameters!$B$5+(1-Parameters!$B$5)*EXP((C94-E94)/(2*(1-Parameters!$B$5)*J94))))</x:f>
        <x:v>0.05000459352457656</x:v>
      </x:c>
      <x:c r="L94" s="43" t="n">
        <x:f>K94*J94</x:f>
        <x:v>1060621.7987345206</x:v>
      </x:c>
      <x:c r="M94" s="43" t="n">
        <x:f>Parameters!$B$4*(I94+L94)</x:f>
        <x:v>17694070.518228326</x:v>
      </x:c>
      <x:c r="N94" s="42" t="n">
        <x:f>SUMIFS(Inputs_Counterparties!$D$4:$D$15,Inputs_Counterparties!$A$4:$A$15,A94)</x:f>
        <x:v>0.2</x:v>
      </x:c>
      <x:c r="O94" s="43" t="n">
        <x:f>M94*N94</x:f>
        <x:v>3538814.1036456656</x:v>
      </x:c>
      <x:c r="P94" s="43" t="n">
        <x:v>11578000</x:v>
      </x:c>
      <x:c r="Q94" s="43" t="n">
        <x:v>21210487.356791325</x:v>
      </x:c>
      <x:c r="R94" s="41" t="n">
        <x:v>0.05000459352457656</x:v>
      </x:c>
      <x:c r="S94" s="43" t="n">
        <x:v>1060621.7987345206</x:v>
      </x:c>
      <x:c r="T94" s="43" t="n">
        <x:v>17694070.518228326</x:v>
      </x:c>
      <x:c r="U94" s="43" t="n">
        <x:v>3538814.1036456656</x:v>
      </x:c>
      <x:c r="V94" s="43" t="n">
        <x:f>M94-T94</x:f>
        <x:v>0</x:v>
      </x:c>
      <x:c r="W94" s="27" t="str">
        <x:f>IF(ABS(V94)&lt;0.01,"OK","CHECK")</x:f>
        <x:v>OK</x:v>
      </x:c>
    </x:row>
    <x:row r="95">
      <x:c r="A95" s="27" t="str">
        <x:v>IND_SOVEREIGN_001</x:v>
      </x:c>
      <x:c r="B95" s="27" t="str">
        <x:v>3281</x:v>
      </x:c>
      <x:c r="C95" s="43" t="n">
        <x:f>SUMIFS(Trade_Calc!$AB$4:$AB$301,Trade_Calc!$B$4:$B$301,A95,Trade_Calc!$C$4:$C$301,B95)</x:f>
        <x:v>-2044640</x:v>
      </x:c>
      <x:c r="D95" s="27" t="str">
        <x:f>IF(COUNTIFS(Trade_Calc!$B$4:$B$301,A95,Trade_Calc!$C$4:$C$301,B95,Trade_Calc!$AJ$4:$AJ$301,"M")&gt;0,"M","U")</x:f>
        <x:v>U</x:v>
      </x:c>
      <x:c r="E95" s="43" t="n">
        <x:f>SUMIFS(Inputs_Collateral!$D$4:$D$98,Inputs_Collateral!$A$4:$A$98,A95,Inputs_Collateral!$B$4:$B$98,B95)</x:f>
        <x:v>0</x:v>
      </x:c>
      <x:c r="F95" s="43" t="n">
        <x:f>SUMIFS(Inputs_Collateral!$E$4:$E$98,Inputs_Collateral!$A$4:$A$98,A95,Inputs_Collateral!$B$4:$B$98,B95)</x:f>
        <x:v>0</x:v>
      </x:c>
      <x:c r="G95" s="43" t="n">
        <x:f>SUMIFS(Inputs_Collateral!$F$4:$F$98,Inputs_Collateral!$A$4:$A$98,A95,Inputs_Collateral!$B$4:$B$98,B95)</x:f>
        <x:v>0</x:v>
      </x:c>
      <x:c r="H95" s="43" t="n">
        <x:f>SUMIFS(Inputs_Collateral!$G$4:$G$98,Inputs_Collateral!$A$4:$A$98,A95,Inputs_Collateral!$B$4:$B$98,B95)</x:f>
        <x:v>0</x:v>
      </x:c>
      <x:c r="I95" s="43" t="n">
        <x:f>IF(D95="M",MAX(C95-E95,F95+G95-H95,0),MAX(C95-E95,0))</x:f>
        <x:v>0</x:v>
      </x:c>
      <x:c r="J95" s="43" t="n">
        <x:f>SUMIFS(Asset_Class_AddOn!$D$4:$D$100,Asset_Class_AddOn!$A$4:$A$100,A95,Asset_Class_AddOn!$B$4:$B$100,B95)</x:f>
        <x:v>1578667.5370825392</x:v>
      </x:c>
      <x:c r="K95" s="41" t="n">
        <x:f>IF(J95&lt;=0,1,MIN(1,Parameters!$B$5+(1-Parameters!$B$5)*EXP((C95-E95)/(2*(1-Parameters!$B$5)*J95))))</x:f>
        <x:v>0.5304842782812508</x:v>
      </x:c>
      <x:c r="L95" s="43" t="n">
        <x:f>K95*J95</x:f>
        <x:v>837458.3090552705</x:v>
      </x:c>
      <x:c r="M95" s="43" t="n">
        <x:f>Parameters!$B$4*(I95+L95)</x:f>
        <x:v>1172441.6326773786</x:v>
      </x:c>
      <x:c r="N95" s="42" t="n">
        <x:f>SUMIFS(Inputs_Counterparties!$D$4:$D$15,Inputs_Counterparties!$A$4:$A$15,A95)</x:f>
        <x:v>0.2</x:v>
      </x:c>
      <x:c r="O95" s="43" t="n">
        <x:f>M95*N95</x:f>
        <x:v>234488.32653547573</x:v>
      </x:c>
      <x:c r="P95" s="43" t="n">
        <x:v>0</x:v>
      </x:c>
      <x:c r="Q95" s="43" t="n">
        <x:v>1578667.5370825392</x:v>
      </x:c>
      <x:c r="R95" s="41" t="n">
        <x:v>0.5304842782812508</x:v>
      </x:c>
      <x:c r="S95" s="43" t="n">
        <x:v>837458.3090552705</x:v>
      </x:c>
      <x:c r="T95" s="43" t="n">
        <x:v>1172441.6326773786</x:v>
      </x:c>
      <x:c r="U95" s="43" t="n">
        <x:v>234488.32653547573</x:v>
      </x:c>
      <x:c r="V95" s="43" t="n">
        <x:f>M95-T95</x:f>
        <x:v>0</x:v>
      </x:c>
      <x:c r="W95" s="27" t="str">
        <x:f>IF(ABS(V95)&lt;0.01,"OK","CHECK")</x:f>
        <x:v>OK</x:v>
      </x:c>
    </x:row>
    <x:row r="96">
      <x:c r="A96" s="27" t="str">
        <x:v>IND_SOVEREIGN_001</x:v>
      </x:c>
      <x:c r="B96" s="27" t="str">
        <x:v>3296</x:v>
      </x:c>
      <x:c r="C96" s="43" t="n">
        <x:f>SUMIFS(Trade_Calc!$AB$4:$AB$301,Trade_Calc!$B$4:$B$301,A96,Trade_Calc!$C$4:$C$301,B96)</x:f>
        <x:v>-952614</x:v>
      </x:c>
      <x:c r="D96" s="27" t="str">
        <x:f>IF(COUNTIFS(Trade_Calc!$B$4:$B$301,A96,Trade_Calc!$C$4:$C$301,B96,Trade_Calc!$AJ$4:$AJ$301,"M")&gt;0,"M","U")</x:f>
        <x:v>M</x:v>
      </x:c>
      <x:c r="E96" s="43" t="n">
        <x:f>SUMIFS(Inputs_Collateral!$D$4:$D$98,Inputs_Collateral!$A$4:$A$98,A96,Inputs_Collateral!$B$4:$B$98,B96)</x:f>
        <x:v>2070000</x:v>
      </x:c>
      <x:c r="F96" s="43" t="n">
        <x:f>SUMIFS(Inputs_Collateral!$E$4:$E$98,Inputs_Collateral!$A$4:$A$98,A96,Inputs_Collateral!$B$4:$B$98,B96)</x:f>
        <x:v>103500</x:v>
      </x:c>
      <x:c r="G96" s="43" t="n">
        <x:f>SUMIFS(Inputs_Collateral!$F$4:$F$98,Inputs_Collateral!$A$4:$A$98,A96,Inputs_Collateral!$B$4:$B$98,B96)</x:f>
        <x:v>41400</x:v>
      </x:c>
      <x:c r="H96" s="43" t="n">
        <x:f>SUMIFS(Inputs_Collateral!$G$4:$G$98,Inputs_Collateral!$A$4:$A$98,A96,Inputs_Collateral!$B$4:$B$98,B96)</x:f>
        <x:v>828000</x:v>
      </x:c>
      <x:c r="I96" s="43" t="n">
        <x:f>IF(D96="M",MAX(C96-E96,F96+G96-H96,0),MAX(C96-E96,0))</x:f>
        <x:v>0</x:v>
      </x:c>
      <x:c r="J96" s="43" t="n">
        <x:f>SUMIFS(Asset_Class_AddOn!$D$4:$D$100,Asset_Class_AddOn!$A$4:$A$100,A96,Asset_Class_AddOn!$B$4:$B$100,B96)</x:f>
        <x:v>3974400.0000000005</x:v>
      </x:c>
      <x:c r="K96" s="41" t="n">
        <x:f>IF(J96&lt;=0,1,MIN(1,Parameters!$B$5+(1-Parameters!$B$5)*EXP((C96-E96)/(2*(1-Parameters!$B$5)*J96))))</x:f>
        <x:v>0.6866295051454657</x:v>
      </x:c>
      <x:c r="L96" s="43" t="n">
        <x:f>K96*J96</x:f>
        <x:v>2728940.3052501394</x:v>
      </x:c>
      <x:c r="M96" s="43" t="n">
        <x:f>Parameters!$B$4*(I96+L96)</x:f>
        <x:v>3820516.427350195</x:v>
      </x:c>
      <x:c r="N96" s="42" t="n">
        <x:f>SUMIFS(Inputs_Counterparties!$D$4:$D$15,Inputs_Counterparties!$A$4:$A$15,A96)</x:f>
        <x:v>0.2</x:v>
      </x:c>
      <x:c r="O96" s="43" t="n">
        <x:f>M96*N96</x:f>
        <x:v>764103.2854700391</x:v>
      </x:c>
      <x:c r="P96" s="43" t="n">
        <x:v>0</x:v>
      </x:c>
      <x:c r="Q96" s="43" t="n">
        <x:v>3974400.0000000005</x:v>
      </x:c>
      <x:c r="R96" s="41" t="n">
        <x:v>0.6866295051454657</x:v>
      </x:c>
      <x:c r="S96" s="43" t="n">
        <x:v>2728940.3052501394</x:v>
      </x:c>
      <x:c r="T96" s="43" t="n">
        <x:v>3820516.427350195</x:v>
      </x:c>
      <x:c r="U96" s="43" t="n">
        <x:v>764103.2854700391</x:v>
      </x:c>
      <x:c r="V96" s="43" t="n">
        <x:f>M96-T96</x:f>
        <x:v>0</x:v>
      </x:c>
      <x:c r="W96" s="27" t="str">
        <x:f>IF(ABS(V96)&lt;0.01,"OK","CHECK")</x:f>
        <x:v>OK</x:v>
      </x:c>
    </x:row>
    <x:row r="97">
      <x:c r="A97" s="27" t="str">
        <x:v>IND_SOVEREIGN_001</x:v>
      </x:c>
      <x:c r="B97" s="27" t="str">
        <x:v>3357</x:v>
      </x:c>
      <x:c r="C97" s="43" t="n">
        <x:f>SUMIFS(Trade_Calc!$AB$4:$AB$301,Trade_Calc!$B$4:$B$301,A97,Trade_Calc!$C$4:$C$301,B97)</x:f>
        <x:v>436720.5</x:v>
      </x:c>
      <x:c r="D97" s="27" t="str">
        <x:f>IF(COUNTIFS(Trade_Calc!$B$4:$B$301,A97,Trade_Calc!$C$4:$C$301,B97,Trade_Calc!$AJ$4:$AJ$301,"M")&gt;0,"M","U")</x:f>
        <x:v>M</x:v>
      </x:c>
      <x:c r="E97" s="43" t="n">
        <x:f>SUMIFS(Inputs_Collateral!$D$4:$D$98,Inputs_Collateral!$A$4:$A$98,A97,Inputs_Collateral!$B$4:$B$98,B97)</x:f>
        <x:v>1194000</x:v>
      </x:c>
      <x:c r="F97" s="43" t="n">
        <x:f>SUMIFS(Inputs_Collateral!$E$4:$E$98,Inputs_Collateral!$A$4:$A$98,A97,Inputs_Collateral!$B$4:$B$98,B97)</x:f>
        <x:v>298500</x:v>
      </x:c>
      <x:c r="G97" s="43" t="n">
        <x:f>SUMIFS(Inputs_Collateral!$F$4:$F$98,Inputs_Collateral!$A$4:$A$98,A97,Inputs_Collateral!$B$4:$B$98,B97)</x:f>
        <x:v>59700</x:v>
      </x:c>
      <x:c r="H97" s="43" t="n">
        <x:f>SUMIFS(Inputs_Collateral!$G$4:$G$98,Inputs_Collateral!$A$4:$A$98,A97,Inputs_Collateral!$B$4:$B$98,B97)</x:f>
        <x:v>1194000</x:v>
      </x:c>
      <x:c r="I97" s="43" t="n">
        <x:f>IF(D97="M",MAX(C97-E97,F97+G97-H97,0),MAX(C97-E97,0))</x:f>
        <x:v>0</x:v>
      </x:c>
      <x:c r="J97" s="43" t="n">
        <x:f>SUMIFS(Asset_Class_AddOn!$D$4:$D$100,Asset_Class_AddOn!$A$4:$A$100,A97,Asset_Class_AddOn!$B$4:$B$100,B97)</x:f>
        <x:v>6572488.502170928</x:v>
      </x:c>
      <x:c r="K97" s="41" t="n">
        <x:f>IF(J97&lt;=0,1,MIN(1,Parameters!$B$5+(1-Parameters!$B$5)*EXP((C97-E97)/(2*(1-Parameters!$B$5)*J97))))</x:f>
        <x:v>0.9441022028989489</x:v>
      </x:c>
      <x:c r="L97" s="43" t="n">
        <x:f>K97*J97</x:f>
        <x:v>6205100.873427586</x:v>
      </x:c>
      <x:c r="M97" s="43" t="n">
        <x:f>Parameters!$B$4*(I97+L97)</x:f>
        <x:v>8687141.22279862</x:v>
      </x:c>
      <x:c r="N97" s="42" t="n">
        <x:f>SUMIFS(Inputs_Counterparties!$D$4:$D$15,Inputs_Counterparties!$A$4:$A$15,A97)</x:f>
        <x:v>0.2</x:v>
      </x:c>
      <x:c r="O97" s="43" t="n">
        <x:f>M97*N97</x:f>
        <x:v>1737428.244559724</x:v>
      </x:c>
      <x:c r="P97" s="43" t="n">
        <x:v>0</x:v>
      </x:c>
      <x:c r="Q97" s="43" t="n">
        <x:v>6572488.502170928</x:v>
      </x:c>
      <x:c r="R97" s="41" t="n">
        <x:v>0.9441022028989489</x:v>
      </x:c>
      <x:c r="S97" s="43" t="n">
        <x:v>6205100.873427586</x:v>
      </x:c>
      <x:c r="T97" s="43" t="n">
        <x:v>8687141.22279862</x:v>
      </x:c>
      <x:c r="U97" s="43" t="n">
        <x:v>1737428.244559724</x:v>
      </x:c>
      <x:c r="V97" s="43" t="n">
        <x:f>M97-T97</x:f>
        <x:v>0</x:v>
      </x:c>
      <x:c r="W97" s="27" t="str">
        <x:f>IF(ABS(V97)&lt;0.01,"OK","CHECK")</x:f>
        <x:v>OK</x:v>
      </x:c>
    </x:row>
    <x:row r="98">
      <x:c r="A98" s="27" t="str">
        <x:v>IND_SOVEREIGN_001</x:v>
      </x:c>
      <x:c r="B98" s="27" t="str">
        <x:v>3390</x:v>
      </x:c>
      <x:c r="C98" s="43" t="n">
        <x:f>SUMIFS(Trade_Calc!$AB$4:$AB$301,Trade_Calc!$B$4:$B$301,A98,Trade_Calc!$C$4:$C$301,B98)</x:f>
        <x:v>856744.5</x:v>
      </x:c>
      <x:c r="D98" s="27" t="str">
        <x:f>IF(COUNTIFS(Trade_Calc!$B$4:$B$301,A98,Trade_Calc!$C$4:$C$301,B98,Trade_Calc!$AJ$4:$AJ$301,"M")&gt;0,"M","U")</x:f>
        <x:v>M</x:v>
      </x:c>
      <x:c r="E98" s="43" t="n">
        <x:f>SUMIFS(Inputs_Collateral!$D$4:$D$98,Inputs_Collateral!$A$4:$A$98,A98,Inputs_Collateral!$B$4:$B$98,B98)</x:f>
        <x:v>51420000</x:v>
      </x:c>
      <x:c r="F98" s="43" t="n">
        <x:f>SUMIFS(Inputs_Collateral!$E$4:$E$98,Inputs_Collateral!$A$4:$A$98,A98,Inputs_Collateral!$B$4:$B$98,B98)</x:f>
        <x:v>3428000</x:v>
      </x:c>
      <x:c r="G98" s="43" t="n">
        <x:f>SUMIFS(Inputs_Collateral!$F$4:$F$98,Inputs_Collateral!$A$4:$A$98,A98,Inputs_Collateral!$B$4:$B$98,B98)</x:f>
        <x:v>342800</x:v>
      </x:c>
      <x:c r="H98" s="43" t="n">
        <x:f>SUMIFS(Inputs_Collateral!$G$4:$G$98,Inputs_Collateral!$A$4:$A$98,A98,Inputs_Collateral!$B$4:$B$98,B98)</x:f>
        <x:v>0</x:v>
      </x:c>
      <x:c r="I98" s="43" t="n">
        <x:f>IF(D98="M",MAX(C98-E98,F98+G98-H98,0),MAX(C98-E98,0))</x:f>
        <x:v>3770800</x:v>
      </x:c>
      <x:c r="J98" s="43" t="n">
        <x:f>SUMIFS(Asset_Class_AddOn!$D$4:$D$100,Asset_Class_AddOn!$A$4:$A$100,A98,Asset_Class_AddOn!$B$4:$B$100,B98)</x:f>
        <x:v>3541970.1424424965</x:v>
      </x:c>
      <x:c r="K98" s="41" t="n">
        <x:f>IF(J98&lt;=0,1,MIN(1,Parameters!$B$5+(1-Parameters!$B$5)*EXP((C98-E98)/(2*(1-Parameters!$B$5)*J98))))</x:f>
        <x:v>0.05051843616503841</x:v>
      </x:c>
      <x:c r="L98" s="43" t="n">
        <x:f>K98*J98</x:f>
        <x:v>178934.79253945328</x:v>
      </x:c>
      <x:c r="M98" s="43" t="n">
        <x:f>Parameters!$B$4*(I98+L98)</x:f>
        <x:v>5529628.709555234</x:v>
      </x:c>
      <x:c r="N98" s="42" t="n">
        <x:f>SUMIFS(Inputs_Counterparties!$D$4:$D$15,Inputs_Counterparties!$A$4:$A$15,A98)</x:f>
        <x:v>0.2</x:v>
      </x:c>
      <x:c r="O98" s="43" t="n">
        <x:f>M98*N98</x:f>
        <x:v>1105925.741911047</x:v>
      </x:c>
      <x:c r="P98" s="43" t="n">
        <x:v>3770800</x:v>
      </x:c>
      <x:c r="Q98" s="43" t="n">
        <x:v>3541970.1424424965</x:v>
      </x:c>
      <x:c r="R98" s="41" t="n">
        <x:v>0.05051843616503841</x:v>
      </x:c>
      <x:c r="S98" s="43" t="n">
        <x:v>178934.79253945328</x:v>
      </x:c>
      <x:c r="T98" s="43" t="n">
        <x:v>5529628.709555234</x:v>
      </x:c>
      <x:c r="U98" s="43" t="n">
        <x:v>1105925.741911047</x:v>
      </x:c>
      <x:c r="V98" s="43" t="n">
        <x:f>M98-T98</x:f>
        <x:v>0</x:v>
      </x:c>
      <x:c r="W98" s="27" t="str">
        <x:f>IF(ABS(V98)&lt;0.01,"OK","CHECK")</x:f>
        <x:v>OK</x:v>
      </x:c>
    </x:row>
  </x:sheetData>
  <x:mergeCells>
    <x:mergeCell ref="A1:W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16.25" hidden="0" customWidth="1"/>
    <x:col min="7" max="7" width="16.25" hidden="0" customWidth="1"/>
    <x:col min="8" max="8" width="16.25" hidden="0" customWidth="1"/>
    <x:col min="9" max="9" width="16.25" hidden="0" customWidth="1"/>
    <x:col min="10" max="10" width="16.25" hidden="0" customWidth="1"/>
    <x:col min="11" max="11" width="16.25" hidden="0" customWidth="1"/>
    <x:col min="12" max="12" width="16.25" hidden="0" customWidth="1"/>
    <x:col min="13" max="13" width="16.25" hidden="0" customWidth="1"/>
  </x:cols>
  <x:sheetData>
    <x:row r="1" ht="22.5" customHeight="1">
      <x:c r="A1" s="26" t="str">
        <x:v>Counterparty-Level Reconciliation</x:v>
      </x:c>
      <x:c r="B1" s="26" t="str">
        <x:v>Counterparty-Level Reconciliation</x:v>
      </x:c>
      <x:c r="C1" s="26" t="str">
        <x:v>Counterparty-Level Reconciliation</x:v>
      </x:c>
      <x:c r="D1" s="26" t="str">
        <x:v>Counterparty-Level Reconciliation</x:v>
      </x:c>
      <x:c r="E1" s="26" t="str">
        <x:v>Counterparty-Level Reconciliation</x:v>
      </x:c>
      <x:c r="F1" s="26" t="str">
        <x:v>Counterparty-Level Reconciliation</x:v>
      </x:c>
      <x:c r="G1" s="26" t="str">
        <x:v>Counterparty-Level Reconciliation</x:v>
      </x:c>
      <x:c r="H1" s="26" t="str">
        <x:v>Counterparty-Level Reconciliation</x:v>
      </x:c>
      <x:c r="I1" s="26" t="str">
        <x:v>Counterparty-Level Reconciliation</x:v>
      </x:c>
      <x:c r="J1" s="26" t="str">
        <x:v>Counterparty-Level Reconciliation</x:v>
      </x:c>
      <x:c r="K1" s="26" t="str">
        <x:v>Counterparty-Level Reconciliation</x:v>
      </x:c>
      <x:c r="L1" s="26" t="str">
        <x:v>Counterparty-Level Reconciliation</x:v>
      </x:c>
      <x:c r="M1" s="26" t="str">
        <x:v>Counterparty-Level Reconciliation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</x:row>
    <x:row r="3">
      <x:c r="A3" s="28" t="str">
        <x:v>Counterparty ID</x:v>
      </x:c>
      <x:c r="B3" s="28" t="str">
        <x:v>Excel AddOn Aggregate</x:v>
      </x:c>
      <x:c r="C3" s="28" t="str">
        <x:v>Excel PFE</x:v>
      </x:c>
      <x:c r="D3" s="28" t="str">
        <x:v>Excel RC</x:v>
      </x:c>
      <x:c r="E3" s="28" t="str">
        <x:v>Excel EAD</x:v>
      </x:c>
      <x:c r="F3" s="28" t="str">
        <x:v>Excel RWA</x:v>
      </x:c>
      <x:c r="G3" s="28" t="str">
        <x:v>Python AddOn Aggregate</x:v>
      </x:c>
      <x:c r="H3" s="28" t="str">
        <x:v>Python PFE</x:v>
      </x:c>
      <x:c r="I3" s="28" t="str">
        <x:v>Python RC</x:v>
      </x:c>
      <x:c r="J3" s="28" t="str">
        <x:v>Python EAD</x:v>
      </x:c>
      <x:c r="K3" s="28" t="str">
        <x:v>Python RWA</x:v>
      </x:c>
      <x:c r="L3" s="28" t="str">
        <x:v>Diff EAD</x:v>
      </x:c>
      <x:c r="M3" s="28" t="str">
        <x:v>Pass?</x:v>
      </x:c>
    </x:row>
    <x:row r="4">
      <x:c r="A4" s="27" t="str">
        <x:v>IND_CORPORATE_002</x:v>
      </x:c>
      <x:c r="B4" s="43" t="n">
        <x:f>SUMIFS(Netting_Set_Calc!$J$4:$J$98,Netting_Set_Calc!$A$4:$A$98,A4)</x:f>
        <x:v>48301921.38166727</x:v>
      </x:c>
      <x:c r="C4" s="43" t="n">
        <x:f>SUMIFS(Netting_Set_Calc!$L$4:$L$98,Netting_Set_Calc!$A$4:$A$98,A4)</x:f>
        <x:v>17453885.527351275</x:v>
      </x:c>
      <x:c r="D4" s="43" t="n">
        <x:f>SUMIFS(Netting_Set_Calc!$I$4:$I$98,Netting_Set_Calc!$A$4:$A$98,A4)</x:f>
        <x:v>31831423</x:v>
      </x:c>
      <x:c r="E4" s="43" t="n">
        <x:f>SUMIFS(Netting_Set_Calc!$M$4:$M$98,Netting_Set_Calc!$A$4:$A$98,A4)</x:f>
        <x:v>68999431.93829179</x:v>
      </x:c>
      <x:c r="F4" s="43" t="n">
        <x:f>SUMIFS(Netting_Set_Calc!$O$4:$O$98,Netting_Set_Calc!$A$4:$A$98,A4)</x:f>
        <x:v>68999431.93829179</x:v>
      </x:c>
      <x:c r="G4" s="43" t="n">
        <x:v>48301921.381667264</x:v>
      </x:c>
      <x:c r="H4" s="43" t="n">
        <x:v>17453885.527351283</x:v>
      </x:c>
      <x:c r="I4" s="43" t="n">
        <x:v>31831423</x:v>
      </x:c>
      <x:c r="J4" s="43" t="n">
        <x:v>68999431.93829179</x:v>
      </x:c>
      <x:c r="K4" s="43" t="n">
        <x:v>68999431.93829179</x:v>
      </x:c>
      <x:c r="L4" s="43" t="n">
        <x:f>E4-J4</x:f>
        <x:v>0</x:v>
      </x:c>
      <x:c r="M4" s="27" t="str">
        <x:f>IF(ABS(L4)&lt;0.01,"OK","CHECK")</x:f>
        <x:v>OK</x:v>
      </x:c>
    </x:row>
    <x:row r="5">
      <x:c r="A5" s="27" t="str">
        <x:v>IND_HEDGE_FUND_001</x:v>
      </x:c>
      <x:c r="B5" s="43" t="n">
        <x:f>SUMIFS(Netting_Set_Calc!$J$4:$J$98,Netting_Set_Calc!$A$4:$A$98,A5)</x:f>
        <x:v>59203932.79578179</x:v>
      </x:c>
      <x:c r="C5" s="43" t="n">
        <x:f>SUMIFS(Netting_Set_Calc!$L$4:$L$98,Netting_Set_Calc!$A$4:$A$98,A5)</x:f>
        <x:v>40317955.98993011</x:v>
      </x:c>
      <x:c r="D5" s="43" t="n">
        <x:f>SUMIFS(Netting_Set_Calc!$I$4:$I$98,Netting_Set_Calc!$A$4:$A$98,A5)</x:f>
        <x:v>2096078</x:v>
      </x:c>
      <x:c r="E5" s="43" t="n">
        <x:f>SUMIFS(Netting_Set_Calc!$M$4:$M$98,Netting_Set_Calc!$A$4:$A$98,A5)</x:f>
        <x:v>59379647.58590215</x:v>
      </x:c>
      <x:c r="F5" s="43" t="n">
        <x:f>SUMIFS(Netting_Set_Calc!$O$4:$O$98,Netting_Set_Calc!$A$4:$A$98,A5)</x:f>
        <x:v>59379647.58590215</x:v>
      </x:c>
      <x:c r="G5" s="43" t="n">
        <x:v>59203932.795781784</x:v>
      </x:c>
      <x:c r="H5" s="43" t="n">
        <x:v>40317955.98993011</x:v>
      </x:c>
      <x:c r="I5" s="43" t="n">
        <x:v>2096078</x:v>
      </x:c>
      <x:c r="J5" s="43" t="n">
        <x:v>59379647.585902154</x:v>
      </x:c>
      <x:c r="K5" s="43" t="n">
        <x:v>59379647.585902154</x:v>
      </x:c>
      <x:c r="L5" s="43" t="n">
        <x:f>E5-J5</x:f>
        <x:v>-7.450580596923828e-9</x:v>
      </x:c>
      <x:c r="M5" s="27" t="str">
        <x:f>IF(ABS(L5)&lt;0.01,"OK","CHECK")</x:f>
        <x:v>OK</x:v>
      </x:c>
    </x:row>
    <x:row r="6">
      <x:c r="A6" s="27" t="str">
        <x:v>IND_INSURER_001</x:v>
      </x:c>
      <x:c r="B6" s="43" t="n">
        <x:f>SUMIFS(Netting_Set_Calc!$J$4:$J$98,Netting_Set_Calc!$A$4:$A$98,A6)</x:f>
        <x:v>73478271.40192278</x:v>
      </x:c>
      <x:c r="C6" s="43" t="n">
        <x:f>SUMIFS(Netting_Set_Calc!$L$4:$L$98,Netting_Set_Calc!$A$4:$A$98,A6)</x:f>
        <x:v>54303896.789389975</x:v>
      </x:c>
      <x:c r="D6" s="43" t="n">
        <x:f>SUMIFS(Netting_Set_Calc!$I$4:$I$98,Netting_Set_Calc!$A$4:$A$98,A6)</x:f>
        <x:v>10574930.6</x:v>
      </x:c>
      <x:c r="E6" s="43" t="n">
        <x:f>SUMIFS(Netting_Set_Calc!$M$4:$M$98,Netting_Set_Calc!$A$4:$A$98,A6)</x:f>
        <x:v>90830358.34514597</x:v>
      </x:c>
      <x:c r="F6" s="43" t="n">
        <x:f>SUMIFS(Netting_Set_Calc!$O$4:$O$98,Netting_Set_Calc!$A$4:$A$98,A6)</x:f>
        <x:v>45415179.172572985</x:v>
      </x:c>
      <x:c r="G6" s="43" t="n">
        <x:v>73478271.40192276</x:v>
      </x:c>
      <x:c r="H6" s="43" t="n">
        <x:v>54303896.78938998</x:v>
      </x:c>
      <x:c r="I6" s="43" t="n">
        <x:v>10574930.6</x:v>
      </x:c>
      <x:c r="J6" s="43" t="n">
        <x:v>90830358.34514597</x:v>
      </x:c>
      <x:c r="K6" s="43" t="n">
        <x:v>45415179.172572985</x:v>
      </x:c>
      <x:c r="L6" s="43" t="n">
        <x:f>E6-J6</x:f>
        <x:v>0</x:v>
      </x:c>
      <x:c r="M6" s="27" t="str">
        <x:f>IF(ABS(L6)&lt;0.01,"OK","CHECK")</x:f>
        <x:v>OK</x:v>
      </x:c>
    </x:row>
    <x:row r="7">
      <x:c r="A7" s="27" t="str">
        <x:v>IND_BANK_002</x:v>
      </x:c>
      <x:c r="B7" s="43" t="n">
        <x:f>SUMIFS(Netting_Set_Calc!$J$4:$J$98,Netting_Set_Calc!$A$4:$A$98,A7)</x:f>
        <x:v>49624635.68724251</x:v>
      </x:c>
      <x:c r="C7" s="43" t="n">
        <x:f>SUMIFS(Netting_Set_Calc!$L$4:$L$98,Netting_Set_Calc!$A$4:$A$98,A7)</x:f>
        <x:v>24536569.685060296</x:v>
      </x:c>
      <x:c r="D7" s="43" t="n">
        <x:f>SUMIFS(Netting_Set_Calc!$I$4:$I$98,Netting_Set_Calc!$A$4:$A$98,A7)</x:f>
        <x:v>32341540</x:v>
      </x:c>
      <x:c r="E7" s="43" t="n">
        <x:f>SUMIFS(Netting_Set_Calc!$M$4:$M$98,Netting_Set_Calc!$A$4:$A$98,A7)</x:f>
        <x:v>79629353.55908442</x:v>
      </x:c>
      <x:c r="F7" s="43" t="n">
        <x:f>SUMIFS(Netting_Set_Calc!$O$4:$O$98,Netting_Set_Calc!$A$4:$A$98,A7)</x:f>
        <x:v>39814676.77954221</x:v>
      </x:c>
      <x:c r="G7" s="43" t="n">
        <x:v>49624635.687242515</x:v>
      </x:c>
      <x:c r="H7" s="43" t="n">
        <x:v>24536569.6850603</x:v>
      </x:c>
      <x:c r="I7" s="43" t="n">
        <x:v>32341540</x:v>
      </x:c>
      <x:c r="J7" s="43" t="n">
        <x:v>79629353.55908442</x:v>
      </x:c>
      <x:c r="K7" s="43" t="n">
        <x:v>39814676.77954221</x:v>
      </x:c>
      <x:c r="L7" s="43" t="n">
        <x:f>E7-J7</x:f>
        <x:v>0</x:v>
      </x:c>
      <x:c r="M7" s="27" t="str">
        <x:f>IF(ABS(L7)&lt;0.01,"OK","CHECK")</x:f>
        <x:v>OK</x:v>
      </x:c>
    </x:row>
    <x:row r="8">
      <x:c r="A8" s="27" t="str">
        <x:v>IND_CLEARING_MEMBER_001</x:v>
      </x:c>
      <x:c r="B8" s="43" t="n">
        <x:f>SUMIFS(Netting_Set_Calc!$J$4:$J$98,Netting_Set_Calc!$A$4:$A$98,A8)</x:f>
        <x:v>60402868.06578031</x:v>
      </x:c>
      <x:c r="C8" s="43" t="n">
        <x:f>SUMIFS(Netting_Set_Calc!$L$4:$L$98,Netting_Set_Calc!$A$4:$A$98,A8)</x:f>
        <x:v>41175265.97456634</x:v>
      </x:c>
      <x:c r="D8" s="43" t="n">
        <x:f>SUMIFS(Netting_Set_Calc!$I$4:$I$98,Netting_Set_Calc!$A$4:$A$98,A8)</x:f>
        <x:v>3365869.5</x:v>
      </x:c>
      <x:c r="E8" s="43" t="n">
        <x:f>SUMIFS(Netting_Set_Calc!$M$4:$M$98,Netting_Set_Calc!$A$4:$A$98,A8)</x:f>
        <x:v>62357589.66439287</x:v>
      </x:c>
      <x:c r="F8" s="43" t="n">
        <x:f>SUMIFS(Netting_Set_Calc!$O$4:$O$98,Netting_Set_Calc!$A$4:$A$98,A8)</x:f>
        <x:v>31178794.832196437</x:v>
      </x:c>
      <x:c r="G8" s="43" t="n">
        <x:v>60402868.065780304</x:v>
      </x:c>
      <x:c r="H8" s="43" t="n">
        <x:v>41175265.97456634</x:v>
      </x:c>
      <x:c r="I8" s="43" t="n">
        <x:v>3365869.5</x:v>
      </x:c>
      <x:c r="J8" s="43" t="n">
        <x:v>62357589.66439287</x:v>
      </x:c>
      <x:c r="K8" s="43" t="n">
        <x:v>31178794.832196437</x:v>
      </x:c>
      <x:c r="L8" s="43" t="n">
        <x:f>E8-J8</x:f>
        <x:v>0</x:v>
      </x:c>
      <x:c r="M8" s="27" t="str">
        <x:f>IF(ABS(L8)&lt;0.01,"OK","CHECK")</x:f>
        <x:v>OK</x:v>
      </x:c>
    </x:row>
    <x:row r="9">
      <x:c r="A9" s="27" t="str">
        <x:v>IND_PENSION_001</x:v>
      </x:c>
      <x:c r="B9" s="43" t="n">
        <x:f>SUMIFS(Netting_Set_Calc!$J$4:$J$98,Netting_Set_Calc!$A$4:$A$98,A9)</x:f>
        <x:v>50318116.885454535</x:v>
      </x:c>
      <x:c r="C9" s="43" t="n">
        <x:f>SUMIFS(Netting_Set_Calc!$L$4:$L$98,Netting_Set_Calc!$A$4:$A$98,A9)</x:f>
        <x:v>34457036.55205744</x:v>
      </x:c>
      <x:c r="D9" s="43" t="n">
        <x:f>SUMIFS(Netting_Set_Calc!$I$4:$I$98,Netting_Set_Calc!$A$4:$A$98,A9)</x:f>
        <x:v>6576560</x:v>
      </x:c>
      <x:c r="E9" s="43" t="n">
        <x:f>SUMIFS(Netting_Set_Calc!$M$4:$M$98,Netting_Set_Calc!$A$4:$A$98,A9)</x:f>
        <x:v>57447035.17288041</x:v>
      </x:c>
      <x:c r="F9" s="43" t="n">
        <x:f>SUMIFS(Netting_Set_Calc!$O$4:$O$98,Netting_Set_Calc!$A$4:$A$98,A9)</x:f>
        <x:v>28723517.586440206</x:v>
      </x:c>
      <x:c r="G9" s="43" t="n">
        <x:v>50318116.88545453</x:v>
      </x:c>
      <x:c r="H9" s="43" t="n">
        <x:v>34457036.55205743</x:v>
      </x:c>
      <x:c r="I9" s="43" t="n">
        <x:v>6576560</x:v>
      </x:c>
      <x:c r="J9" s="43" t="n">
        <x:v>57447035.1728804</x:v>
      </x:c>
      <x:c r="K9" s="43" t="n">
        <x:v>28723517.5864402</x:v>
      </x:c>
      <x:c r="L9" s="43" t="n">
        <x:f>E9-J9</x:f>
        <x:v>7.450580596923828e-9</x:v>
      </x:c>
      <x:c r="M9" s="27" t="str">
        <x:f>IF(ABS(L9)&lt;0.01,"OK","CHECK")</x:f>
        <x:v>OK</x:v>
      </x:c>
    </x:row>
    <x:row r="10">
      <x:c r="A10" s="27" t="str">
        <x:v>IND_REGIONAL_BANK_001</x:v>
      </x:c>
      <x:c r="B10" s="43" t="n">
        <x:f>SUMIFS(Netting_Set_Calc!$J$4:$J$98,Netting_Set_Calc!$A$4:$A$98,A10)</x:f>
        <x:v>45057053.46665393</x:v>
      </x:c>
      <x:c r="C10" s="43" t="n">
        <x:f>SUMIFS(Netting_Set_Calc!$L$4:$L$98,Netting_Set_Calc!$A$4:$A$98,A10)</x:f>
        <x:v>31901091.540380105</x:v>
      </x:c>
      <x:c r="D10" s="43" t="n">
        <x:f>SUMIFS(Netting_Set_Calc!$I$4:$I$98,Netting_Set_Calc!$A$4:$A$98,A10)</x:f>
        <x:v>5116131.4</x:v>
      </x:c>
      <x:c r="E10" s="43" t="n">
        <x:f>SUMIFS(Netting_Set_Calc!$M$4:$M$98,Netting_Set_Calc!$A$4:$A$98,A10)</x:f>
        <x:v>51824112.116532154</x:v>
      </x:c>
      <x:c r="F10" s="43" t="n">
        <x:f>SUMIFS(Netting_Set_Calc!$O$4:$O$98,Netting_Set_Calc!$A$4:$A$98,A10)</x:f>
        <x:v>25912056.058266077</x:v>
      </x:c>
      <x:c r="G10" s="43" t="n">
        <x:v>45057053.46665393</x:v>
      </x:c>
      <x:c r="H10" s="43" t="n">
        <x:v>31901091.54038011</x:v>
      </x:c>
      <x:c r="I10" s="43" t="n">
        <x:v>5116131.4</x:v>
      </x:c>
      <x:c r="J10" s="43" t="n">
        <x:v>51824112.116532154</x:v>
      </x:c>
      <x:c r="K10" s="43" t="n">
        <x:v>25912056.058266077</x:v>
      </x:c>
      <x:c r="L10" s="43" t="n">
        <x:f>E10-J10</x:f>
        <x:v>0</x:v>
      </x:c>
      <x:c r="M10" s="27" t="str">
        <x:f>IF(ABS(L10)&lt;0.01,"OK","CHECK")</x:f>
        <x:v>OK</x:v>
      </x:c>
    </x:row>
    <x:row r="11">
      <x:c r="A11" s="27" t="str">
        <x:v>IND_CORPORATE_001</x:v>
      </x:c>
      <x:c r="B11" s="43" t="n">
        <x:f>SUMIFS(Netting_Set_Calc!$J$4:$J$98,Netting_Set_Calc!$A$4:$A$98,A11)</x:f>
        <x:v>20195998.61294936</x:v>
      </x:c>
      <x:c r="C11" s="43" t="n">
        <x:f>SUMIFS(Netting_Set_Calc!$L$4:$L$98,Netting_Set_Calc!$A$4:$A$98,A11)</x:f>
        <x:v>14414099.75685473</x:v>
      </x:c>
      <x:c r="D11" s="43" t="n">
        <x:f>SUMIFS(Netting_Set_Calc!$I$4:$I$98,Netting_Set_Calc!$A$4:$A$98,A11)</x:f>
        <x:v>1499189</x:v>
      </x:c>
      <x:c r="E11" s="43" t="n">
        <x:f>SUMIFS(Netting_Set_Calc!$M$4:$M$98,Netting_Set_Calc!$A$4:$A$98,A11)</x:f>
        <x:v>22278604.25959662</x:v>
      </x:c>
      <x:c r="F11" s="43" t="n">
        <x:f>SUMIFS(Netting_Set_Calc!$O$4:$O$98,Netting_Set_Calc!$A$4:$A$98,A11)</x:f>
        <x:v>22278604.25959662</x:v>
      </x:c>
      <x:c r="G11" s="43" t="n">
        <x:v>20195998.61294936</x:v>
      </x:c>
      <x:c r="H11" s="43" t="n">
        <x:v>14414099.75685473</x:v>
      </x:c>
      <x:c r="I11" s="43" t="n">
        <x:v>1499189</x:v>
      </x:c>
      <x:c r="J11" s="43" t="n">
        <x:v>22278604.25959662</x:v>
      </x:c>
      <x:c r="K11" s="43" t="n">
        <x:v>22278604.25959662</x:v>
      </x:c>
      <x:c r="L11" s="43" t="n">
        <x:f>E11-J11</x:f>
        <x:v>0</x:v>
      </x:c>
      <x:c r="M11" s="27" t="str">
        <x:f>IF(ABS(L11)&lt;0.01,"OK","CHECK")</x:f>
        <x:v>OK</x:v>
      </x:c>
    </x:row>
    <x:row r="12">
      <x:c r="A12" s="27" t="str">
        <x:v>IND_ASSET_MANAGER_001</x:v>
      </x:c>
      <x:c r="B12" s="43" t="n">
        <x:f>SUMIFS(Netting_Set_Calc!$J$4:$J$98,Netting_Set_Calc!$A$4:$A$98,A12)</x:f>
        <x:v>38901255.724997856</x:v>
      </x:c>
      <x:c r="C12" s="43" t="n">
        <x:f>SUMIFS(Netting_Set_Calc!$L$4:$L$98,Netting_Set_Calc!$A$4:$A$98,A12)</x:f>
        <x:v>27000148.584319394</x:v>
      </x:c>
      <x:c r="D12" s="43" t="n">
        <x:f>SUMIFS(Netting_Set_Calc!$I$4:$I$98,Netting_Set_Calc!$A$4:$A$98,A12)</x:f>
        <x:v>1570720</x:v>
      </x:c>
      <x:c r="E12" s="43" t="n">
        <x:f>SUMIFS(Netting_Set_Calc!$M$4:$M$98,Netting_Set_Calc!$A$4:$A$98,A12)</x:f>
        <x:v>39999216.018047154</x:v>
      </x:c>
      <x:c r="F12" s="43" t="n">
        <x:f>SUMIFS(Netting_Set_Calc!$O$4:$O$98,Netting_Set_Calc!$A$4:$A$98,A12)</x:f>
        <x:v>19999608.009023577</x:v>
      </x:c>
      <x:c r="G12" s="43" t="n">
        <x:v>38901255.724997856</x:v>
      </x:c>
      <x:c r="H12" s="43" t="n">
        <x:v>27000148.584319394</x:v>
      </x:c>
      <x:c r="I12" s="43" t="n">
        <x:v>1570720</x:v>
      </x:c>
      <x:c r="J12" s="43" t="n">
        <x:v>39999216.01804715</x:v>
      </x:c>
      <x:c r="K12" s="43" t="n">
        <x:v>19999608.009023573</x:v>
      </x:c>
      <x:c r="L12" s="43" t="n">
        <x:f>E12-J12</x:f>
        <x:v>7.450580596923828e-9</x:v>
      </x:c>
      <x:c r="M12" s="27" t="str">
        <x:f>IF(ABS(L12)&lt;0.01,"OK","CHECK")</x:f>
        <x:v>OK</x:v>
      </x:c>
    </x:row>
    <x:row r="13">
      <x:c r="A13" s="27" t="str">
        <x:v>IND_SOVEREIGN_001</x:v>
      </x:c>
      <x:c r="B13" s="43" t="n">
        <x:f>SUMIFS(Netting_Set_Calc!$J$4:$J$98,Netting_Set_Calc!$A$4:$A$98,A13)</x:f>
        <x:v>60410858.65062489</x:v>
      </x:c>
      <x:c r="C13" s="43" t="n">
        <x:f>SUMIFS(Netting_Set_Calc!$L$4:$L$98,Netting_Set_Calc!$A$4:$A$98,A13)</x:f>
        <x:v>34108277.84275328</x:v>
      </x:c>
      <x:c r="D13" s="43" t="n">
        <x:f>SUMIFS(Netting_Set_Calc!$I$4:$I$98,Netting_Set_Calc!$A$4:$A$98,A13)</x:f>
        <x:v>18025527.4</x:v>
      </x:c>
      <x:c r="E13" s="43" t="n">
        <x:f>SUMIFS(Netting_Set_Calc!$M$4:$M$98,Netting_Set_Calc!$A$4:$A$98,A13)</x:f>
        <x:v>72987327.33985458</x:v>
      </x:c>
      <x:c r="F13" s="43" t="n">
        <x:f>SUMIFS(Netting_Set_Calc!$O$4:$O$98,Netting_Set_Calc!$A$4:$A$98,A13)</x:f>
        <x:v>14597465.467970919</x:v>
      </x:c>
      <x:c r="G13" s="43" t="n">
        <x:v>60410858.6506249</x:v>
      </x:c>
      <x:c r="H13" s="43" t="n">
        <x:v>34108277.84275328</x:v>
      </x:c>
      <x:c r="I13" s="43" t="n">
        <x:v>18025527.4</x:v>
      </x:c>
      <x:c r="J13" s="43" t="n">
        <x:v>72987327.33985458</x:v>
      </x:c>
      <x:c r="K13" s="43" t="n">
        <x:v>14597465.467970919</x:v>
      </x:c>
      <x:c r="L13" s="43" t="n">
        <x:f>E13-J13</x:f>
        <x:v>0</x:v>
      </x:c>
      <x:c r="M13" s="27" t="str">
        <x:f>IF(ABS(L13)&lt;0.01,"OK","CHECK")</x:f>
        <x:v>OK</x:v>
      </x:c>
    </x:row>
    <x:row r="14">
      <x:c r="A14" s="27" t="str">
        <x:v>IND_BANK_001</x:v>
      </x:c>
      <x:c r="B14" s="43" t="n">
        <x:f>SUMIFS(Netting_Set_Calc!$J$4:$J$98,Netting_Set_Calc!$A$4:$A$98,A14)</x:f>
        <x:v>39001450.52990982</x:v>
      </x:c>
      <x:c r="C14" s="43" t="n">
        <x:f>SUMIFS(Netting_Set_Calc!$L$4:$L$98,Netting_Set_Calc!$A$4:$A$98,A14)</x:f>
        <x:v>19454055.854570013</x:v>
      </x:c>
      <x:c r="D14" s="43" t="n">
        <x:f>SUMIFS(Netting_Set_Calc!$I$4:$I$98,Netting_Set_Calc!$A$4:$A$98,A14)</x:f>
        <x:v>950250</x:v>
      </x:c>
      <x:c r="E14" s="43" t="n">
        <x:f>SUMIFS(Netting_Set_Calc!$M$4:$M$98,Netting_Set_Calc!$A$4:$A$98,A14)</x:f>
        <x:v>28566028.196398012</x:v>
      </x:c>
      <x:c r="F14" s="43" t="n">
        <x:f>SUMIFS(Netting_Set_Calc!$O$4:$O$98,Netting_Set_Calc!$A$4:$A$98,A14)</x:f>
        <x:v>14283014.098199006</x:v>
      </x:c>
      <x:c r="G14" s="43" t="n">
        <x:v>39001450.52990981</x:v>
      </x:c>
      <x:c r="H14" s="43" t="n">
        <x:v>19454055.854570013</x:v>
      </x:c>
      <x:c r="I14" s="43" t="n">
        <x:v>950250</x:v>
      </x:c>
      <x:c r="J14" s="43" t="n">
        <x:v>28566028.196398016</x:v>
      </x:c>
      <x:c r="K14" s="43" t="n">
        <x:v>14283014.098199008</x:v>
      </x:c>
      <x:c r="L14" s="43" t="n">
        <x:f>E14-J14</x:f>
        <x:v>-3.725290298461914e-9</x:v>
      </x:c>
      <x:c r="M14" s="27" t="str">
        <x:f>IF(ABS(L14)&lt;0.01,"OK","CHECK")</x:f>
        <x:v>OK</x:v>
      </x:c>
    </x:row>
    <x:row r="15">
      <x:c r="A15" s="27" t="str">
        <x:v>IND_BROKER_001</x:v>
      </x:c>
      <x:c r="B15" s="43" t="n">
        <x:f>SUMIFS(Netting_Set_Calc!$J$4:$J$98,Netting_Set_Calc!$A$4:$A$98,A15)</x:f>
        <x:v>23142038.80731567</x:v>
      </x:c>
      <x:c r="C15" s="43" t="n">
        <x:f>SUMIFS(Netting_Set_Calc!$L$4:$L$98,Netting_Set_Calc!$A$4:$A$98,A15)</x:f>
        <x:v>15739613.451174056</x:v>
      </x:c>
      <x:c r="D15" s="43" t="n">
        <x:f>SUMIFS(Netting_Set_Calc!$I$4:$I$98,Netting_Set_Calc!$A$4:$A$98,A15)</x:f>
        <x:v>259800</x:v>
      </x:c>
      <x:c r="E15" s="43" t="n">
        <x:f>SUMIFS(Netting_Set_Calc!$M$4:$M$98,Netting_Set_Calc!$A$4:$A$98,A15)</x:f>
        <x:v>22399178.83164368</x:v>
      </x:c>
      <x:c r="F15" s="43" t="n">
        <x:f>SUMIFS(Netting_Set_Calc!$O$4:$O$98,Netting_Set_Calc!$A$4:$A$98,A15)</x:f>
        <x:v>11199589.41582184</x:v>
      </x:c>
      <x:c r="G15" s="43" t="n">
        <x:v>23142038.807315674</x:v>
      </x:c>
      <x:c r="H15" s="43" t="n">
        <x:v>15739613.45117406</x:v>
      </x:c>
      <x:c r="I15" s="43" t="n">
        <x:v>259800</x:v>
      </x:c>
      <x:c r="J15" s="43" t="n">
        <x:v>22399178.831643682</x:v>
      </x:c>
      <x:c r="K15" s="43" t="n">
        <x:v>11199589.415821841</x:v>
      </x:c>
      <x:c r="L15" s="43" t="n">
        <x:f>E15-J15</x:f>
        <x:v>-3.725290298461914e-9</x:v>
      </x:c>
      <x:c r="M15" s="27" t="str">
        <x:f>IF(ABS(L15)&lt;0.01,"OK","CHECK")</x:f>
        <x:v>OK</x:v>
      </x:c>
    </x:row>
  </x:sheetData>
  <x:mergeCells>
    <x:mergeCell ref="A1:M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</x:cols>
  <x:sheetData>
    <x:row r="1" ht="22.5" customHeight="1">
      <x:c r="A1" s="26" t="str">
        <x:v>Python_Trade_Output</x:v>
      </x:c>
      <x:c r="B1" s="26" t="str">
        <x:v>Python_Trade_Output</x:v>
      </x:c>
      <x:c r="C1" s="26" t="str">
        <x:v>Python_Trade_Output</x:v>
      </x:c>
      <x:c r="D1" s="26" t="str">
        <x:v>Python_Trade_Output</x:v>
      </x:c>
      <x:c r="E1" s="26" t="str">
        <x:v>Python_Trade_Output</x:v>
      </x:c>
      <x:c r="F1" s="26" t="str">
        <x:v>Python_Trade_Output</x:v>
      </x:c>
      <x:c r="G1" s="26" t="str">
        <x:v>Python_Trade_Output</x:v>
      </x:c>
      <x:c r="H1" s="26" t="str">
        <x:v>Python_Trade_Output</x:v>
      </x:c>
      <x:c r="I1" s="26" t="str">
        <x:v>Python_Trade_Output</x:v>
      </x:c>
      <x:c r="J1" s="26" t="str">
        <x:v>Python_Trade_Output</x:v>
      </x:c>
      <x:c r="K1" s="26" t="str">
        <x:v>Python_Trade_Output</x:v>
      </x:c>
      <x:c r="L1" s="26" t="str">
        <x:v>Python_Trade_Output</x:v>
      </x:c>
      <x:c r="M1" s="26" t="str">
        <x:v>Python_Trade_Output</x:v>
      </x:c>
      <x:c r="N1" s="26" t="str">
        <x:v>Python_Trade_Output</x:v>
      </x:c>
      <x:c r="O1" s="26" t="str">
        <x:v>Python_Trade_Output</x:v>
      </x:c>
      <x:c r="P1" s="26" t="str">
        <x:v>Python_Trade_Output</x:v>
      </x:c>
      <x:c r="Q1" s="26" t="str">
        <x:v>Python_Trade_Output</x:v>
      </x:c>
      <x:c r="R1" s="26" t="str">
        <x:v>Python_Trade_Output</x:v>
      </x:c>
      <x:c r="S1" s="26" t="str">
        <x:v>Python_Trade_Output</x:v>
      </x:c>
      <x:c r="T1" s="26" t="str">
        <x:v>Python_Trade_Output</x:v>
      </x:c>
      <x:c r="U1" s="26" t="str">
        <x:v>Python_Trade_Output</x:v>
      </x:c>
      <x:c r="V1" s="26" t="str">
        <x:v>Python_Trade_Output</x:v>
      </x:c>
      <x:c r="W1" s="26" t="str">
        <x:v>Python_Trade_Output</x:v>
      </x:c>
      <x:c r="X1" s="26" t="str">
        <x:v>Python_Trade_Output</x:v>
      </x:c>
      <x:c r="Y1" s="26" t="str">
        <x:v>Python_Trade_Output</x:v>
      </x:c>
      <x:c r="Z1" s="26" t="str">
        <x:v>Python_Trade_Output</x:v>
      </x:c>
      <x:c r="AA1" s="26" t="str">
        <x:v>Python_Trade_Output</x:v>
      </x:c>
      <x:c r="AB1" s="26" t="str">
        <x:v>Python_Trade_Output</x:v>
      </x:c>
      <x:c r="AC1" s="26" t="str">
        <x:v>Python_Trade_Output</x:v>
      </x:c>
      <x:c r="AD1" s="26" t="str">
        <x:v>Python_Trade_Output</x:v>
      </x:c>
      <x:c r="AE1" s="26" t="str">
        <x:v>Python_Trade_Output</x:v>
      </x:c>
      <x:c r="AF1" s="26" t="str">
        <x:v>Python_Trade_Output</x:v>
      </x:c>
      <x:c r="AG1" s="26" t="str">
        <x:v>Python_Trade_Output</x:v>
      </x:c>
      <x:c r="AH1" s="26" t="str">
        <x:v>Python_Trade_Output</x:v>
      </x:c>
      <x:c r="AI1" s="26" t="str">
        <x:v>Python_Trade_Output</x:v>
      </x:c>
      <x:c r="AJ1" s="26" t="str">
        <x:v>Python_Trade_Output</x:v>
      </x:c>
      <x:c r="AK1" s="26" t="str">
        <x:v>Python_Trade_Output</x:v>
      </x:c>
      <x:c r="AL1" s="26" t="str">
        <x:v>Python_Trade_Output</x:v>
      </x:c>
      <x:c r="AM1" s="26" t="str">
        <x:v>Python_Trade_Output</x:v>
      </x:c>
      <x:c r="AN1" s="26" t="str">
        <x:v>Python_Trade_Output</x:v>
      </x:c>
      <x:c r="AO1" s="26" t="str">
        <x:v>Python_Trade_Output</x:v>
      </x:c>
      <x:c r="AP1" s="26" t="str">
        <x:v>Python_Trade_Output</x:v>
      </x:c>
      <x:c r="AQ1" s="26" t="str">
        <x:v>Python_Trade_Output</x:v>
      </x:c>
      <x:c r="AR1" s="26" t="str">
        <x:v>Python_Trade_Output</x:v>
      </x:c>
      <x:c r="AS1" s="26" t="str">
        <x:v>Python_Trade_Output</x:v>
      </x:c>
      <x:c r="AT1" s="26" t="str">
        <x:v>Python_Trade_Output</x:v>
      </x:c>
      <x:c r="AU1" s="26" t="str">
        <x:v>Python_Trade_Output</x:v>
      </x:c>
      <x:c r="AV1" s="26" t="str">
        <x:v>Python_Trade_Output</x:v>
      </x:c>
      <x:c r="AW1" s="26" t="str">
        <x:v>Python_Trade_Output</x:v>
      </x:c>
      <x:c r="AX1" s="26" t="str">
        <x:v>Python_Trade_Output</x:v>
      </x:c>
      <x:c r="AY1" s="26" t="str">
        <x:v>Python_Trade_Output</x:v>
      </x:c>
      <x:c r="AZ1" s="26" t="str">
        <x:v>Python_Trade_Output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  <x:c r="AJ2" s="27"/>
      <x:c r="AK2" s="27"/>
      <x:c r="AL2" s="27"/>
      <x:c r="AM2" s="27"/>
      <x:c r="AN2" s="27"/>
      <x:c r="AO2" s="27"/>
      <x:c r="AP2" s="27"/>
      <x:c r="AQ2" s="27"/>
      <x:c r="AR2" s="27"/>
      <x:c r="AS2" s="27"/>
      <x:c r="AT2" s="27"/>
      <x:c r="AU2" s="27"/>
      <x:c r="AV2" s="27"/>
      <x:c r="AW2" s="27"/>
      <x:c r="AX2" s="27"/>
      <x:c r="AY2" s="27"/>
      <x:c r="AZ2" s="27"/>
    </x:row>
    <x:row r="3">
      <x:c r="A3" s="28" t="str">
        <x:v>COB Date</x:v>
      </x:c>
      <x:c r="B3" s="28" t="str">
        <x:v>Counterparty ID</x:v>
      </x:c>
      <x:c r="C3" s="28" t="str">
        <x:v>Netting Set ID</x:v>
      </x:c>
      <x:c r="D3" s="28" t="str">
        <x:v>Ticket Number</x:v>
      </x:c>
      <x:c r="E3" s="28" t="str">
        <x:v>Trade Type</x:v>
      </x:c>
      <x:c r="F3" s="28" t="str">
        <x:v>Asset Class</x:v>
      </x:c>
      <x:c r="G3" s="28" t="str">
        <x:v>Sub Class</x:v>
      </x:c>
      <x:c r="H3" s="28" t="str">
        <x:v>Trade Leg 1 Currency</x:v>
      </x:c>
      <x:c r="I3" s="28" t="str">
        <x:v>Trade Leg 2 Currency</x:v>
      </x:c>
      <x:c r="J3" s="28" t="str">
        <x:v>Base Currency</x:v>
      </x:c>
      <x:c r="K3" s="28" t="str">
        <x:v>Basis/Volatility Indicator</x:v>
      </x:c>
      <x:c r="L3" s="28" t="str">
        <x:v>Specific Basis</x:v>
      </x:c>
      <x:c r="M3" s="28" t="str">
        <x:v>Underlying Entity Name</x:v>
      </x:c>
      <x:c r="N3" s="28" t="str">
        <x:v>Underlying Entity Type</x:v>
      </x:c>
      <x:c r="O3" s="28" t="str">
        <x:v>Underlying Entity Rating</x:v>
      </x:c>
      <x:c r="P3" s="28" t="str">
        <x:v>Maturity Date</x:v>
      </x:c>
      <x:c r="Q3" s="28" t="str">
        <x:v>Start Date</x:v>
      </x:c>
      <x:c r="R3" s="28" t="str">
        <x:v>End Date</x:v>
      </x:c>
      <x:c r="S3" s="28" t="str">
        <x:v>Leg 1 Notional</x:v>
      </x:c>
      <x:c r="T3" s="28" t="str">
        <x:v>Leg 2 Notional</x:v>
      </x:c>
      <x:c r="U3" s="28" t="str">
        <x:v>Base Notional</x:v>
      </x:c>
      <x:c r="V3" s="28" t="str">
        <x:v>Margined/ Unmargined</x:v>
      </x:c>
      <x:c r="W3" s="28" t="str">
        <x:v>CCP</x:v>
      </x:c>
      <x:c r="X3" s="28" t="str">
        <x:v>Margin Frequency (Business Days)</x:v>
      </x:c>
      <x:c r="Y3" s="28" t="str">
        <x:v>Buy/Sell Indicator</x:v>
      </x:c>
      <x:c r="Z3" s="28" t="str">
        <x:v>Contractual Exercise Date</x:v>
      </x:c>
      <x:c r="AA3" s="28" t="str">
        <x:v>Put/Call Indicator</x:v>
      </x:c>
      <x:c r="AB3" s="28" t="str">
        <x:v>Strike Price (Ki)</x:v>
      </x:c>
      <x:c r="AC3" s="28" t="str">
        <x:v>Underlying Price (Pi)</x:v>
      </x:c>
      <x:c r="AD3" s="28" t="str">
        <x:v>MtM</x:v>
      </x:c>
      <x:c r="AE3" s="28" t="str">
        <x:v>Source</x:v>
      </x:c>
      <x:c r="AF3" s="28" t="str">
        <x:v>Source Dissemination Identifier</x:v>
      </x:c>
      <x:c r="AG3" s="28" t="str">
        <x:v>Source Product Name</x:v>
      </x:c>
      <x:c r="AH3" s="28" t="str">
        <x:v>Source UPI FISN</x:v>
      </x:c>
      <x:c r="AI3" s="28" t="str">
        <x:v>Source UPI Underlier Name</x:v>
      </x:c>
      <x:c r="AJ3" s="28" t="str">
        <x:v>Maturity Days</x:v>
      </x:c>
      <x:c r="AK3" s="28" t="str">
        <x:v>Remaining Maturity Years</x:v>
      </x:c>
      <x:c r="AL3" s="28" t="str">
        <x:v>Maturity Bucket</x:v>
      </x:c>
      <x:c r="AM3" s="28" t="str">
        <x:v>Commodity Group</x:v>
      </x:c>
      <x:c r="AN3" s="28" t="str">
        <x:v>Commodity Type</x:v>
      </x:c>
      <x:c r="AO3" s="28" t="str">
        <x:v>Hedging Set</x:v>
      </x:c>
      <x:c r="AP3" s="28" t="str">
        <x:v>SA-CCR Margin Treatment</x:v>
      </x:c>
      <x:c r="AQ3" s="28" t="str">
        <x:v>Supervisory Factor Base</x:v>
      </x:c>
      <x:c r="AR3" s="28" t="str">
        <x:v>Supervisory Factor Adjustment</x:v>
      </x:c>
      <x:c r="AS3" s="28" t="str">
        <x:v>Supervisory Factor</x:v>
      </x:c>
      <x:c r="AT3" s="28" t="str">
        <x:v>Correlation</x:v>
      </x:c>
      <x:c r="AU3" s="28" t="str">
        <x:v>Supervisory Duration</x:v>
      </x:c>
      <x:c r="AV3" s="28" t="str">
        <x:v>Adjusted Notional</x:v>
      </x:c>
      <x:c r="AW3" s="28" t="str">
        <x:v>Supervisory Option Volatility</x:v>
      </x:c>
      <x:c r="AX3" s="28" t="str">
        <x:v>Delta</x:v>
      </x:c>
      <x:c r="AY3" s="28" t="str">
        <x:v>Maturity Factor</x:v>
      </x:c>
      <x:c r="AZ3" s="28" t="str">
        <x:v>Effective Notional</x:v>
      </x:c>
    </x:row>
    <x:row r="4">
      <x:c r="A4" s="27" t="n">
        <x:v>45702</x:v>
      </x:c>
      <x:c r="B4" s="27" t="str">
        <x:v>IND_CORPORATE_002</x:v>
      </x:c>
      <x:c r="C4" s="27" t="n">
        <x:v>3346</x:v>
      </x:c>
      <x:c r="D4" s="27" t="str">
        <x:v>IND-000001</x:v>
      </x:c>
      <x:c r="E4" s="27" t="str">
        <x:v>FX Forward</x:v>
      </x:c>
      <x:c r="F4" s="27" t="str">
        <x:v>FX</x:v>
      </x:c>
      <x:c r="G4" s="27"/>
      <x:c r="H4" s="27" t="str">
        <x:v>AUD</x:v>
      </x:c>
      <x:c r="I4" s="27" t="str">
        <x:v>USD</x:v>
      </x:c>
      <x:c r="J4" s="27" t="str">
        <x:v>USD</x:v>
      </x:c>
      <x:c r="K4" s="27"/>
      <x:c r="L4" s="27"/>
      <x:c r="M4" s="27" t="str">
        <x:v>AUD/USD</x:v>
      </x:c>
      <x:c r="N4" s="27"/>
      <x:c r="O4" s="27"/>
      <x:c r="P4" s="27" t="n">
        <x:v>46814</x:v>
      </x:c>
      <x:c r="Q4" s="27" t="n">
        <x:v>45068</x:v>
      </x:c>
      <x:c r="R4" s="27" t="n">
        <x:v>46814</x:v>
      </x:c>
      <x:c r="S4" s="27" t="n">
        <x:v>130303030.3</x:v>
      </x:c>
      <x:c r="T4" s="27" t="n">
        <x:v>86000000</x:v>
      </x:c>
      <x:c r="U4" s="27" t="n">
        <x:v>86000000</x:v>
      </x:c>
      <x:c r="V4" s="27" t="str">
        <x:v>M</x:v>
      </x:c>
      <x:c r="W4" s="27" t="str">
        <x:v>N</x:v>
      </x:c>
      <x:c r="X4" s="27" t="n">
        <x:v>10</x:v>
      </x:c>
      <x:c r="Y4" s="27" t="str">
        <x:v>B</x:v>
      </x:c>
      <x:c r="Z4" s="27"/>
      <x:c r="AA4" s="27"/>
      <x:c r="AB4" s="27" t="n">
        <x:v>0</x:v>
      </x:c>
      <x:c r="AC4" s="27" t="n">
        <x:v>0</x:v>
      </x:c>
      <x:c r="AD4" s="27" t="n">
        <x:v>551260</x:v>
      </x:c>
      <x:c r="AE4" s="27" t="str">
        <x:v>Public-safe anonymized industry-style SA-CCR sample</x:v>
      </x:c>
      <x:c r="AF4" s="27" t="str">
        <x:v>ANON-000001</x:v>
      </x:c>
      <x:c r="AG4" s="27" t="str">
        <x:v>FX Forward</x:v>
      </x:c>
      <x:c r="AH4" s="27"/>
      <x:c r="AI4" s="27" t="str">
        <x:v>AUD/USD</x:v>
      </x:c>
      <x:c r="AJ4" s="27" t="n">
        <x:v>1112</x:v>
      </x:c>
      <x:c r="AK4" s="27" t="n">
        <x:v>3.0465753424657533</x:v>
      </x:c>
      <x:c r="AL4" s="27" t="str">
        <x:v>1Y-5Y</x:v>
      </x:c>
      <x:c r="AM4" s="27"/>
      <x:c r="AN4" s="27" t="str">
        <x:v>Unknown</x:v>
      </x:c>
      <x:c r="AO4" s="27" t="str">
        <x:v>AUD/USD</x:v>
      </x:c>
      <x:c r="AP4" s="27" t="str">
        <x:v>M</x:v>
      </x:c>
      <x:c r="AQ4" s="27" t="n">
        <x:v>0.04</x:v>
      </x:c>
      <x:c r="AR4" s="27" t="n">
        <x:v>1</x:v>
      </x:c>
      <x:c r="AS4" s="27" t="n">
        <x:v>0.04</x:v>
      </x:c>
      <x:c r="AT4" s="27"/>
      <x:c r="AU4" s="27" t="n">
        <x:v>1</x:v>
      </x:c>
      <x:c r="AV4" s="27" t="n">
        <x:v>86000000</x:v>
      </x:c>
      <x:c r="AW4" s="27" t="n">
        <x:v>0.15</x:v>
      </x:c>
      <x:c r="AX4" s="27" t="n">
        <x:v>1</x:v>
      </x:c>
      <x:c r="AY4" s="27" t="n">
        <x:v>0.30000000000000004</x:v>
      </x:c>
      <x:c r="AZ4" s="27" t="n">
        <x:v>25800000.000000004</x:v>
      </x:c>
    </x:row>
    <x:row r="5">
      <x:c r="A5" s="27" t="n">
        <x:v>45702</x:v>
      </x:c>
      <x:c r="B5" s="27" t="str">
        <x:v>IND_INSURER_001</x:v>
      </x:c>
      <x:c r="C5" s="27" t="n">
        <x:v>3094</x:v>
      </x:c>
      <x:c r="D5" s="27" t="str">
        <x:v>IND-000002</x:v>
      </x:c>
      <x:c r="E5" s="27" t="str">
        <x:v>FX Forward</x:v>
      </x:c>
      <x:c r="F5" s="27" t="str">
        <x:v>FX</x:v>
      </x:c>
      <x:c r="G5" s="27"/>
      <x:c r="H5" s="27" t="str">
        <x:v>GBP</x:v>
      </x:c>
      <x:c r="I5" s="27" t="str">
        <x:v>USD</x:v>
      </x:c>
      <x:c r="J5" s="27" t="str">
        <x:v>USD</x:v>
      </x:c>
      <x:c r="K5" s="27"/>
      <x:c r="L5" s="27"/>
      <x:c r="M5" s="27" t="str">
        <x:v>GBP/USD</x:v>
      </x:c>
      <x:c r="N5" s="27"/>
      <x:c r="O5" s="27"/>
      <x:c r="P5" s="27" t="n">
        <x:v>46497</x:v>
      </x:c>
      <x:c r="Q5" s="27" t="n">
        <x:v>44872</x:v>
      </x:c>
      <x:c r="R5" s="27" t="n">
        <x:v>46497</x:v>
      </x:c>
      <x:c r="S5" s="27" t="n">
        <x:v>47680000</x:v>
      </x:c>
      <x:c r="T5" s="27" t="n">
        <x:v>59600000</x:v>
      </x:c>
      <x:c r="U5" s="27" t="n">
        <x:v>59600000</x:v>
      </x:c>
      <x:c r="V5" s="27" t="str">
        <x:v>U</x:v>
      </x:c>
      <x:c r="W5" s="27" t="str">
        <x:v>N</x:v>
      </x:c>
      <x:c r="X5" s="27"/>
      <x:c r="Y5" s="27" t="str">
        <x:v>B</x:v>
      </x:c>
      <x:c r="Z5" s="27"/>
      <x:c r="AA5" s="27"/>
      <x:c r="AB5" s="27" t="n">
        <x:v>0</x:v>
      </x:c>
      <x:c r="AC5" s="27" t="n">
        <x:v>0</x:v>
      </x:c>
      <x:c r="AD5" s="27" t="n">
        <x:v>396936</x:v>
      </x:c>
      <x:c r="AE5" s="27" t="str">
        <x:v>Public-safe anonymized industry-style SA-CCR sample</x:v>
      </x:c>
      <x:c r="AF5" s="27" t="str">
        <x:v>ANON-000002</x:v>
      </x:c>
      <x:c r="AG5" s="27" t="str">
        <x:v>FX Forward</x:v>
      </x:c>
      <x:c r="AH5" s="27"/>
      <x:c r="AI5" s="27" t="str">
        <x:v>GBP/USD</x:v>
      </x:c>
      <x:c r="AJ5" s="27" t="n">
        <x:v>795</x:v>
      </x:c>
      <x:c r="AK5" s="27" t="n">
        <x:v>2.1780821917808217</x:v>
      </x:c>
      <x:c r="AL5" s="27" t="str">
        <x:v>1Y-5Y</x:v>
      </x:c>
      <x:c r="AM5" s="27"/>
      <x:c r="AN5" s="27" t="str">
        <x:v>Unknown</x:v>
      </x:c>
      <x:c r="AO5" s="27" t="str">
        <x:v>GBP/USD</x:v>
      </x:c>
      <x:c r="AP5" s="27" t="str">
        <x:v>U</x:v>
      </x:c>
      <x:c r="AQ5" s="27" t="n">
        <x:v>0.04</x:v>
      </x:c>
      <x:c r="AR5" s="27" t="n">
        <x:v>1</x:v>
      </x:c>
      <x:c r="AS5" s="27" t="n">
        <x:v>0.04</x:v>
      </x:c>
      <x:c r="AT5" s="27"/>
      <x:c r="AU5" s="27" t="n">
        <x:v>1</x:v>
      </x:c>
      <x:c r="AV5" s="27" t="n">
        <x:v>59600000</x:v>
      </x:c>
      <x:c r="AW5" s="27" t="n">
        <x:v>0.15</x:v>
      </x:c>
      <x:c r="AX5" s="27" t="n">
        <x:v>1</x:v>
      </x:c>
      <x:c r="AY5" s="27" t="n">
        <x:v>1</x:v>
      </x:c>
      <x:c r="AZ5" s="27" t="n">
        <x:v>59600000</x:v>
      </x:c>
    </x:row>
    <x:row r="6">
      <x:c r="A6" s="27" t="n">
        <x:v>45702</x:v>
      </x:c>
      <x:c r="B6" s="27" t="str">
        <x:v>IND_CLEARING_MEMBER_001</x:v>
      </x:c>
      <x:c r="C6" s="27" t="n">
        <x:v>3206</x:v>
      </x:c>
      <x:c r="D6" s="27" t="str">
        <x:v>IND-000003</x:v>
      </x:c>
      <x:c r="E6" s="27" t="str">
        <x:v>FX Forward</x:v>
      </x:c>
      <x:c r="F6" s="27" t="str">
        <x:v>FX</x:v>
      </x:c>
      <x:c r="G6" s="27"/>
      <x:c r="H6" s="27" t="str">
        <x:v>USD</x:v>
      </x:c>
      <x:c r="I6" s="27" t="str">
        <x:v>CNY</x:v>
      </x:c>
      <x:c r="J6" s="27" t="str">
        <x:v>USD</x:v>
      </x:c>
      <x:c r="K6" s="27"/>
      <x:c r="L6" s="27"/>
      <x:c r="M6" s="27" t="str">
        <x:v>USD/CNY</x:v>
      </x:c>
      <x:c r="N6" s="27"/>
      <x:c r="O6" s="27"/>
      <x:c r="P6" s="27" t="n">
        <x:v>47674</x:v>
      </x:c>
      <x:c r="Q6" s="27" t="n">
        <x:v>45320</x:v>
      </x:c>
      <x:c r="R6" s="27" t="n">
        <x:v>47674</x:v>
      </x:c>
      <x:c r="S6" s="27" t="n">
        <x:v>13100000</x:v>
      </x:c>
      <x:c r="T6" s="27" t="n">
        <x:v>93571428.57</x:v>
      </x:c>
      <x:c r="U6" s="27" t="n">
        <x:v>13100000</x:v>
      </x:c>
      <x:c r="V6" s="27" t="str">
        <x:v>M</x:v>
      </x:c>
      <x:c r="W6" s="27" t="str">
        <x:v>N</x:v>
      </x:c>
      <x:c r="X6" s="27" t="n">
        <x:v>10</x:v>
      </x:c>
      <x:c r="Y6" s="27" t="str">
        <x:v>S</x:v>
      </x:c>
      <x:c r="Z6" s="27"/>
      <x:c r="AA6" s="27"/>
      <x:c r="AB6" s="27" t="n">
        <x:v>0</x:v>
      </x:c>
      <x:c r="AC6" s="27" t="n">
        <x:v>0</x:v>
      </x:c>
      <x:c r="AD6" s="27" t="n">
        <x:v>75980</x:v>
      </x:c>
      <x:c r="AE6" s="27" t="str">
        <x:v>Public-safe anonymized industry-style SA-CCR sample</x:v>
      </x:c>
      <x:c r="AF6" s="27" t="str">
        <x:v>ANON-000003</x:v>
      </x:c>
      <x:c r="AG6" s="27" t="str">
        <x:v>FX Forward</x:v>
      </x:c>
      <x:c r="AH6" s="27"/>
      <x:c r="AI6" s="27" t="str">
        <x:v>USD/CNY</x:v>
      </x:c>
      <x:c r="AJ6" s="27" t="n">
        <x:v>1972</x:v>
      </x:c>
      <x:c r="AK6" s="27" t="n">
        <x:v>5.402739726027397</x:v>
      </x:c>
      <x:c r="AL6" s="27" t="str">
        <x:v>&gt;5Y</x:v>
      </x:c>
      <x:c r="AM6" s="27"/>
      <x:c r="AN6" s="27" t="str">
        <x:v>Unknown</x:v>
      </x:c>
      <x:c r="AO6" s="27" t="str">
        <x:v>CNY/USD</x:v>
      </x:c>
      <x:c r="AP6" s="27" t="str">
        <x:v>M</x:v>
      </x:c>
      <x:c r="AQ6" s="27" t="n">
        <x:v>0.04</x:v>
      </x:c>
      <x:c r="AR6" s="27" t="n">
        <x:v>1</x:v>
      </x:c>
      <x:c r="AS6" s="27" t="n">
        <x:v>0.04</x:v>
      </x:c>
      <x:c r="AT6" s="27"/>
      <x:c r="AU6" s="27" t="n">
        <x:v>1</x:v>
      </x:c>
      <x:c r="AV6" s="27" t="n">
        <x:v>13100000</x:v>
      </x:c>
      <x:c r="AW6" s="27" t="n">
        <x:v>0.15</x:v>
      </x:c>
      <x:c r="AX6" s="27" t="n">
        <x:v>-1</x:v>
      </x:c>
      <x:c r="AY6" s="27" t="n">
        <x:v>0.30000000000000004</x:v>
      </x:c>
      <x:c r="AZ6" s="27" t="n">
        <x:v>-3930000.0000000005</x:v>
      </x:c>
    </x:row>
    <x:row r="7">
      <x:c r="A7" s="27" t="n">
        <x:v>45702</x:v>
      </x:c>
      <x:c r="B7" s="27" t="str">
        <x:v>IND_CORPORATE_002</x:v>
      </x:c>
      <x:c r="C7" s="27" t="n">
        <x:v>3187</x:v>
      </x:c>
      <x:c r="D7" s="27" t="str">
        <x:v>IND-000004</x:v>
      </x:c>
      <x:c r="E7" s="27" t="str">
        <x:v>FX Forward</x:v>
      </x:c>
      <x:c r="F7" s="27" t="str">
        <x:v>FX</x:v>
      </x:c>
      <x:c r="G7" s="27"/>
      <x:c r="H7" s="27" t="str">
        <x:v>EUR</x:v>
      </x:c>
      <x:c r="I7" s="27" t="str">
        <x:v>USD</x:v>
      </x:c>
      <x:c r="J7" s="27" t="str">
        <x:v>USD</x:v>
      </x:c>
      <x:c r="K7" s="27"/>
      <x:c r="L7" s="27"/>
      <x:c r="M7" s="27" t="str">
        <x:v>EUR/USD</x:v>
      </x:c>
      <x:c r="N7" s="27"/>
      <x:c r="O7" s="27"/>
      <x:c r="P7" s="27" t="n">
        <x:v>46168</x:v>
      </x:c>
      <x:c r="Q7" s="27" t="n">
        <x:v>44940</x:v>
      </x:c>
      <x:c r="R7" s="27" t="n">
        <x:v>46168</x:v>
      </x:c>
      <x:c r="S7" s="27" t="n">
        <x:v>28761904.76</x:v>
      </x:c>
      <x:c r="T7" s="27" t="n">
        <x:v>30200000</x:v>
      </x:c>
      <x:c r="U7" s="27" t="n">
        <x:v>30200000</x:v>
      </x:c>
      <x:c r="V7" s="27" t="str">
        <x:v>U</x:v>
      </x:c>
      <x:c r="W7" s="27" t="str">
        <x:v>N</x:v>
      </x:c>
      <x:c r="X7" s="27"/>
      <x:c r="Y7" s="27" t="str">
        <x:v>B</x:v>
      </x:c>
      <x:c r="Z7" s="27"/>
      <x:c r="AA7" s="27"/>
      <x:c r="AB7" s="27" t="n">
        <x:v>0</x:v>
      </x:c>
      <x:c r="AC7" s="27" t="n">
        <x:v>0</x:v>
      </x:c>
      <x:c r="AD7" s="27" t="n">
        <x:v>-173348</x:v>
      </x:c>
      <x:c r="AE7" s="27" t="str">
        <x:v>Public-safe anonymized industry-style SA-CCR sample</x:v>
      </x:c>
      <x:c r="AF7" s="27" t="str">
        <x:v>ANON-000004</x:v>
      </x:c>
      <x:c r="AG7" s="27" t="str">
        <x:v>FX Forward</x:v>
      </x:c>
      <x:c r="AH7" s="27"/>
      <x:c r="AI7" s="27" t="str">
        <x:v>EUR/USD</x:v>
      </x:c>
      <x:c r="AJ7" s="27" t="n">
        <x:v>466</x:v>
      </x:c>
      <x:c r="AK7" s="27" t="n">
        <x:v>1.2767123287671234</x:v>
      </x:c>
      <x:c r="AL7" s="27" t="str">
        <x:v>1Y-5Y</x:v>
      </x:c>
      <x:c r="AM7" s="27"/>
      <x:c r="AN7" s="27" t="str">
        <x:v>Unknown</x:v>
      </x:c>
      <x:c r="AO7" s="27" t="str">
        <x:v>EUR/USD</x:v>
      </x:c>
      <x:c r="AP7" s="27" t="str">
        <x:v>U</x:v>
      </x:c>
      <x:c r="AQ7" s="27" t="n">
        <x:v>0.04</x:v>
      </x:c>
      <x:c r="AR7" s="27" t="n">
        <x:v>1</x:v>
      </x:c>
      <x:c r="AS7" s="27" t="n">
        <x:v>0.04</x:v>
      </x:c>
      <x:c r="AT7" s="27"/>
      <x:c r="AU7" s="27" t="n">
        <x:v>1</x:v>
      </x:c>
      <x:c r="AV7" s="27" t="n">
        <x:v>30200000</x:v>
      </x:c>
      <x:c r="AW7" s="27" t="n">
        <x:v>0.15</x:v>
      </x:c>
      <x:c r="AX7" s="27" t="n">
        <x:v>1</x:v>
      </x:c>
      <x:c r="AY7" s="27" t="n">
        <x:v>1</x:v>
      </x:c>
      <x:c r="AZ7" s="27" t="n">
        <x:v>30200000</x:v>
      </x:c>
    </x:row>
    <x:row r="8">
      <x:c r="A8" s="27" t="n">
        <x:v>45702</x:v>
      </x:c>
      <x:c r="B8" s="27" t="str">
        <x:v>IND_BANK_001</x:v>
      </x:c>
      <x:c r="C8" s="27" t="n">
        <x:v>3214</x:v>
      </x:c>
      <x:c r="D8" s="27" t="str">
        <x:v>IND-000005</x:v>
      </x:c>
      <x:c r="E8" s="27" t="str">
        <x:v>FX Forward</x:v>
      </x:c>
      <x:c r="F8" s="27" t="str">
        <x:v>FX</x:v>
      </x:c>
      <x:c r="G8" s="27"/>
      <x:c r="H8" s="27" t="str">
        <x:v>AUD</x:v>
      </x:c>
      <x:c r="I8" s="27" t="str">
        <x:v>USD</x:v>
      </x:c>
      <x:c r="J8" s="27" t="str">
        <x:v>USD</x:v>
      </x:c>
      <x:c r="K8" s="27"/>
      <x:c r="L8" s="27"/>
      <x:c r="M8" s="27" t="str">
        <x:v>AUD/USD</x:v>
      </x:c>
      <x:c r="N8" s="27"/>
      <x:c r="O8" s="27"/>
      <x:c r="P8" s="27" t="n">
        <x:v>46948</x:v>
      </x:c>
      <x:c r="Q8" s="27" t="n">
        <x:v>45683</x:v>
      </x:c>
      <x:c r="R8" s="27" t="n">
        <x:v>46948</x:v>
      </x:c>
      <x:c r="S8" s="27" t="n">
        <x:v>52424242.42</x:v>
      </x:c>
      <x:c r="T8" s="27" t="n">
        <x:v>34600000</x:v>
      </x:c>
      <x:c r="U8" s="27" t="n">
        <x:v>34600000</x:v>
      </x:c>
      <x:c r="V8" s="27" t="str">
        <x:v>U</x:v>
      </x:c>
      <x:c r="W8" s="27" t="str">
        <x:v>N</x:v>
      </x:c>
      <x:c r="X8" s="27"/>
      <x:c r="Y8" s="27" t="str">
        <x:v>B</x:v>
      </x:c>
      <x:c r="Z8" s="27"/>
      <x:c r="AA8" s="27"/>
      <x:c r="AB8" s="27" t="n">
        <x:v>0</x:v>
      </x:c>
      <x:c r="AC8" s="27" t="n">
        <x:v>0</x:v>
      </x:c>
      <x:c r="AD8" s="27" t="n">
        <x:v>60204</x:v>
      </x:c>
      <x:c r="AE8" s="27" t="str">
        <x:v>Public-safe anonymized industry-style SA-CCR sample</x:v>
      </x:c>
      <x:c r="AF8" s="27" t="str">
        <x:v>ANON-000005</x:v>
      </x:c>
      <x:c r="AG8" s="27" t="str">
        <x:v>FX Forward</x:v>
      </x:c>
      <x:c r="AH8" s="27"/>
      <x:c r="AI8" s="27" t="str">
        <x:v>AUD/USD</x:v>
      </x:c>
      <x:c r="AJ8" s="27" t="n">
        <x:v>1246</x:v>
      </x:c>
      <x:c r="AK8" s="27" t="n">
        <x:v>3.4136986301369863</x:v>
      </x:c>
      <x:c r="AL8" s="27" t="str">
        <x:v>1Y-5Y</x:v>
      </x:c>
      <x:c r="AM8" s="27"/>
      <x:c r="AN8" s="27" t="str">
        <x:v>Unknown</x:v>
      </x:c>
      <x:c r="AO8" s="27" t="str">
        <x:v>AUD/USD</x:v>
      </x:c>
      <x:c r="AP8" s="27" t="str">
        <x:v>U</x:v>
      </x:c>
      <x:c r="AQ8" s="27" t="n">
        <x:v>0.04</x:v>
      </x:c>
      <x:c r="AR8" s="27" t="n">
        <x:v>1</x:v>
      </x:c>
      <x:c r="AS8" s="27" t="n">
        <x:v>0.04</x:v>
      </x:c>
      <x:c r="AT8" s="27"/>
      <x:c r="AU8" s="27" t="n">
        <x:v>1</x:v>
      </x:c>
      <x:c r="AV8" s="27" t="n">
        <x:v>34600000</x:v>
      </x:c>
      <x:c r="AW8" s="27" t="n">
        <x:v>0.15</x:v>
      </x:c>
      <x:c r="AX8" s="27" t="n">
        <x:v>1</x:v>
      </x:c>
      <x:c r="AY8" s="27" t="n">
        <x:v>1</x:v>
      </x:c>
      <x:c r="AZ8" s="27" t="n">
        <x:v>34600000</x:v>
      </x:c>
    </x:row>
    <x:row r="9">
      <x:c r="A9" s="27" t="n">
        <x:v>45702</x:v>
      </x:c>
      <x:c r="B9" s="27" t="str">
        <x:v>IND_BANK_002</x:v>
      </x:c>
      <x:c r="C9" s="27" t="n">
        <x:v>3331</x:v>
      </x:c>
      <x:c r="D9" s="27" t="str">
        <x:v>IND-000006</x:v>
      </x:c>
      <x:c r="E9" s="27" t="str">
        <x:v>FX Forward</x:v>
      </x:c>
      <x:c r="F9" s="27" t="str">
        <x:v>FX</x:v>
      </x:c>
      <x:c r="G9" s="27"/>
      <x:c r="H9" s="27" t="str">
        <x:v>AUD</x:v>
      </x:c>
      <x:c r="I9" s="27" t="str">
        <x:v>USD</x:v>
      </x:c>
      <x:c r="J9" s="27" t="str">
        <x:v>USD</x:v>
      </x:c>
      <x:c r="K9" s="27"/>
      <x:c r="L9" s="27"/>
      <x:c r="M9" s="27" t="str">
        <x:v>AUD/USD</x:v>
      </x:c>
      <x:c r="N9" s="27"/>
      <x:c r="O9" s="27"/>
      <x:c r="P9" s="27" t="n">
        <x:v>46314</x:v>
      </x:c>
      <x:c r="Q9" s="27" t="n">
        <x:v>45485</x:v>
      </x:c>
      <x:c r="R9" s="27" t="n">
        <x:v>46314</x:v>
      </x:c>
      <x:c r="S9" s="27" t="n">
        <x:v>27272727.27</x:v>
      </x:c>
      <x:c r="T9" s="27" t="n">
        <x:v>18000000</x:v>
      </x:c>
      <x:c r="U9" s="27" t="n">
        <x:v>18000000</x:v>
      </x:c>
      <x:c r="V9" s="27" t="str">
        <x:v>M</x:v>
      </x:c>
      <x:c r="W9" s="27" t="str">
        <x:v>N</x:v>
      </x:c>
      <x:c r="X9" s="27" t="n">
        <x:v>10</x:v>
      </x:c>
      <x:c r="Y9" s="27" t="str">
        <x:v>S</x:v>
      </x:c>
      <x:c r="Z9" s="27"/>
      <x:c r="AA9" s="27"/>
      <x:c r="AB9" s="27" t="n">
        <x:v>0</x:v>
      </x:c>
      <x:c r="AC9" s="27" t="n">
        <x:v>0</x:v>
      </x:c>
      <x:c r="AD9" s="27" t="n">
        <x:v>41580</x:v>
      </x:c>
      <x:c r="AE9" s="27" t="str">
        <x:v>Public-safe anonymized industry-style SA-CCR sample</x:v>
      </x:c>
      <x:c r="AF9" s="27" t="str">
        <x:v>ANON-000006</x:v>
      </x:c>
      <x:c r="AG9" s="27" t="str">
        <x:v>FX Forward</x:v>
      </x:c>
      <x:c r="AH9" s="27"/>
      <x:c r="AI9" s="27" t="str">
        <x:v>AUD/USD</x:v>
      </x:c>
      <x:c r="AJ9" s="27" t="n">
        <x:v>612</x:v>
      </x:c>
      <x:c r="AK9" s="27" t="n">
        <x:v>1.6767123287671233</x:v>
      </x:c>
      <x:c r="AL9" s="27" t="str">
        <x:v>1Y-5Y</x:v>
      </x:c>
      <x:c r="AM9" s="27"/>
      <x:c r="AN9" s="27" t="str">
        <x:v>Unknown</x:v>
      </x:c>
      <x:c r="AO9" s="27" t="str">
        <x:v>AUD/USD</x:v>
      </x:c>
      <x:c r="AP9" s="27" t="str">
        <x:v>M</x:v>
      </x:c>
      <x:c r="AQ9" s="27" t="n">
        <x:v>0.04</x:v>
      </x:c>
      <x:c r="AR9" s="27" t="n">
        <x:v>1</x:v>
      </x:c>
      <x:c r="AS9" s="27" t="n">
        <x:v>0.04</x:v>
      </x:c>
      <x:c r="AT9" s="27"/>
      <x:c r="AU9" s="27" t="n">
        <x:v>1</x:v>
      </x:c>
      <x:c r="AV9" s="27" t="n">
        <x:v>18000000</x:v>
      </x:c>
      <x:c r="AW9" s="27" t="n">
        <x:v>0.15</x:v>
      </x:c>
      <x:c r="AX9" s="27" t="n">
        <x:v>-1</x:v>
      </x:c>
      <x:c r="AY9" s="27" t="n">
        <x:v>0.30000000000000004</x:v>
      </x:c>
      <x:c r="AZ9" s="27" t="n">
        <x:v>-5400000.000000001</x:v>
      </x:c>
    </x:row>
    <x:row r="10">
      <x:c r="A10" s="27" t="n">
        <x:v>45702</x:v>
      </x:c>
      <x:c r="B10" s="27" t="str">
        <x:v>IND_BANK_002</x:v>
      </x:c>
      <x:c r="C10" s="27" t="n">
        <x:v>3331</x:v>
      </x:c>
      <x:c r="D10" s="27" t="str">
        <x:v>IND-000007</x:v>
      </x:c>
      <x:c r="E10" s="27" t="str">
        <x:v>FX Forward</x:v>
      </x:c>
      <x:c r="F10" s="27" t="str">
        <x:v>FX</x:v>
      </x:c>
      <x:c r="G10" s="27"/>
      <x:c r="H10" s="27" t="str">
        <x:v>USD</x:v>
      </x:c>
      <x:c r="I10" s="27" t="str">
        <x:v>JPY</x:v>
      </x:c>
      <x:c r="J10" s="27" t="str">
        <x:v>USD</x:v>
      </x:c>
      <x:c r="K10" s="27"/>
      <x:c r="L10" s="27"/>
      <x:c r="M10" s="27" t="str">
        <x:v>USD/JPY</x:v>
      </x:c>
      <x:c r="N10" s="27"/>
      <x:c r="O10" s="27"/>
      <x:c r="P10" s="27" t="n">
        <x:v>46634</x:v>
      </x:c>
      <x:c r="Q10" s="27" t="n">
        <x:v>44888</x:v>
      </x:c>
      <x:c r="R10" s="27" t="n">
        <x:v>46634</x:v>
      </x:c>
      <x:c r="S10" s="27" t="n">
        <x:v>123000000</x:v>
      </x:c>
      <x:c r="T10" s="27" t="n">
        <x:v>18358208955.22</x:v>
      </x:c>
      <x:c r="U10" s="27" t="n">
        <x:v>123000000</x:v>
      </x:c>
      <x:c r="V10" s="27" t="str">
        <x:v>M</x:v>
      </x:c>
      <x:c r="W10" s="27" t="str">
        <x:v>N</x:v>
      </x:c>
      <x:c r="X10" s="27" t="n">
        <x:v>10</x:v>
      </x:c>
      <x:c r="Y10" s="27" t="str">
        <x:v>S</x:v>
      </x:c>
      <x:c r="Z10" s="27"/>
      <x:c r="AA10" s="27"/>
      <x:c r="AB10" s="27" t="n">
        <x:v>0</x:v>
      </x:c>
      <x:c r="AC10" s="27" t="n">
        <x:v>0</x:v>
      </x:c>
      <x:c r="AD10" s="27" t="n">
        <x:v>-1173420</x:v>
      </x:c>
      <x:c r="AE10" s="27" t="str">
        <x:v>Public-safe anonymized industry-style SA-CCR sample</x:v>
      </x:c>
      <x:c r="AF10" s="27" t="str">
        <x:v>ANON-000007</x:v>
      </x:c>
      <x:c r="AG10" s="27" t="str">
        <x:v>FX Forward</x:v>
      </x:c>
      <x:c r="AH10" s="27"/>
      <x:c r="AI10" s="27" t="str">
        <x:v>USD/JPY</x:v>
      </x:c>
      <x:c r="AJ10" s="27" t="n">
        <x:v>932</x:v>
      </x:c>
      <x:c r="AK10" s="27" t="n">
        <x:v>2.5534246575342467</x:v>
      </x:c>
      <x:c r="AL10" s="27" t="str">
        <x:v>1Y-5Y</x:v>
      </x:c>
      <x:c r="AM10" s="27"/>
      <x:c r="AN10" s="27" t="str">
        <x:v>Unknown</x:v>
      </x:c>
      <x:c r="AO10" s="27" t="str">
        <x:v>JPY/USD</x:v>
      </x:c>
      <x:c r="AP10" s="27" t="str">
        <x:v>M</x:v>
      </x:c>
      <x:c r="AQ10" s="27" t="n">
        <x:v>0.04</x:v>
      </x:c>
      <x:c r="AR10" s="27" t="n">
        <x:v>1</x:v>
      </x:c>
      <x:c r="AS10" s="27" t="n">
        <x:v>0.04</x:v>
      </x:c>
      <x:c r="AT10" s="27"/>
      <x:c r="AU10" s="27" t="n">
        <x:v>1</x:v>
      </x:c>
      <x:c r="AV10" s="27" t="n">
        <x:v>123000000</x:v>
      </x:c>
      <x:c r="AW10" s="27" t="n">
        <x:v>0.15</x:v>
      </x:c>
      <x:c r="AX10" s="27" t="n">
        <x:v>-1</x:v>
      </x:c>
      <x:c r="AY10" s="27" t="n">
        <x:v>0.30000000000000004</x:v>
      </x:c>
      <x:c r="AZ10" s="27" t="n">
        <x:v>-36900000.00000001</x:v>
      </x:c>
    </x:row>
    <x:row r="11">
      <x:c r="A11" s="27" t="n">
        <x:v>45702</x:v>
      </x:c>
      <x:c r="B11" s="27" t="str">
        <x:v>IND_CORPORATE_001</x:v>
      </x:c>
      <x:c r="C11" s="27" t="n">
        <x:v>3040</x:v>
      </x:c>
      <x:c r="D11" s="27" t="str">
        <x:v>IND-000008</x:v>
      </x:c>
      <x:c r="E11" s="27" t="str">
        <x:v>FX Forward</x:v>
      </x:c>
      <x:c r="F11" s="27" t="str">
        <x:v>FX</x:v>
      </x:c>
      <x:c r="G11" s="27"/>
      <x:c r="H11" s="27" t="str">
        <x:v>USD</x:v>
      </x:c>
      <x:c r="I11" s="27" t="str">
        <x:v>JPY</x:v>
      </x:c>
      <x:c r="J11" s="27" t="str">
        <x:v>USD</x:v>
      </x:c>
      <x:c r="K11" s="27"/>
      <x:c r="L11" s="27"/>
      <x:c r="M11" s="27" t="str">
        <x:v>USD/JPY</x:v>
      </x:c>
      <x:c r="N11" s="27"/>
      <x:c r="O11" s="27"/>
      <x:c r="P11" s="27" t="n">
        <x:v>47088</x:v>
      </x:c>
      <x:c r="Q11" s="27" t="n">
        <x:v>44805</x:v>
      </x:c>
      <x:c r="R11" s="27" t="n">
        <x:v>47088</x:v>
      </x:c>
      <x:c r="S11" s="27" t="n">
        <x:v>1000000</x:v>
      </x:c>
      <x:c r="T11" s="27" t="n">
        <x:v>149253731.34</x:v>
      </x:c>
      <x:c r="U11" s="27" t="n">
        <x:v>1000000</x:v>
      </x:c>
      <x:c r="V11" s="27" t="str">
        <x:v>M</x:v>
      </x:c>
      <x:c r="W11" s="27" t="str">
        <x:v>N</x:v>
      </x:c>
      <x:c r="X11" s="27" t="n">
        <x:v>10</x:v>
      </x:c>
      <x:c r="Y11" s="27" t="str">
        <x:v>B</x:v>
      </x:c>
      <x:c r="Z11" s="27"/>
      <x:c r="AA11" s="27"/>
      <x:c r="AB11" s="27" t="n">
        <x:v>0</x:v>
      </x:c>
      <x:c r="AC11" s="27" t="n">
        <x:v>0</x:v>
      </x:c>
      <x:c r="AD11" s="27" t="n">
        <x:v>3060</x:v>
      </x:c>
      <x:c r="AE11" s="27" t="str">
        <x:v>Public-safe anonymized industry-style SA-CCR sample</x:v>
      </x:c>
      <x:c r="AF11" s="27" t="str">
        <x:v>ANON-000008</x:v>
      </x:c>
      <x:c r="AG11" s="27" t="str">
        <x:v>FX Forward</x:v>
      </x:c>
      <x:c r="AH11" s="27"/>
      <x:c r="AI11" s="27" t="str">
        <x:v>USD/JPY</x:v>
      </x:c>
      <x:c r="AJ11" s="27" t="n">
        <x:v>1386</x:v>
      </x:c>
      <x:c r="AK11" s="27" t="n">
        <x:v>3.797260273972603</x:v>
      </x:c>
      <x:c r="AL11" s="27" t="str">
        <x:v>1Y-5Y</x:v>
      </x:c>
      <x:c r="AM11" s="27"/>
      <x:c r="AN11" s="27" t="str">
        <x:v>Unknown</x:v>
      </x:c>
      <x:c r="AO11" s="27" t="str">
        <x:v>JPY/USD</x:v>
      </x:c>
      <x:c r="AP11" s="27" t="str">
        <x:v>M</x:v>
      </x:c>
      <x:c r="AQ11" s="27" t="n">
        <x:v>0.04</x:v>
      </x:c>
      <x:c r="AR11" s="27" t="n">
        <x:v>1</x:v>
      </x:c>
      <x:c r="AS11" s="27" t="n">
        <x:v>0.04</x:v>
      </x:c>
      <x:c r="AT11" s="27"/>
      <x:c r="AU11" s="27" t="n">
        <x:v>1</x:v>
      </x:c>
      <x:c r="AV11" s="27" t="n">
        <x:v>1000000</x:v>
      </x:c>
      <x:c r="AW11" s="27" t="n">
        <x:v>0.15</x:v>
      </x:c>
      <x:c r="AX11" s="27" t="n">
        <x:v>1</x:v>
      </x:c>
      <x:c r="AY11" s="27" t="n">
        <x:v>0.30000000000000004</x:v>
      </x:c>
      <x:c r="AZ11" s="27" t="n">
        <x:v>300000.00000000006</x:v>
      </x:c>
    </x:row>
    <x:row r="12">
      <x:c r="A12" s="27" t="n">
        <x:v>45702</x:v>
      </x:c>
      <x:c r="B12" s="27" t="str">
        <x:v>IND_CORPORATE_002</x:v>
      </x:c>
      <x:c r="C12" s="27" t="n">
        <x:v>3346</x:v>
      </x:c>
      <x:c r="D12" s="27" t="str">
        <x:v>IND-000009</x:v>
      </x:c>
      <x:c r="E12" s="27" t="str">
        <x:v>FX Forward</x:v>
      </x:c>
      <x:c r="F12" s="27" t="str">
        <x:v>FX</x:v>
      </x:c>
      <x:c r="G12" s="27"/>
      <x:c r="H12" s="27" t="str">
        <x:v>USD</x:v>
      </x:c>
      <x:c r="I12" s="27" t="str">
        <x:v>CNY</x:v>
      </x:c>
      <x:c r="J12" s="27" t="str">
        <x:v>USD</x:v>
      </x:c>
      <x:c r="K12" s="27"/>
      <x:c r="L12" s="27"/>
      <x:c r="M12" s="27" t="str">
        <x:v>USD/CNY</x:v>
      </x:c>
      <x:c r="N12" s="27"/>
      <x:c r="O12" s="27"/>
      <x:c r="P12" s="27" t="n">
        <x:v>45936</x:v>
      </x:c>
      <x:c r="Q12" s="27" t="n">
        <x:v>44956</x:v>
      </x:c>
      <x:c r="R12" s="27" t="n">
        <x:v>45936</x:v>
      </x:c>
      <x:c r="S12" s="27" t="n">
        <x:v>69800000</x:v>
      </x:c>
      <x:c r="T12" s="27" t="n">
        <x:v>498571428.57</x:v>
      </x:c>
      <x:c r="U12" s="27" t="n">
        <x:v>69800000</x:v>
      </x:c>
      <x:c r="V12" s="27" t="str">
        <x:v>M</x:v>
      </x:c>
      <x:c r="W12" s="27" t="str">
        <x:v>N</x:v>
      </x:c>
      <x:c r="X12" s="27" t="n">
        <x:v>10</x:v>
      </x:c>
      <x:c r="Y12" s="27" t="str">
        <x:v>B</x:v>
      </x:c>
      <x:c r="Z12" s="27"/>
      <x:c r="AA12" s="27"/>
      <x:c r="AB12" s="27" t="n">
        <x:v>0</x:v>
      </x:c>
      <x:c r="AC12" s="27" t="n">
        <x:v>0</x:v>
      </x:c>
      <x:c r="AD12" s="27" t="n">
        <x:v>-690322</x:v>
      </x:c>
      <x:c r="AE12" s="27" t="str">
        <x:v>Public-safe anonymized industry-style SA-CCR sample</x:v>
      </x:c>
      <x:c r="AF12" s="27" t="str">
        <x:v>ANON-000009</x:v>
      </x:c>
      <x:c r="AG12" s="27" t="str">
        <x:v>FX Forward</x:v>
      </x:c>
      <x:c r="AH12" s="27"/>
      <x:c r="AI12" s="27" t="str">
        <x:v>USD/CNY</x:v>
      </x:c>
      <x:c r="AJ12" s="27" t="n">
        <x:v>234</x:v>
      </x:c>
      <x:c r="AK12" s="27" t="n">
        <x:v>0.6410958904109589</x:v>
      </x:c>
      <x:c r="AL12" s="27" t="str">
        <x:v>&lt;1Y</x:v>
      </x:c>
      <x:c r="AM12" s="27"/>
      <x:c r="AN12" s="27" t="str">
        <x:v>Unknown</x:v>
      </x:c>
      <x:c r="AO12" s="27" t="str">
        <x:v>CNY/USD</x:v>
      </x:c>
      <x:c r="AP12" s="27" t="str">
        <x:v>M</x:v>
      </x:c>
      <x:c r="AQ12" s="27" t="n">
        <x:v>0.04</x:v>
      </x:c>
      <x:c r="AR12" s="27" t="n">
        <x:v>1</x:v>
      </x:c>
      <x:c r="AS12" s="27" t="n">
        <x:v>0.04</x:v>
      </x:c>
      <x:c r="AT12" s="27"/>
      <x:c r="AU12" s="27" t="n">
        <x:v>1</x:v>
      </x:c>
      <x:c r="AV12" s="27" t="n">
        <x:v>69800000</x:v>
      </x:c>
      <x:c r="AW12" s="27" t="n">
        <x:v>0.15</x:v>
      </x:c>
      <x:c r="AX12" s="27" t="n">
        <x:v>1</x:v>
      </x:c>
      <x:c r="AY12" s="27" t="n">
        <x:v>0.30000000000000004</x:v>
      </x:c>
      <x:c r="AZ12" s="27" t="n">
        <x:v>20940000.000000004</x:v>
      </x:c>
    </x:row>
    <x:row r="13">
      <x:c r="A13" s="27" t="n">
        <x:v>45702</x:v>
      </x:c>
      <x:c r="B13" s="27" t="str">
        <x:v>IND_ASSET_MANAGER_001</x:v>
      </x:c>
      <x:c r="C13" s="27" t="n">
        <x:v>3127</x:v>
      </x:c>
      <x:c r="D13" s="27" t="str">
        <x:v>IND-000010</x:v>
      </x:c>
      <x:c r="E13" s="27" t="str">
        <x:v>FX Forward</x:v>
      </x:c>
      <x:c r="F13" s="27" t="str">
        <x:v>FX</x:v>
      </x:c>
      <x:c r="G13" s="27"/>
      <x:c r="H13" s="27" t="str">
        <x:v>GBP</x:v>
      </x:c>
      <x:c r="I13" s="27" t="str">
        <x:v>USD</x:v>
      </x:c>
      <x:c r="J13" s="27" t="str">
        <x:v>USD</x:v>
      </x:c>
      <x:c r="K13" s="27"/>
      <x:c r="L13" s="27"/>
      <x:c r="M13" s="27" t="str">
        <x:v>GBP/USD</x:v>
      </x:c>
      <x:c r="N13" s="27"/>
      <x:c r="O13" s="27"/>
      <x:c r="P13" s="27" t="n">
        <x:v>45762</x:v>
      </x:c>
      <x:c r="Q13" s="27" t="n">
        <x:v>45466</x:v>
      </x:c>
      <x:c r="R13" s="27" t="n">
        <x:v>45762</x:v>
      </x:c>
      <x:c r="S13" s="27" t="n">
        <x:v>124800000</x:v>
      </x:c>
      <x:c r="T13" s="27" t="n">
        <x:v>156000000</x:v>
      </x:c>
      <x:c r="U13" s="27" t="n">
        <x:v>156000000</x:v>
      </x:c>
      <x:c r="V13" s="27" t="str">
        <x:v>M</x:v>
      </x:c>
      <x:c r="W13" s="27" t="str">
        <x:v>N</x:v>
      </x:c>
      <x:c r="X13" s="27" t="n">
        <x:v>10</x:v>
      </x:c>
      <x:c r="Y13" s="27" t="str">
        <x:v>B</x:v>
      </x:c>
      <x:c r="Z13" s="27"/>
      <x:c r="AA13" s="27"/>
      <x:c r="AB13" s="27" t="n">
        <x:v>0</x:v>
      </x:c>
      <x:c r="AC13" s="27" t="n">
        <x:v>0</x:v>
      </x:c>
      <x:c r="AD13" s="27" t="n">
        <x:v>255840</x:v>
      </x:c>
      <x:c r="AE13" s="27" t="str">
        <x:v>Public-safe anonymized industry-style SA-CCR sample</x:v>
      </x:c>
      <x:c r="AF13" s="27" t="str">
        <x:v>ANON-000010</x:v>
      </x:c>
      <x:c r="AG13" s="27" t="str">
        <x:v>FX Forward</x:v>
      </x:c>
      <x:c r="AH13" s="27"/>
      <x:c r="AI13" s="27" t="str">
        <x:v>GBP/USD</x:v>
      </x:c>
      <x:c r="AJ13" s="27" t="n">
        <x:v>60</x:v>
      </x:c>
      <x:c r="AK13" s="27" t="n">
        <x:v>0.1643835616438356</x:v>
      </x:c>
      <x:c r="AL13" s="27" t="str">
        <x:v>&lt;1Y</x:v>
      </x:c>
      <x:c r="AM13" s="27"/>
      <x:c r="AN13" s="27" t="str">
        <x:v>Unknown</x:v>
      </x:c>
      <x:c r="AO13" s="27" t="str">
        <x:v>GBP/USD</x:v>
      </x:c>
      <x:c r="AP13" s="27" t="str">
        <x:v>M</x:v>
      </x:c>
      <x:c r="AQ13" s="27" t="n">
        <x:v>0.04</x:v>
      </x:c>
      <x:c r="AR13" s="27" t="n">
        <x:v>1</x:v>
      </x:c>
      <x:c r="AS13" s="27" t="n">
        <x:v>0.04</x:v>
      </x:c>
      <x:c r="AT13" s="27"/>
      <x:c r="AU13" s="27" t="n">
        <x:v>1</x:v>
      </x:c>
      <x:c r="AV13" s="27" t="n">
        <x:v>156000000</x:v>
      </x:c>
      <x:c r="AW13" s="27" t="n">
        <x:v>0.15</x:v>
      </x:c>
      <x:c r="AX13" s="27" t="n">
        <x:v>1</x:v>
      </x:c>
      <x:c r="AY13" s="27" t="n">
        <x:v>0.30000000000000004</x:v>
      </x:c>
      <x:c r="AZ13" s="27" t="n">
        <x:v>46800000.00000001</x:v>
      </x:c>
    </x:row>
    <x:row r="14">
      <x:c r="A14" s="27" t="n">
        <x:v>45702</x:v>
      </x:c>
      <x:c r="B14" s="27" t="str">
        <x:v>IND_HEDGE_FUND_001</x:v>
      </x:c>
      <x:c r="C14" s="27" t="n">
        <x:v>3205</x:v>
      </x:c>
      <x:c r="D14" s="27" t="str">
        <x:v>IND-000011</x:v>
      </x:c>
      <x:c r="E14" s="27" t="str">
        <x:v>FX Forward</x:v>
      </x:c>
      <x:c r="F14" s="27" t="str">
        <x:v>FX</x:v>
      </x:c>
      <x:c r="G14" s="27"/>
      <x:c r="H14" s="27" t="str">
        <x:v>AUD</x:v>
      </x:c>
      <x:c r="I14" s="27" t="str">
        <x:v>USD</x:v>
      </x:c>
      <x:c r="J14" s="27" t="str">
        <x:v>USD</x:v>
      </x:c>
      <x:c r="K14" s="27"/>
      <x:c r="L14" s="27"/>
      <x:c r="M14" s="27" t="str">
        <x:v>AUD/USD</x:v>
      </x:c>
      <x:c r="N14" s="27"/>
      <x:c r="O14" s="27"/>
      <x:c r="P14" s="27" t="n">
        <x:v>46120</x:v>
      </x:c>
      <x:c r="Q14" s="27" t="n">
        <x:v>45161</x:v>
      </x:c>
      <x:c r="R14" s="27" t="n">
        <x:v>46120</x:v>
      </x:c>
      <x:c r="S14" s="27" t="n">
        <x:v>38030303.03</x:v>
      </x:c>
      <x:c r="T14" s="27" t="n">
        <x:v>25100000</x:v>
      </x:c>
      <x:c r="U14" s="27" t="n">
        <x:v>25100000</x:v>
      </x:c>
      <x:c r="V14" s="27" t="str">
        <x:v>M</x:v>
      </x:c>
      <x:c r="W14" s="27" t="str">
        <x:v>N</x:v>
      </x:c>
      <x:c r="X14" s="27" t="n">
        <x:v>10</x:v>
      </x:c>
      <x:c r="Y14" s="27" t="str">
        <x:v>B</x:v>
      </x:c>
      <x:c r="Z14" s="27"/>
      <x:c r="AA14" s="27"/>
      <x:c r="AB14" s="27" t="n">
        <x:v>0</x:v>
      </x:c>
      <x:c r="AC14" s="27" t="n">
        <x:v>0</x:v>
      </x:c>
      <x:c r="AD14" s="27" t="n">
        <x:v>-188501</x:v>
      </x:c>
      <x:c r="AE14" s="27" t="str">
        <x:v>Public-safe anonymized industry-style SA-CCR sample</x:v>
      </x:c>
      <x:c r="AF14" s="27" t="str">
        <x:v>ANON-000011</x:v>
      </x:c>
      <x:c r="AG14" s="27" t="str">
        <x:v>FX Forward</x:v>
      </x:c>
      <x:c r="AH14" s="27"/>
      <x:c r="AI14" s="27" t="str">
        <x:v>AUD/USD</x:v>
      </x:c>
      <x:c r="AJ14" s="27" t="n">
        <x:v>418</x:v>
      </x:c>
      <x:c r="AK14" s="27" t="n">
        <x:v>1.1452054794520548</x:v>
      </x:c>
      <x:c r="AL14" s="27" t="str">
        <x:v>1Y-5Y</x:v>
      </x:c>
      <x:c r="AM14" s="27"/>
      <x:c r="AN14" s="27" t="str">
        <x:v>Unknown</x:v>
      </x:c>
      <x:c r="AO14" s="27" t="str">
        <x:v>AUD/USD</x:v>
      </x:c>
      <x:c r="AP14" s="27" t="str">
        <x:v>M</x:v>
      </x:c>
      <x:c r="AQ14" s="27" t="n">
        <x:v>0.04</x:v>
      </x:c>
      <x:c r="AR14" s="27" t="n">
        <x:v>1</x:v>
      </x:c>
      <x:c r="AS14" s="27" t="n">
        <x:v>0.04</x:v>
      </x:c>
      <x:c r="AT14" s="27"/>
      <x:c r="AU14" s="27" t="n">
        <x:v>1</x:v>
      </x:c>
      <x:c r="AV14" s="27" t="n">
        <x:v>25100000</x:v>
      </x:c>
      <x:c r="AW14" s="27" t="n">
        <x:v>0.15</x:v>
      </x:c>
      <x:c r="AX14" s="27" t="n">
        <x:v>1</x:v>
      </x:c>
      <x:c r="AY14" s="27" t="n">
        <x:v>0.30000000000000004</x:v>
      </x:c>
      <x:c r="AZ14" s="27" t="n">
        <x:v>7530000.000000001</x:v>
      </x:c>
    </x:row>
    <x:row r="15">
      <x:c r="A15" s="27" t="n">
        <x:v>45702</x:v>
      </x:c>
      <x:c r="B15" s="27" t="str">
        <x:v>IND_BROKER_001</x:v>
      </x:c>
      <x:c r="C15" s="27" t="n">
        <x:v>3384</x:v>
      </x:c>
      <x:c r="D15" s="27" t="str">
        <x:v>IND-000012</x:v>
      </x:c>
      <x:c r="E15" s="27" t="str">
        <x:v>FX Forward</x:v>
      </x:c>
      <x:c r="F15" s="27" t="str">
        <x:v>FX</x:v>
      </x:c>
      <x:c r="G15" s="27"/>
      <x:c r="H15" s="27" t="str">
        <x:v>USD</x:v>
      </x:c>
      <x:c r="I15" s="27" t="str">
        <x:v>CNY</x:v>
      </x:c>
      <x:c r="J15" s="27" t="str">
        <x:v>USD</x:v>
      </x:c>
      <x:c r="K15" s="27"/>
      <x:c r="L15" s="27"/>
      <x:c r="M15" s="27" t="str">
        <x:v>USD/CNY</x:v>
      </x:c>
      <x:c r="N15" s="27"/>
      <x:c r="O15" s="27"/>
      <x:c r="P15" s="27" t="n">
        <x:v>47536</x:v>
      </x:c>
      <x:c r="Q15" s="27" t="n">
        <x:v>45367</x:v>
      </x:c>
      <x:c r="R15" s="27" t="n">
        <x:v>47536</x:v>
      </x:c>
      <x:c r="S15" s="27" t="n">
        <x:v>9400000</x:v>
      </x:c>
      <x:c r="T15" s="27" t="n">
        <x:v>67142857.14</x:v>
      </x:c>
      <x:c r="U15" s="27" t="n">
        <x:v>9400000</x:v>
      </x:c>
      <x:c r="V15" s="27" t="str">
        <x:v>U</x:v>
      </x:c>
      <x:c r="W15" s="27" t="str">
        <x:v>N</x:v>
      </x:c>
      <x:c r="X15" s="27"/>
      <x:c r="Y15" s="27" t="str">
        <x:v>S</x:v>
      </x:c>
      <x:c r="Z15" s="27"/>
      <x:c r="AA15" s="27"/>
      <x:c r="AB15" s="27" t="n">
        <x:v>0</x:v>
      </x:c>
      <x:c r="AC15" s="27" t="n">
        <x:v>0</x:v>
      </x:c>
      <x:c r="AD15" s="27" t="n">
        <x:v>-71440</x:v>
      </x:c>
      <x:c r="AE15" s="27" t="str">
        <x:v>Public-safe anonymized industry-style SA-CCR sample</x:v>
      </x:c>
      <x:c r="AF15" s="27" t="str">
        <x:v>ANON-000012</x:v>
      </x:c>
      <x:c r="AG15" s="27" t="str">
        <x:v>FX Forward</x:v>
      </x:c>
      <x:c r="AH15" s="27"/>
      <x:c r="AI15" s="27" t="str">
        <x:v>USD/CNY</x:v>
      </x:c>
      <x:c r="AJ15" s="27" t="n">
        <x:v>1834</x:v>
      </x:c>
      <x:c r="AK15" s="27" t="n">
        <x:v>5.024657534246575</x:v>
      </x:c>
      <x:c r="AL15" s="27" t="str">
        <x:v>&gt;5Y</x:v>
      </x:c>
      <x:c r="AM15" s="27"/>
      <x:c r="AN15" s="27" t="str">
        <x:v>Unknown</x:v>
      </x:c>
      <x:c r="AO15" s="27" t="str">
        <x:v>CNY/USD</x:v>
      </x:c>
      <x:c r="AP15" s="27" t="str">
        <x:v>U</x:v>
      </x:c>
      <x:c r="AQ15" s="27" t="n">
        <x:v>0.04</x:v>
      </x:c>
      <x:c r="AR15" s="27" t="n">
        <x:v>1</x:v>
      </x:c>
      <x:c r="AS15" s="27" t="n">
        <x:v>0.04</x:v>
      </x:c>
      <x:c r="AT15" s="27"/>
      <x:c r="AU15" s="27" t="n">
        <x:v>1</x:v>
      </x:c>
      <x:c r="AV15" s="27" t="n">
        <x:v>9400000</x:v>
      </x:c>
      <x:c r="AW15" s="27" t="n">
        <x:v>0.15</x:v>
      </x:c>
      <x:c r="AX15" s="27" t="n">
        <x:v>-1</x:v>
      </x:c>
      <x:c r="AY15" s="27" t="n">
        <x:v>1</x:v>
      </x:c>
      <x:c r="AZ15" s="27" t="n">
        <x:v>-9400000</x:v>
      </x:c>
    </x:row>
    <x:row r="16">
      <x:c r="A16" s="27" t="n">
        <x:v>45702</x:v>
      </x:c>
      <x:c r="B16" s="27" t="str">
        <x:v>IND_REGIONAL_BANK_001</x:v>
      </x:c>
      <x:c r="C16" s="27" t="n">
        <x:v>3210</x:v>
      </x:c>
      <x:c r="D16" s="27" t="str">
        <x:v>IND-000013</x:v>
      </x:c>
      <x:c r="E16" s="27" t="str">
        <x:v>FX Forward</x:v>
      </x:c>
      <x:c r="F16" s="27" t="str">
        <x:v>FX</x:v>
      </x:c>
      <x:c r="G16" s="27"/>
      <x:c r="H16" s="27" t="str">
        <x:v>EUR</x:v>
      </x:c>
      <x:c r="I16" s="27" t="str">
        <x:v>USD</x:v>
      </x:c>
      <x:c r="J16" s="27" t="str">
        <x:v>USD</x:v>
      </x:c>
      <x:c r="K16" s="27"/>
      <x:c r="L16" s="27"/>
      <x:c r="M16" s="27" t="str">
        <x:v>EUR/USD</x:v>
      </x:c>
      <x:c r="N16" s="27"/>
      <x:c r="O16" s="27"/>
      <x:c r="P16" s="27" t="n">
        <x:v>46708</x:v>
      </x:c>
      <x:c r="Q16" s="27" t="n">
        <x:v>44878</x:v>
      </x:c>
      <x:c r="R16" s="27" t="n">
        <x:v>46708</x:v>
      </x:c>
      <x:c r="S16" s="27" t="n">
        <x:v>10761904.76</x:v>
      </x:c>
      <x:c r="T16" s="27" t="n">
        <x:v>11300000</x:v>
      </x:c>
      <x:c r="U16" s="27" t="n">
        <x:v>11300000</x:v>
      </x:c>
      <x:c r="V16" s="27" t="str">
        <x:v>M</x:v>
      </x:c>
      <x:c r="W16" s="27" t="str">
        <x:v>N</x:v>
      </x:c>
      <x:c r="X16" s="27" t="n">
        <x:v>10</x:v>
      </x:c>
      <x:c r="Y16" s="27" t="str">
        <x:v>S</x:v>
      </x:c>
      <x:c r="Z16" s="27"/>
      <x:c r="AA16" s="27"/>
      <x:c r="AB16" s="27" t="n">
        <x:v>0</x:v>
      </x:c>
      <x:c r="AC16" s="27" t="n">
        <x:v>0</x:v>
      </x:c>
      <x:c r="AD16" s="27" t="n">
        <x:v>-16611</x:v>
      </x:c>
      <x:c r="AE16" s="27" t="str">
        <x:v>Public-safe anonymized industry-style SA-CCR sample</x:v>
      </x:c>
      <x:c r="AF16" s="27" t="str">
        <x:v>ANON-000013</x:v>
      </x:c>
      <x:c r="AG16" s="27" t="str">
        <x:v>FX Forward</x:v>
      </x:c>
      <x:c r="AH16" s="27"/>
      <x:c r="AI16" s="27" t="str">
        <x:v>EUR/USD</x:v>
      </x:c>
      <x:c r="AJ16" s="27" t="n">
        <x:v>1006</x:v>
      </x:c>
      <x:c r="AK16" s="27" t="n">
        <x:v>2.756164383561644</x:v>
      </x:c>
      <x:c r="AL16" s="27" t="str">
        <x:v>1Y-5Y</x:v>
      </x:c>
      <x:c r="AM16" s="27"/>
      <x:c r="AN16" s="27" t="str">
        <x:v>Unknown</x:v>
      </x:c>
      <x:c r="AO16" s="27" t="str">
        <x:v>EUR/USD</x:v>
      </x:c>
      <x:c r="AP16" s="27" t="str">
        <x:v>M</x:v>
      </x:c>
      <x:c r="AQ16" s="27" t="n">
        <x:v>0.04</x:v>
      </x:c>
      <x:c r="AR16" s="27" t="n">
        <x:v>1</x:v>
      </x:c>
      <x:c r="AS16" s="27" t="n">
        <x:v>0.04</x:v>
      </x:c>
      <x:c r="AT16" s="27"/>
      <x:c r="AU16" s="27" t="n">
        <x:v>1</x:v>
      </x:c>
      <x:c r="AV16" s="27" t="n">
        <x:v>11300000</x:v>
      </x:c>
      <x:c r="AW16" s="27" t="n">
        <x:v>0.15</x:v>
      </x:c>
      <x:c r="AX16" s="27" t="n">
        <x:v>-1</x:v>
      </x:c>
      <x:c r="AY16" s="27" t="n">
        <x:v>0.30000000000000004</x:v>
      </x:c>
      <x:c r="AZ16" s="27" t="n">
        <x:v>-3390000.0000000005</x:v>
      </x:c>
    </x:row>
    <x:row r="17">
      <x:c r="A17" s="27" t="n">
        <x:v>45702</x:v>
      </x:c>
      <x:c r="B17" s="27" t="str">
        <x:v>IND_CORPORATE_001</x:v>
      </x:c>
      <x:c r="C17" s="27" t="n">
        <x:v>3092</x:v>
      </x:c>
      <x:c r="D17" s="27" t="str">
        <x:v>IND-000014</x:v>
      </x:c>
      <x:c r="E17" s="27" t="str">
        <x:v>FX Forward</x:v>
      </x:c>
      <x:c r="F17" s="27" t="str">
        <x:v>FX</x:v>
      </x:c>
      <x:c r="G17" s="27"/>
      <x:c r="H17" s="27" t="str">
        <x:v>GBP</x:v>
      </x:c>
      <x:c r="I17" s="27" t="str">
        <x:v>USD</x:v>
      </x:c>
      <x:c r="J17" s="27" t="str">
        <x:v>USD</x:v>
      </x:c>
      <x:c r="K17" s="27"/>
      <x:c r="L17" s="27"/>
      <x:c r="M17" s="27" t="str">
        <x:v>GBP/USD</x:v>
      </x:c>
      <x:c r="N17" s="27"/>
      <x:c r="O17" s="27"/>
      <x:c r="P17" s="27" t="n">
        <x:v>47347</x:v>
      </x:c>
      <x:c r="Q17" s="27" t="n">
        <x:v>45138</x:v>
      </x:c>
      <x:c r="R17" s="27" t="n">
        <x:v>47347</x:v>
      </x:c>
      <x:c r="S17" s="27" t="n">
        <x:v>46240000</x:v>
      </x:c>
      <x:c r="T17" s="27" t="n">
        <x:v>57800000</x:v>
      </x:c>
      <x:c r="U17" s="27" t="n">
        <x:v>57800000</x:v>
      </x:c>
      <x:c r="V17" s="27" t="str">
        <x:v>U</x:v>
      </x:c>
      <x:c r="W17" s="27" t="str">
        <x:v>N</x:v>
      </x:c>
      <x:c r="X17" s="27"/>
      <x:c r="Y17" s="27" t="str">
        <x:v>B</x:v>
      </x:c>
      <x:c r="Z17" s="27"/>
      <x:c r="AA17" s="27"/>
      <x:c r="AB17" s="27" t="n">
        <x:v>0</x:v>
      </x:c>
      <x:c r="AC17" s="27" t="n">
        <x:v>0</x:v>
      </x:c>
      <x:c r="AD17" s="27" t="n">
        <x:v>240448</x:v>
      </x:c>
      <x:c r="AE17" s="27" t="str">
        <x:v>Public-safe anonymized industry-style SA-CCR sample</x:v>
      </x:c>
      <x:c r="AF17" s="27" t="str">
        <x:v>ANON-000014</x:v>
      </x:c>
      <x:c r="AG17" s="27" t="str">
        <x:v>FX Forward</x:v>
      </x:c>
      <x:c r="AH17" s="27"/>
      <x:c r="AI17" s="27" t="str">
        <x:v>GBP/USD</x:v>
      </x:c>
      <x:c r="AJ17" s="27" t="n">
        <x:v>1645</x:v>
      </x:c>
      <x:c r="AK17" s="27" t="n">
        <x:v>4.506849315068493</x:v>
      </x:c>
      <x:c r="AL17" s="27" t="str">
        <x:v>1Y-5Y</x:v>
      </x:c>
      <x:c r="AM17" s="27"/>
      <x:c r="AN17" s="27" t="str">
        <x:v>Unknown</x:v>
      </x:c>
      <x:c r="AO17" s="27" t="str">
        <x:v>GBP/USD</x:v>
      </x:c>
      <x:c r="AP17" s="27" t="str">
        <x:v>U</x:v>
      </x:c>
      <x:c r="AQ17" s="27" t="n">
        <x:v>0.04</x:v>
      </x:c>
      <x:c r="AR17" s="27" t="n">
        <x:v>1</x:v>
      </x:c>
      <x:c r="AS17" s="27" t="n">
        <x:v>0.04</x:v>
      </x:c>
      <x:c r="AT17" s="27"/>
      <x:c r="AU17" s="27" t="n">
        <x:v>1</x:v>
      </x:c>
      <x:c r="AV17" s="27" t="n">
        <x:v>57800000</x:v>
      </x:c>
      <x:c r="AW17" s="27" t="n">
        <x:v>0.15</x:v>
      </x:c>
      <x:c r="AX17" s="27" t="n">
        <x:v>1</x:v>
      </x:c>
      <x:c r="AY17" s="27" t="n">
        <x:v>1</x:v>
      </x:c>
      <x:c r="AZ17" s="27" t="n">
        <x:v>57800000</x:v>
      </x:c>
    </x:row>
    <x:row r="18">
      <x:c r="A18" s="27" t="n">
        <x:v>45702</x:v>
      </x:c>
      <x:c r="B18" s="27" t="str">
        <x:v>IND_SOVEREIGN_001</x:v>
      </x:c>
      <x:c r="C18" s="27" t="n">
        <x:v>3390</x:v>
      </x:c>
      <x:c r="D18" s="27" t="str">
        <x:v>IND-000015</x:v>
      </x:c>
      <x:c r="E18" s="27" t="str">
        <x:v>FX Forward</x:v>
      </x:c>
      <x:c r="F18" s="27" t="str">
        <x:v>FX</x:v>
      </x:c>
      <x:c r="G18" s="27"/>
      <x:c r="H18" s="27" t="str">
        <x:v>USD</x:v>
      </x:c>
      <x:c r="I18" s="27" t="str">
        <x:v>JPY</x:v>
      </x:c>
      <x:c r="J18" s="27" t="str">
        <x:v>USD</x:v>
      </x:c>
      <x:c r="K18" s="27"/>
      <x:c r="L18" s="27"/>
      <x:c r="M18" s="27" t="str">
        <x:v>USD/JPY</x:v>
      </x:c>
      <x:c r="N18" s="27"/>
      <x:c r="O18" s="27"/>
      <x:c r="P18" s="27" t="n">
        <x:v>45845</x:v>
      </x:c>
      <x:c r="Q18" s="27" t="n">
        <x:v>45221</x:v>
      </x:c>
      <x:c r="R18" s="27" t="n">
        <x:v>45845</x:v>
      </x:c>
      <x:c r="S18" s="27" t="n">
        <x:v>83400000</x:v>
      </x:c>
      <x:c r="T18" s="27" t="n">
        <x:v>12447761194.03</x:v>
      </x:c>
      <x:c r="U18" s="27" t="n">
        <x:v>83400000</x:v>
      </x:c>
      <x:c r="V18" s="27" t="str">
        <x:v>M</x:v>
      </x:c>
      <x:c r="W18" s="27" t="str">
        <x:v>N</x:v>
      </x:c>
      <x:c r="X18" s="27" t="n">
        <x:v>10</x:v>
      </x:c>
      <x:c r="Y18" s="27" t="str">
        <x:v>B</x:v>
      </x:c>
      <x:c r="Z18" s="27"/>
      <x:c r="AA18" s="27"/>
      <x:c r="AB18" s="27" t="n">
        <x:v>0</x:v>
      </x:c>
      <x:c r="AC18" s="27" t="n">
        <x:v>0</x:v>
      </x:c>
      <x:c r="AD18" s="27" t="n">
        <x:v>-105084</x:v>
      </x:c>
      <x:c r="AE18" s="27" t="str">
        <x:v>Public-safe anonymized industry-style SA-CCR sample</x:v>
      </x:c>
      <x:c r="AF18" s="27" t="str">
        <x:v>ANON-000015</x:v>
      </x:c>
      <x:c r="AG18" s="27" t="str">
        <x:v>FX Forward</x:v>
      </x:c>
      <x:c r="AH18" s="27"/>
      <x:c r="AI18" s="27" t="str">
        <x:v>USD/JPY</x:v>
      </x:c>
      <x:c r="AJ18" s="27" t="n">
        <x:v>143</x:v>
      </x:c>
      <x:c r="AK18" s="27" t="n">
        <x:v>0.3917808219178082</x:v>
      </x:c>
      <x:c r="AL18" s="27" t="str">
        <x:v>&lt;1Y</x:v>
      </x:c>
      <x:c r="AM18" s="27"/>
      <x:c r="AN18" s="27" t="str">
        <x:v>Unknown</x:v>
      </x:c>
      <x:c r="AO18" s="27" t="str">
        <x:v>JPY/USD</x:v>
      </x:c>
      <x:c r="AP18" s="27" t="str">
        <x:v>M</x:v>
      </x:c>
      <x:c r="AQ18" s="27" t="n">
        <x:v>0.04</x:v>
      </x:c>
      <x:c r="AR18" s="27" t="n">
        <x:v>1</x:v>
      </x:c>
      <x:c r="AS18" s="27" t="n">
        <x:v>0.04</x:v>
      </x:c>
      <x:c r="AT18" s="27"/>
      <x:c r="AU18" s="27" t="n">
        <x:v>1</x:v>
      </x:c>
      <x:c r="AV18" s="27" t="n">
        <x:v>83400000</x:v>
      </x:c>
      <x:c r="AW18" s="27" t="n">
        <x:v>0.15</x:v>
      </x:c>
      <x:c r="AX18" s="27" t="n">
        <x:v>1</x:v>
      </x:c>
      <x:c r="AY18" s="27" t="n">
        <x:v>0.30000000000000004</x:v>
      </x:c>
      <x:c r="AZ18" s="27" t="n">
        <x:v>25020000.000000004</x:v>
      </x:c>
    </x:row>
    <x:row r="19">
      <x:c r="A19" s="27" t="n">
        <x:v>45702</x:v>
      </x:c>
      <x:c r="B19" s="27" t="str">
        <x:v>IND_HEDGE_FUND_001</x:v>
      </x:c>
      <x:c r="C19" s="27" t="n">
        <x:v>3205</x:v>
      </x:c>
      <x:c r="D19" s="27" t="str">
        <x:v>IND-000016</x:v>
      </x:c>
      <x:c r="E19" s="27" t="str">
        <x:v>FX Forward</x:v>
      </x:c>
      <x:c r="F19" s="27" t="str">
        <x:v>FX</x:v>
      </x:c>
      <x:c r="G19" s="27"/>
      <x:c r="H19" s="27" t="str">
        <x:v>USD</x:v>
      </x:c>
      <x:c r="I19" s="27" t="str">
        <x:v>JPY</x:v>
      </x:c>
      <x:c r="J19" s="27" t="str">
        <x:v>USD</x:v>
      </x:c>
      <x:c r="K19" s="27"/>
      <x:c r="L19" s="27"/>
      <x:c r="M19" s="27" t="str">
        <x:v>USD/JPY</x:v>
      </x:c>
      <x:c r="N19" s="27"/>
      <x:c r="O19" s="27"/>
      <x:c r="P19" s="27" t="n">
        <x:v>45785</x:v>
      </x:c>
      <x:c r="Q19" s="27" t="n">
        <x:v>44872</x:v>
      </x:c>
      <x:c r="R19" s="27" t="n">
        <x:v>45785</x:v>
      </x:c>
      <x:c r="S19" s="27" t="n">
        <x:v>1600000</x:v>
      </x:c>
      <x:c r="T19" s="27" t="n">
        <x:v>238805970.15</x:v>
      </x:c>
      <x:c r="U19" s="27" t="n">
        <x:v>1600000</x:v>
      </x:c>
      <x:c r="V19" s="27" t="str">
        <x:v>M</x:v>
      </x:c>
      <x:c r="W19" s="27" t="str">
        <x:v>N</x:v>
      </x:c>
      <x:c r="X19" s="27" t="n">
        <x:v>10</x:v>
      </x:c>
      <x:c r="Y19" s="27" t="str">
        <x:v>B</x:v>
      </x:c>
      <x:c r="Z19" s="27"/>
      <x:c r="AA19" s="27"/>
      <x:c r="AB19" s="27" t="n">
        <x:v>0</x:v>
      </x:c>
      <x:c r="AC19" s="27" t="n">
        <x:v>0</x:v>
      </x:c>
      <x:c r="AD19" s="27" t="n">
        <x:v>-15056</x:v>
      </x:c>
      <x:c r="AE19" s="27" t="str">
        <x:v>Public-safe anonymized industry-style SA-CCR sample</x:v>
      </x:c>
      <x:c r="AF19" s="27" t="str">
        <x:v>ANON-000016</x:v>
      </x:c>
      <x:c r="AG19" s="27" t="str">
        <x:v>FX Forward</x:v>
      </x:c>
      <x:c r="AH19" s="27"/>
      <x:c r="AI19" s="27" t="str">
        <x:v>USD/JPY</x:v>
      </x:c>
      <x:c r="AJ19" s="27" t="n">
        <x:v>83</x:v>
      </x:c>
      <x:c r="AK19" s="27" t="n">
        <x:v>0.2273972602739726</x:v>
      </x:c>
      <x:c r="AL19" s="27" t="str">
        <x:v>&lt;1Y</x:v>
      </x:c>
      <x:c r="AM19" s="27"/>
      <x:c r="AN19" s="27" t="str">
        <x:v>Unknown</x:v>
      </x:c>
      <x:c r="AO19" s="27" t="str">
        <x:v>JPY/USD</x:v>
      </x:c>
      <x:c r="AP19" s="27" t="str">
        <x:v>M</x:v>
      </x:c>
      <x:c r="AQ19" s="27" t="n">
        <x:v>0.04</x:v>
      </x:c>
      <x:c r="AR19" s="27" t="n">
        <x:v>1</x:v>
      </x:c>
      <x:c r="AS19" s="27" t="n">
        <x:v>0.04</x:v>
      </x:c>
      <x:c r="AT19" s="27"/>
      <x:c r="AU19" s="27" t="n">
        <x:v>1</x:v>
      </x:c>
      <x:c r="AV19" s="27" t="n">
        <x:v>1600000</x:v>
      </x:c>
      <x:c r="AW19" s="27" t="n">
        <x:v>0.15</x:v>
      </x:c>
      <x:c r="AX19" s="27" t="n">
        <x:v>1</x:v>
      </x:c>
      <x:c r="AY19" s="27" t="n">
        <x:v>0.30000000000000004</x:v>
      </x:c>
      <x:c r="AZ19" s="27" t="n">
        <x:v>480000.00000000006</x:v>
      </x:c>
    </x:row>
    <x:row r="20">
      <x:c r="A20" s="27" t="n">
        <x:v>45702</x:v>
      </x:c>
      <x:c r="B20" s="27" t="str">
        <x:v>IND_REGIONAL_BANK_001</x:v>
      </x:c>
      <x:c r="C20" s="27" t="n">
        <x:v>3245</x:v>
      </x:c>
      <x:c r="D20" s="27" t="str">
        <x:v>IND-000017</x:v>
      </x:c>
      <x:c r="E20" s="27" t="str">
        <x:v>FX Forward</x:v>
      </x:c>
      <x:c r="F20" s="27" t="str">
        <x:v>FX</x:v>
      </x:c>
      <x:c r="G20" s="27"/>
      <x:c r="H20" s="27" t="str">
        <x:v>GBP</x:v>
      </x:c>
      <x:c r="I20" s="27" t="str">
        <x:v>USD</x:v>
      </x:c>
      <x:c r="J20" s="27" t="str">
        <x:v>USD</x:v>
      </x:c>
      <x:c r="K20" s="27"/>
      <x:c r="L20" s="27"/>
      <x:c r="M20" s="27" t="str">
        <x:v>GBP/USD</x:v>
      </x:c>
      <x:c r="N20" s="27"/>
      <x:c r="O20" s="27"/>
      <x:c r="P20" s="27" t="n">
        <x:v>46321</x:v>
      </x:c>
      <x:c r="Q20" s="27" t="n">
        <x:v>44803</x:v>
      </x:c>
      <x:c r="R20" s="27" t="n">
        <x:v>46321</x:v>
      </x:c>
      <x:c r="S20" s="27" t="n">
        <x:v>45600000</x:v>
      </x:c>
      <x:c r="T20" s="27" t="n">
        <x:v>57000000</x:v>
      </x:c>
      <x:c r="U20" s="27" t="n">
        <x:v>57000000</x:v>
      </x:c>
      <x:c r="V20" s="27" t="str">
        <x:v>U</x:v>
      </x:c>
      <x:c r="W20" s="27" t="str">
        <x:v>N</x:v>
      </x:c>
      <x:c r="X20" s="27"/>
      <x:c r="Y20" s="27" t="str">
        <x:v>S</x:v>
      </x:c>
      <x:c r="Z20" s="27"/>
      <x:c r="AA20" s="27"/>
      <x:c r="AB20" s="27" t="n">
        <x:v>0</x:v>
      </x:c>
      <x:c r="AC20" s="27" t="n">
        <x:v>0</x:v>
      </x:c>
      <x:c r="AD20" s="27" t="n">
        <x:v>489060</x:v>
      </x:c>
      <x:c r="AE20" s="27" t="str">
        <x:v>Public-safe anonymized industry-style SA-CCR sample</x:v>
      </x:c>
      <x:c r="AF20" s="27" t="str">
        <x:v>ANON-000017</x:v>
      </x:c>
      <x:c r="AG20" s="27" t="str">
        <x:v>FX Forward</x:v>
      </x:c>
      <x:c r="AH20" s="27"/>
      <x:c r="AI20" s="27" t="str">
        <x:v>GBP/USD</x:v>
      </x:c>
      <x:c r="AJ20" s="27" t="n">
        <x:v>619</x:v>
      </x:c>
      <x:c r="AK20" s="27" t="n">
        <x:v>1.6958904109589041</x:v>
      </x:c>
      <x:c r="AL20" s="27" t="str">
        <x:v>1Y-5Y</x:v>
      </x:c>
      <x:c r="AM20" s="27"/>
      <x:c r="AN20" s="27" t="str">
        <x:v>Unknown</x:v>
      </x:c>
      <x:c r="AO20" s="27" t="str">
        <x:v>GBP/USD</x:v>
      </x:c>
      <x:c r="AP20" s="27" t="str">
        <x:v>U</x:v>
      </x:c>
      <x:c r="AQ20" s="27" t="n">
        <x:v>0.04</x:v>
      </x:c>
      <x:c r="AR20" s="27" t="n">
        <x:v>1</x:v>
      </x:c>
      <x:c r="AS20" s="27" t="n">
        <x:v>0.04</x:v>
      </x:c>
      <x:c r="AT20" s="27"/>
      <x:c r="AU20" s="27" t="n">
        <x:v>1</x:v>
      </x:c>
      <x:c r="AV20" s="27" t="n">
        <x:v>57000000</x:v>
      </x:c>
      <x:c r="AW20" s="27" t="n">
        <x:v>0.15</x:v>
      </x:c>
      <x:c r="AX20" s="27" t="n">
        <x:v>-1</x:v>
      </x:c>
      <x:c r="AY20" s="27" t="n">
        <x:v>1</x:v>
      </x:c>
      <x:c r="AZ20" s="27" t="n">
        <x:v>-57000000</x:v>
      </x:c>
    </x:row>
    <x:row r="21">
      <x:c r="A21" s="27" t="n">
        <x:v>45702</x:v>
      </x:c>
      <x:c r="B21" s="27" t="str">
        <x:v>IND_INSURER_001</x:v>
      </x:c>
      <x:c r="C21" s="27" t="n">
        <x:v>3122</x:v>
      </x:c>
      <x:c r="D21" s="27" t="str">
        <x:v>IND-000018</x:v>
      </x:c>
      <x:c r="E21" s="27" t="str">
        <x:v>FX Forward</x:v>
      </x:c>
      <x:c r="F21" s="27" t="str">
        <x:v>FX</x:v>
      </x:c>
      <x:c r="G21" s="27"/>
      <x:c r="H21" s="27" t="str">
        <x:v>AUD</x:v>
      </x:c>
      <x:c r="I21" s="27" t="str">
        <x:v>USD</x:v>
      </x:c>
      <x:c r="J21" s="27" t="str">
        <x:v>USD</x:v>
      </x:c>
      <x:c r="K21" s="27"/>
      <x:c r="L21" s="27"/>
      <x:c r="M21" s="27" t="str">
        <x:v>AUD/USD</x:v>
      </x:c>
      <x:c r="N21" s="27"/>
      <x:c r="O21" s="27"/>
      <x:c r="P21" s="27" t="n">
        <x:v>47223</x:v>
      </x:c>
      <x:c r="Q21" s="27" t="n">
        <x:v>45060</x:v>
      </x:c>
      <x:c r="R21" s="27" t="n">
        <x:v>47223</x:v>
      </x:c>
      <x:c r="S21" s="27" t="n">
        <x:v>228787878.79</x:v>
      </x:c>
      <x:c r="T21" s="27" t="n">
        <x:v>151000000</x:v>
      </x:c>
      <x:c r="U21" s="27" t="n">
        <x:v>151000000</x:v>
      </x:c>
      <x:c r="V21" s="27" t="str">
        <x:v>M</x:v>
      </x:c>
      <x:c r="W21" s="27" t="str">
        <x:v>N</x:v>
      </x:c>
      <x:c r="X21" s="27" t="n">
        <x:v>10</x:v>
      </x:c>
      <x:c r="Y21" s="27" t="str">
        <x:v>B</x:v>
      </x:c>
      <x:c r="Z21" s="27"/>
      <x:c r="AA21" s="27"/>
      <x:c r="AB21" s="27" t="n">
        <x:v>0</x:v>
      </x:c>
      <x:c r="AC21" s="27" t="n">
        <x:v>0</x:v>
      </x:c>
      <x:c r="AD21" s="27" t="n">
        <x:v>1204980</x:v>
      </x:c>
      <x:c r="AE21" s="27" t="str">
        <x:v>Public-safe anonymized industry-style SA-CCR sample</x:v>
      </x:c>
      <x:c r="AF21" s="27" t="str">
        <x:v>ANON-000018</x:v>
      </x:c>
      <x:c r="AG21" s="27" t="str">
        <x:v>FX Forward</x:v>
      </x:c>
      <x:c r="AH21" s="27"/>
      <x:c r="AI21" s="27" t="str">
        <x:v>AUD/USD</x:v>
      </x:c>
      <x:c r="AJ21" s="27" t="n">
        <x:v>1521</x:v>
      </x:c>
      <x:c r="AK21" s="27" t="n">
        <x:v>4.167123287671233</x:v>
      </x:c>
      <x:c r="AL21" s="27" t="str">
        <x:v>1Y-5Y</x:v>
      </x:c>
      <x:c r="AM21" s="27"/>
      <x:c r="AN21" s="27" t="str">
        <x:v>Unknown</x:v>
      </x:c>
      <x:c r="AO21" s="27" t="str">
        <x:v>AUD/USD</x:v>
      </x:c>
      <x:c r="AP21" s="27" t="str">
        <x:v>M</x:v>
      </x:c>
      <x:c r="AQ21" s="27" t="n">
        <x:v>0.04</x:v>
      </x:c>
      <x:c r="AR21" s="27" t="n">
        <x:v>1</x:v>
      </x:c>
      <x:c r="AS21" s="27" t="n">
        <x:v>0.04</x:v>
      </x:c>
      <x:c r="AT21" s="27"/>
      <x:c r="AU21" s="27" t="n">
        <x:v>1</x:v>
      </x:c>
      <x:c r="AV21" s="27" t="n">
        <x:v>151000000</x:v>
      </x:c>
      <x:c r="AW21" s="27" t="n">
        <x:v>0.15</x:v>
      </x:c>
      <x:c r="AX21" s="27" t="n">
        <x:v>1</x:v>
      </x:c>
      <x:c r="AY21" s="27" t="n">
        <x:v>0.30000000000000004</x:v>
      </x:c>
      <x:c r="AZ21" s="27" t="n">
        <x:v>45300000.00000001</x:v>
      </x:c>
    </x:row>
    <x:row r="22">
      <x:c r="A22" s="27" t="n">
        <x:v>45702</x:v>
      </x:c>
      <x:c r="B22" s="27" t="str">
        <x:v>IND_CORPORATE_002</x:v>
      </x:c>
      <x:c r="C22" s="27" t="n">
        <x:v>3187</x:v>
      </x:c>
      <x:c r="D22" s="27" t="str">
        <x:v>IND-000019</x:v>
      </x:c>
      <x:c r="E22" s="27" t="str">
        <x:v>FX Forward</x:v>
      </x:c>
      <x:c r="F22" s="27" t="str">
        <x:v>FX</x:v>
      </x:c>
      <x:c r="G22" s="27"/>
      <x:c r="H22" s="27" t="str">
        <x:v>EUR</x:v>
      </x:c>
      <x:c r="I22" s="27" t="str">
        <x:v>USD</x:v>
      </x:c>
      <x:c r="J22" s="27" t="str">
        <x:v>USD</x:v>
      </x:c>
      <x:c r="K22" s="27"/>
      <x:c r="L22" s="27"/>
      <x:c r="M22" s="27" t="str">
        <x:v>EUR/USD</x:v>
      </x:c>
      <x:c r="N22" s="27"/>
      <x:c r="O22" s="27"/>
      <x:c r="P22" s="27" t="n">
        <x:v>46346</x:v>
      </x:c>
      <x:c r="Q22" s="27" t="n">
        <x:v>45570</x:v>
      </x:c>
      <x:c r="R22" s="27" t="n">
        <x:v>46346</x:v>
      </x:c>
      <x:c r="S22" s="27" t="n">
        <x:v>6285714.29</x:v>
      </x:c>
      <x:c r="T22" s="27" t="n">
        <x:v>6600000</x:v>
      </x:c>
      <x:c r="U22" s="27" t="n">
        <x:v>6600000</x:v>
      </x:c>
      <x:c r="V22" s="27" t="str">
        <x:v>U</x:v>
      </x:c>
      <x:c r="W22" s="27" t="str">
        <x:v>N</x:v>
      </x:c>
      <x:c r="X22" s="27"/>
      <x:c r="Y22" s="27" t="str">
        <x:v>S</x:v>
      </x:c>
      <x:c r="Z22" s="27"/>
      <x:c r="AA22" s="27"/>
      <x:c r="AB22" s="27" t="n">
        <x:v>0</x:v>
      </x:c>
      <x:c r="AC22" s="27" t="n">
        <x:v>0</x:v>
      </x:c>
      <x:c r="AD22" s="27" t="n">
        <x:v>46662</x:v>
      </x:c>
      <x:c r="AE22" s="27" t="str">
        <x:v>Public-safe anonymized industry-style SA-CCR sample</x:v>
      </x:c>
      <x:c r="AF22" s="27" t="str">
        <x:v>ANON-000019</x:v>
      </x:c>
      <x:c r="AG22" s="27" t="str">
        <x:v>FX Forward</x:v>
      </x:c>
      <x:c r="AH22" s="27"/>
      <x:c r="AI22" s="27" t="str">
        <x:v>EUR/USD</x:v>
      </x:c>
      <x:c r="AJ22" s="27" t="n">
        <x:v>644</x:v>
      </x:c>
      <x:c r="AK22" s="27" t="n">
        <x:v>1.7643835616438357</x:v>
      </x:c>
      <x:c r="AL22" s="27" t="str">
        <x:v>1Y-5Y</x:v>
      </x:c>
      <x:c r="AM22" s="27"/>
      <x:c r="AN22" s="27" t="str">
        <x:v>Unknown</x:v>
      </x:c>
      <x:c r="AO22" s="27" t="str">
        <x:v>EUR/USD</x:v>
      </x:c>
      <x:c r="AP22" s="27" t="str">
        <x:v>U</x:v>
      </x:c>
      <x:c r="AQ22" s="27" t="n">
        <x:v>0.04</x:v>
      </x:c>
      <x:c r="AR22" s="27" t="n">
        <x:v>1</x:v>
      </x:c>
      <x:c r="AS22" s="27" t="n">
        <x:v>0.04</x:v>
      </x:c>
      <x:c r="AT22" s="27"/>
      <x:c r="AU22" s="27" t="n">
        <x:v>1</x:v>
      </x:c>
      <x:c r="AV22" s="27" t="n">
        <x:v>6600000</x:v>
      </x:c>
      <x:c r="AW22" s="27" t="n">
        <x:v>0.15</x:v>
      </x:c>
      <x:c r="AX22" s="27" t="n">
        <x:v>-1</x:v>
      </x:c>
      <x:c r="AY22" s="27" t="n">
        <x:v>1</x:v>
      </x:c>
      <x:c r="AZ22" s="27" t="n">
        <x:v>-6600000</x:v>
      </x:c>
    </x:row>
    <x:row r="23">
      <x:c r="A23" s="27" t="n">
        <x:v>45702</x:v>
      </x:c>
      <x:c r="B23" s="27" t="str">
        <x:v>IND_CLEARING_MEMBER_001</x:v>
      </x:c>
      <x:c r="C23" s="27" t="n">
        <x:v>3288</x:v>
      </x:c>
      <x:c r="D23" s="27" t="str">
        <x:v>IND-000020</x:v>
      </x:c>
      <x:c r="E23" s="27" t="str">
        <x:v>FX Forward</x:v>
      </x:c>
      <x:c r="F23" s="27" t="str">
        <x:v>FX</x:v>
      </x:c>
      <x:c r="G23" s="27"/>
      <x:c r="H23" s="27" t="str">
        <x:v>GBP</x:v>
      </x:c>
      <x:c r="I23" s="27" t="str">
        <x:v>USD</x:v>
      </x:c>
      <x:c r="J23" s="27" t="str">
        <x:v>USD</x:v>
      </x:c>
      <x:c r="K23" s="27"/>
      <x:c r="L23" s="27"/>
      <x:c r="M23" s="27" t="str">
        <x:v>GBP/USD</x:v>
      </x:c>
      <x:c r="N23" s="27"/>
      <x:c r="O23" s="27"/>
      <x:c r="P23" s="27" t="n">
        <x:v>47111</x:v>
      </x:c>
      <x:c r="Q23" s="27" t="n">
        <x:v>45582</x:v>
      </x:c>
      <x:c r="R23" s="27" t="n">
        <x:v>47111</x:v>
      </x:c>
      <x:c r="S23" s="27" t="n">
        <x:v>52800000</x:v>
      </x:c>
      <x:c r="T23" s="27" t="n">
        <x:v>66000000</x:v>
      </x:c>
      <x:c r="U23" s="27" t="n">
        <x:v>66000000</x:v>
      </x:c>
      <x:c r="V23" s="27" t="str">
        <x:v>U</x:v>
      </x:c>
      <x:c r="W23" s="27" t="str">
        <x:v>N</x:v>
      </x:c>
      <x:c r="X23" s="27"/>
      <x:c r="Y23" s="27" t="str">
        <x:v>B</x:v>
      </x:c>
      <x:c r="Z23" s="27"/>
      <x:c r="AA23" s="27"/>
      <x:c r="AB23" s="27" t="n">
        <x:v>0</x:v>
      </x:c>
      <x:c r="AC23" s="27" t="n">
        <x:v>0</x:v>
      </x:c>
      <x:c r="AD23" s="27" t="n">
        <x:v>336600</x:v>
      </x:c>
      <x:c r="AE23" s="27" t="str">
        <x:v>Public-safe anonymized industry-style SA-CCR sample</x:v>
      </x:c>
      <x:c r="AF23" s="27" t="str">
        <x:v>ANON-000020</x:v>
      </x:c>
      <x:c r="AG23" s="27" t="str">
        <x:v>FX Forward</x:v>
      </x:c>
      <x:c r="AH23" s="27"/>
      <x:c r="AI23" s="27" t="str">
        <x:v>GBP/USD</x:v>
      </x:c>
      <x:c r="AJ23" s="27" t="n">
        <x:v>1409</x:v>
      </x:c>
      <x:c r="AK23" s="27" t="n">
        <x:v>3.8602739726027395</x:v>
      </x:c>
      <x:c r="AL23" s="27" t="str">
        <x:v>1Y-5Y</x:v>
      </x:c>
      <x:c r="AM23" s="27"/>
      <x:c r="AN23" s="27" t="str">
        <x:v>Unknown</x:v>
      </x:c>
      <x:c r="AO23" s="27" t="str">
        <x:v>GBP/USD</x:v>
      </x:c>
      <x:c r="AP23" s="27" t="str">
        <x:v>U</x:v>
      </x:c>
      <x:c r="AQ23" s="27" t="n">
        <x:v>0.04</x:v>
      </x:c>
      <x:c r="AR23" s="27" t="n">
        <x:v>1</x:v>
      </x:c>
      <x:c r="AS23" s="27" t="n">
        <x:v>0.04</x:v>
      </x:c>
      <x:c r="AT23" s="27"/>
      <x:c r="AU23" s="27" t="n">
        <x:v>1</x:v>
      </x:c>
      <x:c r="AV23" s="27" t="n">
        <x:v>66000000</x:v>
      </x:c>
      <x:c r="AW23" s="27" t="n">
        <x:v>0.15</x:v>
      </x:c>
      <x:c r="AX23" s="27" t="n">
        <x:v>1</x:v>
      </x:c>
      <x:c r="AY23" s="27" t="n">
        <x:v>1</x:v>
      </x:c>
      <x:c r="AZ23" s="27" t="n">
        <x:v>66000000</x:v>
      </x:c>
    </x:row>
    <x:row r="24">
      <x:c r="A24" s="27" t="n">
        <x:v>45702</x:v>
      </x:c>
      <x:c r="B24" s="27" t="str">
        <x:v>IND_INSURER_001</x:v>
      </x:c>
      <x:c r="C24" s="27" t="n">
        <x:v>3122</x:v>
      </x:c>
      <x:c r="D24" s="27" t="str">
        <x:v>IND-000021</x:v>
      </x:c>
      <x:c r="E24" s="27" t="str">
        <x:v>FX Forward</x:v>
      </x:c>
      <x:c r="F24" s="27" t="str">
        <x:v>FX</x:v>
      </x:c>
      <x:c r="G24" s="27"/>
      <x:c r="H24" s="27" t="str">
        <x:v>USD</x:v>
      </x:c>
      <x:c r="I24" s="27" t="str">
        <x:v>JPY</x:v>
      </x:c>
      <x:c r="J24" s="27" t="str">
        <x:v>USD</x:v>
      </x:c>
      <x:c r="K24" s="27"/>
      <x:c r="L24" s="27"/>
      <x:c r="M24" s="27" t="str">
        <x:v>USD/JPY</x:v>
      </x:c>
      <x:c r="N24" s="27"/>
      <x:c r="O24" s="27"/>
      <x:c r="P24" s="27" t="n">
        <x:v>46244</x:v>
      </x:c>
      <x:c r="Q24" s="27" t="n">
        <x:v>45340</x:v>
      </x:c>
      <x:c r="R24" s="27" t="n">
        <x:v>46244</x:v>
      </x:c>
      <x:c r="S24" s="27" t="n">
        <x:v>124000000</x:v>
      </x:c>
      <x:c r="T24" s="27" t="n">
        <x:v>18507462686.57</x:v>
      </x:c>
      <x:c r="U24" s="27" t="n">
        <x:v>124000000</x:v>
      </x:c>
      <x:c r="V24" s="27" t="str">
        <x:v>M</x:v>
      </x:c>
      <x:c r="W24" s="27" t="str">
        <x:v>N</x:v>
      </x:c>
      <x:c r="X24" s="27" t="n">
        <x:v>10</x:v>
      </x:c>
      <x:c r="Y24" s="27" t="str">
        <x:v>S</x:v>
      </x:c>
      <x:c r="Z24" s="27"/>
      <x:c r="AA24" s="27"/>
      <x:c r="AB24" s="27" t="n">
        <x:v>0</x:v>
      </x:c>
      <x:c r="AC24" s="27" t="n">
        <x:v>0</x:v>
      </x:c>
      <x:c r="AD24" s="27" t="n">
        <x:v>-1201560</x:v>
      </x:c>
      <x:c r="AE24" s="27" t="str">
        <x:v>Public-safe anonymized industry-style SA-CCR sample</x:v>
      </x:c>
      <x:c r="AF24" s="27" t="str">
        <x:v>ANON-000021</x:v>
      </x:c>
      <x:c r="AG24" s="27" t="str">
        <x:v>FX Forward</x:v>
      </x:c>
      <x:c r="AH24" s="27"/>
      <x:c r="AI24" s="27" t="str">
        <x:v>USD/JPY</x:v>
      </x:c>
      <x:c r="AJ24" s="27" t="n">
        <x:v>542</x:v>
      </x:c>
      <x:c r="AK24" s="27" t="n">
        <x:v>1.484931506849315</x:v>
      </x:c>
      <x:c r="AL24" s="27" t="str">
        <x:v>1Y-5Y</x:v>
      </x:c>
      <x:c r="AM24" s="27"/>
      <x:c r="AN24" s="27" t="str">
        <x:v>Unknown</x:v>
      </x:c>
      <x:c r="AO24" s="27" t="str">
        <x:v>JPY/USD</x:v>
      </x:c>
      <x:c r="AP24" s="27" t="str">
        <x:v>M</x:v>
      </x:c>
      <x:c r="AQ24" s="27" t="n">
        <x:v>0.04</x:v>
      </x:c>
      <x:c r="AR24" s="27" t="n">
        <x:v>1</x:v>
      </x:c>
      <x:c r="AS24" s="27" t="n">
        <x:v>0.04</x:v>
      </x:c>
      <x:c r="AT24" s="27"/>
      <x:c r="AU24" s="27" t="n">
        <x:v>1</x:v>
      </x:c>
      <x:c r="AV24" s="27" t="n">
        <x:v>124000000</x:v>
      </x:c>
      <x:c r="AW24" s="27" t="n">
        <x:v>0.15</x:v>
      </x:c>
      <x:c r="AX24" s="27" t="n">
        <x:v>-1</x:v>
      </x:c>
      <x:c r="AY24" s="27" t="n">
        <x:v>0.30000000000000004</x:v>
      </x:c>
      <x:c r="AZ24" s="27" t="n">
        <x:v>-37200000.00000001</x:v>
      </x:c>
    </x:row>
    <x:row r="25">
      <x:c r="A25" s="27" t="n">
        <x:v>45702</x:v>
      </x:c>
      <x:c r="B25" s="27" t="str">
        <x:v>IND_BANK_001</x:v>
      </x:c>
      <x:c r="C25" s="27" t="n">
        <x:v>3142</x:v>
      </x:c>
      <x:c r="D25" s="27" t="str">
        <x:v>IND-000022</x:v>
      </x:c>
      <x:c r="E25" s="27" t="str">
        <x:v>FX Forward</x:v>
      </x:c>
      <x:c r="F25" s="27" t="str">
        <x:v>FX</x:v>
      </x:c>
      <x:c r="G25" s="27"/>
      <x:c r="H25" s="27" t="str">
        <x:v>USD</x:v>
      </x:c>
      <x:c r="I25" s="27" t="str">
        <x:v>JPY</x:v>
      </x:c>
      <x:c r="J25" s="27" t="str">
        <x:v>USD</x:v>
      </x:c>
      <x:c r="K25" s="27"/>
      <x:c r="L25" s="27"/>
      <x:c r="M25" s="27" t="str">
        <x:v>USD/JPY</x:v>
      </x:c>
      <x:c r="N25" s="27"/>
      <x:c r="O25" s="27"/>
      <x:c r="P25" s="27" t="n">
        <x:v>47496</x:v>
      </x:c>
      <x:c r="Q25" s="27" t="n">
        <x:v>44893</x:v>
      </x:c>
      <x:c r="R25" s="27" t="n">
        <x:v>47496</x:v>
      </x:c>
      <x:c r="S25" s="27" t="n">
        <x:v>1000000</x:v>
      </x:c>
      <x:c r="T25" s="27" t="n">
        <x:v>149253731.34</x:v>
      </x:c>
      <x:c r="U25" s="27" t="n">
        <x:v>1000000</x:v>
      </x:c>
      <x:c r="V25" s="27" t="str">
        <x:v>M</x:v>
      </x:c>
      <x:c r="W25" s="27" t="str">
        <x:v>N</x:v>
      </x:c>
      <x:c r="X25" s="27" t="n">
        <x:v>10</x:v>
      </x:c>
      <x:c r="Y25" s="27" t="str">
        <x:v>B</x:v>
      </x:c>
      <x:c r="Z25" s="27"/>
      <x:c r="AA25" s="27"/>
      <x:c r="AB25" s="27" t="n">
        <x:v>0</x:v>
      </x:c>
      <x:c r="AC25" s="27" t="n">
        <x:v>0</x:v>
      </x:c>
      <x:c r="AD25" s="27" t="n">
        <x:v>-5440</x:v>
      </x:c>
      <x:c r="AE25" s="27" t="str">
        <x:v>Public-safe anonymized industry-style SA-CCR sample</x:v>
      </x:c>
      <x:c r="AF25" s="27" t="str">
        <x:v>ANON-000022</x:v>
      </x:c>
      <x:c r="AG25" s="27" t="str">
        <x:v>FX Forward</x:v>
      </x:c>
      <x:c r="AH25" s="27"/>
      <x:c r="AI25" s="27" t="str">
        <x:v>USD/JPY</x:v>
      </x:c>
      <x:c r="AJ25" s="27" t="n">
        <x:v>1794</x:v>
      </x:c>
      <x:c r="AK25" s="27" t="n">
        <x:v>4.9150684931506845</x:v>
      </x:c>
      <x:c r="AL25" s="27" t="str">
        <x:v>1Y-5Y</x:v>
      </x:c>
      <x:c r="AM25" s="27"/>
      <x:c r="AN25" s="27" t="str">
        <x:v>Unknown</x:v>
      </x:c>
      <x:c r="AO25" s="27" t="str">
        <x:v>JPY/USD</x:v>
      </x:c>
      <x:c r="AP25" s="27" t="str">
        <x:v>M</x:v>
      </x:c>
      <x:c r="AQ25" s="27" t="n">
        <x:v>0.04</x:v>
      </x:c>
      <x:c r="AR25" s="27" t="n">
        <x:v>1</x:v>
      </x:c>
      <x:c r="AS25" s="27" t="n">
        <x:v>0.04</x:v>
      </x:c>
      <x:c r="AT25" s="27"/>
      <x:c r="AU25" s="27" t="n">
        <x:v>1</x:v>
      </x:c>
      <x:c r="AV25" s="27" t="n">
        <x:v>1000000</x:v>
      </x:c>
      <x:c r="AW25" s="27" t="n">
        <x:v>0.15</x:v>
      </x:c>
      <x:c r="AX25" s="27" t="n">
        <x:v>1</x:v>
      </x:c>
      <x:c r="AY25" s="27" t="n">
        <x:v>0.30000000000000004</x:v>
      </x:c>
      <x:c r="AZ25" s="27" t="n">
        <x:v>300000.00000000006</x:v>
      </x:c>
    </x:row>
    <x:row r="26">
      <x:c r="A26" s="27" t="n">
        <x:v>45702</x:v>
      </x:c>
      <x:c r="B26" s="27" t="str">
        <x:v>IND_SOVEREIGN_001</x:v>
      </x:c>
      <x:c r="C26" s="27" t="n">
        <x:v>3084</x:v>
      </x:c>
      <x:c r="D26" s="27" t="str">
        <x:v>IND-000023</x:v>
      </x:c>
      <x:c r="E26" s="27" t="str">
        <x:v>FX Forward</x:v>
      </x:c>
      <x:c r="F26" s="27" t="str">
        <x:v>FX</x:v>
      </x:c>
      <x:c r="G26" s="27"/>
      <x:c r="H26" s="27" t="str">
        <x:v>GBP</x:v>
      </x:c>
      <x:c r="I26" s="27" t="str">
        <x:v>USD</x:v>
      </x:c>
      <x:c r="J26" s="27" t="str">
        <x:v>USD</x:v>
      </x:c>
      <x:c r="K26" s="27"/>
      <x:c r="L26" s="27"/>
      <x:c r="M26" s="27" t="str">
        <x:v>GBP/USD</x:v>
      </x:c>
      <x:c r="N26" s="27"/>
      <x:c r="O26" s="27"/>
      <x:c r="P26" s="27" t="n">
        <x:v>45968</x:v>
      </x:c>
      <x:c r="Q26" s="27" t="n">
        <x:v>45317</x:v>
      </x:c>
      <x:c r="R26" s="27" t="n">
        <x:v>45968</x:v>
      </x:c>
      <x:c r="S26" s="27" t="n">
        <x:v>45600000</x:v>
      </x:c>
      <x:c r="T26" s="27" t="n">
        <x:v>57000000</x:v>
      </x:c>
      <x:c r="U26" s="27" t="n">
        <x:v>57000000</x:v>
      </x:c>
      <x:c r="V26" s="27" t="str">
        <x:v>U</x:v>
      </x:c>
      <x:c r="W26" s="27" t="str">
        <x:v>N</x:v>
      </x:c>
      <x:c r="X26" s="27"/>
      <x:c r="Y26" s="27" t="str">
        <x:v>B</x:v>
      </x:c>
      <x:c r="Z26" s="27"/>
      <x:c r="AA26" s="27"/>
      <x:c r="AB26" s="27" t="n">
        <x:v>0</x:v>
      </x:c>
      <x:c r="AC26" s="27" t="n">
        <x:v>0</x:v>
      </x:c>
      <x:c r="AD26" s="27" t="n">
        <x:v>-226860</x:v>
      </x:c>
      <x:c r="AE26" s="27" t="str">
        <x:v>Public-safe anonymized industry-style SA-CCR sample</x:v>
      </x:c>
      <x:c r="AF26" s="27" t="str">
        <x:v>ANON-000023</x:v>
      </x:c>
      <x:c r="AG26" s="27" t="str">
        <x:v>FX Forward</x:v>
      </x:c>
      <x:c r="AH26" s="27"/>
      <x:c r="AI26" s="27" t="str">
        <x:v>GBP/USD</x:v>
      </x:c>
      <x:c r="AJ26" s="27" t="n">
        <x:v>266</x:v>
      </x:c>
      <x:c r="AK26" s="27" t="n">
        <x:v>0.7287671232876712</x:v>
      </x:c>
      <x:c r="AL26" s="27" t="str">
        <x:v>&lt;1Y</x:v>
      </x:c>
      <x:c r="AM26" s="27"/>
      <x:c r="AN26" s="27" t="str">
        <x:v>Unknown</x:v>
      </x:c>
      <x:c r="AO26" s="27" t="str">
        <x:v>GBP/USD</x:v>
      </x:c>
      <x:c r="AP26" s="27" t="str">
        <x:v>U</x:v>
      </x:c>
      <x:c r="AQ26" s="27" t="n">
        <x:v>0.04</x:v>
      </x:c>
      <x:c r="AR26" s="27" t="n">
        <x:v>1</x:v>
      </x:c>
      <x:c r="AS26" s="27" t="n">
        <x:v>0.04</x:v>
      </x:c>
      <x:c r="AT26" s="27"/>
      <x:c r="AU26" s="27" t="n">
        <x:v>1</x:v>
      </x:c>
      <x:c r="AV26" s="27" t="n">
        <x:v>57000000</x:v>
      </x:c>
      <x:c r="AW26" s="27" t="n">
        <x:v>0.15</x:v>
      </x:c>
      <x:c r="AX26" s="27" t="n">
        <x:v>1</x:v>
      </x:c>
      <x:c r="AY26" s="27" t="n">
        <x:v>0.8536785831257987</x:v>
      </x:c>
      <x:c r="AZ26" s="27" t="n">
        <x:v>48659679.23817053</x:v>
      </x:c>
    </x:row>
    <x:row r="27">
      <x:c r="A27" s="27" t="n">
        <x:v>45702</x:v>
      </x:c>
      <x:c r="B27" s="27" t="str">
        <x:v>IND_REGIONAL_BANK_001</x:v>
      </x:c>
      <x:c r="C27" s="27" t="n">
        <x:v>3245</x:v>
      </x:c>
      <x:c r="D27" s="27" t="str">
        <x:v>IND-000024</x:v>
      </x:c>
      <x:c r="E27" s="27" t="str">
        <x:v>FX Forward</x:v>
      </x:c>
      <x:c r="F27" s="27" t="str">
        <x:v>FX</x:v>
      </x:c>
      <x:c r="G27" s="27"/>
      <x:c r="H27" s="27" t="str">
        <x:v>GBP</x:v>
      </x:c>
      <x:c r="I27" s="27" t="str">
        <x:v>USD</x:v>
      </x:c>
      <x:c r="J27" s="27" t="str">
        <x:v>USD</x:v>
      </x:c>
      <x:c r="K27" s="27"/>
      <x:c r="L27" s="27"/>
      <x:c r="M27" s="27" t="str">
        <x:v>GBP/USD</x:v>
      </x:c>
      <x:c r="N27" s="27"/>
      <x:c r="O27" s="27"/>
      <x:c r="P27" s="27" t="n">
        <x:v>47572</x:v>
      </x:c>
      <x:c r="Q27" s="27" t="n">
        <x:v>44944</x:v>
      </x:c>
      <x:c r="R27" s="27" t="n">
        <x:v>47572</x:v>
      </x:c>
      <x:c r="S27" s="27" t="n">
        <x:v>48880000</x:v>
      </x:c>
      <x:c r="T27" s="27" t="n">
        <x:v>61100000</x:v>
      </x:c>
      <x:c r="U27" s="27" t="n">
        <x:v>61100000</x:v>
      </x:c>
      <x:c r="V27" s="27" t="str">
        <x:v>U</x:v>
      </x:c>
      <x:c r="W27" s="27" t="str">
        <x:v>N</x:v>
      </x:c>
      <x:c r="X27" s="27"/>
      <x:c r="Y27" s="27" t="str">
        <x:v>S</x:v>
      </x:c>
      <x:c r="Z27" s="27"/>
      <x:c r="AA27" s="27"/>
      <x:c r="AB27" s="27" t="n">
        <x:v>0</x:v>
      </x:c>
      <x:c r="AC27" s="27" t="n">
        <x:v>0</x:v>
      </x:c>
      <x:c r="AD27" s="27" t="n">
        <x:v>212017</x:v>
      </x:c>
      <x:c r="AE27" s="27" t="str">
        <x:v>Public-safe anonymized industry-style SA-CCR sample</x:v>
      </x:c>
      <x:c r="AF27" s="27" t="str">
        <x:v>ANON-000024</x:v>
      </x:c>
      <x:c r="AG27" s="27" t="str">
        <x:v>FX Forward</x:v>
      </x:c>
      <x:c r="AH27" s="27"/>
      <x:c r="AI27" s="27" t="str">
        <x:v>GBP/USD</x:v>
      </x:c>
      <x:c r="AJ27" s="27" t="n">
        <x:v>1870</x:v>
      </x:c>
      <x:c r="AK27" s="27" t="n">
        <x:v>5.123287671232877</x:v>
      </x:c>
      <x:c r="AL27" s="27" t="str">
        <x:v>&gt;5Y</x:v>
      </x:c>
      <x:c r="AM27" s="27"/>
      <x:c r="AN27" s="27" t="str">
        <x:v>Unknown</x:v>
      </x:c>
      <x:c r="AO27" s="27" t="str">
        <x:v>GBP/USD</x:v>
      </x:c>
      <x:c r="AP27" s="27" t="str">
        <x:v>U</x:v>
      </x:c>
      <x:c r="AQ27" s="27" t="n">
        <x:v>0.04</x:v>
      </x:c>
      <x:c r="AR27" s="27" t="n">
        <x:v>1</x:v>
      </x:c>
      <x:c r="AS27" s="27" t="n">
        <x:v>0.04</x:v>
      </x:c>
      <x:c r="AT27" s="27"/>
      <x:c r="AU27" s="27" t="n">
        <x:v>1</x:v>
      </x:c>
      <x:c r="AV27" s="27" t="n">
        <x:v>61100000</x:v>
      </x:c>
      <x:c r="AW27" s="27" t="n">
        <x:v>0.15</x:v>
      </x:c>
      <x:c r="AX27" s="27" t="n">
        <x:v>-1</x:v>
      </x:c>
      <x:c r="AY27" s="27" t="n">
        <x:v>1</x:v>
      </x:c>
      <x:c r="AZ27" s="27" t="n">
        <x:v>-61100000</x:v>
      </x:c>
    </x:row>
    <x:row r="28">
      <x:c r="A28" s="27" t="n">
        <x:v>45702</x:v>
      </x:c>
      <x:c r="B28" s="27" t="str">
        <x:v>IND_PENSION_001</x:v>
      </x:c>
      <x:c r="C28" s="27" t="n">
        <x:v>3294</x:v>
      </x:c>
      <x:c r="D28" s="27" t="str">
        <x:v>IND-000025</x:v>
      </x:c>
      <x:c r="E28" s="27" t="str">
        <x:v>FX Forward</x:v>
      </x:c>
      <x:c r="F28" s="27" t="str">
        <x:v>FX</x:v>
      </x:c>
      <x:c r="G28" s="27"/>
      <x:c r="H28" s="27" t="str">
        <x:v>USD</x:v>
      </x:c>
      <x:c r="I28" s="27" t="str">
        <x:v>JPY</x:v>
      </x:c>
      <x:c r="J28" s="27" t="str">
        <x:v>USD</x:v>
      </x:c>
      <x:c r="K28" s="27"/>
      <x:c r="L28" s="27"/>
      <x:c r="M28" s="27" t="str">
        <x:v>USD/JPY</x:v>
      </x:c>
      <x:c r="N28" s="27"/>
      <x:c r="O28" s="27"/>
      <x:c r="P28" s="27" t="n">
        <x:v>46321</x:v>
      </x:c>
      <x:c r="Q28" s="27" t="n">
        <x:v>45478</x:v>
      </x:c>
      <x:c r="R28" s="27" t="n">
        <x:v>46321</x:v>
      </x:c>
      <x:c r="S28" s="27" t="n">
        <x:v>90300000</x:v>
      </x:c>
      <x:c r="T28" s="27" t="n">
        <x:v>13477611940.3</x:v>
      </x:c>
      <x:c r="U28" s="27" t="n">
        <x:v>90300000</x:v>
      </x:c>
      <x:c r="V28" s="27" t="str">
        <x:v>M</x:v>
      </x:c>
      <x:c r="W28" s="27" t="str">
        <x:v>N</x:v>
      </x:c>
      <x:c r="X28" s="27" t="n">
        <x:v>10</x:v>
      </x:c>
      <x:c r="Y28" s="27" t="str">
        <x:v>B</x:v>
      </x:c>
      <x:c r="Z28" s="27"/>
      <x:c r="AA28" s="27"/>
      <x:c r="AB28" s="27" t="n">
        <x:v>0</x:v>
      </x:c>
      <x:c r="AC28" s="27" t="n">
        <x:v>0</x:v>
      </x:c>
      <x:c r="AD28" s="27" t="n">
        <x:v>602301</x:v>
      </x:c>
      <x:c r="AE28" s="27" t="str">
        <x:v>Public-safe anonymized industry-style SA-CCR sample</x:v>
      </x:c>
      <x:c r="AF28" s="27" t="str">
        <x:v>ANON-000025</x:v>
      </x:c>
      <x:c r="AG28" s="27" t="str">
        <x:v>FX Forward</x:v>
      </x:c>
      <x:c r="AH28" s="27"/>
      <x:c r="AI28" s="27" t="str">
        <x:v>USD/JPY</x:v>
      </x:c>
      <x:c r="AJ28" s="27" t="n">
        <x:v>619</x:v>
      </x:c>
      <x:c r="AK28" s="27" t="n">
        <x:v>1.6958904109589041</x:v>
      </x:c>
      <x:c r="AL28" s="27" t="str">
        <x:v>1Y-5Y</x:v>
      </x:c>
      <x:c r="AM28" s="27"/>
      <x:c r="AN28" s="27" t="str">
        <x:v>Unknown</x:v>
      </x:c>
      <x:c r="AO28" s="27" t="str">
        <x:v>JPY/USD</x:v>
      </x:c>
      <x:c r="AP28" s="27" t="str">
        <x:v>M</x:v>
      </x:c>
      <x:c r="AQ28" s="27" t="n">
        <x:v>0.04</x:v>
      </x:c>
      <x:c r="AR28" s="27" t="n">
        <x:v>1</x:v>
      </x:c>
      <x:c r="AS28" s="27" t="n">
        <x:v>0.04</x:v>
      </x:c>
      <x:c r="AT28" s="27"/>
      <x:c r="AU28" s="27" t="n">
        <x:v>1</x:v>
      </x:c>
      <x:c r="AV28" s="27" t="n">
        <x:v>90300000</x:v>
      </x:c>
      <x:c r="AW28" s="27" t="n">
        <x:v>0.15</x:v>
      </x:c>
      <x:c r="AX28" s="27" t="n">
        <x:v>1</x:v>
      </x:c>
      <x:c r="AY28" s="27" t="n">
        <x:v>0.30000000000000004</x:v>
      </x:c>
      <x:c r="AZ28" s="27" t="n">
        <x:v>27090000.000000004</x:v>
      </x:c>
    </x:row>
    <x:row r="29">
      <x:c r="A29" s="27" t="n">
        <x:v>45702</x:v>
      </x:c>
      <x:c r="B29" s="27" t="str">
        <x:v>IND_ASSET_MANAGER_001</x:v>
      </x:c>
      <x:c r="C29" s="27" t="n">
        <x:v>3127</x:v>
      </x:c>
      <x:c r="D29" s="27" t="str">
        <x:v>IND-000026</x:v>
      </x:c>
      <x:c r="E29" s="27" t="str">
        <x:v>FX Forward</x:v>
      </x:c>
      <x:c r="F29" s="27" t="str">
        <x:v>FX</x:v>
      </x:c>
      <x:c r="G29" s="27"/>
      <x:c r="H29" s="27" t="str">
        <x:v>USD</x:v>
      </x:c>
      <x:c r="I29" s="27" t="str">
        <x:v>CNY</x:v>
      </x:c>
      <x:c r="J29" s="27" t="str">
        <x:v>USD</x:v>
      </x:c>
      <x:c r="K29" s="27"/>
      <x:c r="L29" s="27"/>
      <x:c r="M29" s="27" t="str">
        <x:v>USD/CNY</x:v>
      </x:c>
      <x:c r="N29" s="27"/>
      <x:c r="O29" s="27"/>
      <x:c r="P29" s="27" t="n">
        <x:v>46403</x:v>
      </x:c>
      <x:c r="Q29" s="27" t="n">
        <x:v>44914</x:v>
      </x:c>
      <x:c r="R29" s="27" t="n">
        <x:v>46403</x:v>
      </x:c>
      <x:c r="S29" s="27" t="n">
        <x:v>53400000</x:v>
      </x:c>
      <x:c r="T29" s="27" t="n">
        <x:v>381428571.43</x:v>
      </x:c>
      <x:c r="U29" s="27" t="n">
        <x:v>53400000</x:v>
      </x:c>
      <x:c r="V29" s="27" t="str">
        <x:v>M</x:v>
      </x:c>
      <x:c r="W29" s="27" t="str">
        <x:v>N</x:v>
      </x:c>
      <x:c r="X29" s="27" t="n">
        <x:v>10</x:v>
      </x:c>
      <x:c r="Y29" s="27" t="str">
        <x:v>S</x:v>
      </x:c>
      <x:c r="Z29" s="27"/>
      <x:c r="AA29" s="27"/>
      <x:c r="AB29" s="27" t="n">
        <x:v>0</x:v>
      </x:c>
      <x:c r="AC29" s="27" t="n">
        <x:v>0</x:v>
      </x:c>
      <x:c r="AD29" s="27" t="n">
        <x:v>489144</x:v>
      </x:c>
      <x:c r="AE29" s="27" t="str">
        <x:v>Public-safe anonymized industry-style SA-CCR sample</x:v>
      </x:c>
      <x:c r="AF29" s="27" t="str">
        <x:v>ANON-000026</x:v>
      </x:c>
      <x:c r="AG29" s="27" t="str">
        <x:v>FX Forward</x:v>
      </x:c>
      <x:c r="AH29" s="27"/>
      <x:c r="AI29" s="27" t="str">
        <x:v>USD/CNY</x:v>
      </x:c>
      <x:c r="AJ29" s="27" t="n">
        <x:v>701</x:v>
      </x:c>
      <x:c r="AK29" s="27" t="n">
        <x:v>1.9205479452054794</x:v>
      </x:c>
      <x:c r="AL29" s="27" t="str">
        <x:v>1Y-5Y</x:v>
      </x:c>
      <x:c r="AM29" s="27"/>
      <x:c r="AN29" s="27" t="str">
        <x:v>Unknown</x:v>
      </x:c>
      <x:c r="AO29" s="27" t="str">
        <x:v>CNY/USD</x:v>
      </x:c>
      <x:c r="AP29" s="27" t="str">
        <x:v>M</x:v>
      </x:c>
      <x:c r="AQ29" s="27" t="n">
        <x:v>0.04</x:v>
      </x:c>
      <x:c r="AR29" s="27" t="n">
        <x:v>1</x:v>
      </x:c>
      <x:c r="AS29" s="27" t="n">
        <x:v>0.04</x:v>
      </x:c>
      <x:c r="AT29" s="27"/>
      <x:c r="AU29" s="27" t="n">
        <x:v>1</x:v>
      </x:c>
      <x:c r="AV29" s="27" t="n">
        <x:v>53400000</x:v>
      </x:c>
      <x:c r="AW29" s="27" t="n">
        <x:v>0.15</x:v>
      </x:c>
      <x:c r="AX29" s="27" t="n">
        <x:v>-1</x:v>
      </x:c>
      <x:c r="AY29" s="27" t="n">
        <x:v>0.30000000000000004</x:v>
      </x:c>
      <x:c r="AZ29" s="27" t="n">
        <x:v>-16020000.000000002</x:v>
      </x:c>
    </x:row>
    <x:row r="30">
      <x:c r="A30" s="27" t="n">
        <x:v>45702</x:v>
      </x:c>
      <x:c r="B30" s="27" t="str">
        <x:v>IND_PENSION_001</x:v>
      </x:c>
      <x:c r="C30" s="27" t="n">
        <x:v>3254</x:v>
      </x:c>
      <x:c r="D30" s="27" t="str">
        <x:v>IND-000027</x:v>
      </x:c>
      <x:c r="E30" s="27" t="str">
        <x:v>FX Forward</x:v>
      </x:c>
      <x:c r="F30" s="27" t="str">
        <x:v>FX</x:v>
      </x:c>
      <x:c r="G30" s="27"/>
      <x:c r="H30" s="27" t="str">
        <x:v>USD</x:v>
      </x:c>
      <x:c r="I30" s="27" t="str">
        <x:v>JPY</x:v>
      </x:c>
      <x:c r="J30" s="27" t="str">
        <x:v>USD</x:v>
      </x:c>
      <x:c r="K30" s="27"/>
      <x:c r="L30" s="27"/>
      <x:c r="M30" s="27" t="str">
        <x:v>USD/JPY</x:v>
      </x:c>
      <x:c r="N30" s="27"/>
      <x:c r="O30" s="27"/>
      <x:c r="P30" s="27" t="n">
        <x:v>46401</x:v>
      </x:c>
      <x:c r="Q30" s="27" t="n">
        <x:v>45246</x:v>
      </x:c>
      <x:c r="R30" s="27" t="n">
        <x:v>46401</x:v>
      </x:c>
      <x:c r="S30" s="27" t="n">
        <x:v>1400000</x:v>
      </x:c>
      <x:c r="T30" s="27" t="n">
        <x:v>208955223.88</x:v>
      </x:c>
      <x:c r="U30" s="27" t="n">
        <x:v>1400000</x:v>
      </x:c>
      <x:c r="V30" s="27" t="str">
        <x:v>U</x:v>
      </x:c>
      <x:c r="W30" s="27" t="str">
        <x:v>N</x:v>
      </x:c>
      <x:c r="X30" s="27"/>
      <x:c r="Y30" s="27" t="str">
        <x:v>B</x:v>
      </x:c>
      <x:c r="Z30" s="27"/>
      <x:c r="AA30" s="27"/>
      <x:c r="AB30" s="27" t="n">
        <x:v>0</x:v>
      </x:c>
      <x:c r="AC30" s="27" t="n">
        <x:v>0</x:v>
      </x:c>
      <x:c r="AD30" s="27" t="n">
        <x:v>-9548</x:v>
      </x:c>
      <x:c r="AE30" s="27" t="str">
        <x:v>Public-safe anonymized industry-style SA-CCR sample</x:v>
      </x:c>
      <x:c r="AF30" s="27" t="str">
        <x:v>ANON-000027</x:v>
      </x:c>
      <x:c r="AG30" s="27" t="str">
        <x:v>FX Forward</x:v>
      </x:c>
      <x:c r="AH30" s="27"/>
      <x:c r="AI30" s="27" t="str">
        <x:v>USD/JPY</x:v>
      </x:c>
      <x:c r="AJ30" s="27" t="n">
        <x:v>699</x:v>
      </x:c>
      <x:c r="AK30" s="27" t="n">
        <x:v>1.915068493150685</x:v>
      </x:c>
      <x:c r="AL30" s="27" t="str">
        <x:v>1Y-5Y</x:v>
      </x:c>
      <x:c r="AM30" s="27"/>
      <x:c r="AN30" s="27" t="str">
        <x:v>Unknown</x:v>
      </x:c>
      <x:c r="AO30" s="27" t="str">
        <x:v>JPY/USD</x:v>
      </x:c>
      <x:c r="AP30" s="27" t="str">
        <x:v>U</x:v>
      </x:c>
      <x:c r="AQ30" s="27" t="n">
        <x:v>0.04</x:v>
      </x:c>
      <x:c r="AR30" s="27" t="n">
        <x:v>1</x:v>
      </x:c>
      <x:c r="AS30" s="27" t="n">
        <x:v>0.04</x:v>
      </x:c>
      <x:c r="AT30" s="27"/>
      <x:c r="AU30" s="27" t="n">
        <x:v>1</x:v>
      </x:c>
      <x:c r="AV30" s="27" t="n">
        <x:v>1400000</x:v>
      </x:c>
      <x:c r="AW30" s="27" t="n">
        <x:v>0.15</x:v>
      </x:c>
      <x:c r="AX30" s="27" t="n">
        <x:v>1</x:v>
      </x:c>
      <x:c r="AY30" s="27" t="n">
        <x:v>1</x:v>
      </x:c>
      <x:c r="AZ30" s="27" t="n">
        <x:v>1400000</x:v>
      </x:c>
    </x:row>
    <x:row r="31">
      <x:c r="A31" s="27" t="n">
        <x:v>45702</x:v>
      </x:c>
      <x:c r="B31" s="27" t="str">
        <x:v>IND_BANK_001</x:v>
      </x:c>
      <x:c r="C31" s="27" t="n">
        <x:v>3142</x:v>
      </x:c>
      <x:c r="D31" s="27" t="str">
        <x:v>IND-000028</x:v>
      </x:c>
      <x:c r="E31" s="27" t="str">
        <x:v>FX Forward</x:v>
      </x:c>
      <x:c r="F31" s="27" t="str">
        <x:v>FX</x:v>
      </x:c>
      <x:c r="G31" s="27"/>
      <x:c r="H31" s="27" t="str">
        <x:v>GBP</x:v>
      </x:c>
      <x:c r="I31" s="27" t="str">
        <x:v>USD</x:v>
      </x:c>
      <x:c r="J31" s="27" t="str">
        <x:v>USD</x:v>
      </x:c>
      <x:c r="K31" s="27"/>
      <x:c r="L31" s="27"/>
      <x:c r="M31" s="27" t="str">
        <x:v>GBP/USD</x:v>
      </x:c>
      <x:c r="N31" s="27"/>
      <x:c r="O31" s="27"/>
      <x:c r="P31" s="27" t="n">
        <x:v>47339</x:v>
      </x:c>
      <x:c r="Q31" s="27" t="n">
        <x:v>45407</x:v>
      </x:c>
      <x:c r="R31" s="27" t="n">
        <x:v>47339</x:v>
      </x:c>
      <x:c r="S31" s="27" t="n">
        <x:v>80800000</x:v>
      </x:c>
      <x:c r="T31" s="27" t="n">
        <x:v>101000000</x:v>
      </x:c>
      <x:c r="U31" s="27" t="n">
        <x:v>101000000</x:v>
      </x:c>
      <x:c r="V31" s="27" t="str">
        <x:v>M</x:v>
      </x:c>
      <x:c r="W31" s="27" t="str">
        <x:v>N</x:v>
      </x:c>
      <x:c r="X31" s="27" t="n">
        <x:v>10</x:v>
      </x:c>
      <x:c r="Y31" s="27" t="str">
        <x:v>B</x:v>
      </x:c>
      <x:c r="Z31" s="27"/>
      <x:c r="AA31" s="27"/>
      <x:c r="AB31" s="27" t="n">
        <x:v>0</x:v>
      </x:c>
      <x:c r="AC31" s="27" t="n">
        <x:v>0</x:v>
      </x:c>
      <x:c r="AD31" s="27" t="n">
        <x:v>669630</x:v>
      </x:c>
      <x:c r="AE31" s="27" t="str">
        <x:v>Public-safe anonymized industry-style SA-CCR sample</x:v>
      </x:c>
      <x:c r="AF31" s="27" t="str">
        <x:v>ANON-000028</x:v>
      </x:c>
      <x:c r="AG31" s="27" t="str">
        <x:v>FX Forward</x:v>
      </x:c>
      <x:c r="AH31" s="27"/>
      <x:c r="AI31" s="27" t="str">
        <x:v>GBP/USD</x:v>
      </x:c>
      <x:c r="AJ31" s="27" t="n">
        <x:v>1637</x:v>
      </x:c>
      <x:c r="AK31" s="27" t="n">
        <x:v>4.484931506849315</x:v>
      </x:c>
      <x:c r="AL31" s="27" t="str">
        <x:v>1Y-5Y</x:v>
      </x:c>
      <x:c r="AM31" s="27"/>
      <x:c r="AN31" s="27" t="str">
        <x:v>Unknown</x:v>
      </x:c>
      <x:c r="AO31" s="27" t="str">
        <x:v>GBP/USD</x:v>
      </x:c>
      <x:c r="AP31" s="27" t="str">
        <x:v>M</x:v>
      </x:c>
      <x:c r="AQ31" s="27" t="n">
        <x:v>0.04</x:v>
      </x:c>
      <x:c r="AR31" s="27" t="n">
        <x:v>1</x:v>
      </x:c>
      <x:c r="AS31" s="27" t="n">
        <x:v>0.04</x:v>
      </x:c>
      <x:c r="AT31" s="27"/>
      <x:c r="AU31" s="27" t="n">
        <x:v>1</x:v>
      </x:c>
      <x:c r="AV31" s="27" t="n">
        <x:v>101000000</x:v>
      </x:c>
      <x:c r="AW31" s="27" t="n">
        <x:v>0.15</x:v>
      </x:c>
      <x:c r="AX31" s="27" t="n">
        <x:v>1</x:v>
      </x:c>
      <x:c r="AY31" s="27" t="n">
        <x:v>0.30000000000000004</x:v>
      </x:c>
      <x:c r="AZ31" s="27" t="n">
        <x:v>30300000.000000004</x:v>
      </x:c>
    </x:row>
    <x:row r="32">
      <x:c r="A32" s="27" t="n">
        <x:v>45702</x:v>
      </x:c>
      <x:c r="B32" s="27" t="str">
        <x:v>IND_BANK_001</x:v>
      </x:c>
      <x:c r="C32" s="27" t="n">
        <x:v>3214</x:v>
      </x:c>
      <x:c r="D32" s="27" t="str">
        <x:v>IND-000029</x:v>
      </x:c>
      <x:c r="E32" s="27" t="str">
        <x:v>FX Forward</x:v>
      </x:c>
      <x:c r="F32" s="27" t="str">
        <x:v>FX</x:v>
      </x:c>
      <x:c r="G32" s="27"/>
      <x:c r="H32" s="27" t="str">
        <x:v>EUR</x:v>
      </x:c>
      <x:c r="I32" s="27" t="str">
        <x:v>USD</x:v>
      </x:c>
      <x:c r="J32" s="27" t="str">
        <x:v>USD</x:v>
      </x:c>
      <x:c r="K32" s="27"/>
      <x:c r="L32" s="27"/>
      <x:c r="M32" s="27" t="str">
        <x:v>EUR/USD</x:v>
      </x:c>
      <x:c r="N32" s="27"/>
      <x:c r="O32" s="27"/>
      <x:c r="P32" s="27" t="n">
        <x:v>47625</x:v>
      </x:c>
      <x:c r="Q32" s="27" t="n">
        <x:v>45544</x:v>
      </x:c>
      <x:c r="R32" s="27" t="n">
        <x:v>47625</x:v>
      </x:c>
      <x:c r="S32" s="27" t="n">
        <x:v>21047619.05</x:v>
      </x:c>
      <x:c r="T32" s="27" t="n">
        <x:v>22100000</x:v>
      </x:c>
      <x:c r="U32" s="27" t="n">
        <x:v>22100000</x:v>
      </x:c>
      <x:c r="V32" s="27" t="str">
        <x:v>U</x:v>
      </x:c>
      <x:c r="W32" s="27" t="str">
        <x:v>N</x:v>
      </x:c>
      <x:c r="X32" s="27"/>
      <x:c r="Y32" s="27" t="str">
        <x:v>B</x:v>
      </x:c>
      <x:c r="Z32" s="27"/>
      <x:c r="AA32" s="27"/>
      <x:c r="AB32" s="27" t="n">
        <x:v>0</x:v>
      </x:c>
      <x:c r="AC32" s="27" t="n">
        <x:v>0</x:v>
      </x:c>
      <x:c r="AD32" s="27" t="n">
        <x:v>-66300</x:v>
      </x:c>
      <x:c r="AE32" s="27" t="str">
        <x:v>Public-safe anonymized industry-style SA-CCR sample</x:v>
      </x:c>
      <x:c r="AF32" s="27" t="str">
        <x:v>ANON-000029</x:v>
      </x:c>
      <x:c r="AG32" s="27" t="str">
        <x:v>FX Forward</x:v>
      </x:c>
      <x:c r="AH32" s="27"/>
      <x:c r="AI32" s="27" t="str">
        <x:v>EUR/USD</x:v>
      </x:c>
      <x:c r="AJ32" s="27" t="n">
        <x:v>1923</x:v>
      </x:c>
      <x:c r="AK32" s="27" t="n">
        <x:v>5.2684931506849315</x:v>
      </x:c>
      <x:c r="AL32" s="27" t="str">
        <x:v>&gt;5Y</x:v>
      </x:c>
      <x:c r="AM32" s="27"/>
      <x:c r="AN32" s="27" t="str">
        <x:v>Unknown</x:v>
      </x:c>
      <x:c r="AO32" s="27" t="str">
        <x:v>EUR/USD</x:v>
      </x:c>
      <x:c r="AP32" s="27" t="str">
        <x:v>U</x:v>
      </x:c>
      <x:c r="AQ32" s="27" t="n">
        <x:v>0.04</x:v>
      </x:c>
      <x:c r="AR32" s="27" t="n">
        <x:v>1</x:v>
      </x:c>
      <x:c r="AS32" s="27" t="n">
        <x:v>0.04</x:v>
      </x:c>
      <x:c r="AT32" s="27"/>
      <x:c r="AU32" s="27" t="n">
        <x:v>1</x:v>
      </x:c>
      <x:c r="AV32" s="27" t="n">
        <x:v>22100000</x:v>
      </x:c>
      <x:c r="AW32" s="27" t="n">
        <x:v>0.15</x:v>
      </x:c>
      <x:c r="AX32" s="27" t="n">
        <x:v>1</x:v>
      </x:c>
      <x:c r="AY32" s="27" t="n">
        <x:v>1</x:v>
      </x:c>
      <x:c r="AZ32" s="27" t="n">
        <x:v>22100000</x:v>
      </x:c>
    </x:row>
    <x:row r="33">
      <x:c r="A33" s="27" t="n">
        <x:v>45702</x:v>
      </x:c>
      <x:c r="B33" s="27" t="str">
        <x:v>IND_BANK_002</x:v>
      </x:c>
      <x:c r="C33" s="27" t="n">
        <x:v>3331</x:v>
      </x:c>
      <x:c r="D33" s="27" t="str">
        <x:v>IND-000030</x:v>
      </x:c>
      <x:c r="E33" s="27" t="str">
        <x:v>FX Forward</x:v>
      </x:c>
      <x:c r="F33" s="27" t="str">
        <x:v>FX</x:v>
      </x:c>
      <x:c r="G33" s="27"/>
      <x:c r="H33" s="27" t="str">
        <x:v>USD</x:v>
      </x:c>
      <x:c r="I33" s="27" t="str">
        <x:v>CNY</x:v>
      </x:c>
      <x:c r="J33" s="27" t="str">
        <x:v>USD</x:v>
      </x:c>
      <x:c r="K33" s="27"/>
      <x:c r="L33" s="27"/>
      <x:c r="M33" s="27" t="str">
        <x:v>USD/CNY</x:v>
      </x:c>
      <x:c r="N33" s="27"/>
      <x:c r="O33" s="27"/>
      <x:c r="P33" s="27" t="n">
        <x:v>47094</x:v>
      </x:c>
      <x:c r="Q33" s="27" t="n">
        <x:v>45632</x:v>
      </x:c>
      <x:c r="R33" s="27" t="n">
        <x:v>47094</x:v>
      </x:c>
      <x:c r="S33" s="27" t="n">
        <x:v>129000000</x:v>
      </x:c>
      <x:c r="T33" s="27" t="n">
        <x:v>921428571.43</x:v>
      </x:c>
      <x:c r="U33" s="27" t="n">
        <x:v>129000000</x:v>
      </x:c>
      <x:c r="V33" s="27" t="str">
        <x:v>M</x:v>
      </x:c>
      <x:c r="W33" s="27" t="str">
        <x:v>N</x:v>
      </x:c>
      <x:c r="X33" s="27" t="n">
        <x:v>10</x:v>
      </x:c>
      <x:c r="Y33" s="27" t="str">
        <x:v>S</x:v>
      </x:c>
      <x:c r="Z33" s="27"/>
      <x:c r="AA33" s="27"/>
      <x:c r="AB33" s="27" t="n">
        <x:v>0</x:v>
      </x:c>
      <x:c r="AC33" s="27" t="n">
        <x:v>0</x:v>
      </x:c>
      <x:c r="AD33" s="27" t="n">
        <x:v>526320</x:v>
      </x:c>
      <x:c r="AE33" s="27" t="str">
        <x:v>Public-safe anonymized industry-style SA-CCR sample</x:v>
      </x:c>
      <x:c r="AF33" s="27" t="str">
        <x:v>ANON-000030</x:v>
      </x:c>
      <x:c r="AG33" s="27" t="str">
        <x:v>FX Forward</x:v>
      </x:c>
      <x:c r="AH33" s="27"/>
      <x:c r="AI33" s="27" t="str">
        <x:v>USD/CNY</x:v>
      </x:c>
      <x:c r="AJ33" s="27" t="n">
        <x:v>1392</x:v>
      </x:c>
      <x:c r="AK33" s="27" t="n">
        <x:v>3.813698630136986</x:v>
      </x:c>
      <x:c r="AL33" s="27" t="str">
        <x:v>1Y-5Y</x:v>
      </x:c>
      <x:c r="AM33" s="27"/>
      <x:c r="AN33" s="27" t="str">
        <x:v>Unknown</x:v>
      </x:c>
      <x:c r="AO33" s="27" t="str">
        <x:v>CNY/USD</x:v>
      </x:c>
      <x:c r="AP33" s="27" t="str">
        <x:v>M</x:v>
      </x:c>
      <x:c r="AQ33" s="27" t="n">
        <x:v>0.04</x:v>
      </x:c>
      <x:c r="AR33" s="27" t="n">
        <x:v>1</x:v>
      </x:c>
      <x:c r="AS33" s="27" t="n">
        <x:v>0.04</x:v>
      </x:c>
      <x:c r="AT33" s="27"/>
      <x:c r="AU33" s="27" t="n">
        <x:v>1</x:v>
      </x:c>
      <x:c r="AV33" s="27" t="n">
        <x:v>129000000</x:v>
      </x:c>
      <x:c r="AW33" s="27" t="n">
        <x:v>0.15</x:v>
      </x:c>
      <x:c r="AX33" s="27" t="n">
        <x:v>-1</x:v>
      </x:c>
      <x:c r="AY33" s="27" t="n">
        <x:v>0.30000000000000004</x:v>
      </x:c>
      <x:c r="AZ33" s="27" t="n">
        <x:v>-38700000.00000001</x:v>
      </x:c>
    </x:row>
    <x:row r="34">
      <x:c r="A34" s="27" t="n">
        <x:v>45702</x:v>
      </x:c>
      <x:c r="B34" s="27" t="str">
        <x:v>IND_REGIONAL_BANK_001</x:v>
      </x:c>
      <x:c r="C34" s="27" t="n">
        <x:v>3210</x:v>
      </x:c>
      <x:c r="D34" s="27" t="str">
        <x:v>IND-000031</x:v>
      </x:c>
      <x:c r="E34" s="27" t="str">
        <x:v>FX Forward</x:v>
      </x:c>
      <x:c r="F34" s="27" t="str">
        <x:v>FX</x:v>
      </x:c>
      <x:c r="G34" s="27"/>
      <x:c r="H34" s="27" t="str">
        <x:v>AUD</x:v>
      </x:c>
      <x:c r="I34" s="27" t="str">
        <x:v>USD</x:v>
      </x:c>
      <x:c r="J34" s="27" t="str">
        <x:v>USD</x:v>
      </x:c>
      <x:c r="K34" s="27"/>
      <x:c r="L34" s="27"/>
      <x:c r="M34" s="27" t="str">
        <x:v>AUD/USD</x:v>
      </x:c>
      <x:c r="N34" s="27"/>
      <x:c r="O34" s="27"/>
      <x:c r="P34" s="27" t="n">
        <x:v>47303</x:v>
      </x:c>
      <x:c r="Q34" s="27" t="n">
        <x:v>45085</x:v>
      </x:c>
      <x:c r="R34" s="27" t="n">
        <x:v>47303</x:v>
      </x:c>
      <x:c r="S34" s="27" t="n">
        <x:v>108181818.18</x:v>
      </x:c>
      <x:c r="T34" s="27" t="n">
        <x:v>71400000</x:v>
      </x:c>
      <x:c r="U34" s="27" t="n">
        <x:v>71400000</x:v>
      </x:c>
      <x:c r="V34" s="27" t="str">
        <x:v>M</x:v>
      </x:c>
      <x:c r="W34" s="27" t="str">
        <x:v>N</x:v>
      </x:c>
      <x:c r="X34" s="27" t="n">
        <x:v>10</x:v>
      </x:c>
      <x:c r="Y34" s="27" t="str">
        <x:v>B</x:v>
      </x:c>
      <x:c r="Z34" s="27"/>
      <x:c r="AA34" s="27"/>
      <x:c r="AB34" s="27" t="n">
        <x:v>0</x:v>
      </x:c>
      <x:c r="AC34" s="27" t="n">
        <x:v>0</x:v>
      </x:c>
      <x:c r="AD34" s="27" t="n">
        <x:v>494088</x:v>
      </x:c>
      <x:c r="AE34" s="27" t="str">
        <x:v>Public-safe anonymized industry-style SA-CCR sample</x:v>
      </x:c>
      <x:c r="AF34" s="27" t="str">
        <x:v>ANON-000031</x:v>
      </x:c>
      <x:c r="AG34" s="27" t="str">
        <x:v>FX Forward</x:v>
      </x:c>
      <x:c r="AH34" s="27"/>
      <x:c r="AI34" s="27" t="str">
        <x:v>AUD/USD</x:v>
      </x:c>
      <x:c r="AJ34" s="27" t="n">
        <x:v>1601</x:v>
      </x:c>
      <x:c r="AK34" s="27" t="n">
        <x:v>4.3863013698630136</x:v>
      </x:c>
      <x:c r="AL34" s="27" t="str">
        <x:v>1Y-5Y</x:v>
      </x:c>
      <x:c r="AM34" s="27"/>
      <x:c r="AN34" s="27" t="str">
        <x:v>Unknown</x:v>
      </x:c>
      <x:c r="AO34" s="27" t="str">
        <x:v>AUD/USD</x:v>
      </x:c>
      <x:c r="AP34" s="27" t="str">
        <x:v>M</x:v>
      </x:c>
      <x:c r="AQ34" s="27" t="n">
        <x:v>0.04</x:v>
      </x:c>
      <x:c r="AR34" s="27" t="n">
        <x:v>1</x:v>
      </x:c>
      <x:c r="AS34" s="27" t="n">
        <x:v>0.04</x:v>
      </x:c>
      <x:c r="AT34" s="27"/>
      <x:c r="AU34" s="27" t="n">
        <x:v>1</x:v>
      </x:c>
      <x:c r="AV34" s="27" t="n">
        <x:v>71400000</x:v>
      </x:c>
      <x:c r="AW34" s="27" t="n">
        <x:v>0.15</x:v>
      </x:c>
      <x:c r="AX34" s="27" t="n">
        <x:v>1</x:v>
      </x:c>
      <x:c r="AY34" s="27" t="n">
        <x:v>0.30000000000000004</x:v>
      </x:c>
      <x:c r="AZ34" s="27" t="n">
        <x:v>21420000.000000004</x:v>
      </x:c>
    </x:row>
    <x:row r="35">
      <x:c r="A35" s="27" t="n">
        <x:v>45702</x:v>
      </x:c>
      <x:c r="B35" s="27" t="str">
        <x:v>IND_BANK_002</x:v>
      </x:c>
      <x:c r="C35" s="27" t="n">
        <x:v>3331</x:v>
      </x:c>
      <x:c r="D35" s="27" t="str">
        <x:v>IND-000032</x:v>
      </x:c>
      <x:c r="E35" s="27" t="str">
        <x:v>FX Forward</x:v>
      </x:c>
      <x:c r="F35" s="27" t="str">
        <x:v>FX</x:v>
      </x:c>
      <x:c r="G35" s="27"/>
      <x:c r="H35" s="27" t="str">
        <x:v>AUD</x:v>
      </x:c>
      <x:c r="I35" s="27" t="str">
        <x:v>USD</x:v>
      </x:c>
      <x:c r="J35" s="27" t="str">
        <x:v>USD</x:v>
      </x:c>
      <x:c r="K35" s="27"/>
      <x:c r="L35" s="27"/>
      <x:c r="M35" s="27" t="str">
        <x:v>AUD/USD</x:v>
      </x:c>
      <x:c r="N35" s="27"/>
      <x:c r="O35" s="27"/>
      <x:c r="P35" s="27" t="n">
        <x:v>46425</x:v>
      </x:c>
      <x:c r="Q35" s="27" t="n">
        <x:v>45268</x:v>
      </x:c>
      <x:c r="R35" s="27" t="n">
        <x:v>46425</x:v>
      </x:c>
      <x:c r="S35" s="27" t="n">
        <x:v>6969696.97</x:v>
      </x:c>
      <x:c r="T35" s="27" t="n">
        <x:v>4600000</x:v>
      </x:c>
      <x:c r="U35" s="27" t="n">
        <x:v>4600000</x:v>
      </x:c>
      <x:c r="V35" s="27" t="str">
        <x:v>M</x:v>
      </x:c>
      <x:c r="W35" s="27" t="str">
        <x:v>N</x:v>
      </x:c>
      <x:c r="X35" s="27" t="n">
        <x:v>10</x:v>
      </x:c>
      <x:c r="Y35" s="27" t="str">
        <x:v>S</x:v>
      </x:c>
      <x:c r="Z35" s="27"/>
      <x:c r="AA35" s="27"/>
      <x:c r="AB35" s="27" t="n">
        <x:v>0</x:v>
      </x:c>
      <x:c r="AC35" s="27" t="n">
        <x:v>0</x:v>
      </x:c>
      <x:c r="AD35" s="27" t="n">
        <x:v>-39054</x:v>
      </x:c>
      <x:c r="AE35" s="27" t="str">
        <x:v>Public-safe anonymized industry-style SA-CCR sample</x:v>
      </x:c>
      <x:c r="AF35" s="27" t="str">
        <x:v>ANON-000032</x:v>
      </x:c>
      <x:c r="AG35" s="27" t="str">
        <x:v>FX Forward</x:v>
      </x:c>
      <x:c r="AH35" s="27"/>
      <x:c r="AI35" s="27" t="str">
        <x:v>AUD/USD</x:v>
      </x:c>
      <x:c r="AJ35" s="27" t="n">
        <x:v>723</x:v>
      </x:c>
      <x:c r="AK35" s="27" t="n">
        <x:v>1.9808219178082191</x:v>
      </x:c>
      <x:c r="AL35" s="27" t="str">
        <x:v>1Y-5Y</x:v>
      </x:c>
      <x:c r="AM35" s="27"/>
      <x:c r="AN35" s="27" t="str">
        <x:v>Unknown</x:v>
      </x:c>
      <x:c r="AO35" s="27" t="str">
        <x:v>AUD/USD</x:v>
      </x:c>
      <x:c r="AP35" s="27" t="str">
        <x:v>M</x:v>
      </x:c>
      <x:c r="AQ35" s="27" t="n">
        <x:v>0.04</x:v>
      </x:c>
      <x:c r="AR35" s="27" t="n">
        <x:v>1</x:v>
      </x:c>
      <x:c r="AS35" s="27" t="n">
        <x:v>0.04</x:v>
      </x:c>
      <x:c r="AT35" s="27"/>
      <x:c r="AU35" s="27" t="n">
        <x:v>1</x:v>
      </x:c>
      <x:c r="AV35" s="27" t="n">
        <x:v>4600000</x:v>
      </x:c>
      <x:c r="AW35" s="27" t="n">
        <x:v>0.15</x:v>
      </x:c>
      <x:c r="AX35" s="27" t="n">
        <x:v>-1</x:v>
      </x:c>
      <x:c r="AY35" s="27" t="n">
        <x:v>0.30000000000000004</x:v>
      </x:c>
      <x:c r="AZ35" s="27" t="n">
        <x:v>-1380000.0000000002</x:v>
      </x:c>
    </x:row>
    <x:row r="36">
      <x:c r="A36" s="27" t="n">
        <x:v>45702</x:v>
      </x:c>
      <x:c r="B36" s="27" t="str">
        <x:v>IND_CLEARING_MEMBER_001</x:v>
      </x:c>
      <x:c r="C36" s="27" t="n">
        <x:v>3206</x:v>
      </x:c>
      <x:c r="D36" s="27" t="str">
        <x:v>IND-000033</x:v>
      </x:c>
      <x:c r="E36" s="27" t="str">
        <x:v>FX Swap</x:v>
      </x:c>
      <x:c r="F36" s="27" t="str">
        <x:v>FX</x:v>
      </x:c>
      <x:c r="G36" s="27"/>
      <x:c r="H36" s="27" t="str">
        <x:v>USD</x:v>
      </x:c>
      <x:c r="I36" s="27" t="str">
        <x:v>JPY</x:v>
      </x:c>
      <x:c r="J36" s="27" t="str">
        <x:v>USD</x:v>
      </x:c>
      <x:c r="K36" s="27"/>
      <x:c r="L36" s="27"/>
      <x:c r="M36" s="27" t="str">
        <x:v>USD/JPY</x:v>
      </x:c>
      <x:c r="N36" s="27"/>
      <x:c r="O36" s="27"/>
      <x:c r="P36" s="27" t="n">
        <x:v>47428</x:v>
      </x:c>
      <x:c r="Q36" s="27" t="n">
        <x:v>45107</x:v>
      </x:c>
      <x:c r="R36" s="27" t="n">
        <x:v>47428</x:v>
      </x:c>
      <x:c r="S36" s="27" t="n">
        <x:v>31700000</x:v>
      </x:c>
      <x:c r="T36" s="27" t="n">
        <x:v>4731343283.58</x:v>
      </x:c>
      <x:c r="U36" s="27" t="n">
        <x:v>31700000</x:v>
      </x:c>
      <x:c r="V36" s="27" t="str">
        <x:v>M</x:v>
      </x:c>
      <x:c r="W36" s="27" t="str">
        <x:v>N</x:v>
      </x:c>
      <x:c r="X36" s="27" t="n">
        <x:v>10</x:v>
      </x:c>
      <x:c r="Y36" s="27" t="str">
        <x:v>S</x:v>
      </x:c>
      <x:c r="Z36" s="27"/>
      <x:c r="AA36" s="27"/>
      <x:c r="AB36" s="27" t="n">
        <x:v>0</x:v>
      </x:c>
      <x:c r="AC36" s="27" t="n">
        <x:v>0</x:v>
      </x:c>
      <x:c r="AD36" s="27" t="n">
        <x:v>-187030</x:v>
      </x:c>
      <x:c r="AE36" s="27" t="str">
        <x:v>Public-safe anonymized industry-style SA-CCR sample</x:v>
      </x:c>
      <x:c r="AF36" s="27" t="str">
        <x:v>ANON-000033</x:v>
      </x:c>
      <x:c r="AG36" s="27" t="str">
        <x:v>FX Swap</x:v>
      </x:c>
      <x:c r="AH36" s="27"/>
      <x:c r="AI36" s="27" t="str">
        <x:v>USD/JPY</x:v>
      </x:c>
      <x:c r="AJ36" s="27" t="n">
        <x:v>1726</x:v>
      </x:c>
      <x:c r="AK36" s="27" t="n">
        <x:v>4.728767123287671</x:v>
      </x:c>
      <x:c r="AL36" s="27" t="str">
        <x:v>1Y-5Y</x:v>
      </x:c>
      <x:c r="AM36" s="27"/>
      <x:c r="AN36" s="27" t="str">
        <x:v>Unknown</x:v>
      </x:c>
      <x:c r="AO36" s="27" t="str">
        <x:v>JPY/USD</x:v>
      </x:c>
      <x:c r="AP36" s="27" t="str">
        <x:v>M</x:v>
      </x:c>
      <x:c r="AQ36" s="27" t="n">
        <x:v>0.04</x:v>
      </x:c>
      <x:c r="AR36" s="27" t="n">
        <x:v>1</x:v>
      </x:c>
      <x:c r="AS36" s="27" t="n">
        <x:v>0.04</x:v>
      </x:c>
      <x:c r="AT36" s="27"/>
      <x:c r="AU36" s="27" t="n">
        <x:v>1</x:v>
      </x:c>
      <x:c r="AV36" s="27" t="n">
        <x:v>31700000</x:v>
      </x:c>
      <x:c r="AW36" s="27" t="n">
        <x:v>0.15</x:v>
      </x:c>
      <x:c r="AX36" s="27" t="n">
        <x:v>-1</x:v>
      </x:c>
      <x:c r="AY36" s="27" t="n">
        <x:v>0.30000000000000004</x:v>
      </x:c>
      <x:c r="AZ36" s="27" t="n">
        <x:v>-9510000.000000002</x:v>
      </x:c>
    </x:row>
    <x:row r="37">
      <x:c r="A37" s="27" t="n">
        <x:v>45702</x:v>
      </x:c>
      <x:c r="B37" s="27" t="str">
        <x:v>IND_ASSET_MANAGER_001</x:v>
      </x:c>
      <x:c r="C37" s="27" t="n">
        <x:v>3127</x:v>
      </x:c>
      <x:c r="D37" s="27" t="str">
        <x:v>IND-000034</x:v>
      </x:c>
      <x:c r="E37" s="27" t="str">
        <x:v>FX Swap</x:v>
      </x:c>
      <x:c r="F37" s="27" t="str">
        <x:v>FX</x:v>
      </x:c>
      <x:c r="G37" s="27"/>
      <x:c r="H37" s="27" t="str">
        <x:v>USD</x:v>
      </x:c>
      <x:c r="I37" s="27" t="str">
        <x:v>CNH</x:v>
      </x:c>
      <x:c r="J37" s="27" t="str">
        <x:v>USD</x:v>
      </x:c>
      <x:c r="K37" s="27"/>
      <x:c r="L37" s="27"/>
      <x:c r="M37" s="27" t="str">
        <x:v>USD/CNH</x:v>
      </x:c>
      <x:c r="N37" s="27"/>
      <x:c r="O37" s="27"/>
      <x:c r="P37" s="27" t="n">
        <x:v>46492</x:v>
      </x:c>
      <x:c r="Q37" s="27" t="n">
        <x:v>45293</x:v>
      </x:c>
      <x:c r="R37" s="27" t="n">
        <x:v>46492</x:v>
      </x:c>
      <x:c r="S37" s="27" t="n">
        <x:v>204000000</x:v>
      </x:c>
      <x:c r="T37" s="27" t="n">
        <x:v>1457142857.14</x:v>
      </x:c>
      <x:c r="U37" s="27" t="n">
        <x:v>204000000</x:v>
      </x:c>
      <x:c r="V37" s="27" t="str">
        <x:v>M</x:v>
      </x:c>
      <x:c r="W37" s="27" t="str">
        <x:v>N</x:v>
      </x:c>
      <x:c r="X37" s="27" t="n">
        <x:v>10</x:v>
      </x:c>
      <x:c r="Y37" s="27" t="str">
        <x:v>B</x:v>
      </x:c>
      <x:c r="Z37" s="27"/>
      <x:c r="AA37" s="27"/>
      <x:c r="AB37" s="27" t="n">
        <x:v>0</x:v>
      </x:c>
      <x:c r="AC37" s="27" t="n">
        <x:v>0</x:v>
      </x:c>
      <x:c r="AD37" s="27" t="n">
        <x:v>1409640</x:v>
      </x:c>
      <x:c r="AE37" s="27" t="str">
        <x:v>Public-safe anonymized industry-style SA-CCR sample</x:v>
      </x:c>
      <x:c r="AF37" s="27" t="str">
        <x:v>ANON-000034</x:v>
      </x:c>
      <x:c r="AG37" s="27" t="str">
        <x:v>FX Swap</x:v>
      </x:c>
      <x:c r="AH37" s="27"/>
      <x:c r="AI37" s="27" t="str">
        <x:v>USD/CNH</x:v>
      </x:c>
      <x:c r="AJ37" s="27" t="n">
        <x:v>790</x:v>
      </x:c>
      <x:c r="AK37" s="27" t="n">
        <x:v>2.164383561643836</x:v>
      </x:c>
      <x:c r="AL37" s="27" t="str">
        <x:v>1Y-5Y</x:v>
      </x:c>
      <x:c r="AM37" s="27"/>
      <x:c r="AN37" s="27" t="str">
        <x:v>Unknown</x:v>
      </x:c>
      <x:c r="AO37" s="27" t="str">
        <x:v>CNH/USD</x:v>
      </x:c>
      <x:c r="AP37" s="27" t="str">
        <x:v>M</x:v>
      </x:c>
      <x:c r="AQ37" s="27" t="n">
        <x:v>0.04</x:v>
      </x:c>
      <x:c r="AR37" s="27" t="n">
        <x:v>1</x:v>
      </x:c>
      <x:c r="AS37" s="27" t="n">
        <x:v>0.04</x:v>
      </x:c>
      <x:c r="AT37" s="27"/>
      <x:c r="AU37" s="27" t="n">
        <x:v>1</x:v>
      </x:c>
      <x:c r="AV37" s="27" t="n">
        <x:v>204000000</x:v>
      </x:c>
      <x:c r="AW37" s="27" t="n">
        <x:v>0.15</x:v>
      </x:c>
      <x:c r="AX37" s="27" t="n">
        <x:v>1</x:v>
      </x:c>
      <x:c r="AY37" s="27" t="n">
        <x:v>0.30000000000000004</x:v>
      </x:c>
      <x:c r="AZ37" s="27" t="n">
        <x:v>61200000.00000001</x:v>
      </x:c>
    </x:row>
    <x:row r="38">
      <x:c r="A38" s="27" t="n">
        <x:v>45702</x:v>
      </x:c>
      <x:c r="B38" s="27" t="str">
        <x:v>IND_INSURER_001</x:v>
      </x:c>
      <x:c r="C38" s="27" t="n">
        <x:v>3094</x:v>
      </x:c>
      <x:c r="D38" s="27" t="str">
        <x:v>IND-000035</x:v>
      </x:c>
      <x:c r="E38" s="27" t="str">
        <x:v>FX Swap</x:v>
      </x:c>
      <x:c r="F38" s="27" t="str">
        <x:v>FX</x:v>
      </x:c>
      <x:c r="G38" s="27"/>
      <x:c r="H38" s="27" t="str">
        <x:v>USD</x:v>
      </x:c>
      <x:c r="I38" s="27" t="str">
        <x:v>CNH</x:v>
      </x:c>
      <x:c r="J38" s="27" t="str">
        <x:v>USD</x:v>
      </x:c>
      <x:c r="K38" s="27"/>
      <x:c r="L38" s="27"/>
      <x:c r="M38" s="27" t="str">
        <x:v>USD/CNH</x:v>
      </x:c>
      <x:c r="N38" s="27"/>
      <x:c r="O38" s="27"/>
      <x:c r="P38" s="27" t="n">
        <x:v>45737</x:v>
      </x:c>
      <x:c r="Q38" s="27" t="n">
        <x:v>45232</x:v>
      </x:c>
      <x:c r="R38" s="27" t="n">
        <x:v>45737</x:v>
      </x:c>
      <x:c r="S38" s="27" t="n">
        <x:v>102000000</x:v>
      </x:c>
      <x:c r="T38" s="27" t="n">
        <x:v>728571428.57</x:v>
      </x:c>
      <x:c r="U38" s="27" t="n">
        <x:v>102000000</x:v>
      </x:c>
      <x:c r="V38" s="27" t="str">
        <x:v>U</x:v>
      </x:c>
      <x:c r="W38" s="27" t="str">
        <x:v>N</x:v>
      </x:c>
      <x:c r="X38" s="27"/>
      <x:c r="Y38" s="27" t="str">
        <x:v>B</x:v>
      </x:c>
      <x:c r="Z38" s="27"/>
      <x:c r="AA38" s="27"/>
      <x:c r="AB38" s="27" t="n">
        <x:v>0</x:v>
      </x:c>
      <x:c r="AC38" s="27" t="n">
        <x:v>0</x:v>
      </x:c>
      <x:c r="AD38" s="27" t="n">
        <x:v>980220</x:v>
      </x:c>
      <x:c r="AE38" s="27" t="str">
        <x:v>Public-safe anonymized industry-style SA-CCR sample</x:v>
      </x:c>
      <x:c r="AF38" s="27" t="str">
        <x:v>ANON-000035</x:v>
      </x:c>
      <x:c r="AG38" s="27" t="str">
        <x:v>FX Swap</x:v>
      </x:c>
      <x:c r="AH38" s="27"/>
      <x:c r="AI38" s="27" t="str">
        <x:v>USD/CNH</x:v>
      </x:c>
      <x:c r="AJ38" s="27" t="n">
        <x:v>35</x:v>
      </x:c>
      <x:c r="AK38" s="27" t="n">
        <x:v>0.0958904109589041</x:v>
      </x:c>
      <x:c r="AL38" s="27" t="str">
        <x:v>&lt;1Y</x:v>
      </x:c>
      <x:c r="AM38" s="27"/>
      <x:c r="AN38" s="27" t="str">
        <x:v>Unknown</x:v>
      </x:c>
      <x:c r="AO38" s="27" t="str">
        <x:v>CNH/USD</x:v>
      </x:c>
      <x:c r="AP38" s="27" t="str">
        <x:v>U</x:v>
      </x:c>
      <x:c r="AQ38" s="27" t="n">
        <x:v>0.04</x:v>
      </x:c>
      <x:c r="AR38" s="27" t="n">
        <x:v>1</x:v>
      </x:c>
      <x:c r="AS38" s="27" t="n">
        <x:v>0.04</x:v>
      </x:c>
      <x:c r="AT38" s="27"/>
      <x:c r="AU38" s="27" t="n">
        <x:v>1</x:v>
      </x:c>
      <x:c r="AV38" s="27" t="n">
        <x:v>102000000</x:v>
      </x:c>
      <x:c r="AW38" s="27" t="n">
        <x:v>0.15</x:v>
      </x:c>
      <x:c r="AX38" s="27" t="n">
        <x:v>1</x:v>
      </x:c>
      <x:c r="AY38" s="27" t="n">
        <x:v>0.30966176864266615</x:v>
      </x:c>
      <x:c r="AZ38" s="27" t="n">
        <x:v>31585500.401551947</x:v>
      </x:c>
    </x:row>
    <x:row r="39">
      <x:c r="A39" s="27" t="n">
        <x:v>45702</x:v>
      </x:c>
      <x:c r="B39" s="27" t="str">
        <x:v>IND_REGIONAL_BANK_001</x:v>
      </x:c>
      <x:c r="C39" s="27" t="n">
        <x:v>3245</x:v>
      </x:c>
      <x:c r="D39" s="27" t="str">
        <x:v>IND-000036</x:v>
      </x:c>
      <x:c r="E39" s="27" t="str">
        <x:v>FX Swap</x:v>
      </x:c>
      <x:c r="F39" s="27" t="str">
        <x:v>FX</x:v>
      </x:c>
      <x:c r="G39" s="27"/>
      <x:c r="H39" s="27" t="str">
        <x:v>USD</x:v>
      </x:c>
      <x:c r="I39" s="27" t="str">
        <x:v>CNH</x:v>
      </x:c>
      <x:c r="J39" s="27" t="str">
        <x:v>USD</x:v>
      </x:c>
      <x:c r="K39" s="27"/>
      <x:c r="L39" s="27"/>
      <x:c r="M39" s="27" t="str">
        <x:v>USD/CNH</x:v>
      </x:c>
      <x:c r="N39" s="27"/>
      <x:c r="O39" s="27"/>
      <x:c r="P39" s="27" t="n">
        <x:v>46292</x:v>
      </x:c>
      <x:c r="Q39" s="27" t="n">
        <x:v>45240</x:v>
      </x:c>
      <x:c r="R39" s="27" t="n">
        <x:v>46292</x:v>
      </x:c>
      <x:c r="S39" s="27" t="n">
        <x:v>2100000</x:v>
      </x:c>
      <x:c r="T39" s="27" t="n">
        <x:v>15000000</x:v>
      </x:c>
      <x:c r="U39" s="27" t="n">
        <x:v>2100000</x:v>
      </x:c>
      <x:c r="V39" s="27" t="str">
        <x:v>U</x:v>
      </x:c>
      <x:c r="W39" s="27" t="str">
        <x:v>N</x:v>
      </x:c>
      <x:c r="X39" s="27"/>
      <x:c r="Y39" s="27" t="str">
        <x:v>B</x:v>
      </x:c>
      <x:c r="Z39" s="27"/>
      <x:c r="AA39" s="27"/>
      <x:c r="AB39" s="27" t="n">
        <x:v>0</x:v>
      </x:c>
      <x:c r="AC39" s="27" t="n">
        <x:v>0</x:v>
      </x:c>
      <x:c r="AD39" s="27" t="n">
        <x:v>-10290</x:v>
      </x:c>
      <x:c r="AE39" s="27" t="str">
        <x:v>Public-safe anonymized industry-style SA-CCR sample</x:v>
      </x:c>
      <x:c r="AF39" s="27" t="str">
        <x:v>ANON-000036</x:v>
      </x:c>
      <x:c r="AG39" s="27" t="str">
        <x:v>FX Swap</x:v>
      </x:c>
      <x:c r="AH39" s="27"/>
      <x:c r="AI39" s="27" t="str">
        <x:v>USD/CNH</x:v>
      </x:c>
      <x:c r="AJ39" s="27" t="n">
        <x:v>590</x:v>
      </x:c>
      <x:c r="AK39" s="27" t="n">
        <x:v>1.6164383561643836</x:v>
      </x:c>
      <x:c r="AL39" s="27" t="str">
        <x:v>1Y-5Y</x:v>
      </x:c>
      <x:c r="AM39" s="27"/>
      <x:c r="AN39" s="27" t="str">
        <x:v>Unknown</x:v>
      </x:c>
      <x:c r="AO39" s="27" t="str">
        <x:v>CNH/USD</x:v>
      </x:c>
      <x:c r="AP39" s="27" t="str">
        <x:v>U</x:v>
      </x:c>
      <x:c r="AQ39" s="27" t="n">
        <x:v>0.04</x:v>
      </x:c>
      <x:c r="AR39" s="27" t="n">
        <x:v>1</x:v>
      </x:c>
      <x:c r="AS39" s="27" t="n">
        <x:v>0.04</x:v>
      </x:c>
      <x:c r="AT39" s="27"/>
      <x:c r="AU39" s="27" t="n">
        <x:v>1</x:v>
      </x:c>
      <x:c r="AV39" s="27" t="n">
        <x:v>2100000</x:v>
      </x:c>
      <x:c r="AW39" s="27" t="n">
        <x:v>0.15</x:v>
      </x:c>
      <x:c r="AX39" s="27" t="n">
        <x:v>1</x:v>
      </x:c>
      <x:c r="AY39" s="27" t="n">
        <x:v>1</x:v>
      </x:c>
      <x:c r="AZ39" s="27" t="n">
        <x:v>2100000</x:v>
      </x:c>
    </x:row>
    <x:row r="40">
      <x:c r="A40" s="27" t="n">
        <x:v>45702</x:v>
      </x:c>
      <x:c r="B40" s="27" t="str">
        <x:v>IND_CLEARING_MEMBER_001</x:v>
      </x:c>
      <x:c r="C40" s="27" t="n">
        <x:v>3206</x:v>
      </x:c>
      <x:c r="D40" s="27" t="str">
        <x:v>IND-000037</x:v>
      </x:c>
      <x:c r="E40" s="27" t="str">
        <x:v>FX Swap</x:v>
      </x:c>
      <x:c r="F40" s="27" t="str">
        <x:v>FX</x:v>
      </x:c>
      <x:c r="G40" s="27"/>
      <x:c r="H40" s="27" t="str">
        <x:v>USD</x:v>
      </x:c>
      <x:c r="I40" s="27" t="str">
        <x:v>JPY</x:v>
      </x:c>
      <x:c r="J40" s="27" t="str">
        <x:v>USD</x:v>
      </x:c>
      <x:c r="K40" s="27"/>
      <x:c r="L40" s="27"/>
      <x:c r="M40" s="27" t="str">
        <x:v>USD/JPY</x:v>
      </x:c>
      <x:c r="N40" s="27"/>
      <x:c r="O40" s="27"/>
      <x:c r="P40" s="27" t="n">
        <x:v>47692</x:v>
      </x:c>
      <x:c r="Q40" s="27" t="n">
        <x:v>45150</x:v>
      </x:c>
      <x:c r="R40" s="27" t="n">
        <x:v>47692</x:v>
      </x:c>
      <x:c r="S40" s="27" t="n">
        <x:v>81200000</x:v>
      </x:c>
      <x:c r="T40" s="27" t="n">
        <x:v>12119402985.07</x:v>
      </x:c>
      <x:c r="U40" s="27" t="n">
        <x:v>81200000</x:v>
      </x:c>
      <x:c r="V40" s="27" t="str">
        <x:v>M</x:v>
      </x:c>
      <x:c r="W40" s="27" t="str">
        <x:v>N</x:v>
      </x:c>
      <x:c r="X40" s="27" t="n">
        <x:v>10</x:v>
      </x:c>
      <x:c r="Y40" s="27" t="str">
        <x:v>B</x:v>
      </x:c>
      <x:c r="Z40" s="27"/>
      <x:c r="AA40" s="27"/>
      <x:c r="AB40" s="27" t="n">
        <x:v>0</x:v>
      </x:c>
      <x:c r="AC40" s="27" t="n">
        <x:v>0</x:v>
      </x:c>
      <x:c r="AD40" s="27" t="n">
        <x:v>345912</x:v>
      </x:c>
      <x:c r="AE40" s="27" t="str">
        <x:v>Public-safe anonymized industry-style SA-CCR sample</x:v>
      </x:c>
      <x:c r="AF40" s="27" t="str">
        <x:v>ANON-000037</x:v>
      </x:c>
      <x:c r="AG40" s="27" t="str">
        <x:v>FX Swap</x:v>
      </x:c>
      <x:c r="AH40" s="27"/>
      <x:c r="AI40" s="27" t="str">
        <x:v>USD/JPY</x:v>
      </x:c>
      <x:c r="AJ40" s="27" t="n">
        <x:v>1990</x:v>
      </x:c>
      <x:c r="AK40" s="27" t="n">
        <x:v>5.4520547945205475</x:v>
      </x:c>
      <x:c r="AL40" s="27" t="str">
        <x:v>&gt;5Y</x:v>
      </x:c>
      <x:c r="AM40" s="27"/>
      <x:c r="AN40" s="27" t="str">
        <x:v>Unknown</x:v>
      </x:c>
      <x:c r="AO40" s="27" t="str">
        <x:v>JPY/USD</x:v>
      </x:c>
      <x:c r="AP40" s="27" t="str">
        <x:v>M</x:v>
      </x:c>
      <x:c r="AQ40" s="27" t="n">
        <x:v>0.04</x:v>
      </x:c>
      <x:c r="AR40" s="27" t="n">
        <x:v>1</x:v>
      </x:c>
      <x:c r="AS40" s="27" t="n">
        <x:v>0.04</x:v>
      </x:c>
      <x:c r="AT40" s="27"/>
      <x:c r="AU40" s="27" t="n">
        <x:v>1</x:v>
      </x:c>
      <x:c r="AV40" s="27" t="n">
        <x:v>81200000</x:v>
      </x:c>
      <x:c r="AW40" s="27" t="n">
        <x:v>0.15</x:v>
      </x:c>
      <x:c r="AX40" s="27" t="n">
        <x:v>1</x:v>
      </x:c>
      <x:c r="AY40" s="27" t="n">
        <x:v>0.30000000000000004</x:v>
      </x:c>
      <x:c r="AZ40" s="27" t="n">
        <x:v>24360000.000000004</x:v>
      </x:c>
    </x:row>
    <x:row r="41">
      <x:c r="A41" s="27" t="n">
        <x:v>45702</x:v>
      </x:c>
      <x:c r="B41" s="27" t="str">
        <x:v>IND_CORPORATE_001</x:v>
      </x:c>
      <x:c r="C41" s="27" t="n">
        <x:v>3040</x:v>
      </x:c>
      <x:c r="D41" s="27" t="str">
        <x:v>IND-000038</x:v>
      </x:c>
      <x:c r="E41" s="27" t="str">
        <x:v>FX Swap</x:v>
      </x:c>
      <x:c r="F41" s="27" t="str">
        <x:v>FX</x:v>
      </x:c>
      <x:c r="G41" s="27"/>
      <x:c r="H41" s="27" t="str">
        <x:v>EUR</x:v>
      </x:c>
      <x:c r="I41" s="27" t="str">
        <x:v>USD</x:v>
      </x:c>
      <x:c r="J41" s="27" t="str">
        <x:v>USD</x:v>
      </x:c>
      <x:c r="K41" s="27"/>
      <x:c r="L41" s="27"/>
      <x:c r="M41" s="27" t="str">
        <x:v>EUR/USD</x:v>
      </x:c>
      <x:c r="N41" s="27"/>
      <x:c r="O41" s="27"/>
      <x:c r="P41" s="27" t="n">
        <x:v>46398</x:v>
      </x:c>
      <x:c r="Q41" s="27" t="n">
        <x:v>45434</x:v>
      </x:c>
      <x:c r="R41" s="27" t="n">
        <x:v>46398</x:v>
      </x:c>
      <x:c r="S41" s="27" t="n">
        <x:v>25714285.71</x:v>
      </x:c>
      <x:c r="T41" s="27" t="n">
        <x:v>27000000</x:v>
      </x:c>
      <x:c r="U41" s="27" t="n">
        <x:v>27000000</x:v>
      </x:c>
      <x:c r="V41" s="27" t="str">
        <x:v>M</x:v>
      </x:c>
      <x:c r="W41" s="27" t="str">
        <x:v>N</x:v>
      </x:c>
      <x:c r="X41" s="27" t="n">
        <x:v>10</x:v>
      </x:c>
      <x:c r="Y41" s="27" t="str">
        <x:v>B</x:v>
      </x:c>
      <x:c r="Z41" s="27"/>
      <x:c r="AA41" s="27"/>
      <x:c r="AB41" s="27" t="n">
        <x:v>0</x:v>
      </x:c>
      <x:c r="AC41" s="27" t="n">
        <x:v>0</x:v>
      </x:c>
      <x:c r="AD41" s="27" t="n">
        <x:v>152550</x:v>
      </x:c>
      <x:c r="AE41" s="27" t="str">
        <x:v>Public-safe anonymized industry-style SA-CCR sample</x:v>
      </x:c>
      <x:c r="AF41" s="27" t="str">
        <x:v>ANON-000038</x:v>
      </x:c>
      <x:c r="AG41" s="27" t="str">
        <x:v>FX Swap</x:v>
      </x:c>
      <x:c r="AH41" s="27"/>
      <x:c r="AI41" s="27" t="str">
        <x:v>EUR/USD</x:v>
      </x:c>
      <x:c r="AJ41" s="27" t="n">
        <x:v>696</x:v>
      </x:c>
      <x:c r="AK41" s="27" t="n">
        <x:v>1.906849315068493</x:v>
      </x:c>
      <x:c r="AL41" s="27" t="str">
        <x:v>1Y-5Y</x:v>
      </x:c>
      <x:c r="AM41" s="27"/>
      <x:c r="AN41" s="27" t="str">
        <x:v>Unknown</x:v>
      </x:c>
      <x:c r="AO41" s="27" t="str">
        <x:v>EUR/USD</x:v>
      </x:c>
      <x:c r="AP41" s="27" t="str">
        <x:v>M</x:v>
      </x:c>
      <x:c r="AQ41" s="27" t="n">
        <x:v>0.04</x:v>
      </x:c>
      <x:c r="AR41" s="27" t="n">
        <x:v>1</x:v>
      </x:c>
      <x:c r="AS41" s="27" t="n">
        <x:v>0.04</x:v>
      </x:c>
      <x:c r="AT41" s="27"/>
      <x:c r="AU41" s="27" t="n">
        <x:v>1</x:v>
      </x:c>
      <x:c r="AV41" s="27" t="n">
        <x:v>27000000</x:v>
      </x:c>
      <x:c r="AW41" s="27" t="n">
        <x:v>0.15</x:v>
      </x:c>
      <x:c r="AX41" s="27" t="n">
        <x:v>1</x:v>
      </x:c>
      <x:c r="AY41" s="27" t="n">
        <x:v>0.30000000000000004</x:v>
      </x:c>
      <x:c r="AZ41" s="27" t="n">
        <x:v>8100000.000000001</x:v>
      </x:c>
    </x:row>
    <x:row r="42">
      <x:c r="A42" s="27" t="n">
        <x:v>45702</x:v>
      </x:c>
      <x:c r="B42" s="27" t="str">
        <x:v>IND_HEDGE_FUND_001</x:v>
      </x:c>
      <x:c r="C42" s="27" t="n">
        <x:v>3205</x:v>
      </x:c>
      <x:c r="D42" s="27" t="str">
        <x:v>IND-000039</x:v>
      </x:c>
      <x:c r="E42" s="27" t="str">
        <x:v>FX Swap</x:v>
      </x:c>
      <x:c r="F42" s="27" t="str">
        <x:v>FX</x:v>
      </x:c>
      <x:c r="G42" s="27"/>
      <x:c r="H42" s="27" t="str">
        <x:v>USD</x:v>
      </x:c>
      <x:c r="I42" s="27" t="str">
        <x:v>CNY</x:v>
      </x:c>
      <x:c r="J42" s="27" t="str">
        <x:v>USD</x:v>
      </x:c>
      <x:c r="K42" s="27"/>
      <x:c r="L42" s="27"/>
      <x:c r="M42" s="27" t="str">
        <x:v>USD/CNY</x:v>
      </x:c>
      <x:c r="N42" s="27"/>
      <x:c r="O42" s="27"/>
      <x:c r="P42" s="27" t="n">
        <x:v>47062</x:v>
      </x:c>
      <x:c r="Q42" s="27" t="n">
        <x:v>45667</x:v>
      </x:c>
      <x:c r="R42" s="27" t="n">
        <x:v>47062</x:v>
      </x:c>
      <x:c r="S42" s="27" t="n">
        <x:v>12200000</x:v>
      </x:c>
      <x:c r="T42" s="27" t="n">
        <x:v>87142857.14</x:v>
      </x:c>
      <x:c r="U42" s="27" t="n">
        <x:v>12200000</x:v>
      </x:c>
      <x:c r="V42" s="27" t="str">
        <x:v>M</x:v>
      </x:c>
      <x:c r="W42" s="27" t="str">
        <x:v>N</x:v>
      </x:c>
      <x:c r="X42" s="27" t="n">
        <x:v>10</x:v>
      </x:c>
      <x:c r="Y42" s="27" t="str">
        <x:v>S</x:v>
      </x:c>
      <x:c r="Z42" s="27"/>
      <x:c r="AA42" s="27"/>
      <x:c r="AB42" s="27" t="n">
        <x:v>0</x:v>
      </x:c>
      <x:c r="AC42" s="27" t="n">
        <x:v>0</x:v>
      </x:c>
      <x:c r="AD42" s="27" t="n">
        <x:v>-36844</x:v>
      </x:c>
      <x:c r="AE42" s="27" t="str">
        <x:v>Public-safe anonymized industry-style SA-CCR sample</x:v>
      </x:c>
      <x:c r="AF42" s="27" t="str">
        <x:v>ANON-000039</x:v>
      </x:c>
      <x:c r="AG42" s="27" t="str">
        <x:v>FX Swap</x:v>
      </x:c>
      <x:c r="AH42" s="27"/>
      <x:c r="AI42" s="27" t="str">
        <x:v>USD/CNY</x:v>
      </x:c>
      <x:c r="AJ42" s="27" t="n">
        <x:v>1360</x:v>
      </x:c>
      <x:c r="AK42" s="27" t="n">
        <x:v>3.7260273972602738</x:v>
      </x:c>
      <x:c r="AL42" s="27" t="str">
        <x:v>1Y-5Y</x:v>
      </x:c>
      <x:c r="AM42" s="27"/>
      <x:c r="AN42" s="27" t="str">
        <x:v>Unknown</x:v>
      </x:c>
      <x:c r="AO42" s="27" t="str">
        <x:v>CNY/USD</x:v>
      </x:c>
      <x:c r="AP42" s="27" t="str">
        <x:v>M</x:v>
      </x:c>
      <x:c r="AQ42" s="27" t="n">
        <x:v>0.04</x:v>
      </x:c>
      <x:c r="AR42" s="27" t="n">
        <x:v>1</x:v>
      </x:c>
      <x:c r="AS42" s="27" t="n">
        <x:v>0.04</x:v>
      </x:c>
      <x:c r="AT42" s="27"/>
      <x:c r="AU42" s="27" t="n">
        <x:v>1</x:v>
      </x:c>
      <x:c r="AV42" s="27" t="n">
        <x:v>12200000</x:v>
      </x:c>
      <x:c r="AW42" s="27" t="n">
        <x:v>0.15</x:v>
      </x:c>
      <x:c r="AX42" s="27" t="n">
        <x:v>-1</x:v>
      </x:c>
      <x:c r="AY42" s="27" t="n">
        <x:v>0.30000000000000004</x:v>
      </x:c>
      <x:c r="AZ42" s="27" t="n">
        <x:v>-3660000.0000000005</x:v>
      </x:c>
    </x:row>
    <x:row r="43">
      <x:c r="A43" s="27" t="n">
        <x:v>45702</x:v>
      </x:c>
      <x:c r="B43" s="27" t="str">
        <x:v>IND_BANK_002</x:v>
      </x:c>
      <x:c r="C43" s="27" t="n">
        <x:v>3331</x:v>
      </x:c>
      <x:c r="D43" s="27" t="str">
        <x:v>IND-000040</x:v>
      </x:c>
      <x:c r="E43" s="27" t="str">
        <x:v>FX Swap</x:v>
      </x:c>
      <x:c r="F43" s="27" t="str">
        <x:v>FX</x:v>
      </x:c>
      <x:c r="G43" s="27"/>
      <x:c r="H43" s="27" t="str">
        <x:v>EUR</x:v>
      </x:c>
      <x:c r="I43" s="27" t="str">
        <x:v>USD</x:v>
      </x:c>
      <x:c r="J43" s="27" t="str">
        <x:v>USD</x:v>
      </x:c>
      <x:c r="K43" s="27"/>
      <x:c r="L43" s="27"/>
      <x:c r="M43" s="27" t="str">
        <x:v>EUR/USD</x:v>
      </x:c>
      <x:c r="N43" s="27"/>
      <x:c r="O43" s="27"/>
      <x:c r="P43" s="27" t="n">
        <x:v>45837</x:v>
      </x:c>
      <x:c r="Q43" s="27" t="n">
        <x:v>45674</x:v>
      </x:c>
      <x:c r="R43" s="27" t="n">
        <x:v>45837</x:v>
      </x:c>
      <x:c r="S43" s="27" t="n">
        <x:v>217142857.14</x:v>
      </x:c>
      <x:c r="T43" s="27" t="n">
        <x:v>228000000</x:v>
      </x:c>
      <x:c r="U43" s="27" t="n">
        <x:v>228000000</x:v>
      </x:c>
      <x:c r="V43" s="27" t="str">
        <x:v>M</x:v>
      </x:c>
      <x:c r="W43" s="27" t="str">
        <x:v>N</x:v>
      </x:c>
      <x:c r="X43" s="27" t="n">
        <x:v>10</x:v>
      </x:c>
      <x:c r="Y43" s="27" t="str">
        <x:v>B</x:v>
      </x:c>
      <x:c r="Z43" s="27"/>
      <x:c r="AA43" s="27"/>
      <x:c r="AB43" s="27" t="n">
        <x:v>0</x:v>
      </x:c>
      <x:c r="AC43" s="27" t="n">
        <x:v>0</x:v>
      </x:c>
      <x:c r="AD43" s="27" t="n">
        <x:v>-2156880</x:v>
      </x:c>
      <x:c r="AE43" s="27" t="str">
        <x:v>Public-safe anonymized industry-style SA-CCR sample</x:v>
      </x:c>
      <x:c r="AF43" s="27" t="str">
        <x:v>ANON-000040</x:v>
      </x:c>
      <x:c r="AG43" s="27" t="str">
        <x:v>FX Swap</x:v>
      </x:c>
      <x:c r="AH43" s="27"/>
      <x:c r="AI43" s="27" t="str">
        <x:v>EUR/USD</x:v>
      </x:c>
      <x:c r="AJ43" s="27" t="n">
        <x:v>135</x:v>
      </x:c>
      <x:c r="AK43" s="27" t="n">
        <x:v>0.3698630136986301</x:v>
      </x:c>
      <x:c r="AL43" s="27" t="str">
        <x:v>&lt;1Y</x:v>
      </x:c>
      <x:c r="AM43" s="27"/>
      <x:c r="AN43" s="27" t="str">
        <x:v>Unknown</x:v>
      </x:c>
      <x:c r="AO43" s="27" t="str">
        <x:v>EUR/USD</x:v>
      </x:c>
      <x:c r="AP43" s="27" t="str">
        <x:v>M</x:v>
      </x:c>
      <x:c r="AQ43" s="27" t="n">
        <x:v>0.04</x:v>
      </x:c>
      <x:c r="AR43" s="27" t="n">
        <x:v>1</x:v>
      </x:c>
      <x:c r="AS43" s="27" t="n">
        <x:v>0.04</x:v>
      </x:c>
      <x:c r="AT43" s="27"/>
      <x:c r="AU43" s="27" t="n">
        <x:v>1</x:v>
      </x:c>
      <x:c r="AV43" s="27" t="n">
        <x:v>228000000</x:v>
      </x:c>
      <x:c r="AW43" s="27" t="n">
        <x:v>0.15</x:v>
      </x:c>
      <x:c r="AX43" s="27" t="n">
        <x:v>1</x:v>
      </x:c>
      <x:c r="AY43" s="27" t="n">
        <x:v>0.30000000000000004</x:v>
      </x:c>
      <x:c r="AZ43" s="27" t="n">
        <x:v>68400000.00000001</x:v>
      </x:c>
    </x:row>
    <x:row r="44">
      <x:c r="A44" s="27" t="n">
        <x:v>45702</x:v>
      </x:c>
      <x:c r="B44" s="27" t="str">
        <x:v>IND_CLEARING_MEMBER_001</x:v>
      </x:c>
      <x:c r="C44" s="27" t="n">
        <x:v>3206</x:v>
      </x:c>
      <x:c r="D44" s="27" t="str">
        <x:v>IND-000041</x:v>
      </x:c>
      <x:c r="E44" s="27" t="str">
        <x:v>FX Swap</x:v>
      </x:c>
      <x:c r="F44" s="27" t="str">
        <x:v>FX</x:v>
      </x:c>
      <x:c r="G44" s="27"/>
      <x:c r="H44" s="27" t="str">
        <x:v>USD</x:v>
      </x:c>
      <x:c r="I44" s="27" t="str">
        <x:v>JPY</x:v>
      </x:c>
      <x:c r="J44" s="27" t="str">
        <x:v>USD</x:v>
      </x:c>
      <x:c r="K44" s="27"/>
      <x:c r="L44" s="27"/>
      <x:c r="M44" s="27" t="str">
        <x:v>USD/JPY</x:v>
      </x:c>
      <x:c r="N44" s="27"/>
      <x:c r="O44" s="27"/>
      <x:c r="P44" s="27" t="n">
        <x:v>47063</x:v>
      </x:c>
      <x:c r="Q44" s="27" t="n">
        <x:v>44804</x:v>
      </x:c>
      <x:c r="R44" s="27" t="n">
        <x:v>47063</x:v>
      </x:c>
      <x:c r="S44" s="27" t="n">
        <x:v>118000000</x:v>
      </x:c>
      <x:c r="T44" s="27" t="n">
        <x:v>17611940298.51</x:v>
      </x:c>
      <x:c r="U44" s="27" t="n">
        <x:v>118000000</x:v>
      </x:c>
      <x:c r="V44" s="27" t="str">
        <x:v>M</x:v>
      </x:c>
      <x:c r="W44" s="27" t="str">
        <x:v>N</x:v>
      </x:c>
      <x:c r="X44" s="27" t="n">
        <x:v>10</x:v>
      </x:c>
      <x:c r="Y44" s="27" t="str">
        <x:v>S</x:v>
      </x:c>
      <x:c r="Z44" s="27"/>
      <x:c r="AA44" s="27"/>
      <x:c r="AB44" s="27" t="n">
        <x:v>0</x:v>
      </x:c>
      <x:c r="AC44" s="27" t="n">
        <x:v>0</x:v>
      </x:c>
      <x:c r="AD44" s="27" t="n">
        <x:v>-62540</x:v>
      </x:c>
      <x:c r="AE44" s="27" t="str">
        <x:v>Public-safe anonymized industry-style SA-CCR sample</x:v>
      </x:c>
      <x:c r="AF44" s="27" t="str">
        <x:v>ANON-000041</x:v>
      </x:c>
      <x:c r="AG44" s="27" t="str">
        <x:v>FX Swap</x:v>
      </x:c>
      <x:c r="AH44" s="27"/>
      <x:c r="AI44" s="27" t="str">
        <x:v>USD/JPY</x:v>
      </x:c>
      <x:c r="AJ44" s="27" t="n">
        <x:v>1361</x:v>
      </x:c>
      <x:c r="AK44" s="27" t="n">
        <x:v>3.728767123287671</x:v>
      </x:c>
      <x:c r="AL44" s="27" t="str">
        <x:v>1Y-5Y</x:v>
      </x:c>
      <x:c r="AM44" s="27"/>
      <x:c r="AN44" s="27" t="str">
        <x:v>Unknown</x:v>
      </x:c>
      <x:c r="AO44" s="27" t="str">
        <x:v>JPY/USD</x:v>
      </x:c>
      <x:c r="AP44" s="27" t="str">
        <x:v>M</x:v>
      </x:c>
      <x:c r="AQ44" s="27" t="n">
        <x:v>0.04</x:v>
      </x:c>
      <x:c r="AR44" s="27" t="n">
        <x:v>1</x:v>
      </x:c>
      <x:c r="AS44" s="27" t="n">
        <x:v>0.04</x:v>
      </x:c>
      <x:c r="AT44" s="27"/>
      <x:c r="AU44" s="27" t="n">
        <x:v>1</x:v>
      </x:c>
      <x:c r="AV44" s="27" t="n">
        <x:v>118000000</x:v>
      </x:c>
      <x:c r="AW44" s="27" t="n">
        <x:v>0.15</x:v>
      </x:c>
      <x:c r="AX44" s="27" t="n">
        <x:v>-1</x:v>
      </x:c>
      <x:c r="AY44" s="27" t="n">
        <x:v>0.30000000000000004</x:v>
      </x:c>
      <x:c r="AZ44" s="27" t="n">
        <x:v>-35400000.00000001</x:v>
      </x:c>
    </x:row>
    <x:row r="45">
      <x:c r="A45" s="27" t="n">
        <x:v>45702</x:v>
      </x:c>
      <x:c r="B45" s="27" t="str">
        <x:v>IND_REGIONAL_BANK_001</x:v>
      </x:c>
      <x:c r="C45" s="27" t="n">
        <x:v>3210</x:v>
      </x:c>
      <x:c r="D45" s="27" t="str">
        <x:v>IND-000042</x:v>
      </x:c>
      <x:c r="E45" s="27" t="str">
        <x:v>FX Swap</x:v>
      </x:c>
      <x:c r="F45" s="27" t="str">
        <x:v>FX</x:v>
      </x:c>
      <x:c r="G45" s="27"/>
      <x:c r="H45" s="27" t="str">
        <x:v>USD</x:v>
      </x:c>
      <x:c r="I45" s="27" t="str">
        <x:v>CNH</x:v>
      </x:c>
      <x:c r="J45" s="27" t="str">
        <x:v>USD</x:v>
      </x:c>
      <x:c r="K45" s="27"/>
      <x:c r="L45" s="27"/>
      <x:c r="M45" s="27" t="str">
        <x:v>USD/CNH</x:v>
      </x:c>
      <x:c r="N45" s="27"/>
      <x:c r="O45" s="27"/>
      <x:c r="P45" s="27" t="n">
        <x:v>47334</x:v>
      </x:c>
      <x:c r="Q45" s="27" t="n">
        <x:v>45073</x:v>
      </x:c>
      <x:c r="R45" s="27" t="n">
        <x:v>47334</x:v>
      </x:c>
      <x:c r="S45" s="27" t="n">
        <x:v>79400000</x:v>
      </x:c>
      <x:c r="T45" s="27" t="n">
        <x:v>567142857.14</x:v>
      </x:c>
      <x:c r="U45" s="27" t="n">
        <x:v>79400000</x:v>
      </x:c>
      <x:c r="V45" s="27" t="str">
        <x:v>M</x:v>
      </x:c>
      <x:c r="W45" s="27" t="str">
        <x:v>N</x:v>
      </x:c>
      <x:c r="X45" s="27" t="n">
        <x:v>10</x:v>
      </x:c>
      <x:c r="Y45" s="27" t="str">
        <x:v>S</x:v>
      </x:c>
      <x:c r="Z45" s="27"/>
      <x:c r="AA45" s="27"/>
      <x:c r="AB45" s="27" t="n">
        <x:v>0</x:v>
      </x:c>
      <x:c r="AC45" s="27" t="n">
        <x:v>0</x:v>
      </x:c>
      <x:c r="AD45" s="27" t="n">
        <x:v>576444</x:v>
      </x:c>
      <x:c r="AE45" s="27" t="str">
        <x:v>Public-safe anonymized industry-style SA-CCR sample</x:v>
      </x:c>
      <x:c r="AF45" s="27" t="str">
        <x:v>ANON-000042</x:v>
      </x:c>
      <x:c r="AG45" s="27" t="str">
        <x:v>FX Swap</x:v>
      </x:c>
      <x:c r="AH45" s="27"/>
      <x:c r="AI45" s="27" t="str">
        <x:v>USD/CNH</x:v>
      </x:c>
      <x:c r="AJ45" s="27" t="n">
        <x:v>1632</x:v>
      </x:c>
      <x:c r="AK45" s="27" t="n">
        <x:v>4.471232876712329</x:v>
      </x:c>
      <x:c r="AL45" s="27" t="str">
        <x:v>1Y-5Y</x:v>
      </x:c>
      <x:c r="AM45" s="27"/>
      <x:c r="AN45" s="27" t="str">
        <x:v>Unknown</x:v>
      </x:c>
      <x:c r="AO45" s="27" t="str">
        <x:v>CNH/USD</x:v>
      </x:c>
      <x:c r="AP45" s="27" t="str">
        <x:v>M</x:v>
      </x:c>
      <x:c r="AQ45" s="27" t="n">
        <x:v>0.04</x:v>
      </x:c>
      <x:c r="AR45" s="27" t="n">
        <x:v>1</x:v>
      </x:c>
      <x:c r="AS45" s="27" t="n">
        <x:v>0.04</x:v>
      </x:c>
      <x:c r="AT45" s="27"/>
      <x:c r="AU45" s="27" t="n">
        <x:v>1</x:v>
      </x:c>
      <x:c r="AV45" s="27" t="n">
        <x:v>79400000</x:v>
      </x:c>
      <x:c r="AW45" s="27" t="n">
        <x:v>0.15</x:v>
      </x:c>
      <x:c r="AX45" s="27" t="n">
        <x:v>-1</x:v>
      </x:c>
      <x:c r="AY45" s="27" t="n">
        <x:v>0.30000000000000004</x:v>
      </x:c>
      <x:c r="AZ45" s="27" t="n">
        <x:v>-23820000.000000004</x:v>
      </x:c>
    </x:row>
    <x:row r="46">
      <x:c r="A46" s="27" t="n">
        <x:v>45702</x:v>
      </x:c>
      <x:c r="B46" s="27" t="str">
        <x:v>IND_HEDGE_FUND_001</x:v>
      </x:c>
      <x:c r="C46" s="27" t="n">
        <x:v>3040</x:v>
      </x:c>
      <x:c r="D46" s="27" t="str">
        <x:v>IND-000043</x:v>
      </x:c>
      <x:c r="E46" s="27" t="str">
        <x:v>FX Swap</x:v>
      </x:c>
      <x:c r="F46" s="27" t="str">
        <x:v>FX</x:v>
      </x:c>
      <x:c r="G46" s="27"/>
      <x:c r="H46" s="27" t="str">
        <x:v>USD</x:v>
      </x:c>
      <x:c r="I46" s="27" t="str">
        <x:v>CNY</x:v>
      </x:c>
      <x:c r="J46" s="27" t="str">
        <x:v>USD</x:v>
      </x:c>
      <x:c r="K46" s="27"/>
      <x:c r="L46" s="27"/>
      <x:c r="M46" s="27" t="str">
        <x:v>USD/CNY</x:v>
      </x:c>
      <x:c r="N46" s="27"/>
      <x:c r="O46" s="27"/>
      <x:c r="P46" s="27" t="n">
        <x:v>46562</x:v>
      </x:c>
      <x:c r="Q46" s="27" t="n">
        <x:v>45289</x:v>
      </x:c>
      <x:c r="R46" s="27" t="n">
        <x:v>46562</x:v>
      </x:c>
      <x:c r="S46" s="27" t="n">
        <x:v>62700000</x:v>
      </x:c>
      <x:c r="T46" s="27" t="n">
        <x:v>447857142.86</x:v>
      </x:c>
      <x:c r="U46" s="27" t="n">
        <x:v>62700000</x:v>
      </x:c>
      <x:c r="V46" s="27" t="str">
        <x:v>U</x:v>
      </x:c>
      <x:c r="W46" s="27" t="str">
        <x:v>N</x:v>
      </x:c>
      <x:c r="X46" s="27"/>
      <x:c r="Y46" s="27" t="str">
        <x:v>B</x:v>
      </x:c>
      <x:c r="Z46" s="27"/>
      <x:c r="AA46" s="27"/>
      <x:c r="AB46" s="27" t="n">
        <x:v>0</x:v>
      </x:c>
      <x:c r="AC46" s="27" t="n">
        <x:v>0</x:v>
      </x:c>
      <x:c r="AD46" s="27" t="n">
        <x:v>433884</x:v>
      </x:c>
      <x:c r="AE46" s="27" t="str">
        <x:v>Public-safe anonymized industry-style SA-CCR sample</x:v>
      </x:c>
      <x:c r="AF46" s="27" t="str">
        <x:v>ANON-000043</x:v>
      </x:c>
      <x:c r="AG46" s="27" t="str">
        <x:v>FX Swap</x:v>
      </x:c>
      <x:c r="AH46" s="27"/>
      <x:c r="AI46" s="27" t="str">
        <x:v>USD/CNY</x:v>
      </x:c>
      <x:c r="AJ46" s="27" t="n">
        <x:v>860</x:v>
      </x:c>
      <x:c r="AK46" s="27" t="n">
        <x:v>2.356164383561644</x:v>
      </x:c>
      <x:c r="AL46" s="27" t="str">
        <x:v>1Y-5Y</x:v>
      </x:c>
      <x:c r="AM46" s="27"/>
      <x:c r="AN46" s="27" t="str">
        <x:v>Unknown</x:v>
      </x:c>
      <x:c r="AO46" s="27" t="str">
        <x:v>CNY/USD</x:v>
      </x:c>
      <x:c r="AP46" s="27" t="str">
        <x:v>U</x:v>
      </x:c>
      <x:c r="AQ46" s="27" t="n">
        <x:v>0.04</x:v>
      </x:c>
      <x:c r="AR46" s="27" t="n">
        <x:v>1</x:v>
      </x:c>
      <x:c r="AS46" s="27" t="n">
        <x:v>0.04</x:v>
      </x:c>
      <x:c r="AT46" s="27"/>
      <x:c r="AU46" s="27" t="n">
        <x:v>1</x:v>
      </x:c>
      <x:c r="AV46" s="27" t="n">
        <x:v>62700000</x:v>
      </x:c>
      <x:c r="AW46" s="27" t="n">
        <x:v>0.15</x:v>
      </x:c>
      <x:c r="AX46" s="27" t="n">
        <x:v>1</x:v>
      </x:c>
      <x:c r="AY46" s="27" t="n">
        <x:v>1</x:v>
      </x:c>
      <x:c r="AZ46" s="27" t="n">
        <x:v>62700000</x:v>
      </x:c>
    </x:row>
    <x:row r="47">
      <x:c r="A47" s="27" t="n">
        <x:v>45702</x:v>
      </x:c>
      <x:c r="B47" s="27" t="str">
        <x:v>IND_PENSION_001</x:v>
      </x:c>
      <x:c r="C47" s="27" t="n">
        <x:v>3294</x:v>
      </x:c>
      <x:c r="D47" s="27" t="str">
        <x:v>IND-000044</x:v>
      </x:c>
      <x:c r="E47" s="27" t="str">
        <x:v>FX Swap</x:v>
      </x:c>
      <x:c r="F47" s="27" t="str">
        <x:v>FX</x:v>
      </x:c>
      <x:c r="G47" s="27"/>
      <x:c r="H47" s="27" t="str">
        <x:v>EUR</x:v>
      </x:c>
      <x:c r="I47" s="27" t="str">
        <x:v>USD</x:v>
      </x:c>
      <x:c r="J47" s="27" t="str">
        <x:v>USD</x:v>
      </x:c>
      <x:c r="K47" s="27"/>
      <x:c r="L47" s="27"/>
      <x:c r="M47" s="27" t="str">
        <x:v>EUR/USD</x:v>
      </x:c>
      <x:c r="N47" s="27"/>
      <x:c r="O47" s="27"/>
      <x:c r="P47" s="27" t="n">
        <x:v>46443</x:v>
      </x:c>
      <x:c r="Q47" s="27" t="n">
        <x:v>45060</x:v>
      </x:c>
      <x:c r="R47" s="27" t="n">
        <x:v>46443</x:v>
      </x:c>
      <x:c r="S47" s="27" t="n">
        <x:v>218095238.1</x:v>
      </x:c>
      <x:c r="T47" s="27" t="n">
        <x:v>229000000</x:v>
      </x:c>
      <x:c r="U47" s="27" t="n">
        <x:v>229000000</x:v>
      </x:c>
      <x:c r="V47" s="27" t="str">
        <x:v>M</x:v>
      </x:c>
      <x:c r="W47" s="27" t="str">
        <x:v>N</x:v>
      </x:c>
      <x:c r="X47" s="27" t="n">
        <x:v>10</x:v>
      </x:c>
      <x:c r="Y47" s="27" t="str">
        <x:v>S</x:v>
      </x:c>
      <x:c r="Z47" s="27"/>
      <x:c r="AA47" s="27"/>
      <x:c r="AB47" s="27" t="n">
        <x:v>0</x:v>
      </x:c>
      <x:c r="AC47" s="27" t="n">
        <x:v>0</x:v>
      </x:c>
      <x:c r="AD47" s="27" t="n">
        <x:v>675550</x:v>
      </x:c>
      <x:c r="AE47" s="27" t="str">
        <x:v>Public-safe anonymized industry-style SA-CCR sample</x:v>
      </x:c>
      <x:c r="AF47" s="27" t="str">
        <x:v>ANON-000044</x:v>
      </x:c>
      <x:c r="AG47" s="27" t="str">
        <x:v>FX Swap</x:v>
      </x:c>
      <x:c r="AH47" s="27"/>
      <x:c r="AI47" s="27" t="str">
        <x:v>EUR/USD</x:v>
      </x:c>
      <x:c r="AJ47" s="27" t="n">
        <x:v>741</x:v>
      </x:c>
      <x:c r="AK47" s="27" t="n">
        <x:v>2.03013698630137</x:v>
      </x:c>
      <x:c r="AL47" s="27" t="str">
        <x:v>1Y-5Y</x:v>
      </x:c>
      <x:c r="AM47" s="27"/>
      <x:c r="AN47" s="27" t="str">
        <x:v>Unknown</x:v>
      </x:c>
      <x:c r="AO47" s="27" t="str">
        <x:v>EUR/USD</x:v>
      </x:c>
      <x:c r="AP47" s="27" t="str">
        <x:v>M</x:v>
      </x:c>
      <x:c r="AQ47" s="27" t="n">
        <x:v>0.04</x:v>
      </x:c>
      <x:c r="AR47" s="27" t="n">
        <x:v>1</x:v>
      </x:c>
      <x:c r="AS47" s="27" t="n">
        <x:v>0.04</x:v>
      </x:c>
      <x:c r="AT47" s="27"/>
      <x:c r="AU47" s="27" t="n">
        <x:v>1</x:v>
      </x:c>
      <x:c r="AV47" s="27" t="n">
        <x:v>229000000</x:v>
      </x:c>
      <x:c r="AW47" s="27" t="n">
        <x:v>0.15</x:v>
      </x:c>
      <x:c r="AX47" s="27" t="n">
        <x:v>-1</x:v>
      </x:c>
      <x:c r="AY47" s="27" t="n">
        <x:v>0.30000000000000004</x:v>
      </x:c>
      <x:c r="AZ47" s="27" t="n">
        <x:v>-68700000.00000001</x:v>
      </x:c>
    </x:row>
    <x:row r="48">
      <x:c r="A48" s="27" t="n">
        <x:v>45702</x:v>
      </x:c>
      <x:c r="B48" s="27" t="str">
        <x:v>IND_BROKER_001</x:v>
      </x:c>
      <x:c r="C48" s="27" t="n">
        <x:v>3276</x:v>
      </x:c>
      <x:c r="D48" s="27" t="str">
        <x:v>IND-000045</x:v>
      </x:c>
      <x:c r="E48" s="27" t="str">
        <x:v>FX Swap</x:v>
      </x:c>
      <x:c r="F48" s="27" t="str">
        <x:v>FX</x:v>
      </x:c>
      <x:c r="G48" s="27"/>
      <x:c r="H48" s="27" t="str">
        <x:v>USD</x:v>
      </x:c>
      <x:c r="I48" s="27" t="str">
        <x:v>JPY</x:v>
      </x:c>
      <x:c r="J48" s="27" t="str">
        <x:v>USD</x:v>
      </x:c>
      <x:c r="K48" s="27"/>
      <x:c r="L48" s="27"/>
      <x:c r="M48" s="27" t="str">
        <x:v>USD/JPY</x:v>
      </x:c>
      <x:c r="N48" s="27"/>
      <x:c r="O48" s="27"/>
      <x:c r="P48" s="27" t="n">
        <x:v>46513</x:v>
      </x:c>
      <x:c r="Q48" s="27" t="n">
        <x:v>45658</x:v>
      </x:c>
      <x:c r="R48" s="27" t="n">
        <x:v>46513</x:v>
      </x:c>
      <x:c r="S48" s="27" t="n">
        <x:v>60000000</x:v>
      </x:c>
      <x:c r="T48" s="27" t="n">
        <x:v>8955223880.6</x:v>
      </x:c>
      <x:c r="U48" s="27" t="n">
        <x:v>60000000</x:v>
      </x:c>
      <x:c r="V48" s="27" t="str">
        <x:v>M</x:v>
      </x:c>
      <x:c r="W48" s="27" t="str">
        <x:v>N</x:v>
      </x:c>
      <x:c r="X48" s="27" t="n">
        <x:v>10</x:v>
      </x:c>
      <x:c r="Y48" s="27" t="str">
        <x:v>B</x:v>
      </x:c>
      <x:c r="Z48" s="27"/>
      <x:c r="AA48" s="27"/>
      <x:c r="AB48" s="27" t="n">
        <x:v>0</x:v>
      </x:c>
      <x:c r="AC48" s="27" t="n">
        <x:v>0</x:v>
      </x:c>
      <x:c r="AD48" s="27" t="n">
        <x:v>257400</x:v>
      </x:c>
      <x:c r="AE48" s="27" t="str">
        <x:v>Public-safe anonymized industry-style SA-CCR sample</x:v>
      </x:c>
      <x:c r="AF48" s="27" t="str">
        <x:v>ANON-000045</x:v>
      </x:c>
      <x:c r="AG48" s="27" t="str">
        <x:v>FX Swap</x:v>
      </x:c>
      <x:c r="AH48" s="27"/>
      <x:c r="AI48" s="27" t="str">
        <x:v>USD/JPY</x:v>
      </x:c>
      <x:c r="AJ48" s="27" t="n">
        <x:v>811</x:v>
      </x:c>
      <x:c r="AK48" s="27" t="n">
        <x:v>2.221917808219178</x:v>
      </x:c>
      <x:c r="AL48" s="27" t="str">
        <x:v>1Y-5Y</x:v>
      </x:c>
      <x:c r="AM48" s="27"/>
      <x:c r="AN48" s="27" t="str">
        <x:v>Unknown</x:v>
      </x:c>
      <x:c r="AO48" s="27" t="str">
        <x:v>JPY/USD</x:v>
      </x:c>
      <x:c r="AP48" s="27" t="str">
        <x:v>M</x:v>
      </x:c>
      <x:c r="AQ48" s="27" t="n">
        <x:v>0.04</x:v>
      </x:c>
      <x:c r="AR48" s="27" t="n">
        <x:v>1</x:v>
      </x:c>
      <x:c r="AS48" s="27" t="n">
        <x:v>0.04</x:v>
      </x:c>
      <x:c r="AT48" s="27"/>
      <x:c r="AU48" s="27" t="n">
        <x:v>1</x:v>
      </x:c>
      <x:c r="AV48" s="27" t="n">
        <x:v>60000000</x:v>
      </x:c>
      <x:c r="AW48" s="27" t="n">
        <x:v>0.15</x:v>
      </x:c>
      <x:c r="AX48" s="27" t="n">
        <x:v>1</x:v>
      </x:c>
      <x:c r="AY48" s="27" t="n">
        <x:v>0.30000000000000004</x:v>
      </x:c>
      <x:c r="AZ48" s="27" t="n">
        <x:v>18000000.000000004</x:v>
      </x:c>
    </x:row>
    <x:row r="49">
      <x:c r="A49" s="27" t="n">
        <x:v>45702</x:v>
      </x:c>
      <x:c r="B49" s="27" t="str">
        <x:v>IND_SOVEREIGN_001</x:v>
      </x:c>
      <x:c r="C49" s="27" t="n">
        <x:v>3390</x:v>
      </x:c>
      <x:c r="D49" s="27" t="str">
        <x:v>IND-000046</x:v>
      </x:c>
      <x:c r="E49" s="27" t="str">
        <x:v>FX Swap</x:v>
      </x:c>
      <x:c r="F49" s="27" t="str">
        <x:v>FX</x:v>
      </x:c>
      <x:c r="G49" s="27"/>
      <x:c r="H49" s="27" t="str">
        <x:v>USD</x:v>
      </x:c>
      <x:c r="I49" s="27" t="str">
        <x:v>CNY</x:v>
      </x:c>
      <x:c r="J49" s="27" t="str">
        <x:v>USD</x:v>
      </x:c>
      <x:c r="K49" s="27"/>
      <x:c r="L49" s="27"/>
      <x:c r="M49" s="27" t="str">
        <x:v>USD/CNY</x:v>
      </x:c>
      <x:c r="N49" s="27"/>
      <x:c r="O49" s="27"/>
      <x:c r="P49" s="27" t="n">
        <x:v>46588</x:v>
      </x:c>
      <x:c r="Q49" s="27" t="n">
        <x:v>45635</x:v>
      </x:c>
      <x:c r="R49" s="27" t="n">
        <x:v>46588</x:v>
      </x:c>
      <x:c r="S49" s="27" t="n">
        <x:v>167000000</x:v>
      </x:c>
      <x:c r="T49" s="27" t="n">
        <x:v>1192857142.86</x:v>
      </x:c>
      <x:c r="U49" s="27" t="n">
        <x:v>167000000</x:v>
      </x:c>
      <x:c r="V49" s="27" t="str">
        <x:v>M</x:v>
      </x:c>
      <x:c r="W49" s="27" t="str">
        <x:v>N</x:v>
      </x:c>
      <x:c r="X49" s="27" t="n">
        <x:v>10</x:v>
      </x:c>
      <x:c r="Y49" s="27" t="str">
        <x:v>S</x:v>
      </x:c>
      <x:c r="Z49" s="27"/>
      <x:c r="AA49" s="27"/>
      <x:c r="AB49" s="27" t="n">
        <x:v>0</x:v>
      </x:c>
      <x:c r="AC49" s="27" t="n">
        <x:v>0</x:v>
      </x:c>
      <x:c r="AD49" s="27" t="n">
        <x:v>831660</x:v>
      </x:c>
      <x:c r="AE49" s="27" t="str">
        <x:v>Public-safe anonymized industry-style SA-CCR sample</x:v>
      </x:c>
      <x:c r="AF49" s="27" t="str">
        <x:v>ANON-000046</x:v>
      </x:c>
      <x:c r="AG49" s="27" t="str">
        <x:v>FX Swap</x:v>
      </x:c>
      <x:c r="AH49" s="27"/>
      <x:c r="AI49" s="27" t="str">
        <x:v>USD/CNY</x:v>
      </x:c>
      <x:c r="AJ49" s="27" t="n">
        <x:v>886</x:v>
      </x:c>
      <x:c r="AK49" s="27" t="n">
        <x:v>2.4273972602739726</x:v>
      </x:c>
      <x:c r="AL49" s="27" t="str">
        <x:v>1Y-5Y</x:v>
      </x:c>
      <x:c r="AM49" s="27"/>
      <x:c r="AN49" s="27" t="str">
        <x:v>Unknown</x:v>
      </x:c>
      <x:c r="AO49" s="27" t="str">
        <x:v>CNY/USD</x:v>
      </x:c>
      <x:c r="AP49" s="27" t="str">
        <x:v>M</x:v>
      </x:c>
      <x:c r="AQ49" s="27" t="n">
        <x:v>0.04</x:v>
      </x:c>
      <x:c r="AR49" s="27" t="n">
        <x:v>1</x:v>
      </x:c>
      <x:c r="AS49" s="27" t="n">
        <x:v>0.04</x:v>
      </x:c>
      <x:c r="AT49" s="27"/>
      <x:c r="AU49" s="27" t="n">
        <x:v>1</x:v>
      </x:c>
      <x:c r="AV49" s="27" t="n">
        <x:v>167000000</x:v>
      </x:c>
      <x:c r="AW49" s="27" t="n">
        <x:v>0.15</x:v>
      </x:c>
      <x:c r="AX49" s="27" t="n">
        <x:v>-1</x:v>
      </x:c>
      <x:c r="AY49" s="27" t="n">
        <x:v>0.30000000000000004</x:v>
      </x:c>
      <x:c r="AZ49" s="27" t="n">
        <x:v>-50100000.00000001</x:v>
      </x:c>
    </x:row>
    <x:row r="50">
      <x:c r="A50" s="27" t="n">
        <x:v>45702</x:v>
      </x:c>
      <x:c r="B50" s="27" t="str">
        <x:v>IND_ASSET_MANAGER_001</x:v>
      </x:c>
      <x:c r="C50" s="27" t="n">
        <x:v>3257</x:v>
      </x:c>
      <x:c r="D50" s="27" t="str">
        <x:v>IND-000047</x:v>
      </x:c>
      <x:c r="E50" s="27" t="str">
        <x:v>FX Swap</x:v>
      </x:c>
      <x:c r="F50" s="27" t="str">
        <x:v>FX</x:v>
      </x:c>
      <x:c r="G50" s="27"/>
      <x:c r="H50" s="27" t="str">
        <x:v>USD</x:v>
      </x:c>
      <x:c r="I50" s="27" t="str">
        <x:v>CNH</x:v>
      </x:c>
      <x:c r="J50" s="27" t="str">
        <x:v>USD</x:v>
      </x:c>
      <x:c r="K50" s="27"/>
      <x:c r="L50" s="27"/>
      <x:c r="M50" s="27" t="str">
        <x:v>USD/CNH</x:v>
      </x:c>
      <x:c r="N50" s="27"/>
      <x:c r="O50" s="27"/>
      <x:c r="P50" s="27" t="n">
        <x:v>46550</x:v>
      </x:c>
      <x:c r="Q50" s="27" t="n">
        <x:v>44983</x:v>
      </x:c>
      <x:c r="R50" s="27" t="n">
        <x:v>46550</x:v>
      </x:c>
      <x:c r="S50" s="27" t="n">
        <x:v>12900000</x:v>
      </x:c>
      <x:c r="T50" s="27" t="n">
        <x:v>92142857.14</x:v>
      </x:c>
      <x:c r="U50" s="27" t="n">
        <x:v>12900000</x:v>
      </x:c>
      <x:c r="V50" s="27" t="str">
        <x:v>U</x:v>
      </x:c>
      <x:c r="W50" s="27" t="str">
        <x:v>N</x:v>
      </x:c>
      <x:c r="X50" s="27"/>
      <x:c r="Y50" s="27" t="str">
        <x:v>B</x:v>
      </x:c>
      <x:c r="Z50" s="27"/>
      <x:c r="AA50" s="27"/>
      <x:c r="AB50" s="27" t="n">
        <x:v>0</x:v>
      </x:c>
      <x:c r="AC50" s="27" t="n">
        <x:v>0</x:v>
      </x:c>
      <x:c r="AD50" s="27" t="n">
        <x:v>-121389</x:v>
      </x:c>
      <x:c r="AE50" s="27" t="str">
        <x:v>Public-safe anonymized industry-style SA-CCR sample</x:v>
      </x:c>
      <x:c r="AF50" s="27" t="str">
        <x:v>ANON-000047</x:v>
      </x:c>
      <x:c r="AG50" s="27" t="str">
        <x:v>FX Swap</x:v>
      </x:c>
      <x:c r="AH50" s="27"/>
      <x:c r="AI50" s="27" t="str">
        <x:v>USD/CNH</x:v>
      </x:c>
      <x:c r="AJ50" s="27" t="n">
        <x:v>848</x:v>
      </x:c>
      <x:c r="AK50" s="27" t="n">
        <x:v>2.3232876712328765</x:v>
      </x:c>
      <x:c r="AL50" s="27" t="str">
        <x:v>1Y-5Y</x:v>
      </x:c>
      <x:c r="AM50" s="27"/>
      <x:c r="AN50" s="27" t="str">
        <x:v>Unknown</x:v>
      </x:c>
      <x:c r="AO50" s="27" t="str">
        <x:v>CNH/USD</x:v>
      </x:c>
      <x:c r="AP50" s="27" t="str">
        <x:v>U</x:v>
      </x:c>
      <x:c r="AQ50" s="27" t="n">
        <x:v>0.04</x:v>
      </x:c>
      <x:c r="AR50" s="27" t="n">
        <x:v>1</x:v>
      </x:c>
      <x:c r="AS50" s="27" t="n">
        <x:v>0.04</x:v>
      </x:c>
      <x:c r="AT50" s="27"/>
      <x:c r="AU50" s="27" t="n">
        <x:v>1</x:v>
      </x:c>
      <x:c r="AV50" s="27" t="n">
        <x:v>12900000</x:v>
      </x:c>
      <x:c r="AW50" s="27" t="n">
        <x:v>0.15</x:v>
      </x:c>
      <x:c r="AX50" s="27" t="n">
        <x:v>1</x:v>
      </x:c>
      <x:c r="AY50" s="27" t="n">
        <x:v>1</x:v>
      </x:c>
      <x:c r="AZ50" s="27" t="n">
        <x:v>12900000</x:v>
      </x:c>
    </x:row>
    <x:row r="51">
      <x:c r="A51" s="27" t="n">
        <x:v>45702</x:v>
      </x:c>
      <x:c r="B51" s="27" t="str">
        <x:v>IND_CORPORATE_002</x:v>
      </x:c>
      <x:c r="C51" s="27" t="n">
        <x:v>3346</x:v>
      </x:c>
      <x:c r="D51" s="27" t="str">
        <x:v>IND-000048</x:v>
      </x:c>
      <x:c r="E51" s="27" t="str">
        <x:v>FX Swap</x:v>
      </x:c>
      <x:c r="F51" s="27" t="str">
        <x:v>FX</x:v>
      </x:c>
      <x:c r="G51" s="27"/>
      <x:c r="H51" s="27" t="str">
        <x:v>USD</x:v>
      </x:c>
      <x:c r="I51" s="27" t="str">
        <x:v>JPY</x:v>
      </x:c>
      <x:c r="J51" s="27" t="str">
        <x:v>USD</x:v>
      </x:c>
      <x:c r="K51" s="27"/>
      <x:c r="L51" s="27"/>
      <x:c r="M51" s="27" t="str">
        <x:v>USD/JPY</x:v>
      </x:c>
      <x:c r="N51" s="27"/>
      <x:c r="O51" s="27"/>
      <x:c r="P51" s="27" t="n">
        <x:v>47708</x:v>
      </x:c>
      <x:c r="Q51" s="27" t="n">
        <x:v>44994</x:v>
      </x:c>
      <x:c r="R51" s="27" t="n">
        <x:v>47708</x:v>
      </x:c>
      <x:c r="S51" s="27" t="n">
        <x:v>8900000</x:v>
      </x:c>
      <x:c r="T51" s="27" t="n">
        <x:v>1328358208.96</x:v>
      </x:c>
      <x:c r="U51" s="27" t="n">
        <x:v>8900000</x:v>
      </x:c>
      <x:c r="V51" s="27" t="str">
        <x:v>M</x:v>
      </x:c>
      <x:c r="W51" s="27" t="str">
        <x:v>N</x:v>
      </x:c>
      <x:c r="X51" s="27" t="n">
        <x:v>10</x:v>
      </x:c>
      <x:c r="Y51" s="27" t="str">
        <x:v>B</x:v>
      </x:c>
      <x:c r="Z51" s="27"/>
      <x:c r="AA51" s="27"/>
      <x:c r="AB51" s="27" t="n">
        <x:v>0</x:v>
      </x:c>
      <x:c r="AC51" s="27" t="n">
        <x:v>0</x:v>
      </x:c>
      <x:c r="AD51" s="27" t="n">
        <x:v>17978</x:v>
      </x:c>
      <x:c r="AE51" s="27" t="str">
        <x:v>Public-safe anonymized industry-style SA-CCR sample</x:v>
      </x:c>
      <x:c r="AF51" s="27" t="str">
        <x:v>ANON-000048</x:v>
      </x:c>
      <x:c r="AG51" s="27" t="str">
        <x:v>FX Swap</x:v>
      </x:c>
      <x:c r="AH51" s="27"/>
      <x:c r="AI51" s="27" t="str">
        <x:v>USD/JPY</x:v>
      </x:c>
      <x:c r="AJ51" s="27" t="n">
        <x:v>2006</x:v>
      </x:c>
      <x:c r="AK51" s="27" t="n">
        <x:v>5.495890410958904</x:v>
      </x:c>
      <x:c r="AL51" s="27" t="str">
        <x:v>&gt;5Y</x:v>
      </x:c>
      <x:c r="AM51" s="27"/>
      <x:c r="AN51" s="27" t="str">
        <x:v>Unknown</x:v>
      </x:c>
      <x:c r="AO51" s="27" t="str">
        <x:v>JPY/USD</x:v>
      </x:c>
      <x:c r="AP51" s="27" t="str">
        <x:v>M</x:v>
      </x:c>
      <x:c r="AQ51" s="27" t="n">
        <x:v>0.04</x:v>
      </x:c>
      <x:c r="AR51" s="27" t="n">
        <x:v>1</x:v>
      </x:c>
      <x:c r="AS51" s="27" t="n">
        <x:v>0.04</x:v>
      </x:c>
      <x:c r="AT51" s="27"/>
      <x:c r="AU51" s="27" t="n">
        <x:v>1</x:v>
      </x:c>
      <x:c r="AV51" s="27" t="n">
        <x:v>8900000</x:v>
      </x:c>
      <x:c r="AW51" s="27" t="n">
        <x:v>0.15</x:v>
      </x:c>
      <x:c r="AX51" s="27" t="n">
        <x:v>1</x:v>
      </x:c>
      <x:c r="AY51" s="27" t="n">
        <x:v>0.30000000000000004</x:v>
      </x:c>
      <x:c r="AZ51" s="27" t="n">
        <x:v>2670000.0000000005</x:v>
      </x:c>
    </x:row>
    <x:row r="52">
      <x:c r="A52" s="27" t="n">
        <x:v>45702</x:v>
      </x:c>
      <x:c r="B52" s="27" t="str">
        <x:v>IND_CORPORATE_002</x:v>
      </x:c>
      <x:c r="C52" s="27" t="n">
        <x:v>3346</x:v>
      </x:c>
      <x:c r="D52" s="27" t="str">
        <x:v>IND-000049</x:v>
      </x:c>
      <x:c r="E52" s="27" t="str">
        <x:v>FX Swap</x:v>
      </x:c>
      <x:c r="F52" s="27" t="str">
        <x:v>FX</x:v>
      </x:c>
      <x:c r="G52" s="27"/>
      <x:c r="H52" s="27" t="str">
        <x:v>USD</x:v>
      </x:c>
      <x:c r="I52" s="27" t="str">
        <x:v>JPY</x:v>
      </x:c>
      <x:c r="J52" s="27" t="str">
        <x:v>USD</x:v>
      </x:c>
      <x:c r="K52" s="27"/>
      <x:c r="L52" s="27"/>
      <x:c r="M52" s="27" t="str">
        <x:v>USD/JPY</x:v>
      </x:c>
      <x:c r="N52" s="27"/>
      <x:c r="O52" s="27"/>
      <x:c r="P52" s="27" t="n">
        <x:v>47329</x:v>
      </x:c>
      <x:c r="Q52" s="27" t="n">
        <x:v>44822</x:v>
      </x:c>
      <x:c r="R52" s="27" t="n">
        <x:v>47329</x:v>
      </x:c>
      <x:c r="S52" s="27" t="n">
        <x:v>113000000</x:v>
      </x:c>
      <x:c r="T52" s="27" t="n">
        <x:v>16865671641.79</x:v>
      </x:c>
      <x:c r="U52" s="27" t="n">
        <x:v>113000000</x:v>
      </x:c>
      <x:c r="V52" s="27" t="str">
        <x:v>M</x:v>
      </x:c>
      <x:c r="W52" s="27" t="str">
        <x:v>N</x:v>
      </x:c>
      <x:c r="X52" s="27" t="n">
        <x:v>10</x:v>
      </x:c>
      <x:c r="Y52" s="27" t="str">
        <x:v>S</x:v>
      </x:c>
      <x:c r="Z52" s="27"/>
      <x:c r="AA52" s="27"/>
      <x:c r="AB52" s="27" t="n">
        <x:v>0</x:v>
      </x:c>
      <x:c r="AC52" s="27" t="n">
        <x:v>0</x:v>
      </x:c>
      <x:c r="AD52" s="27" t="n">
        <x:v>-924340</x:v>
      </x:c>
      <x:c r="AE52" s="27" t="str">
        <x:v>Public-safe anonymized industry-style SA-CCR sample</x:v>
      </x:c>
      <x:c r="AF52" s="27" t="str">
        <x:v>ANON-000049</x:v>
      </x:c>
      <x:c r="AG52" s="27" t="str">
        <x:v>FX Swap</x:v>
      </x:c>
      <x:c r="AH52" s="27"/>
      <x:c r="AI52" s="27" t="str">
        <x:v>USD/JPY</x:v>
      </x:c>
      <x:c r="AJ52" s="27" t="n">
        <x:v>1627</x:v>
      </x:c>
      <x:c r="AK52" s="27" t="n">
        <x:v>4.457534246575342</x:v>
      </x:c>
      <x:c r="AL52" s="27" t="str">
        <x:v>1Y-5Y</x:v>
      </x:c>
      <x:c r="AM52" s="27"/>
      <x:c r="AN52" s="27" t="str">
        <x:v>Unknown</x:v>
      </x:c>
      <x:c r="AO52" s="27" t="str">
        <x:v>JPY/USD</x:v>
      </x:c>
      <x:c r="AP52" s="27" t="str">
        <x:v>M</x:v>
      </x:c>
      <x:c r="AQ52" s="27" t="n">
        <x:v>0.04</x:v>
      </x:c>
      <x:c r="AR52" s="27" t="n">
        <x:v>1</x:v>
      </x:c>
      <x:c r="AS52" s="27" t="n">
        <x:v>0.04</x:v>
      </x:c>
      <x:c r="AT52" s="27"/>
      <x:c r="AU52" s="27" t="n">
        <x:v>1</x:v>
      </x:c>
      <x:c r="AV52" s="27" t="n">
        <x:v>113000000</x:v>
      </x:c>
      <x:c r="AW52" s="27" t="n">
        <x:v>0.15</x:v>
      </x:c>
      <x:c r="AX52" s="27" t="n">
        <x:v>-1</x:v>
      </x:c>
      <x:c r="AY52" s="27" t="n">
        <x:v>0.30000000000000004</x:v>
      </x:c>
      <x:c r="AZ52" s="27" t="n">
        <x:v>-33900000.00000001</x:v>
      </x:c>
    </x:row>
    <x:row r="53">
      <x:c r="A53" s="27" t="n">
        <x:v>45702</x:v>
      </x:c>
      <x:c r="B53" s="27" t="str">
        <x:v>IND_PENSION_001</x:v>
      </x:c>
      <x:c r="C53" s="27" t="n">
        <x:v>3294</x:v>
      </x:c>
      <x:c r="D53" s="27" t="str">
        <x:v>IND-000050</x:v>
      </x:c>
      <x:c r="E53" s="27" t="str">
        <x:v>FX Swap</x:v>
      </x:c>
      <x:c r="F53" s="27" t="str">
        <x:v>FX</x:v>
      </x:c>
      <x:c r="G53" s="27"/>
      <x:c r="H53" s="27" t="str">
        <x:v>EUR</x:v>
      </x:c>
      <x:c r="I53" s="27" t="str">
        <x:v>USD</x:v>
      </x:c>
      <x:c r="J53" s="27" t="str">
        <x:v>USD</x:v>
      </x:c>
      <x:c r="K53" s="27"/>
      <x:c r="L53" s="27"/>
      <x:c r="M53" s="27" t="str">
        <x:v>EUR/USD</x:v>
      </x:c>
      <x:c r="N53" s="27"/>
      <x:c r="O53" s="27"/>
      <x:c r="P53" s="27" t="n">
        <x:v>47476</x:v>
      </x:c>
      <x:c r="Q53" s="27" t="n">
        <x:v>45286</x:v>
      </x:c>
      <x:c r="R53" s="27" t="n">
        <x:v>47476</x:v>
      </x:c>
      <x:c r="S53" s="27" t="n">
        <x:v>4380952.38</x:v>
      </x:c>
      <x:c r="T53" s="27" t="n">
        <x:v>4600000</x:v>
      </x:c>
      <x:c r="U53" s="27" t="n">
        <x:v>4600000</x:v>
      </x:c>
      <x:c r="V53" s="27" t="str">
        <x:v>M</x:v>
      </x:c>
      <x:c r="W53" s="27" t="str">
        <x:v>N</x:v>
      </x:c>
      <x:c r="X53" s="27" t="n">
        <x:v>10</x:v>
      </x:c>
      <x:c r="Y53" s="27" t="str">
        <x:v>B</x:v>
      </x:c>
      <x:c r="Z53" s="27"/>
      <x:c r="AA53" s="27"/>
      <x:c r="AB53" s="27" t="n">
        <x:v>0</x:v>
      </x:c>
      <x:c r="AC53" s="27" t="n">
        <x:v>0</x:v>
      </x:c>
      <x:c r="AD53" s="27" t="n">
        <x:v>8924</x:v>
      </x:c>
      <x:c r="AE53" s="27" t="str">
        <x:v>Public-safe anonymized industry-style SA-CCR sample</x:v>
      </x:c>
      <x:c r="AF53" s="27" t="str">
        <x:v>ANON-000050</x:v>
      </x:c>
      <x:c r="AG53" s="27" t="str">
        <x:v>FX Swap</x:v>
      </x:c>
      <x:c r="AH53" s="27"/>
      <x:c r="AI53" s="27" t="str">
        <x:v>EUR/USD</x:v>
      </x:c>
      <x:c r="AJ53" s="27" t="n">
        <x:v>1774</x:v>
      </x:c>
      <x:c r="AK53" s="27" t="n">
        <x:v>4.86027397260274</x:v>
      </x:c>
      <x:c r="AL53" s="27" t="str">
        <x:v>1Y-5Y</x:v>
      </x:c>
      <x:c r="AM53" s="27"/>
      <x:c r="AN53" s="27" t="str">
        <x:v>Unknown</x:v>
      </x:c>
      <x:c r="AO53" s="27" t="str">
        <x:v>EUR/USD</x:v>
      </x:c>
      <x:c r="AP53" s="27" t="str">
        <x:v>M</x:v>
      </x:c>
      <x:c r="AQ53" s="27" t="n">
        <x:v>0.04</x:v>
      </x:c>
      <x:c r="AR53" s="27" t="n">
        <x:v>1</x:v>
      </x:c>
      <x:c r="AS53" s="27" t="n">
        <x:v>0.04</x:v>
      </x:c>
      <x:c r="AT53" s="27"/>
      <x:c r="AU53" s="27" t="n">
        <x:v>1</x:v>
      </x:c>
      <x:c r="AV53" s="27" t="n">
        <x:v>4600000</x:v>
      </x:c>
      <x:c r="AW53" s="27" t="n">
        <x:v>0.15</x:v>
      </x:c>
      <x:c r="AX53" s="27" t="n">
        <x:v>1</x:v>
      </x:c>
      <x:c r="AY53" s="27" t="n">
        <x:v>0.30000000000000004</x:v>
      </x:c>
      <x:c r="AZ53" s="27" t="n">
        <x:v>1380000.0000000002</x:v>
      </x:c>
    </x:row>
    <x:row r="54">
      <x:c r="A54" s="27" t="n">
        <x:v>45702</x:v>
      </x:c>
      <x:c r="B54" s="27" t="str">
        <x:v>IND_CORPORATE_001</x:v>
      </x:c>
      <x:c r="C54" s="27" t="n">
        <x:v>3040</x:v>
      </x:c>
      <x:c r="D54" s="27" t="str">
        <x:v>IND-000051</x:v>
      </x:c>
      <x:c r="E54" s="27" t="str">
        <x:v>FX Swap</x:v>
      </x:c>
      <x:c r="F54" s="27" t="str">
        <x:v>FX</x:v>
      </x:c>
      <x:c r="G54" s="27"/>
      <x:c r="H54" s="27" t="str">
        <x:v>EUR</x:v>
      </x:c>
      <x:c r="I54" s="27" t="str">
        <x:v>USD</x:v>
      </x:c>
      <x:c r="J54" s="27" t="str">
        <x:v>USD</x:v>
      </x:c>
      <x:c r="K54" s="27"/>
      <x:c r="L54" s="27"/>
      <x:c r="M54" s="27" t="str">
        <x:v>EUR/USD</x:v>
      </x:c>
      <x:c r="N54" s="27"/>
      <x:c r="O54" s="27"/>
      <x:c r="P54" s="27" t="n">
        <x:v>47382</x:v>
      </x:c>
      <x:c r="Q54" s="27" t="n">
        <x:v>45222</x:v>
      </x:c>
      <x:c r="R54" s="27" t="n">
        <x:v>47382</x:v>
      </x:c>
      <x:c r="S54" s="27" t="n">
        <x:v>73142857.14</x:v>
      </x:c>
      <x:c r="T54" s="27" t="n">
        <x:v>76800000</x:v>
      </x:c>
      <x:c r="U54" s="27" t="n">
        <x:v>76800000</x:v>
      </x:c>
      <x:c r="V54" s="27" t="str">
        <x:v>M</x:v>
      </x:c>
      <x:c r="W54" s="27" t="str">
        <x:v>N</x:v>
      </x:c>
      <x:c r="X54" s="27" t="n">
        <x:v>10</x:v>
      </x:c>
      <x:c r="Y54" s="27" t="str">
        <x:v>S</x:v>
      </x:c>
      <x:c r="Z54" s="27"/>
      <x:c r="AA54" s="27"/>
      <x:c r="AB54" s="27" t="n">
        <x:v>0</x:v>
      </x:c>
      <x:c r="AC54" s="27" t="n">
        <x:v>0</x:v>
      </x:c>
      <x:c r="AD54" s="27" t="n">
        <x:v>-763392</x:v>
      </x:c>
      <x:c r="AE54" s="27" t="str">
        <x:v>Public-safe anonymized industry-style SA-CCR sample</x:v>
      </x:c>
      <x:c r="AF54" s="27" t="str">
        <x:v>ANON-000051</x:v>
      </x:c>
      <x:c r="AG54" s="27" t="str">
        <x:v>FX Swap</x:v>
      </x:c>
      <x:c r="AH54" s="27"/>
      <x:c r="AI54" s="27" t="str">
        <x:v>EUR/USD</x:v>
      </x:c>
      <x:c r="AJ54" s="27" t="n">
        <x:v>1680</x:v>
      </x:c>
      <x:c r="AK54" s="27" t="n">
        <x:v>4.602739726027397</x:v>
      </x:c>
      <x:c r="AL54" s="27" t="str">
        <x:v>1Y-5Y</x:v>
      </x:c>
      <x:c r="AM54" s="27"/>
      <x:c r="AN54" s="27" t="str">
        <x:v>Unknown</x:v>
      </x:c>
      <x:c r="AO54" s="27" t="str">
        <x:v>EUR/USD</x:v>
      </x:c>
      <x:c r="AP54" s="27" t="str">
        <x:v>M</x:v>
      </x:c>
      <x:c r="AQ54" s="27" t="n">
        <x:v>0.04</x:v>
      </x:c>
      <x:c r="AR54" s="27" t="n">
        <x:v>1</x:v>
      </x:c>
      <x:c r="AS54" s="27" t="n">
        <x:v>0.04</x:v>
      </x:c>
      <x:c r="AT54" s="27"/>
      <x:c r="AU54" s="27" t="n">
        <x:v>1</x:v>
      </x:c>
      <x:c r="AV54" s="27" t="n">
        <x:v>76800000</x:v>
      </x:c>
      <x:c r="AW54" s="27" t="n">
        <x:v>0.15</x:v>
      </x:c>
      <x:c r="AX54" s="27" t="n">
        <x:v>-1</x:v>
      </x:c>
      <x:c r="AY54" s="27" t="n">
        <x:v>0.30000000000000004</x:v>
      </x:c>
      <x:c r="AZ54" s="27" t="n">
        <x:v>-23040000.000000004</x:v>
      </x:c>
    </x:row>
    <x:row r="55">
      <x:c r="A55" s="27" t="n">
        <x:v>45702</x:v>
      </x:c>
      <x:c r="B55" s="27" t="str">
        <x:v>IND_PENSION_001</x:v>
      </x:c>
      <x:c r="C55" s="27" t="n">
        <x:v>3254</x:v>
      </x:c>
      <x:c r="D55" s="27" t="str">
        <x:v>IND-000052</x:v>
      </x:c>
      <x:c r="E55" s="27" t="str">
        <x:v>FX Swap</x:v>
      </x:c>
      <x:c r="F55" s="27" t="str">
        <x:v>FX</x:v>
      </x:c>
      <x:c r="G55" s="27"/>
      <x:c r="H55" s="27" t="str">
        <x:v>EUR</x:v>
      </x:c>
      <x:c r="I55" s="27" t="str">
        <x:v>USD</x:v>
      </x:c>
      <x:c r="J55" s="27" t="str">
        <x:v>USD</x:v>
      </x:c>
      <x:c r="K55" s="27"/>
      <x:c r="L55" s="27"/>
      <x:c r="M55" s="27" t="str">
        <x:v>EUR/USD</x:v>
      </x:c>
      <x:c r="N55" s="27"/>
      <x:c r="O55" s="27"/>
      <x:c r="P55" s="27" t="n">
        <x:v>45997</x:v>
      </x:c>
      <x:c r="Q55" s="27" t="n">
        <x:v>44931</x:v>
      </x:c>
      <x:c r="R55" s="27" t="n">
        <x:v>45997</x:v>
      </x:c>
      <x:c r="S55" s="27" t="n">
        <x:v>62190476.19</x:v>
      </x:c>
      <x:c r="T55" s="27" t="n">
        <x:v>65300000</x:v>
      </x:c>
      <x:c r="U55" s="27" t="n">
        <x:v>65300000</x:v>
      </x:c>
      <x:c r="V55" s="27" t="str">
        <x:v>U</x:v>
      </x:c>
      <x:c r="W55" s="27" t="str">
        <x:v>N</x:v>
      </x:c>
      <x:c r="X55" s="27"/>
      <x:c r="Y55" s="27" t="str">
        <x:v>B</x:v>
      </x:c>
      <x:c r="Z55" s="27"/>
      <x:c r="AA55" s="27"/>
      <x:c r="AB55" s="27" t="n">
        <x:v>0</x:v>
      </x:c>
      <x:c r="AC55" s="27" t="n">
        <x:v>0</x:v>
      </x:c>
      <x:c r="AD55" s="27" t="n">
        <x:v>-651694</x:v>
      </x:c>
      <x:c r="AE55" s="27" t="str">
        <x:v>Public-safe anonymized industry-style SA-CCR sample</x:v>
      </x:c>
      <x:c r="AF55" s="27" t="str">
        <x:v>ANON-000052</x:v>
      </x:c>
      <x:c r="AG55" s="27" t="str">
        <x:v>FX Swap</x:v>
      </x:c>
      <x:c r="AH55" s="27"/>
      <x:c r="AI55" s="27" t="str">
        <x:v>EUR/USD</x:v>
      </x:c>
      <x:c r="AJ55" s="27" t="n">
        <x:v>295</x:v>
      </x:c>
      <x:c r="AK55" s="27" t="n">
        <x:v>0.8082191780821918</x:v>
      </x:c>
      <x:c r="AL55" s="27" t="str">
        <x:v>&lt;1Y</x:v>
      </x:c>
      <x:c r="AM55" s="27"/>
      <x:c r="AN55" s="27" t="str">
        <x:v>Unknown</x:v>
      </x:c>
      <x:c r="AO55" s="27" t="str">
        <x:v>EUR/USD</x:v>
      </x:c>
      <x:c r="AP55" s="27" t="str">
        <x:v>U</x:v>
      </x:c>
      <x:c r="AQ55" s="27" t="n">
        <x:v>0.04</x:v>
      </x:c>
      <x:c r="AR55" s="27" t="n">
        <x:v>1</x:v>
      </x:c>
      <x:c r="AS55" s="27" t="n">
        <x:v>0.04</x:v>
      </x:c>
      <x:c r="AT55" s="27"/>
      <x:c r="AU55" s="27" t="n">
        <x:v>1</x:v>
      </x:c>
      <x:c r="AV55" s="27" t="n">
        <x:v>65300000</x:v>
      </x:c>
      <x:c r="AW55" s="27" t="n">
        <x:v>0.15</x:v>
      </x:c>
      <x:c r="AX55" s="27" t="n">
        <x:v>1</x:v>
      </x:c>
      <x:c r="AY55" s="27" t="n">
        <x:v>0.8990101101112221</x:v>
      </x:c>
      <x:c r="AZ55" s="27" t="n">
        <x:v>58705360.1902628</x:v>
      </x:c>
    </x:row>
    <x:row r="56">
      <x:c r="A56" s="27" t="n">
        <x:v>45702</x:v>
      </x:c>
      <x:c r="B56" s="27" t="str">
        <x:v>IND_CLEARING_MEMBER_001</x:v>
      </x:c>
      <x:c r="C56" s="27" t="n">
        <x:v>3206</x:v>
      </x:c>
      <x:c r="D56" s="27" t="str">
        <x:v>IND-000053</x:v>
      </x:c>
      <x:c r="E56" s="27" t="str">
        <x:v>FX Swap</x:v>
      </x:c>
      <x:c r="F56" s="27" t="str">
        <x:v>FX</x:v>
      </x:c>
      <x:c r="G56" s="27"/>
      <x:c r="H56" s="27" t="str">
        <x:v>USD</x:v>
      </x:c>
      <x:c r="I56" s="27" t="str">
        <x:v>JPY</x:v>
      </x:c>
      <x:c r="J56" s="27" t="str">
        <x:v>USD</x:v>
      </x:c>
      <x:c r="K56" s="27"/>
      <x:c r="L56" s="27"/>
      <x:c r="M56" s="27" t="str">
        <x:v>USD/JPY</x:v>
      </x:c>
      <x:c r="N56" s="27"/>
      <x:c r="O56" s="27"/>
      <x:c r="P56" s="27" t="n">
        <x:v>47679</x:v>
      </x:c>
      <x:c r="Q56" s="27" t="n">
        <x:v>45054</x:v>
      </x:c>
      <x:c r="R56" s="27" t="n">
        <x:v>47679</x:v>
      </x:c>
      <x:c r="S56" s="27" t="n">
        <x:v>39300000</x:v>
      </x:c>
      <x:c r="T56" s="27" t="n">
        <x:v>5865671641.79</x:v>
      </x:c>
      <x:c r="U56" s="27" t="n">
        <x:v>39300000</x:v>
      </x:c>
      <x:c r="V56" s="27" t="str">
        <x:v>M</x:v>
      </x:c>
      <x:c r="W56" s="27" t="str">
        <x:v>N</x:v>
      </x:c>
      <x:c r="X56" s="27" t="n">
        <x:v>10</x:v>
      </x:c>
      <x:c r="Y56" s="27" t="str">
        <x:v>B</x:v>
      </x:c>
      <x:c r="Z56" s="27"/>
      <x:c r="AA56" s="27"/>
      <x:c r="AB56" s="27" t="n">
        <x:v>0</x:v>
      </x:c>
      <x:c r="AC56" s="27" t="n">
        <x:v>0</x:v>
      </x:c>
      <x:c r="AD56" s="27" t="n">
        <x:v>331692</x:v>
      </x:c>
      <x:c r="AE56" s="27" t="str">
        <x:v>Public-safe anonymized industry-style SA-CCR sample</x:v>
      </x:c>
      <x:c r="AF56" s="27" t="str">
        <x:v>ANON-000053</x:v>
      </x:c>
      <x:c r="AG56" s="27" t="str">
        <x:v>FX Swap</x:v>
      </x:c>
      <x:c r="AH56" s="27"/>
      <x:c r="AI56" s="27" t="str">
        <x:v>USD/JPY</x:v>
      </x:c>
      <x:c r="AJ56" s="27" t="n">
        <x:v>1977</x:v>
      </x:c>
      <x:c r="AK56" s="27" t="n">
        <x:v>5.416438356164384</x:v>
      </x:c>
      <x:c r="AL56" s="27" t="str">
        <x:v>&gt;5Y</x:v>
      </x:c>
      <x:c r="AM56" s="27"/>
      <x:c r="AN56" s="27" t="str">
        <x:v>Unknown</x:v>
      </x:c>
      <x:c r="AO56" s="27" t="str">
        <x:v>JPY/USD</x:v>
      </x:c>
      <x:c r="AP56" s="27" t="str">
        <x:v>M</x:v>
      </x:c>
      <x:c r="AQ56" s="27" t="n">
        <x:v>0.04</x:v>
      </x:c>
      <x:c r="AR56" s="27" t="n">
        <x:v>1</x:v>
      </x:c>
      <x:c r="AS56" s="27" t="n">
        <x:v>0.04</x:v>
      </x:c>
      <x:c r="AT56" s="27"/>
      <x:c r="AU56" s="27" t="n">
        <x:v>1</x:v>
      </x:c>
      <x:c r="AV56" s="27" t="n">
        <x:v>39300000</x:v>
      </x:c>
      <x:c r="AW56" s="27" t="n">
        <x:v>0.15</x:v>
      </x:c>
      <x:c r="AX56" s="27" t="n">
        <x:v>1</x:v>
      </x:c>
      <x:c r="AY56" s="27" t="n">
        <x:v>0.30000000000000004</x:v>
      </x:c>
      <x:c r="AZ56" s="27" t="n">
        <x:v>11790000.000000002</x:v>
      </x:c>
    </x:row>
    <x:row r="57">
      <x:c r="A57" s="27" t="n">
        <x:v>45702</x:v>
      </x:c>
      <x:c r="B57" s="27" t="str">
        <x:v>IND_REGIONAL_BANK_001</x:v>
      </x:c>
      <x:c r="C57" s="27" t="n">
        <x:v>3210</x:v>
      </x:c>
      <x:c r="D57" s="27" t="str">
        <x:v>IND-000054</x:v>
      </x:c>
      <x:c r="E57" s="27" t="str">
        <x:v>FX Swap</x:v>
      </x:c>
      <x:c r="F57" s="27" t="str">
        <x:v>FX</x:v>
      </x:c>
      <x:c r="G57" s="27"/>
      <x:c r="H57" s="27" t="str">
        <x:v>USD</x:v>
      </x:c>
      <x:c r="I57" s="27" t="str">
        <x:v>CNH</x:v>
      </x:c>
      <x:c r="J57" s="27" t="str">
        <x:v>USD</x:v>
      </x:c>
      <x:c r="K57" s="27"/>
      <x:c r="L57" s="27"/>
      <x:c r="M57" s="27" t="str">
        <x:v>USD/CNH</x:v>
      </x:c>
      <x:c r="N57" s="27"/>
      <x:c r="O57" s="27"/>
      <x:c r="P57" s="27" t="n">
        <x:v>47096</x:v>
      </x:c>
      <x:c r="Q57" s="27" t="n">
        <x:v>44841</x:v>
      </x:c>
      <x:c r="R57" s="27" t="n">
        <x:v>47096</x:v>
      </x:c>
      <x:c r="S57" s="27" t="n">
        <x:v>142000000</x:v>
      </x:c>
      <x:c r="T57" s="27" t="n">
        <x:v>1014285714.29</x:v>
      </x:c>
      <x:c r="U57" s="27" t="n">
        <x:v>142000000</x:v>
      </x:c>
      <x:c r="V57" s="27" t="str">
        <x:v>M</x:v>
      </x:c>
      <x:c r="W57" s="27" t="str">
        <x:v>N</x:v>
      </x:c>
      <x:c r="X57" s="27" t="n">
        <x:v>10</x:v>
      </x:c>
      <x:c r="Y57" s="27" t="str">
        <x:v>B</x:v>
      </x:c>
      <x:c r="Z57" s="27"/>
      <x:c r="AA57" s="27"/>
      <x:c r="AB57" s="27" t="n">
        <x:v>0</x:v>
      </x:c>
      <x:c r="AC57" s="27" t="n">
        <x:v>0</x:v>
      </x:c>
      <x:c r="AD57" s="27" t="n">
        <x:v>-630480</x:v>
      </x:c>
      <x:c r="AE57" s="27" t="str">
        <x:v>Public-safe anonymized industry-style SA-CCR sample</x:v>
      </x:c>
      <x:c r="AF57" s="27" t="str">
        <x:v>ANON-000054</x:v>
      </x:c>
      <x:c r="AG57" s="27" t="str">
        <x:v>FX Swap</x:v>
      </x:c>
      <x:c r="AH57" s="27"/>
      <x:c r="AI57" s="27" t="str">
        <x:v>USD/CNH</x:v>
      </x:c>
      <x:c r="AJ57" s="27" t="n">
        <x:v>1394</x:v>
      </x:c>
      <x:c r="AK57" s="27" t="n">
        <x:v>3.819178082191781</x:v>
      </x:c>
      <x:c r="AL57" s="27" t="str">
        <x:v>1Y-5Y</x:v>
      </x:c>
      <x:c r="AM57" s="27"/>
      <x:c r="AN57" s="27" t="str">
        <x:v>Unknown</x:v>
      </x:c>
      <x:c r="AO57" s="27" t="str">
        <x:v>CNH/USD</x:v>
      </x:c>
      <x:c r="AP57" s="27" t="str">
        <x:v>M</x:v>
      </x:c>
      <x:c r="AQ57" s="27" t="n">
        <x:v>0.04</x:v>
      </x:c>
      <x:c r="AR57" s="27" t="n">
        <x:v>1</x:v>
      </x:c>
      <x:c r="AS57" s="27" t="n">
        <x:v>0.04</x:v>
      </x:c>
      <x:c r="AT57" s="27"/>
      <x:c r="AU57" s="27" t="n">
        <x:v>1</x:v>
      </x:c>
      <x:c r="AV57" s="27" t="n">
        <x:v>142000000</x:v>
      </x:c>
      <x:c r="AW57" s="27" t="n">
        <x:v>0.15</x:v>
      </x:c>
      <x:c r="AX57" s="27" t="n">
        <x:v>1</x:v>
      </x:c>
      <x:c r="AY57" s="27" t="n">
        <x:v>0.30000000000000004</x:v>
      </x:c>
      <x:c r="AZ57" s="27" t="n">
        <x:v>42600000.00000001</x:v>
      </x:c>
    </x:row>
    <x:row r="58">
      <x:c r="A58" s="27" t="n">
        <x:v>45702</x:v>
      </x:c>
      <x:c r="B58" s="27" t="str">
        <x:v>IND_BANK_001</x:v>
      </x:c>
      <x:c r="C58" s="27" t="n">
        <x:v>3214</x:v>
      </x:c>
      <x:c r="D58" s="27" t="str">
        <x:v>IND-000055</x:v>
      </x:c>
      <x:c r="E58" s="27" t="str">
        <x:v>FX Swap</x:v>
      </x:c>
      <x:c r="F58" s="27" t="str">
        <x:v>FX</x:v>
      </x:c>
      <x:c r="G58" s="27"/>
      <x:c r="H58" s="27" t="str">
        <x:v>USD</x:v>
      </x:c>
      <x:c r="I58" s="27" t="str">
        <x:v>CNY</x:v>
      </x:c>
      <x:c r="J58" s="27" t="str">
        <x:v>USD</x:v>
      </x:c>
      <x:c r="K58" s="27"/>
      <x:c r="L58" s="27"/>
      <x:c r="M58" s="27" t="str">
        <x:v>USD/CNY</x:v>
      </x:c>
      <x:c r="N58" s="27"/>
      <x:c r="O58" s="27"/>
      <x:c r="P58" s="27" t="n">
        <x:v>47698</x:v>
      </x:c>
      <x:c r="Q58" s="27" t="n">
        <x:v>45127</x:v>
      </x:c>
      <x:c r="R58" s="27" t="n">
        <x:v>47698</x:v>
      </x:c>
      <x:c r="S58" s="27" t="n">
        <x:v>89700000</x:v>
      </x:c>
      <x:c r="T58" s="27" t="n">
        <x:v>640714285.71</x:v>
      </x:c>
      <x:c r="U58" s="27" t="n">
        <x:v>89700000</x:v>
      </x:c>
      <x:c r="V58" s="27" t="str">
        <x:v>U</x:v>
      </x:c>
      <x:c r="W58" s="27" t="str">
        <x:v>N</x:v>
      </x:c>
      <x:c r="X58" s="27"/>
      <x:c r="Y58" s="27" t="str">
        <x:v>S</x:v>
      </x:c>
      <x:c r="Z58" s="27"/>
      <x:c r="AA58" s="27"/>
      <x:c r="AB58" s="27" t="n">
        <x:v>0</x:v>
      </x:c>
      <x:c r="AC58" s="27" t="n">
        <x:v>0</x:v>
      </x:c>
      <x:c r="AD58" s="27" t="n">
        <x:v>-66378</x:v>
      </x:c>
      <x:c r="AE58" s="27" t="str">
        <x:v>Public-safe anonymized industry-style SA-CCR sample</x:v>
      </x:c>
      <x:c r="AF58" s="27" t="str">
        <x:v>ANON-000055</x:v>
      </x:c>
      <x:c r="AG58" s="27" t="str">
        <x:v>FX Swap</x:v>
      </x:c>
      <x:c r="AH58" s="27"/>
      <x:c r="AI58" s="27" t="str">
        <x:v>USD/CNY</x:v>
      </x:c>
      <x:c r="AJ58" s="27" t="n">
        <x:v>1996</x:v>
      </x:c>
      <x:c r="AK58" s="27" t="n">
        <x:v>5.468493150684932</x:v>
      </x:c>
      <x:c r="AL58" s="27" t="str">
        <x:v>&gt;5Y</x:v>
      </x:c>
      <x:c r="AM58" s="27"/>
      <x:c r="AN58" s="27" t="str">
        <x:v>Unknown</x:v>
      </x:c>
      <x:c r="AO58" s="27" t="str">
        <x:v>CNY/USD</x:v>
      </x:c>
      <x:c r="AP58" s="27" t="str">
        <x:v>U</x:v>
      </x:c>
      <x:c r="AQ58" s="27" t="n">
        <x:v>0.04</x:v>
      </x:c>
      <x:c r="AR58" s="27" t="n">
        <x:v>1</x:v>
      </x:c>
      <x:c r="AS58" s="27" t="n">
        <x:v>0.04</x:v>
      </x:c>
      <x:c r="AT58" s="27"/>
      <x:c r="AU58" s="27" t="n">
        <x:v>1</x:v>
      </x:c>
      <x:c r="AV58" s="27" t="n">
        <x:v>89700000</x:v>
      </x:c>
      <x:c r="AW58" s="27" t="n">
        <x:v>0.15</x:v>
      </x:c>
      <x:c r="AX58" s="27" t="n">
        <x:v>-1</x:v>
      </x:c>
      <x:c r="AY58" s="27" t="n">
        <x:v>1</x:v>
      </x:c>
      <x:c r="AZ58" s="27" t="n">
        <x:v>-89700000</x:v>
      </x:c>
    </x:row>
    <x:row r="59">
      <x:c r="A59" s="27" t="n">
        <x:v>45702</x:v>
      </x:c>
      <x:c r="B59" s="27" t="str">
        <x:v>IND_CLEARING_MEMBER_001</x:v>
      </x:c>
      <x:c r="C59" s="27" t="n">
        <x:v>3206</x:v>
      </x:c>
      <x:c r="D59" s="27" t="str">
        <x:v>IND-000056</x:v>
      </x:c>
      <x:c r="E59" s="27" t="str">
        <x:v>FX Swap</x:v>
      </x:c>
      <x:c r="F59" s="27" t="str">
        <x:v>FX</x:v>
      </x:c>
      <x:c r="G59" s="27"/>
      <x:c r="H59" s="27" t="str">
        <x:v>USD</x:v>
      </x:c>
      <x:c r="I59" s="27" t="str">
        <x:v>JPY</x:v>
      </x:c>
      <x:c r="J59" s="27" t="str">
        <x:v>USD</x:v>
      </x:c>
      <x:c r="K59" s="27"/>
      <x:c r="L59" s="27"/>
      <x:c r="M59" s="27" t="str">
        <x:v>USD/JPY</x:v>
      </x:c>
      <x:c r="N59" s="27"/>
      <x:c r="O59" s="27"/>
      <x:c r="P59" s="27" t="n">
        <x:v>47047</x:v>
      </x:c>
      <x:c r="Q59" s="27" t="n">
        <x:v>45192</x:v>
      </x:c>
      <x:c r="R59" s="27" t="n">
        <x:v>47047</x:v>
      </x:c>
      <x:c r="S59" s="27" t="n">
        <x:v>2200000</x:v>
      </x:c>
      <x:c r="T59" s="27" t="n">
        <x:v>328358208.96</x:v>
      </x:c>
      <x:c r="U59" s="27" t="n">
        <x:v>2200000</x:v>
      </x:c>
      <x:c r="V59" s="27" t="str">
        <x:v>M</x:v>
      </x:c>
      <x:c r="W59" s="27" t="str">
        <x:v>N</x:v>
      </x:c>
      <x:c r="X59" s="27" t="n">
        <x:v>10</x:v>
      </x:c>
      <x:c r="Y59" s="27" t="str">
        <x:v>B</x:v>
      </x:c>
      <x:c r="Z59" s="27"/>
      <x:c r="AA59" s="27"/>
      <x:c r="AB59" s="27" t="n">
        <x:v>0</x:v>
      </x:c>
      <x:c r="AC59" s="27" t="n">
        <x:v>0</x:v>
      </x:c>
      <x:c r="AD59" s="27" t="n">
        <x:v>-18084</x:v>
      </x:c>
      <x:c r="AE59" s="27" t="str">
        <x:v>Public-safe anonymized industry-style SA-CCR sample</x:v>
      </x:c>
      <x:c r="AF59" s="27" t="str">
        <x:v>ANON-000056</x:v>
      </x:c>
      <x:c r="AG59" s="27" t="str">
        <x:v>FX Swap</x:v>
      </x:c>
      <x:c r="AH59" s="27"/>
      <x:c r="AI59" s="27" t="str">
        <x:v>USD/JPY</x:v>
      </x:c>
      <x:c r="AJ59" s="27" t="n">
        <x:v>1345</x:v>
      </x:c>
      <x:c r="AK59" s="27" t="n">
        <x:v>3.684931506849315</x:v>
      </x:c>
      <x:c r="AL59" s="27" t="str">
        <x:v>1Y-5Y</x:v>
      </x:c>
      <x:c r="AM59" s="27"/>
      <x:c r="AN59" s="27" t="str">
        <x:v>Unknown</x:v>
      </x:c>
      <x:c r="AO59" s="27" t="str">
        <x:v>JPY/USD</x:v>
      </x:c>
      <x:c r="AP59" s="27" t="str">
        <x:v>M</x:v>
      </x:c>
      <x:c r="AQ59" s="27" t="n">
        <x:v>0.04</x:v>
      </x:c>
      <x:c r="AR59" s="27" t="n">
        <x:v>1</x:v>
      </x:c>
      <x:c r="AS59" s="27" t="n">
        <x:v>0.04</x:v>
      </x:c>
      <x:c r="AT59" s="27"/>
      <x:c r="AU59" s="27" t="n">
        <x:v>1</x:v>
      </x:c>
      <x:c r="AV59" s="27" t="n">
        <x:v>2200000</x:v>
      </x:c>
      <x:c r="AW59" s="27" t="n">
        <x:v>0.15</x:v>
      </x:c>
      <x:c r="AX59" s="27" t="n">
        <x:v>1</x:v>
      </x:c>
      <x:c r="AY59" s="27" t="n">
        <x:v>0.30000000000000004</x:v>
      </x:c>
      <x:c r="AZ59" s="27" t="n">
        <x:v>660000.0000000001</x:v>
      </x:c>
    </x:row>
    <x:row r="60">
      <x:c r="A60" s="27" t="n">
        <x:v>45702</x:v>
      </x:c>
      <x:c r="B60" s="27" t="str">
        <x:v>IND_CORPORATE_002</x:v>
      </x:c>
      <x:c r="C60" s="27" t="n">
        <x:v>3346</x:v>
      </x:c>
      <x:c r="D60" s="27" t="str">
        <x:v>IND-000057</x:v>
      </x:c>
      <x:c r="E60" s="27" t="str">
        <x:v>FX Option</x:v>
      </x:c>
      <x:c r="F60" s="27" t="str">
        <x:v>FX</x:v>
      </x:c>
      <x:c r="G60" s="27"/>
      <x:c r="H60" s="27" t="str">
        <x:v>GBP</x:v>
      </x:c>
      <x:c r="I60" s="27" t="str">
        <x:v>USD</x:v>
      </x:c>
      <x:c r="J60" s="27" t="str">
        <x:v>USD</x:v>
      </x:c>
      <x:c r="K60" s="27"/>
      <x:c r="L60" s="27"/>
      <x:c r="M60" s="27" t="str">
        <x:v>GBP/USD</x:v>
      </x:c>
      <x:c r="N60" s="27"/>
      <x:c r="O60" s="27"/>
      <x:c r="P60" s="27" t="n">
        <x:v>47100</x:v>
      </x:c>
      <x:c r="Q60" s="27" t="n">
        <x:v>45163</x:v>
      </x:c>
      <x:c r="R60" s="27" t="n">
        <x:v>47100</x:v>
      </x:c>
      <x:c r="S60" s="27" t="n">
        <x:v>112000000</x:v>
      </x:c>
      <x:c r="T60" s="27" t="n">
        <x:v>140000000</x:v>
      </x:c>
      <x:c r="U60" s="27" t="n">
        <x:v>140000000</x:v>
      </x:c>
      <x:c r="V60" s="27" t="str">
        <x:v>M</x:v>
      </x:c>
      <x:c r="W60" s="27" t="str">
        <x:v>N</x:v>
      </x:c>
      <x:c r="X60" s="27" t="n">
        <x:v>10</x:v>
      </x:c>
      <x:c r="Y60" s="27" t="str">
        <x:v>S</x:v>
      </x:c>
      <x:c r="Z60" s="27" t="n">
        <x:v>46750</x:v>
      </x:c>
      <x:c r="AA60" s="27" t="str">
        <x:v>P</x:v>
      </x:c>
      <x:c r="AB60" s="27" t="n">
        <x:v>1.220541</x:v>
      </x:c>
      <x:c r="AC60" s="27" t="n">
        <x:v>1.127</x:v>
      </x:c>
      <x:c r="AD60" s="27" t="n">
        <x:v>697200</x:v>
      </x:c>
      <x:c r="AE60" s="27" t="str">
        <x:v>Public-safe anonymized industry-style SA-CCR sample</x:v>
      </x:c>
      <x:c r="AF60" s="27" t="str">
        <x:v>ANON-000057</x:v>
      </x:c>
      <x:c r="AG60" s="27" t="str">
        <x:v>FX Option</x:v>
      </x:c>
      <x:c r="AH60" s="27"/>
      <x:c r="AI60" s="27" t="str">
        <x:v>GBP/USD</x:v>
      </x:c>
      <x:c r="AJ60" s="27" t="n">
        <x:v>1398</x:v>
      </x:c>
      <x:c r="AK60" s="27" t="n">
        <x:v>3.83013698630137</x:v>
      </x:c>
      <x:c r="AL60" s="27" t="str">
        <x:v>1Y-5Y</x:v>
      </x:c>
      <x:c r="AM60" s="27"/>
      <x:c r="AN60" s="27" t="str">
        <x:v>Unknown</x:v>
      </x:c>
      <x:c r="AO60" s="27" t="str">
        <x:v>GBP/USD</x:v>
      </x:c>
      <x:c r="AP60" s="27" t="str">
        <x:v>M</x:v>
      </x:c>
      <x:c r="AQ60" s="27" t="n">
        <x:v>0.04</x:v>
      </x:c>
      <x:c r="AR60" s="27" t="n">
        <x:v>1</x:v>
      </x:c>
      <x:c r="AS60" s="27" t="n">
        <x:v>0.04</x:v>
      </x:c>
      <x:c r="AT60" s="27"/>
      <x:c r="AU60" s="27" t="n">
        <x:v>1</x:v>
      </x:c>
      <x:c r="AV60" s="27" t="n">
        <x:v>140000000</x:v>
      </x:c>
      <x:c r="AW60" s="27" t="n">
        <x:v>0.15</x:v>
      </x:c>
      <x:c r="AX60" s="27" t="n">
        <x:v>0.5740211149082224</x:v>
      </x:c>
      <x:c r="AY60" s="27" t="n">
        <x:v>0.30000000000000004</x:v>
      </x:c>
      <x:c r="AZ60" s="27" t="n">
        <x:v>24108886.826145347</x:v>
      </x:c>
    </x:row>
    <x:row r="61">
      <x:c r="A61" s="27" t="n">
        <x:v>45702</x:v>
      </x:c>
      <x:c r="B61" s="27" t="str">
        <x:v>IND_CORPORATE_001</x:v>
      </x:c>
      <x:c r="C61" s="27" t="n">
        <x:v>3092</x:v>
      </x:c>
      <x:c r="D61" s="27" t="str">
        <x:v>IND-000058</x:v>
      </x:c>
      <x:c r="E61" s="27" t="str">
        <x:v>FX Option</x:v>
      </x:c>
      <x:c r="F61" s="27" t="str">
        <x:v>FX</x:v>
      </x:c>
      <x:c r="G61" s="27"/>
      <x:c r="H61" s="27" t="str">
        <x:v>EUR</x:v>
      </x:c>
      <x:c r="I61" s="27" t="str">
        <x:v>USD</x:v>
      </x:c>
      <x:c r="J61" s="27" t="str">
        <x:v>USD</x:v>
      </x:c>
      <x:c r="K61" s="27"/>
      <x:c r="L61" s="27"/>
      <x:c r="M61" s="27" t="str">
        <x:v>EUR/USD</x:v>
      </x:c>
      <x:c r="N61" s="27"/>
      <x:c r="O61" s="27"/>
      <x:c r="P61" s="27" t="n">
        <x:v>47075</x:v>
      </x:c>
      <x:c r="Q61" s="27" t="n">
        <x:v>45025</x:v>
      </x:c>
      <x:c r="R61" s="27" t="n">
        <x:v>47075</x:v>
      </x:c>
      <x:c r="S61" s="27" t="n">
        <x:v>55809523.81</x:v>
      </x:c>
      <x:c r="T61" s="27" t="n">
        <x:v>58600000</x:v>
      </x:c>
      <x:c r="U61" s="27" t="n">
        <x:v>58600000</x:v>
      </x:c>
      <x:c r="V61" s="27" t="str">
        <x:v>U</x:v>
      </x:c>
      <x:c r="W61" s="27" t="str">
        <x:v>N</x:v>
      </x:c>
      <x:c r="X61" s="27"/>
      <x:c r="Y61" s="27" t="str">
        <x:v>B</x:v>
      </x:c>
      <x:c r="Z61" s="27" t="n">
        <x:v>46731</x:v>
      </x:c>
      <x:c r="AA61" s="27" t="str">
        <x:v>P</x:v>
      </x:c>
      <x:c r="AB61" s="27" t="n">
        <x:v>1.14862</x:v>
      </x:c>
      <x:c r="AC61" s="27" t="n">
        <x:v>1.265</x:v>
      </x:c>
      <x:c r="AD61" s="27" t="n">
        <x:v>271611</x:v>
      </x:c>
      <x:c r="AE61" s="27" t="str">
        <x:v>Public-safe anonymized industry-style SA-CCR sample</x:v>
      </x:c>
      <x:c r="AF61" s="27" t="str">
        <x:v>ANON-000058</x:v>
      </x:c>
      <x:c r="AG61" s="27" t="str">
        <x:v>FX Option</x:v>
      </x:c>
      <x:c r="AH61" s="27"/>
      <x:c r="AI61" s="27" t="str">
        <x:v>EUR/USD</x:v>
      </x:c>
      <x:c r="AJ61" s="27" t="n">
        <x:v>1373</x:v>
      </x:c>
      <x:c r="AK61" s="27" t="n">
        <x:v>3.7616438356164386</x:v>
      </x:c>
      <x:c r="AL61" s="27" t="str">
        <x:v>1Y-5Y</x:v>
      </x:c>
      <x:c r="AM61" s="27"/>
      <x:c r="AN61" s="27" t="str">
        <x:v>Unknown</x:v>
      </x:c>
      <x:c r="AO61" s="27" t="str">
        <x:v>EUR/USD</x:v>
      </x:c>
      <x:c r="AP61" s="27" t="str">
        <x:v>U</x:v>
      </x:c>
      <x:c r="AQ61" s="27" t="n">
        <x:v>0.04</x:v>
      </x:c>
      <x:c r="AR61" s="27" t="n">
        <x:v>1</x:v>
      </x:c>
      <x:c r="AS61" s="27" t="n">
        <x:v>0.04</x:v>
      </x:c>
      <x:c r="AT61" s="27"/>
      <x:c r="AU61" s="27" t="n">
        <x:v>1</x:v>
      </x:c>
      <x:c r="AV61" s="27" t="n">
        <x:v>58600000</x:v>
      </x:c>
      <x:c r="AW61" s="27" t="n">
        <x:v>0.15</x:v>
      </x:c>
      <x:c r="AX61" s="27" t="n">
        <x:v>-0.30533174107528316</x:v>
      </x:c>
      <x:c r="AY61" s="27" t="n">
        <x:v>1</x:v>
      </x:c>
      <x:c r="AZ61" s="27" t="n">
        <x:v>-17892440.027011592</x:v>
      </x:c>
    </x:row>
    <x:row r="62">
      <x:c r="A62" s="27" t="n">
        <x:v>45702</x:v>
      </x:c>
      <x:c r="B62" s="27" t="str">
        <x:v>IND_INSURER_001</x:v>
      </x:c>
      <x:c r="C62" s="27" t="n">
        <x:v>3094</x:v>
      </x:c>
      <x:c r="D62" s="27" t="str">
        <x:v>IND-000059</x:v>
      </x:c>
      <x:c r="E62" s="27" t="str">
        <x:v>FX Option</x:v>
      </x:c>
      <x:c r="F62" s="27" t="str">
        <x:v>FX</x:v>
      </x:c>
      <x:c r="G62" s="27"/>
      <x:c r="H62" s="27" t="str">
        <x:v>USD</x:v>
      </x:c>
      <x:c r="I62" s="27" t="str">
        <x:v>JPY</x:v>
      </x:c>
      <x:c r="J62" s="27" t="str">
        <x:v>USD</x:v>
      </x:c>
      <x:c r="K62" s="27"/>
      <x:c r="L62" s="27"/>
      <x:c r="M62" s="27" t="str">
        <x:v>USD/JPY</x:v>
      </x:c>
      <x:c r="N62" s="27"/>
      <x:c r="O62" s="27"/>
      <x:c r="P62" s="27" t="n">
        <x:v>46539</x:v>
      </x:c>
      <x:c r="Q62" s="27" t="n">
        <x:v>45611</x:v>
      </x:c>
      <x:c r="R62" s="27" t="n">
        <x:v>46539</x:v>
      </x:c>
      <x:c r="S62" s="27" t="n">
        <x:v>71500000</x:v>
      </x:c>
      <x:c r="T62" s="27" t="n">
        <x:v>10671641791.04</x:v>
      </x:c>
      <x:c r="U62" s="27" t="n">
        <x:v>71500000</x:v>
      </x:c>
      <x:c r="V62" s="27" t="str">
        <x:v>U</x:v>
      </x:c>
      <x:c r="W62" s="27" t="str">
        <x:v>N</x:v>
      </x:c>
      <x:c r="X62" s="27"/>
      <x:c r="Y62" s="27" t="str">
        <x:v>B</x:v>
      </x:c>
      <x:c r="Z62" s="27" t="n">
        <x:v>46329</x:v>
      </x:c>
      <x:c r="AA62" s="27" t="str">
        <x:v>C</x:v>
      </x:c>
      <x:c r="AB62" s="27" t="n">
        <x:v>1.23435</x:v>
      </x:c>
      <x:c r="AC62" s="27" t="n">
        <x:v>1.266</x:v>
      </x:c>
      <x:c r="AD62" s="27" t="n">
        <x:v>-2145</x:v>
      </x:c>
      <x:c r="AE62" s="27" t="str">
        <x:v>Public-safe anonymized industry-style SA-CCR sample</x:v>
      </x:c>
      <x:c r="AF62" s="27" t="str">
        <x:v>ANON-000059</x:v>
      </x:c>
      <x:c r="AG62" s="27" t="str">
        <x:v>FX Option</x:v>
      </x:c>
      <x:c r="AH62" s="27"/>
      <x:c r="AI62" s="27" t="str">
        <x:v>USD/JPY</x:v>
      </x:c>
      <x:c r="AJ62" s="27" t="n">
        <x:v>837</x:v>
      </x:c>
      <x:c r="AK62" s="27" t="n">
        <x:v>2.293150684931507</x:v>
      </x:c>
      <x:c r="AL62" s="27" t="str">
        <x:v>1Y-5Y</x:v>
      </x:c>
      <x:c r="AM62" s="27"/>
      <x:c r="AN62" s="27" t="str">
        <x:v>Unknown</x:v>
      </x:c>
      <x:c r="AO62" s="27" t="str">
        <x:v>JPY/USD</x:v>
      </x:c>
      <x:c r="AP62" s="27" t="str">
        <x:v>U</x:v>
      </x:c>
      <x:c r="AQ62" s="27" t="n">
        <x:v>0.04</x:v>
      </x:c>
      <x:c r="AR62" s="27" t="n">
        <x:v>1</x:v>
      </x:c>
      <x:c r="AS62" s="27" t="n">
        <x:v>0.04</x:v>
      </x:c>
      <x:c r="AT62" s="27"/>
      <x:c r="AU62" s="27" t="n">
        <x:v>1</x:v>
      </x:c>
      <x:c r="AV62" s="27" t="n">
        <x:v>71500000</x:v>
      </x:c>
      <x:c r="AW62" s="27" t="n">
        <x:v>0.15</x:v>
      </x:c>
      <x:c r="AX62" s="27" t="n">
        <x:v>0.5898186939774146</x:v>
      </x:c>
      <x:c r="AY62" s="27" t="n">
        <x:v>1</x:v>
      </x:c>
      <x:c r="AZ62" s="27" t="n">
        <x:v>42172036.619385146</x:v>
      </x:c>
    </x:row>
    <x:row r="63">
      <x:c r="A63" s="27" t="n">
        <x:v>45702</x:v>
      </x:c>
      <x:c r="B63" s="27" t="str">
        <x:v>IND_SOVEREIGN_001</x:v>
      </x:c>
      <x:c r="C63" s="27" t="n">
        <x:v>3084</x:v>
      </x:c>
      <x:c r="D63" s="27" t="str">
        <x:v>IND-000060</x:v>
      </x:c>
      <x:c r="E63" s="27" t="str">
        <x:v>FX Option</x:v>
      </x:c>
      <x:c r="F63" s="27" t="str">
        <x:v>FX</x:v>
      </x:c>
      <x:c r="G63" s="27"/>
      <x:c r="H63" s="27" t="str">
        <x:v>USD</x:v>
      </x:c>
      <x:c r="I63" s="27" t="str">
        <x:v>CNY</x:v>
      </x:c>
      <x:c r="J63" s="27" t="str">
        <x:v>USD</x:v>
      </x:c>
      <x:c r="K63" s="27"/>
      <x:c r="L63" s="27"/>
      <x:c r="M63" s="27" t="str">
        <x:v>USD/CNY</x:v>
      </x:c>
      <x:c r="N63" s="27"/>
      <x:c r="O63" s="27"/>
      <x:c r="P63" s="27" t="n">
        <x:v>46541</x:v>
      </x:c>
      <x:c r="Q63" s="27" t="n">
        <x:v>45205</x:v>
      </x:c>
      <x:c r="R63" s="27" t="n">
        <x:v>46541</x:v>
      </x:c>
      <x:c r="S63" s="27" t="n">
        <x:v>6000000</x:v>
      </x:c>
      <x:c r="T63" s="27" t="n">
        <x:v>42857142.86</x:v>
      </x:c>
      <x:c r="U63" s="27" t="n">
        <x:v>6000000</x:v>
      </x:c>
      <x:c r="V63" s="27" t="str">
        <x:v>U</x:v>
      </x:c>
      <x:c r="W63" s="27" t="str">
        <x:v>N</x:v>
      </x:c>
      <x:c r="X63" s="27"/>
      <x:c r="Y63" s="27" t="str">
        <x:v>B</x:v>
      </x:c>
      <x:c r="Z63" s="27" t="n">
        <x:v>46331</x:v>
      </x:c>
      <x:c r="AA63" s="27" t="str">
        <x:v>C</x:v>
      </x:c>
      <x:c r="AB63" s="27" t="n">
        <x:v>7.2562</x:v>
      </x:c>
      <x:c r="AC63" s="27" t="n">
        <x:v>7.1</x:v>
      </x:c>
      <x:c r="AD63" s="27" t="n">
        <x:v>67050</x:v>
      </x:c>
      <x:c r="AE63" s="27" t="str">
        <x:v>Public-safe anonymized industry-style SA-CCR sample</x:v>
      </x:c>
      <x:c r="AF63" s="27" t="str">
        <x:v>ANON-000060</x:v>
      </x:c>
      <x:c r="AG63" s="27" t="str">
        <x:v>FX Option</x:v>
      </x:c>
      <x:c r="AH63" s="27"/>
      <x:c r="AI63" s="27" t="str">
        <x:v>USD/CNY</x:v>
      </x:c>
      <x:c r="AJ63" s="27" t="n">
        <x:v>839</x:v>
      </x:c>
      <x:c r="AK63" s="27" t="n">
        <x:v>2.2986301369863016</x:v>
      </x:c>
      <x:c r="AL63" s="27" t="str">
        <x:v>1Y-5Y</x:v>
      </x:c>
      <x:c r="AM63" s="27"/>
      <x:c r="AN63" s="27" t="str">
        <x:v>Unknown</x:v>
      </x:c>
      <x:c r="AO63" s="27" t="str">
        <x:v>CNY/USD</x:v>
      </x:c>
      <x:c r="AP63" s="27" t="str">
        <x:v>U</x:v>
      </x:c>
      <x:c r="AQ63" s="27" t="n">
        <x:v>0.04</x:v>
      </x:c>
      <x:c r="AR63" s="27" t="n">
        <x:v>1</x:v>
      </x:c>
      <x:c r="AS63" s="27" t="n">
        <x:v>0.04</x:v>
      </x:c>
      <x:c r="AT63" s="27"/>
      <x:c r="AU63" s="27" t="n">
        <x:v>1</x:v>
      </x:c>
      <x:c r="AV63" s="27" t="n">
        <x:v>6000000</x:v>
      </x:c>
      <x:c r="AW63" s="27" t="n">
        <x:v>0.15</x:v>
      </x:c>
      <x:c r="AX63" s="27" t="n">
        <x:v>0.4951893632220734</x:v>
      </x:c>
      <x:c r="AY63" s="27" t="n">
        <x:v>1</x:v>
      </x:c>
      <x:c r="AZ63" s="27" t="n">
        <x:v>2971136.1793324403</x:v>
      </x:c>
    </x:row>
    <x:row r="64">
      <x:c r="A64" s="27" t="n">
        <x:v>45702</x:v>
      </x:c>
      <x:c r="B64" s="27" t="str">
        <x:v>IND_CORPORATE_002</x:v>
      </x:c>
      <x:c r="C64" s="27" t="n">
        <x:v>3187</x:v>
      </x:c>
      <x:c r="D64" s="27" t="str">
        <x:v>IND-000061</x:v>
      </x:c>
      <x:c r="E64" s="27" t="str">
        <x:v>FX Option</x:v>
      </x:c>
      <x:c r="F64" s="27" t="str">
        <x:v>FX</x:v>
      </x:c>
      <x:c r="G64" s="27"/>
      <x:c r="H64" s="27" t="str">
        <x:v>GBP</x:v>
      </x:c>
      <x:c r="I64" s="27" t="str">
        <x:v>USD</x:v>
      </x:c>
      <x:c r="J64" s="27" t="str">
        <x:v>USD</x:v>
      </x:c>
      <x:c r="K64" s="27"/>
      <x:c r="L64" s="27"/>
      <x:c r="M64" s="27" t="str">
        <x:v>GBP/USD</x:v>
      </x:c>
      <x:c r="N64" s="27"/>
      <x:c r="O64" s="27"/>
      <x:c r="P64" s="27" t="n">
        <x:v>46629</x:v>
      </x:c>
      <x:c r="Q64" s="27" t="n">
        <x:v>45065</x:v>
      </x:c>
      <x:c r="R64" s="27" t="n">
        <x:v>46629</x:v>
      </x:c>
      <x:c r="S64" s="27" t="n">
        <x:v>59600000</x:v>
      </x:c>
      <x:c r="T64" s="27" t="n">
        <x:v>74500000</x:v>
      </x:c>
      <x:c r="U64" s="27" t="n">
        <x:v>74500000</x:v>
      </x:c>
      <x:c r="V64" s="27" t="str">
        <x:v>U</x:v>
      </x:c>
      <x:c r="W64" s="27" t="str">
        <x:v>N</x:v>
      </x:c>
      <x:c r="X64" s="27"/>
      <x:c r="Y64" s="27" t="str">
        <x:v>B</x:v>
      </x:c>
      <x:c r="Z64" s="27" t="n">
        <x:v>46397</x:v>
      </x:c>
      <x:c r="AA64" s="27" t="str">
        <x:v>P</x:v>
      </x:c>
      <x:c r="AB64" s="27" t="n">
        <x:v>1.23392</x:v>
      </x:c>
      <x:c r="AC64" s="27" t="n">
        <x:v>1.205</x:v>
      </x:c>
      <x:c r="AD64" s="27" t="n">
        <x:v>-420180</x:v>
      </x:c>
      <x:c r="AE64" s="27" t="str">
        <x:v>Public-safe anonymized industry-style SA-CCR sample</x:v>
      </x:c>
      <x:c r="AF64" s="27" t="str">
        <x:v>ANON-000061</x:v>
      </x:c>
      <x:c r="AG64" s="27" t="str">
        <x:v>FX Option</x:v>
      </x:c>
      <x:c r="AH64" s="27"/>
      <x:c r="AI64" s="27" t="str">
        <x:v>GBP/USD</x:v>
      </x:c>
      <x:c r="AJ64" s="27" t="n">
        <x:v>927</x:v>
      </x:c>
      <x:c r="AK64" s="27" t="n">
        <x:v>2.5397260273972604</x:v>
      </x:c>
      <x:c r="AL64" s="27" t="str">
        <x:v>1Y-5Y</x:v>
      </x:c>
      <x:c r="AM64" s="27"/>
      <x:c r="AN64" s="27" t="str">
        <x:v>Unknown</x:v>
      </x:c>
      <x:c r="AO64" s="27" t="str">
        <x:v>GBP/USD</x:v>
      </x:c>
      <x:c r="AP64" s="27" t="str">
        <x:v>U</x:v>
      </x:c>
      <x:c r="AQ64" s="27" t="n">
        <x:v>0.04</x:v>
      </x:c>
      <x:c r="AR64" s="27" t="n">
        <x:v>1</x:v>
      </x:c>
      <x:c r="AS64" s="27" t="n">
        <x:v>0.04</x:v>
      </x:c>
      <x:c r="AT64" s="27"/>
      <x:c r="AU64" s="27" t="n">
        <x:v>1</x:v>
      </x:c>
      <x:c r="AV64" s="27" t="n">
        <x:v>74500000</x:v>
      </x:c>
      <x:c r="AW64" s="27" t="n">
        <x:v>0.15</x:v>
      </x:c>
      <x:c r="AX64" s="27" t="n">
        <x:v>-0.5044238684913491</x:v>
      </x:c>
      <x:c r="AY64" s="27" t="n">
        <x:v>1</x:v>
      </x:c>
      <x:c r="AZ64" s="27" t="n">
        <x:v>-37579578.20260551</x:v>
      </x:c>
    </x:row>
    <x:row r="65">
      <x:c r="A65" s="27" t="n">
        <x:v>45702</x:v>
      </x:c>
      <x:c r="B65" s="27" t="str">
        <x:v>IND_SOVEREIGN_001</x:v>
      </x:c>
      <x:c r="C65" s="27" t="n">
        <x:v>3390</x:v>
      </x:c>
      <x:c r="D65" s="27" t="str">
        <x:v>IND-000062</x:v>
      </x:c>
      <x:c r="E65" s="27" t="str">
        <x:v>FX Option</x:v>
      </x:c>
      <x:c r="F65" s="27" t="str">
        <x:v>FX</x:v>
      </x:c>
      <x:c r="G65" s="27"/>
      <x:c r="H65" s="27" t="str">
        <x:v>USD</x:v>
      </x:c>
      <x:c r="I65" s="27" t="str">
        <x:v>CNY</x:v>
      </x:c>
      <x:c r="J65" s="27" t="str">
        <x:v>USD</x:v>
      </x:c>
      <x:c r="K65" s="27"/>
      <x:c r="L65" s="27"/>
      <x:c r="M65" s="27" t="str">
        <x:v>USD/CNY</x:v>
      </x:c>
      <x:c r="N65" s="27"/>
      <x:c r="O65" s="27"/>
      <x:c r="P65" s="27" t="n">
        <x:v>46664</x:v>
      </x:c>
      <x:c r="Q65" s="27" t="n">
        <x:v>45634</x:v>
      </x:c>
      <x:c r="R65" s="27" t="n">
        <x:v>46664</x:v>
      </x:c>
      <x:c r="S65" s="27" t="n">
        <x:v>41900000</x:v>
      </x:c>
      <x:c r="T65" s="27" t="n">
        <x:v>299285714.29</x:v>
      </x:c>
      <x:c r="U65" s="27" t="n">
        <x:v>41900000</x:v>
      </x:c>
      <x:c r="V65" s="27" t="str">
        <x:v>M</x:v>
      </x:c>
      <x:c r="W65" s="27" t="str">
        <x:v>N</x:v>
      </x:c>
      <x:c r="X65" s="27" t="n">
        <x:v>10</x:v>
      </x:c>
      <x:c r="Y65" s="27" t="str">
        <x:v>B</x:v>
      </x:c>
      <x:c r="Z65" s="27" t="n">
        <x:v>46423</x:v>
      </x:c>
      <x:c r="AA65" s="27" t="str">
        <x:v>P</x:v>
      </x:c>
      <x:c r="AB65" s="27" t="n">
        <x:v>7.3698</x:v>
      </x:c>
      <x:c r="AC65" s="27" t="n">
        <x:v>7.1</x:v>
      </x:c>
      <x:c r="AD65" s="27" t="n">
        <x:v>-549309</x:v>
      </x:c>
      <x:c r="AE65" s="27" t="str">
        <x:v>Public-safe anonymized industry-style SA-CCR sample</x:v>
      </x:c>
      <x:c r="AF65" s="27" t="str">
        <x:v>ANON-000062</x:v>
      </x:c>
      <x:c r="AG65" s="27" t="str">
        <x:v>FX Option</x:v>
      </x:c>
      <x:c r="AH65" s="27"/>
      <x:c r="AI65" s="27" t="str">
        <x:v>USD/CNY</x:v>
      </x:c>
      <x:c r="AJ65" s="27" t="n">
        <x:v>962</x:v>
      </x:c>
      <x:c r="AK65" s="27" t="n">
        <x:v>2.6356164383561644</x:v>
      </x:c>
      <x:c r="AL65" s="27" t="str">
        <x:v>1Y-5Y</x:v>
      </x:c>
      <x:c r="AM65" s="27"/>
      <x:c r="AN65" s="27" t="str">
        <x:v>Unknown</x:v>
      </x:c>
      <x:c r="AO65" s="27" t="str">
        <x:v>CNY/USD</x:v>
      </x:c>
      <x:c r="AP65" s="27" t="str">
        <x:v>M</x:v>
      </x:c>
      <x:c r="AQ65" s="27" t="n">
        <x:v>0.04</x:v>
      </x:c>
      <x:c r="AR65" s="27" t="n">
        <x:v>1</x:v>
      </x:c>
      <x:c r="AS65" s="27" t="n">
        <x:v>0.04</x:v>
      </x:c>
      <x:c r="AT65" s="27"/>
      <x:c r="AU65" s="27" t="n">
        <x:v>1</x:v>
      </x:c>
      <x:c r="AV65" s="27" t="n">
        <x:v>41900000</x:v>
      </x:c>
      <x:c r="AW65" s="27" t="n">
        <x:v>0.15</x:v>
      </x:c>
      <x:c r="AX65" s="27" t="n">
        <x:v>-0.5284991995312062</x:v>
      </x:c>
      <x:c r="AY65" s="27" t="n">
        <x:v>0.30000000000000004</x:v>
      </x:c>
      <x:c r="AZ65" s="27" t="n">
        <x:v>-6643234.938107262</x:v>
      </x:c>
    </x:row>
    <x:row r="66">
      <x:c r="A66" s="27" t="n">
        <x:v>45702</x:v>
      </x:c>
      <x:c r="B66" s="27" t="str">
        <x:v>IND_CORPORATE_002</x:v>
      </x:c>
      <x:c r="C66" s="27" t="n">
        <x:v>3346</x:v>
      </x:c>
      <x:c r="D66" s="27" t="str">
        <x:v>IND-000063</x:v>
      </x:c>
      <x:c r="E66" s="27" t="str">
        <x:v>FX Option</x:v>
      </x:c>
      <x:c r="F66" s="27" t="str">
        <x:v>FX</x:v>
      </x:c>
      <x:c r="G66" s="27"/>
      <x:c r="H66" s="27" t="str">
        <x:v>GBP</x:v>
      </x:c>
      <x:c r="I66" s="27" t="str">
        <x:v>USD</x:v>
      </x:c>
      <x:c r="J66" s="27" t="str">
        <x:v>USD</x:v>
      </x:c>
      <x:c r="K66" s="27"/>
      <x:c r="L66" s="27"/>
      <x:c r="M66" s="27" t="str">
        <x:v>GBP/USD</x:v>
      </x:c>
      <x:c r="N66" s="27"/>
      <x:c r="O66" s="27"/>
      <x:c r="P66" s="27" t="n">
        <x:v>47639</x:v>
      </x:c>
      <x:c r="Q66" s="27" t="n">
        <x:v>45012</x:v>
      </x:c>
      <x:c r="R66" s="27" t="n">
        <x:v>47639</x:v>
      </x:c>
      <x:c r="S66" s="27" t="n">
        <x:v>27200000</x:v>
      </x:c>
      <x:c r="T66" s="27" t="n">
        <x:v>34000000</x:v>
      </x:c>
      <x:c r="U66" s="27" t="n">
        <x:v>34000000</x:v>
      </x:c>
      <x:c r="V66" s="27" t="str">
        <x:v>M</x:v>
      </x:c>
      <x:c r="W66" s="27" t="str">
        <x:v>N</x:v>
      </x:c>
      <x:c r="X66" s="27" t="n">
        <x:v>10</x:v>
      </x:c>
      <x:c r="Y66" s="27" t="str">
        <x:v>S</x:v>
      </x:c>
      <x:c r="Z66" s="27" t="n">
        <x:v>47154</x:v>
      </x:c>
      <x:c r="AA66" s="27" t="str">
        <x:v>C</x:v>
      </x:c>
      <x:c r="AB66" s="27" t="n">
        <x:v>1.245624</x:v>
      </x:c>
      <x:c r="AC66" s="27" t="n">
        <x:v>1.207</x:v>
      </x:c>
      <x:c r="AD66" s="27" t="n">
        <x:v>327930</x:v>
      </x:c>
      <x:c r="AE66" s="27" t="str">
        <x:v>Public-safe anonymized industry-style SA-CCR sample</x:v>
      </x:c>
      <x:c r="AF66" s="27" t="str">
        <x:v>ANON-000063</x:v>
      </x:c>
      <x:c r="AG66" s="27" t="str">
        <x:v>FX Option</x:v>
      </x:c>
      <x:c r="AH66" s="27"/>
      <x:c r="AI66" s="27" t="str">
        <x:v>GBP/USD</x:v>
      </x:c>
      <x:c r="AJ66" s="27" t="n">
        <x:v>1937</x:v>
      </x:c>
      <x:c r="AK66" s="27" t="n">
        <x:v>5.306849315068493</x:v>
      </x:c>
      <x:c r="AL66" s="27" t="str">
        <x:v>&gt;5Y</x:v>
      </x:c>
      <x:c r="AM66" s="27"/>
      <x:c r="AN66" s="27" t="str">
        <x:v>Unknown</x:v>
      </x:c>
      <x:c r="AO66" s="27" t="str">
        <x:v>GBP/USD</x:v>
      </x:c>
      <x:c r="AP66" s="27" t="str">
        <x:v>M</x:v>
      </x:c>
      <x:c r="AQ66" s="27" t="n">
        <x:v>0.04</x:v>
      </x:c>
      <x:c r="AR66" s="27" t="n">
        <x:v>1</x:v>
      </x:c>
      <x:c r="AS66" s="27" t="n">
        <x:v>0.04</x:v>
      </x:c>
      <x:c r="AT66" s="27"/>
      <x:c r="AU66" s="27" t="n">
        <x:v>1</x:v>
      </x:c>
      <x:c r="AV66" s="27" t="n">
        <x:v>34000000</x:v>
      </x:c>
      <x:c r="AW66" s="27" t="n">
        <x:v>0.15</x:v>
      </x:c>
      <x:c r="AX66" s="27" t="n">
        <x:v>-0.5176689874926995</x:v>
      </x:c>
      <x:c r="AY66" s="27" t="n">
        <x:v>0.30000000000000004</x:v>
      </x:c>
      <x:c r="AZ66" s="27" t="n">
        <x:v>-5280223.6724255355</x:v>
      </x:c>
    </x:row>
    <x:row r="67">
      <x:c r="A67" s="27" t="n">
        <x:v>45702</x:v>
      </x:c>
      <x:c r="B67" s="27" t="str">
        <x:v>IND_BROKER_001</x:v>
      </x:c>
      <x:c r="C67" s="27" t="n">
        <x:v>3384</x:v>
      </x:c>
      <x:c r="D67" s="27" t="str">
        <x:v>IND-000064</x:v>
      </x:c>
      <x:c r="E67" s="27" t="str">
        <x:v>FX Option</x:v>
      </x:c>
      <x:c r="F67" s="27" t="str">
        <x:v>FX</x:v>
      </x:c>
      <x:c r="G67" s="27"/>
      <x:c r="H67" s="27" t="str">
        <x:v>GBP</x:v>
      </x:c>
      <x:c r="I67" s="27" t="str">
        <x:v>USD</x:v>
      </x:c>
      <x:c r="J67" s="27" t="str">
        <x:v>USD</x:v>
      </x:c>
      <x:c r="K67" s="27"/>
      <x:c r="L67" s="27"/>
      <x:c r="M67" s="27" t="str">
        <x:v>GBP/USD</x:v>
      </x:c>
      <x:c r="N67" s="27"/>
      <x:c r="O67" s="27"/>
      <x:c r="P67" s="27" t="n">
        <x:v>46868</x:v>
      </x:c>
      <x:c r="Q67" s="27" t="n">
        <x:v>44931</x:v>
      </x:c>
      <x:c r="R67" s="27" t="n">
        <x:v>46868</x:v>
      </x:c>
      <x:c r="S67" s="27" t="n">
        <x:v>33680000</x:v>
      </x:c>
      <x:c r="T67" s="27" t="n">
        <x:v>42100000</x:v>
      </x:c>
      <x:c r="U67" s="27" t="n">
        <x:v>42100000</x:v>
      </x:c>
      <x:c r="V67" s="27" t="str">
        <x:v>U</x:v>
      </x:c>
      <x:c r="W67" s="27" t="str">
        <x:v>N</x:v>
      </x:c>
      <x:c r="X67" s="27"/>
      <x:c r="Y67" s="27" t="str">
        <x:v>B</x:v>
      </x:c>
      <x:c r="Z67" s="27" t="n">
        <x:v>46576</x:v>
      </x:c>
      <x:c r="AA67" s="27" t="str">
        <x:v>C</x:v>
      </x:c>
      <x:c r="AB67" s="27" t="n">
        <x:v>1.24362</x:v>
      </x:c>
      <x:c r="AC67" s="27" t="n">
        <x:v>1.316</x:v>
      </x:c>
      <x:c r="AD67" s="27" t="n">
        <x:v>-615712.5</x:v>
      </x:c>
      <x:c r="AE67" s="27" t="str">
        <x:v>Public-safe anonymized industry-style SA-CCR sample</x:v>
      </x:c>
      <x:c r="AF67" s="27" t="str">
        <x:v>ANON-000064</x:v>
      </x:c>
      <x:c r="AG67" s="27" t="str">
        <x:v>FX Option</x:v>
      </x:c>
      <x:c r="AH67" s="27"/>
      <x:c r="AI67" s="27" t="str">
        <x:v>GBP/USD</x:v>
      </x:c>
      <x:c r="AJ67" s="27" t="n">
        <x:v>1166</x:v>
      </x:c>
      <x:c r="AK67" s="27" t="n">
        <x:v>3.1945205479452055</x:v>
      </x:c>
      <x:c r="AL67" s="27" t="str">
        <x:v>1Y-5Y</x:v>
      </x:c>
      <x:c r="AM67" s="27"/>
      <x:c r="AN67" s="27" t="str">
        <x:v>Unknown</x:v>
      </x:c>
      <x:c r="AO67" s="27" t="str">
        <x:v>GBP/USD</x:v>
      </x:c>
      <x:c r="AP67" s="27" t="str">
        <x:v>U</x:v>
      </x:c>
      <x:c r="AQ67" s="27" t="n">
        <x:v>0.04</x:v>
      </x:c>
      <x:c r="AR67" s="27" t="n">
        <x:v>1</x:v>
      </x:c>
      <x:c r="AS67" s="27" t="n">
        <x:v>0.04</x:v>
      </x:c>
      <x:c r="AT67" s="27"/>
      <x:c r="AU67" s="27" t="n">
        <x:v>1</x:v>
      </x:c>
      <x:c r="AV67" s="27" t="n">
        <x:v>42100000</x:v>
      </x:c>
      <x:c r="AW67" s="27" t="n">
        <x:v>0.15</x:v>
      </x:c>
      <x:c r="AX67" s="27" t="n">
        <x:v>0.6404923735800979</x:v>
      </x:c>
      <x:c r="AY67" s="27" t="n">
        <x:v>1</x:v>
      </x:c>
      <x:c r="AZ67" s="27" t="n">
        <x:v>26964728.927722123</x:v>
      </x:c>
    </x:row>
    <x:row r="68">
      <x:c r="A68" s="27" t="n">
        <x:v>45702</x:v>
      </x:c>
      <x:c r="B68" s="27" t="str">
        <x:v>IND_BROKER_001</x:v>
      </x:c>
      <x:c r="C68" s="27" t="n">
        <x:v>3276</x:v>
      </x:c>
      <x:c r="D68" s="27" t="str">
        <x:v>IND-000065</x:v>
      </x:c>
      <x:c r="E68" s="27" t="str">
        <x:v>FX Option</x:v>
      </x:c>
      <x:c r="F68" s="27" t="str">
        <x:v>FX</x:v>
      </x:c>
      <x:c r="G68" s="27"/>
      <x:c r="H68" s="27" t="str">
        <x:v>GBP</x:v>
      </x:c>
      <x:c r="I68" s="27" t="str">
        <x:v>USD</x:v>
      </x:c>
      <x:c r="J68" s="27" t="str">
        <x:v>USD</x:v>
      </x:c>
      <x:c r="K68" s="27"/>
      <x:c r="L68" s="27"/>
      <x:c r="M68" s="27" t="str">
        <x:v>GBP/USD</x:v>
      </x:c>
      <x:c r="N68" s="27"/>
      <x:c r="O68" s="27"/>
      <x:c r="P68" s="27" t="n">
        <x:v>46453</x:v>
      </x:c>
      <x:c r="Q68" s="27" t="n">
        <x:v>45435</x:v>
      </x:c>
      <x:c r="R68" s="27" t="n">
        <x:v>46453</x:v>
      </x:c>
      <x:c r="S68" s="27" t="n">
        <x:v>2400000</x:v>
      </x:c>
      <x:c r="T68" s="27" t="n">
        <x:v>3000000</x:v>
      </x:c>
      <x:c r="U68" s="27" t="n">
        <x:v>3000000</x:v>
      </x:c>
      <x:c r="V68" s="27" t="str">
        <x:v>M</x:v>
      </x:c>
      <x:c r="W68" s="27" t="str">
        <x:v>N</x:v>
      </x:c>
      <x:c r="X68" s="27" t="n">
        <x:v>10</x:v>
      </x:c>
      <x:c r="Y68" s="27" t="str">
        <x:v>B</x:v>
      </x:c>
      <x:c r="Z68" s="27" t="n">
        <x:v>46265</x:v>
      </x:c>
      <x:c r="AA68" s="27" t="str">
        <x:v>P</x:v>
      </x:c>
      <x:c r="AB68" s="27" t="n">
        <x:v>1.124026</x:v>
      </x:c>
      <x:c r="AC68" s="27" t="n">
        <x:v>1.114</x:v>
      </x:c>
      <x:c r="AD68" s="27" t="n">
        <x:v>-12825</x:v>
      </x:c>
      <x:c r="AE68" s="27" t="str">
        <x:v>Public-safe anonymized industry-style SA-CCR sample</x:v>
      </x:c>
      <x:c r="AF68" s="27" t="str">
        <x:v>ANON-000065</x:v>
      </x:c>
      <x:c r="AG68" s="27" t="str">
        <x:v>FX Option</x:v>
      </x:c>
      <x:c r="AH68" s="27"/>
      <x:c r="AI68" s="27" t="str">
        <x:v>GBP/USD</x:v>
      </x:c>
      <x:c r="AJ68" s="27" t="n">
        <x:v>751</x:v>
      </x:c>
      <x:c r="AK68" s="27" t="n">
        <x:v>2.0575342465753423</x:v>
      </x:c>
      <x:c r="AL68" s="27" t="str">
        <x:v>1Y-5Y</x:v>
      </x:c>
      <x:c r="AM68" s="27"/>
      <x:c r="AN68" s="27" t="str">
        <x:v>Unknown</x:v>
      </x:c>
      <x:c r="AO68" s="27" t="str">
        <x:v>GBP/USD</x:v>
      </x:c>
      <x:c r="AP68" s="27" t="str">
        <x:v>M</x:v>
      </x:c>
      <x:c r="AQ68" s="27" t="n">
        <x:v>0.04</x:v>
      </x:c>
      <x:c r="AR68" s="27" t="n">
        <x:v>1</x:v>
      </x:c>
      <x:c r="AS68" s="27" t="n">
        <x:v>0.04</x:v>
      </x:c>
      <x:c r="AT68" s="27"/>
      <x:c r="AU68" s="27" t="n">
        <x:v>1</x:v>
      </x:c>
      <x:c r="AV68" s="27" t="n">
        <x:v>3000000</x:v>
      </x:c>
      <x:c r="AW68" s="27" t="n">
        <x:v>0.15</x:v>
      </x:c>
      <x:c r="AX68" s="27" t="n">
        <x:v>-0.48203276354313424</x:v>
      </x:c>
      <x:c r="AY68" s="27" t="n">
        <x:v>0.30000000000000004</x:v>
      </x:c>
      <x:c r="AZ68" s="27" t="n">
        <x:v>-433829.4871888209</x:v>
      </x:c>
    </x:row>
    <x:row r="69">
      <x:c r="A69" s="27" t="n">
        <x:v>45702</x:v>
      </x:c>
      <x:c r="B69" s="27" t="str">
        <x:v>IND_REGIONAL_BANK_001</x:v>
      </x:c>
      <x:c r="C69" s="27" t="n">
        <x:v>3210</x:v>
      </x:c>
      <x:c r="D69" s="27" t="str">
        <x:v>IND-000066</x:v>
      </x:c>
      <x:c r="E69" s="27" t="str">
        <x:v>FX Option</x:v>
      </x:c>
      <x:c r="F69" s="27" t="str">
        <x:v>FX</x:v>
      </x:c>
      <x:c r="G69" s="27"/>
      <x:c r="H69" s="27" t="str">
        <x:v>USD</x:v>
      </x:c>
      <x:c r="I69" s="27" t="str">
        <x:v>JPY</x:v>
      </x:c>
      <x:c r="J69" s="27" t="str">
        <x:v>USD</x:v>
      </x:c>
      <x:c r="K69" s="27"/>
      <x:c r="L69" s="27"/>
      <x:c r="M69" s="27" t="str">
        <x:v>USD/JPY</x:v>
      </x:c>
      <x:c r="N69" s="27"/>
      <x:c r="O69" s="27"/>
      <x:c r="P69" s="27" t="n">
        <x:v>46535</x:v>
      </x:c>
      <x:c r="Q69" s="27" t="n">
        <x:v>44857</x:v>
      </x:c>
      <x:c r="R69" s="27" t="n">
        <x:v>46535</x:v>
      </x:c>
      <x:c r="S69" s="27" t="n">
        <x:v>122000000</x:v>
      </x:c>
      <x:c r="T69" s="27" t="n">
        <x:v>18208955223.88</x:v>
      </x:c>
      <x:c r="U69" s="27" t="n">
        <x:v>122000000</x:v>
      </x:c>
      <x:c r="V69" s="27" t="str">
        <x:v>M</x:v>
      </x:c>
      <x:c r="W69" s="27" t="str">
        <x:v>N</x:v>
      </x:c>
      <x:c r="X69" s="27" t="n">
        <x:v>10</x:v>
      </x:c>
      <x:c r="Y69" s="27" t="str">
        <x:v>S</x:v>
      </x:c>
      <x:c r="Z69" s="27" t="n">
        <x:v>46326</x:v>
      </x:c>
      <x:c r="AA69" s="27" t="str">
        <x:v>P</x:v>
      </x:c>
      <x:c r="AB69" s="27" t="n">
        <x:v>1.206252</x:v>
      </x:c>
      <x:c r="AC69" s="27" t="n">
        <x:v>1.314</x:v>
      </x:c>
      <x:c r="AD69" s="27" t="n">
        <x:v>1560990</x:v>
      </x:c>
      <x:c r="AE69" s="27" t="str">
        <x:v>Public-safe anonymized industry-style SA-CCR sample</x:v>
      </x:c>
      <x:c r="AF69" s="27" t="str">
        <x:v>ANON-000066</x:v>
      </x:c>
      <x:c r="AG69" s="27" t="str">
        <x:v>FX Option</x:v>
      </x:c>
      <x:c r="AH69" s="27"/>
      <x:c r="AI69" s="27" t="str">
        <x:v>USD/JPY</x:v>
      </x:c>
      <x:c r="AJ69" s="27" t="n">
        <x:v>833</x:v>
      </x:c>
      <x:c r="AK69" s="27" t="n">
        <x:v>2.282191780821918</x:v>
      </x:c>
      <x:c r="AL69" s="27" t="str">
        <x:v>1Y-5Y</x:v>
      </x:c>
      <x:c r="AM69" s="27"/>
      <x:c r="AN69" s="27" t="str">
        <x:v>Unknown</x:v>
      </x:c>
      <x:c r="AO69" s="27" t="str">
        <x:v>JPY/USD</x:v>
      </x:c>
      <x:c r="AP69" s="27" t="str">
        <x:v>M</x:v>
      </x:c>
      <x:c r="AQ69" s="27" t="n">
        <x:v>0.04</x:v>
      </x:c>
      <x:c r="AR69" s="27" t="n">
        <x:v>1</x:v>
      </x:c>
      <x:c r="AS69" s="27" t="n">
        <x:v>0.04</x:v>
      </x:c>
      <x:c r="AT69" s="27"/>
      <x:c r="AU69" s="27" t="n">
        <x:v>1</x:v>
      </x:c>
      <x:c r="AV69" s="27" t="n">
        <x:v>122000000</x:v>
      </x:c>
      <x:c r="AW69" s="27" t="n">
        <x:v>0.15</x:v>
      </x:c>
      <x:c r="AX69" s="27" t="n">
        <x:v>0.2965666917396411</x:v>
      </x:c>
      <x:c r="AY69" s="27" t="n">
        <x:v>0.30000000000000004</x:v>
      </x:c>
      <x:c r="AZ69" s="27" t="n">
        <x:v>10854340.917670866</x:v>
      </x:c>
    </x:row>
    <x:row r="70">
      <x:c r="A70" s="27" t="n">
        <x:v>45702</x:v>
      </x:c>
      <x:c r="B70" s="27" t="str">
        <x:v>IND_BANK_001</x:v>
      </x:c>
      <x:c r="C70" s="27" t="n">
        <x:v>3142</x:v>
      </x:c>
      <x:c r="D70" s="27" t="str">
        <x:v>IND-000067</x:v>
      </x:c>
      <x:c r="E70" s="27" t="str">
        <x:v>FX Option</x:v>
      </x:c>
      <x:c r="F70" s="27" t="str">
        <x:v>FX</x:v>
      </x:c>
      <x:c r="G70" s="27"/>
      <x:c r="H70" s="27" t="str">
        <x:v>USD</x:v>
      </x:c>
      <x:c r="I70" s="27" t="str">
        <x:v>CNY</x:v>
      </x:c>
      <x:c r="J70" s="27" t="str">
        <x:v>USD</x:v>
      </x:c>
      <x:c r="K70" s="27"/>
      <x:c r="L70" s="27"/>
      <x:c r="M70" s="27" t="str">
        <x:v>USD/CNY</x:v>
      </x:c>
      <x:c r="N70" s="27"/>
      <x:c r="O70" s="27"/>
      <x:c r="P70" s="27" t="n">
        <x:v>46063</x:v>
      </x:c>
      <x:c r="Q70" s="27" t="n">
        <x:v>45478</x:v>
      </x:c>
      <x:c r="R70" s="27" t="n">
        <x:v>46063</x:v>
      </x:c>
      <x:c r="S70" s="27" t="n">
        <x:v>25500000</x:v>
      </x:c>
      <x:c r="T70" s="27" t="n">
        <x:v>182142857.14</x:v>
      </x:c>
      <x:c r="U70" s="27" t="n">
        <x:v>25500000</x:v>
      </x:c>
      <x:c r="V70" s="27" t="str">
        <x:v>M</x:v>
      </x:c>
      <x:c r="W70" s="27" t="str">
        <x:v>N</x:v>
      </x:c>
      <x:c r="X70" s="27" t="n">
        <x:v>10</x:v>
      </x:c>
      <x:c r="Y70" s="27" t="str">
        <x:v>B</x:v>
      </x:c>
      <x:c r="Z70" s="27" t="n">
        <x:v>45972</x:v>
      </x:c>
      <x:c r="AA70" s="27" t="str">
        <x:v>C</x:v>
      </x:c>
      <x:c r="AB70" s="27" t="n">
        <x:v>7.3272</x:v>
      </x:c>
      <x:c r="AC70" s="27" t="n">
        <x:v>7.1</x:v>
      </x:c>
      <x:c r="AD70" s="27" t="n">
        <x:v>377527.5</x:v>
      </x:c>
      <x:c r="AE70" s="27" t="str">
        <x:v>Public-safe anonymized industry-style SA-CCR sample</x:v>
      </x:c>
      <x:c r="AF70" s="27" t="str">
        <x:v>ANON-000067</x:v>
      </x:c>
      <x:c r="AG70" s="27" t="str">
        <x:v>FX Option</x:v>
      </x:c>
      <x:c r="AH70" s="27"/>
      <x:c r="AI70" s="27" t="str">
        <x:v>USD/CNY</x:v>
      </x:c>
      <x:c r="AJ70" s="27" t="n">
        <x:v>361</x:v>
      </x:c>
      <x:c r="AK70" s="27" t="n">
        <x:v>0.989041095890411</x:v>
      </x:c>
      <x:c r="AL70" s="27" t="str">
        <x:v>&lt;1Y</x:v>
      </x:c>
      <x:c r="AM70" s="27"/>
      <x:c r="AN70" s="27" t="str">
        <x:v>Unknown</x:v>
      </x:c>
      <x:c r="AO70" s="27" t="str">
        <x:v>CNY/USD</x:v>
      </x:c>
      <x:c r="AP70" s="27" t="str">
        <x:v>M</x:v>
      </x:c>
      <x:c r="AQ70" s="27" t="n">
        <x:v>0.04</x:v>
      </x:c>
      <x:c r="AR70" s="27" t="n">
        <x:v>1</x:v>
      </x:c>
      <x:c r="AS70" s="27" t="n">
        <x:v>0.04</x:v>
      </x:c>
      <x:c r="AT70" s="27"/>
      <x:c r="AU70" s="27" t="n">
        <x:v>1</x:v>
      </x:c>
      <x:c r="AV70" s="27" t="n">
        <x:v>25500000</x:v>
      </x:c>
      <x:c r="AW70" s="27" t="n">
        <x:v>0.15</x:v>
      </x:c>
      <x:c r="AX70" s="27" t="n">
        <x:v>0.4287139031257632</x:v>
      </x:c>
      <x:c r="AY70" s="27" t="n">
        <x:v>0.30000000000000004</x:v>
      </x:c>
      <x:c r="AZ70" s="27" t="n">
        <x:v>3279661.3589120884</x:v>
      </x:c>
    </x:row>
    <x:row r="71">
      <x:c r="A71" s="27" t="n">
        <x:v>45702</x:v>
      </x:c>
      <x:c r="B71" s="27" t="str">
        <x:v>IND_BANK_002</x:v>
      </x:c>
      <x:c r="C71" s="27" t="n">
        <x:v>3331</x:v>
      </x:c>
      <x:c r="D71" s="27" t="str">
        <x:v>IND-000068</x:v>
      </x:c>
      <x:c r="E71" s="27" t="str">
        <x:v>FX Option</x:v>
      </x:c>
      <x:c r="F71" s="27" t="str">
        <x:v>FX</x:v>
      </x:c>
      <x:c r="G71" s="27"/>
      <x:c r="H71" s="27" t="str">
        <x:v>EUR</x:v>
      </x:c>
      <x:c r="I71" s="27" t="str">
        <x:v>USD</x:v>
      </x:c>
      <x:c r="J71" s="27" t="str">
        <x:v>USD</x:v>
      </x:c>
      <x:c r="K71" s="27"/>
      <x:c r="L71" s="27"/>
      <x:c r="M71" s="27" t="str">
        <x:v>EUR/USD</x:v>
      </x:c>
      <x:c r="N71" s="27"/>
      <x:c r="O71" s="27"/>
      <x:c r="P71" s="27" t="n">
        <x:v>46920</x:v>
      </x:c>
      <x:c r="Q71" s="27" t="n">
        <x:v>45413</x:v>
      </x:c>
      <x:c r="R71" s="27" t="n">
        <x:v>46920</x:v>
      </x:c>
      <x:c r="S71" s="27" t="n">
        <x:v>37714285.71</x:v>
      </x:c>
      <x:c r="T71" s="27" t="n">
        <x:v>39600000</x:v>
      </x:c>
      <x:c r="U71" s="27" t="n">
        <x:v>39600000</x:v>
      </x:c>
      <x:c r="V71" s="27" t="str">
        <x:v>M</x:v>
      </x:c>
      <x:c r="W71" s="27" t="str">
        <x:v>N</x:v>
      </x:c>
      <x:c r="X71" s="27" t="n">
        <x:v>10</x:v>
      </x:c>
      <x:c r="Y71" s="27" t="str">
        <x:v>S</x:v>
      </x:c>
      <x:c r="Z71" s="27" t="n">
        <x:v>46615</x:v>
      </x:c>
      <x:c r="AA71" s="27" t="str">
        <x:v>C</x:v>
      </x:c>
      <x:c r="AB71" s="27" t="n">
        <x:v>1.265805</x:v>
      </x:c>
      <x:c r="AC71" s="27" t="n">
        <x:v>1.223</x:v>
      </x:c>
      <x:c r="AD71" s="27" t="n">
        <x:v>335610</x:v>
      </x:c>
      <x:c r="AE71" s="27" t="str">
        <x:v>Public-safe anonymized industry-style SA-CCR sample</x:v>
      </x:c>
      <x:c r="AF71" s="27" t="str">
        <x:v>ANON-000068</x:v>
      </x:c>
      <x:c r="AG71" s="27" t="str">
        <x:v>FX Option</x:v>
      </x:c>
      <x:c r="AH71" s="27"/>
      <x:c r="AI71" s="27" t="str">
        <x:v>EUR/USD</x:v>
      </x:c>
      <x:c r="AJ71" s="27" t="n">
        <x:v>1218</x:v>
      </x:c>
      <x:c r="AK71" s="27" t="n">
        <x:v>3.336986301369863</x:v>
      </x:c>
      <x:c r="AL71" s="27" t="str">
        <x:v>1Y-5Y</x:v>
      </x:c>
      <x:c r="AM71" s="27"/>
      <x:c r="AN71" s="27" t="str">
        <x:v>Unknown</x:v>
      </x:c>
      <x:c r="AO71" s="27" t="str">
        <x:v>EUR/USD</x:v>
      </x:c>
      <x:c r="AP71" s="27" t="str">
        <x:v>M</x:v>
      </x:c>
      <x:c r="AQ71" s="27" t="n">
        <x:v>0.04</x:v>
      </x:c>
      <x:c r="AR71" s="27" t="n">
        <x:v>1</x:v>
      </x:c>
      <x:c r="AS71" s="27" t="n">
        <x:v>0.04</x:v>
      </x:c>
      <x:c r="AT71" s="27"/>
      <x:c r="AU71" s="27" t="n">
        <x:v>1</x:v>
      </x:c>
      <x:c r="AV71" s="27" t="n">
        <x:v>39600000</x:v>
      </x:c>
      <x:c r="AW71" s="27" t="n">
        <x:v>0.15</x:v>
      </x:c>
      <x:c r="AX71" s="27" t="n">
        <x:v>-0.48947252462687674</x:v>
      </x:c>
      <x:c r="AY71" s="27" t="n">
        <x:v>0.30000000000000004</x:v>
      </x:c>
      <x:c r="AZ71" s="27" t="n">
        <x:v>-5814933.592567297</x:v>
      </x:c>
    </x:row>
    <x:row r="72">
      <x:c r="A72" s="27" t="n">
        <x:v>45702</x:v>
      </x:c>
      <x:c r="B72" s="27" t="str">
        <x:v>IND_CORPORATE_001</x:v>
      </x:c>
      <x:c r="C72" s="27" t="n">
        <x:v>3040</x:v>
      </x:c>
      <x:c r="D72" s="27" t="str">
        <x:v>IND-000069</x:v>
      </x:c>
      <x:c r="E72" s="27" t="str">
        <x:v>FX Option</x:v>
      </x:c>
      <x:c r="F72" s="27" t="str">
        <x:v>FX</x:v>
      </x:c>
      <x:c r="G72" s="27"/>
      <x:c r="H72" s="27" t="str">
        <x:v>EUR</x:v>
      </x:c>
      <x:c r="I72" s="27" t="str">
        <x:v>USD</x:v>
      </x:c>
      <x:c r="J72" s="27" t="str">
        <x:v>USD</x:v>
      </x:c>
      <x:c r="K72" s="27"/>
      <x:c r="L72" s="27"/>
      <x:c r="M72" s="27" t="str">
        <x:v>EUR/USD</x:v>
      </x:c>
      <x:c r="N72" s="27"/>
      <x:c r="O72" s="27"/>
      <x:c r="P72" s="27" t="n">
        <x:v>45938</x:v>
      </x:c>
      <x:c r="Q72" s="27" t="n">
        <x:v>45531</x:v>
      </x:c>
      <x:c r="R72" s="27" t="n">
        <x:v>45938</x:v>
      </x:c>
      <x:c r="S72" s="27" t="n">
        <x:v>16095238.1</x:v>
      </x:c>
      <x:c r="T72" s="27" t="n">
        <x:v>16900000</x:v>
      </x:c>
      <x:c r="U72" s="27" t="n">
        <x:v>16900000</x:v>
      </x:c>
      <x:c r="V72" s="27" t="str">
        <x:v>M</x:v>
      </x:c>
      <x:c r="W72" s="27" t="str">
        <x:v>N</x:v>
      </x:c>
      <x:c r="X72" s="27" t="n">
        <x:v>10</x:v>
      </x:c>
      <x:c r="Y72" s="27" t="str">
        <x:v>S</x:v>
      </x:c>
      <x:c r="Z72" s="27" t="n">
        <x:v>45879</x:v>
      </x:c>
      <x:c r="AA72" s="27" t="str">
        <x:v>C</x:v>
      </x:c>
      <x:c r="AB72" s="27" t="n">
        <x:v>1.159674</x:v>
      </x:c>
      <x:c r="AC72" s="27" t="n">
        <x:v>1.114</x:v>
      </x:c>
      <x:c r="AD72" s="27" t="n">
        <x:v>120666</x:v>
      </x:c>
      <x:c r="AE72" s="27" t="str">
        <x:v>Public-safe anonymized industry-style SA-CCR sample</x:v>
      </x:c>
      <x:c r="AF72" s="27" t="str">
        <x:v>ANON-000069</x:v>
      </x:c>
      <x:c r="AG72" s="27" t="str">
        <x:v>FX Option</x:v>
      </x:c>
      <x:c r="AH72" s="27"/>
      <x:c r="AI72" s="27" t="str">
        <x:v>EUR/USD</x:v>
      </x:c>
      <x:c r="AJ72" s="27" t="n">
        <x:v>236</x:v>
      </x:c>
      <x:c r="AK72" s="27" t="n">
        <x:v>0.6465753424657534</x:v>
      </x:c>
      <x:c r="AL72" s="27" t="str">
        <x:v>&lt;1Y</x:v>
      </x:c>
      <x:c r="AM72" s="27"/>
      <x:c r="AN72" s="27" t="str">
        <x:v>Unknown</x:v>
      </x:c>
      <x:c r="AO72" s="27" t="str">
        <x:v>EUR/USD</x:v>
      </x:c>
      <x:c r="AP72" s="27" t="str">
        <x:v>M</x:v>
      </x:c>
      <x:c r="AQ72" s="27" t="n">
        <x:v>0.04</x:v>
      </x:c>
      <x:c r="AR72" s="27" t="n">
        <x:v>1</x:v>
      </x:c>
      <x:c r="AS72" s="27" t="n">
        <x:v>0.04</x:v>
      </x:c>
      <x:c r="AT72" s="27"/>
      <x:c r="AU72" s="27" t="n">
        <x:v>1</x:v>
      </x:c>
      <x:c r="AV72" s="27" t="n">
        <x:v>16900000</x:v>
      </x:c>
      <x:c r="AW72" s="27" t="n">
        <x:v>0.15</x:v>
      </x:c>
      <x:c r="AX72" s="27" t="n">
        <x:v>-0.3697745008561141</x:v>
      </x:c>
      <x:c r="AY72" s="27" t="n">
        <x:v>0.30000000000000004</x:v>
      </x:c>
      <x:c r="AZ72" s="27" t="n">
        <x:v>-1874756.7193404986</x:v>
      </x:c>
    </x:row>
    <x:row r="73">
      <x:c r="A73" s="27" t="n">
        <x:v>45702</x:v>
      </x:c>
      <x:c r="B73" s="27" t="str">
        <x:v>IND_HEDGE_FUND_001</x:v>
      </x:c>
      <x:c r="C73" s="27" t="n">
        <x:v>3205</x:v>
      </x:c>
      <x:c r="D73" s="27" t="str">
        <x:v>IND-000070</x:v>
      </x:c>
      <x:c r="E73" s="27" t="str">
        <x:v>FX Option</x:v>
      </x:c>
      <x:c r="F73" s="27" t="str">
        <x:v>FX</x:v>
      </x:c>
      <x:c r="G73" s="27"/>
      <x:c r="H73" s="27" t="str">
        <x:v>USD</x:v>
      </x:c>
      <x:c r="I73" s="27" t="str">
        <x:v>CNY</x:v>
      </x:c>
      <x:c r="J73" s="27" t="str">
        <x:v>USD</x:v>
      </x:c>
      <x:c r="K73" s="27"/>
      <x:c r="L73" s="27"/>
      <x:c r="M73" s="27" t="str">
        <x:v>USD/CNY</x:v>
      </x:c>
      <x:c r="N73" s="27"/>
      <x:c r="O73" s="27"/>
      <x:c r="P73" s="27" t="n">
        <x:v>46404</x:v>
      </x:c>
      <x:c r="Q73" s="27" t="n">
        <x:v>45350</x:v>
      </x:c>
      <x:c r="R73" s="27" t="n">
        <x:v>46404</x:v>
      </x:c>
      <x:c r="S73" s="27" t="n">
        <x:v>50800000</x:v>
      </x:c>
      <x:c r="T73" s="27" t="n">
        <x:v>362857142.86</x:v>
      </x:c>
      <x:c r="U73" s="27" t="n">
        <x:v>50800000</x:v>
      </x:c>
      <x:c r="V73" s="27" t="str">
        <x:v>M</x:v>
      </x:c>
      <x:c r="W73" s="27" t="str">
        <x:v>N</x:v>
      </x:c>
      <x:c r="X73" s="27" t="n">
        <x:v>10</x:v>
      </x:c>
      <x:c r="Y73" s="27" t="str">
        <x:v>S</x:v>
      </x:c>
      <x:c r="Z73" s="27" t="n">
        <x:v>46228</x:v>
      </x:c>
      <x:c r="AA73" s="27" t="str">
        <x:v>P</x:v>
      </x:c>
      <x:c r="AB73" s="27" t="n">
        <x:v>6.8231</x:v>
      </x:c>
      <x:c r="AC73" s="27" t="n">
        <x:v>7.1</x:v>
      </x:c>
      <x:c r="AD73" s="27" t="n">
        <x:v>58674</x:v>
      </x:c>
      <x:c r="AE73" s="27" t="str">
        <x:v>Public-safe anonymized industry-style SA-CCR sample</x:v>
      </x:c>
      <x:c r="AF73" s="27" t="str">
        <x:v>ANON-000070</x:v>
      </x:c>
      <x:c r="AG73" s="27" t="str">
        <x:v>FX Option</x:v>
      </x:c>
      <x:c r="AH73" s="27"/>
      <x:c r="AI73" s="27" t="str">
        <x:v>USD/CNY</x:v>
      </x:c>
      <x:c r="AJ73" s="27" t="n">
        <x:v>702</x:v>
      </x:c>
      <x:c r="AK73" s="27" t="n">
        <x:v>1.9232876712328768</x:v>
      </x:c>
      <x:c r="AL73" s="27" t="str">
        <x:v>1Y-5Y</x:v>
      </x:c>
      <x:c r="AM73" s="27"/>
      <x:c r="AN73" s="27" t="str">
        <x:v>Unknown</x:v>
      </x:c>
      <x:c r="AO73" s="27" t="str">
        <x:v>CNY/USD</x:v>
      </x:c>
      <x:c r="AP73" s="27" t="str">
        <x:v>M</x:v>
      </x:c>
      <x:c r="AQ73" s="27" t="n">
        <x:v>0.04</x:v>
      </x:c>
      <x:c r="AR73" s="27" t="n">
        <x:v>1</x:v>
      </x:c>
      <x:c r="AS73" s="27" t="n">
        <x:v>0.04</x:v>
      </x:c>
      <x:c r="AT73" s="27"/>
      <x:c r="AU73" s="27" t="n">
        <x:v>1</x:v>
      </x:c>
      <x:c r="AV73" s="27" t="n">
        <x:v>50800000</x:v>
      </x:c>
      <x:c r="AW73" s="27" t="n">
        <x:v>0.15</x:v>
      </x:c>
      <x:c r="AX73" s="27" t="n">
        <x:v>0.37791740622158154</x:v>
      </x:c>
      <x:c r="AY73" s="27" t="n">
        <x:v>0.30000000000000004</x:v>
      </x:c>
      <x:c r="AZ73" s="27" t="n">
        <x:v>5759461.270816904</x:v>
      </x:c>
    </x:row>
    <x:row r="74">
      <x:c r="A74" s="27" t="n">
        <x:v>45702</x:v>
      </x:c>
      <x:c r="B74" s="27" t="str">
        <x:v>IND_CLEARING_MEMBER_001</x:v>
      </x:c>
      <x:c r="C74" s="27" t="n">
        <x:v>3206</x:v>
      </x:c>
      <x:c r="D74" s="27" t="str">
        <x:v>IND-000071</x:v>
      </x:c>
      <x:c r="E74" s="27" t="str">
        <x:v>FX Option</x:v>
      </x:c>
      <x:c r="F74" s="27" t="str">
        <x:v>FX</x:v>
      </x:c>
      <x:c r="G74" s="27"/>
      <x:c r="H74" s="27" t="str">
        <x:v>GBP</x:v>
      </x:c>
      <x:c r="I74" s="27" t="str">
        <x:v>USD</x:v>
      </x:c>
      <x:c r="J74" s="27" t="str">
        <x:v>USD</x:v>
      </x:c>
      <x:c r="K74" s="27"/>
      <x:c r="L74" s="27"/>
      <x:c r="M74" s="27" t="str">
        <x:v>GBP/USD</x:v>
      </x:c>
      <x:c r="N74" s="27"/>
      <x:c r="O74" s="27"/>
      <x:c r="P74" s="27" t="n">
        <x:v>47082</x:v>
      </x:c>
      <x:c r="Q74" s="27" t="n">
        <x:v>45577</x:v>
      </x:c>
      <x:c r="R74" s="27" t="n">
        <x:v>47082</x:v>
      </x:c>
      <x:c r="S74" s="27" t="n">
        <x:v>84800000</x:v>
      </x:c>
      <x:c r="T74" s="27" t="n">
        <x:v>106000000</x:v>
      </x:c>
      <x:c r="U74" s="27" t="n">
        <x:v>106000000</x:v>
      </x:c>
      <x:c r="V74" s="27" t="str">
        <x:v>M</x:v>
      </x:c>
      <x:c r="W74" s="27" t="str">
        <x:v>N</x:v>
      </x:c>
      <x:c r="X74" s="27" t="n">
        <x:v>10</x:v>
      </x:c>
      <x:c r="Y74" s="27" t="str">
        <x:v>S</x:v>
      </x:c>
      <x:c r="Z74" s="27" t="n">
        <x:v>46737</x:v>
      </x:c>
      <x:c r="AA74" s="27" t="str">
        <x:v>P</x:v>
      </x:c>
      <x:c r="AB74" s="27" t="n">
        <x:v>1.271159</x:v>
      </x:c>
      <x:c r="AC74" s="27" t="n">
        <x:v>1.163</x:v>
      </x:c>
      <x:c r="AD74" s="27" t="n">
        <x:v>-147870</x:v>
      </x:c>
      <x:c r="AE74" s="27" t="str">
        <x:v>Public-safe anonymized industry-style SA-CCR sample</x:v>
      </x:c>
      <x:c r="AF74" s="27" t="str">
        <x:v>ANON-000071</x:v>
      </x:c>
      <x:c r="AG74" s="27" t="str">
        <x:v>FX Option</x:v>
      </x:c>
      <x:c r="AH74" s="27"/>
      <x:c r="AI74" s="27" t="str">
        <x:v>GBP/USD</x:v>
      </x:c>
      <x:c r="AJ74" s="27" t="n">
        <x:v>1380</x:v>
      </x:c>
      <x:c r="AK74" s="27" t="n">
        <x:v>3.780821917808219</x:v>
      </x:c>
      <x:c r="AL74" s="27" t="str">
        <x:v>1Y-5Y</x:v>
      </x:c>
      <x:c r="AM74" s="27"/>
      <x:c r="AN74" s="27" t="str">
        <x:v>Unknown</x:v>
      </x:c>
      <x:c r="AO74" s="27" t="str">
        <x:v>GBP/USD</x:v>
      </x:c>
      <x:c r="AP74" s="27" t="str">
        <x:v>M</x:v>
      </x:c>
      <x:c r="AQ74" s="27" t="n">
        <x:v>0.04</x:v>
      </x:c>
      <x:c r="AR74" s="27" t="n">
        <x:v>1</x:v>
      </x:c>
      <x:c r="AS74" s="27" t="n">
        <x:v>0.04</x:v>
      </x:c>
      <x:c r="AT74" s="27"/>
      <x:c r="AU74" s="27" t="n">
        <x:v>1</x:v>
      </x:c>
      <x:c r="AV74" s="27" t="n">
        <x:v>106000000</x:v>
      </x:c>
      <x:c r="AW74" s="27" t="n">
        <x:v>0.15</x:v>
      </x:c>
      <x:c r="AX74" s="27" t="n">
        <x:v>0.5893074288562363</x:v>
      </x:c>
      <x:c r="AY74" s="27" t="n">
        <x:v>0.30000000000000004</x:v>
      </x:c>
      <x:c r="AZ74" s="27" t="n">
        <x:v>18739976.23762832</x:v>
      </x:c>
    </x:row>
    <x:row r="75">
      <x:c r="A75" s="27" t="n">
        <x:v>45702</x:v>
      </x:c>
      <x:c r="B75" s="27" t="str">
        <x:v>IND_BANK_002</x:v>
      </x:c>
      <x:c r="C75" s="27" t="n">
        <x:v>3318</x:v>
      </x:c>
      <x:c r="D75" s="27" t="str">
        <x:v>IND-000072</x:v>
      </x:c>
      <x:c r="E75" s="27" t="str">
        <x:v>FX Option</x:v>
      </x:c>
      <x:c r="F75" s="27" t="str">
        <x:v>FX</x:v>
      </x:c>
      <x:c r="G75" s="27"/>
      <x:c r="H75" s="27" t="str">
        <x:v>EUR</x:v>
      </x:c>
      <x:c r="I75" s="27" t="str">
        <x:v>USD</x:v>
      </x:c>
      <x:c r="J75" s="27" t="str">
        <x:v>USD</x:v>
      </x:c>
      <x:c r="K75" s="27"/>
      <x:c r="L75" s="27"/>
      <x:c r="M75" s="27" t="str">
        <x:v>EUR/USD</x:v>
      </x:c>
      <x:c r="N75" s="27"/>
      <x:c r="O75" s="27"/>
      <x:c r="P75" s="27" t="n">
        <x:v>46721</x:v>
      </x:c>
      <x:c r="Q75" s="27" t="n">
        <x:v>45662</x:v>
      </x:c>
      <x:c r="R75" s="27" t="n">
        <x:v>46721</x:v>
      </x:c>
      <x:c r="S75" s="27" t="n">
        <x:v>114285714.29</x:v>
      </x:c>
      <x:c r="T75" s="27" t="n">
        <x:v>120000000</x:v>
      </x:c>
      <x:c r="U75" s="27" t="n">
        <x:v>120000000</x:v>
      </x:c>
      <x:c r="V75" s="27" t="str">
        <x:v>U</x:v>
      </x:c>
      <x:c r="W75" s="27" t="str">
        <x:v>N</x:v>
      </x:c>
      <x:c r="X75" s="27"/>
      <x:c r="Y75" s="27" t="str">
        <x:v>B</x:v>
      </x:c>
      <x:c r="Z75" s="27" t="n">
        <x:v>46466</x:v>
      </x:c>
      <x:c r="AA75" s="27" t="str">
        <x:v>C</x:v>
      </x:c>
      <x:c r="AB75" s="27" t="n">
        <x:v>1.205824</x:v>
      </x:c>
      <x:c r="AC75" s="27" t="n">
        <x:v>1.328</x:v>
      </x:c>
      <x:c r="AD75" s="27" t="n">
        <x:v>1512000</x:v>
      </x:c>
      <x:c r="AE75" s="27" t="str">
        <x:v>Public-safe anonymized industry-style SA-CCR sample</x:v>
      </x:c>
      <x:c r="AF75" s="27" t="str">
        <x:v>ANON-000072</x:v>
      </x:c>
      <x:c r="AG75" s="27" t="str">
        <x:v>FX Option</x:v>
      </x:c>
      <x:c r="AH75" s="27"/>
      <x:c r="AI75" s="27" t="str">
        <x:v>EUR/USD</x:v>
      </x:c>
      <x:c r="AJ75" s="27" t="n">
        <x:v>1019</x:v>
      </x:c>
      <x:c r="AK75" s="27" t="n">
        <x:v>2.791780821917808</x:v>
      </x:c>
      <x:c r="AL75" s="27" t="str">
        <x:v>1Y-5Y</x:v>
      </x:c>
      <x:c r="AM75" s="27"/>
      <x:c r="AN75" s="27" t="str">
        <x:v>Unknown</x:v>
      </x:c>
      <x:c r="AO75" s="27" t="str">
        <x:v>EUR/USD</x:v>
      </x:c>
      <x:c r="AP75" s="27" t="str">
        <x:v>U</x:v>
      </x:c>
      <x:c r="AQ75" s="27" t="n">
        <x:v>0.04</x:v>
      </x:c>
      <x:c r="AR75" s="27" t="n">
        <x:v>1</x:v>
      </x:c>
      <x:c r="AS75" s="27" t="n">
        <x:v>0.04</x:v>
      </x:c>
      <x:c r="AT75" s="27"/>
      <x:c r="AU75" s="27" t="n">
        <x:v>1</x:v>
      </x:c>
      <x:c r="AV75" s="27" t="n">
        <x:v>120000000</x:v>
      </x:c>
      <x:c r="AW75" s="27" t="n">
        <x:v>0.15</x:v>
      </x:c>
      <x:c r="AX75" s="27" t="n">
        <x:v>0.7099456997643812</x:v>
      </x:c>
      <x:c r="AY75" s="27" t="n">
        <x:v>1</x:v>
      </x:c>
      <x:c r="AZ75" s="27" t="n">
        <x:v>85193483.97172573</x:v>
      </x:c>
    </x:row>
    <x:row r="76">
      <x:c r="A76" s="27" t="n">
        <x:v>45702</x:v>
      </x:c>
      <x:c r="B76" s="27" t="str">
        <x:v>IND_BANK_002</x:v>
      </x:c>
      <x:c r="C76" s="27" t="n">
        <x:v>3331</x:v>
      </x:c>
      <x:c r="D76" s="27" t="str">
        <x:v>IND-000073</x:v>
      </x:c>
      <x:c r="E76" s="27" t="str">
        <x:v>FX Option</x:v>
      </x:c>
      <x:c r="F76" s="27" t="str">
        <x:v>FX</x:v>
      </x:c>
      <x:c r="G76" s="27"/>
      <x:c r="H76" s="27" t="str">
        <x:v>EUR</x:v>
      </x:c>
      <x:c r="I76" s="27" t="str">
        <x:v>USD</x:v>
      </x:c>
      <x:c r="J76" s="27" t="str">
        <x:v>USD</x:v>
      </x:c>
      <x:c r="K76" s="27"/>
      <x:c r="L76" s="27"/>
      <x:c r="M76" s="27" t="str">
        <x:v>EUR/USD</x:v>
      </x:c>
      <x:c r="N76" s="27"/>
      <x:c r="O76" s="27"/>
      <x:c r="P76" s="27" t="n">
        <x:v>47314</x:v>
      </x:c>
      <x:c r="Q76" s="27" t="n">
        <x:v>45107</x:v>
      </x:c>
      <x:c r="R76" s="27" t="n">
        <x:v>47314</x:v>
      </x:c>
      <x:c r="S76" s="27" t="n">
        <x:v>30095238.1</x:v>
      </x:c>
      <x:c r="T76" s="27" t="n">
        <x:v>31600000</x:v>
      </x:c>
      <x:c r="U76" s="27" t="n">
        <x:v>31600000</x:v>
      </x:c>
      <x:c r="V76" s="27" t="str">
        <x:v>M</x:v>
      </x:c>
      <x:c r="W76" s="27" t="str">
        <x:v>N</x:v>
      </x:c>
      <x:c r="X76" s="27" t="n">
        <x:v>10</x:v>
      </x:c>
      <x:c r="Y76" s="27" t="str">
        <x:v>S</x:v>
      </x:c>
      <x:c r="Z76" s="27" t="n">
        <x:v>46911</x:v>
      </x:c>
      <x:c r="AA76" s="27" t="str">
        <x:v>C</x:v>
      </x:c>
      <x:c r="AB76" s="27" t="n">
        <x:v>1.205145</x:v>
      </x:c>
      <x:c r="AC76" s="27" t="n">
        <x:v>1.185</x:v>
      </x:c>
      <x:c r="AD76" s="27" t="n">
        <x:v>-301464</x:v>
      </x:c>
      <x:c r="AE76" s="27" t="str">
        <x:v>Public-safe anonymized industry-style SA-CCR sample</x:v>
      </x:c>
      <x:c r="AF76" s="27" t="str">
        <x:v>ANON-000073</x:v>
      </x:c>
      <x:c r="AG76" s="27" t="str">
        <x:v>FX Option</x:v>
      </x:c>
      <x:c r="AH76" s="27"/>
      <x:c r="AI76" s="27" t="str">
        <x:v>EUR/USD</x:v>
      </x:c>
      <x:c r="AJ76" s="27" t="n">
        <x:v>1612</x:v>
      </x:c>
      <x:c r="AK76" s="27" t="n">
        <x:v>4.416438356164384</x:v>
      </x:c>
      <x:c r="AL76" s="27" t="str">
        <x:v>1Y-5Y</x:v>
      </x:c>
      <x:c r="AM76" s="27"/>
      <x:c r="AN76" s="27" t="str">
        <x:v>Unknown</x:v>
      </x:c>
      <x:c r="AO76" s="27" t="str">
        <x:v>EUR/USD</x:v>
      </x:c>
      <x:c r="AP76" s="27" t="str">
        <x:v>M</x:v>
      </x:c>
      <x:c r="AQ76" s="27" t="n">
        <x:v>0.04</x:v>
      </x:c>
      <x:c r="AR76" s="27" t="n">
        <x:v>1</x:v>
      </x:c>
      <x:c r="AS76" s="27" t="n">
        <x:v>0.04</x:v>
      </x:c>
      <x:c r="AT76" s="27"/>
      <x:c r="AU76" s="27" t="n">
        <x:v>1</x:v>
      </x:c>
      <x:c r="AV76" s="27" t="n">
        <x:v>31600000</x:v>
      </x:c>
      <x:c r="AW76" s="27" t="n">
        <x:v>0.15</x:v>
      </x:c>
      <x:c r="AX76" s="27" t="n">
        <x:v>-0.529793261966104</x:v>
      </x:c>
      <x:c r="AY76" s="27" t="n">
        <x:v>0.30000000000000004</x:v>
      </x:c>
      <x:c r="AZ76" s="27" t="n">
        <x:v>-5022440.123438667</x:v>
      </x:c>
    </x:row>
    <x:row r="77">
      <x:c r="A77" s="27" t="n">
        <x:v>45702</x:v>
      </x:c>
      <x:c r="B77" s="27" t="str">
        <x:v>IND_HEDGE_FUND_001</x:v>
      </x:c>
      <x:c r="C77" s="27" t="n">
        <x:v>3040</x:v>
      </x:c>
      <x:c r="D77" s="27" t="str">
        <x:v>IND-000074</x:v>
      </x:c>
      <x:c r="E77" s="27" t="str">
        <x:v>FX Option</x:v>
      </x:c>
      <x:c r="F77" s="27" t="str">
        <x:v>FX</x:v>
      </x:c>
      <x:c r="G77" s="27"/>
      <x:c r="H77" s="27" t="str">
        <x:v>USD</x:v>
      </x:c>
      <x:c r="I77" s="27" t="str">
        <x:v>CNY</x:v>
      </x:c>
      <x:c r="J77" s="27" t="str">
        <x:v>USD</x:v>
      </x:c>
      <x:c r="K77" s="27"/>
      <x:c r="L77" s="27"/>
      <x:c r="M77" s="27" t="str">
        <x:v>USD/CNY</x:v>
      </x:c>
      <x:c r="N77" s="27"/>
      <x:c r="O77" s="27"/>
      <x:c r="P77" s="27" t="n">
        <x:v>46983</x:v>
      </x:c>
      <x:c r="Q77" s="27" t="n">
        <x:v>45303</x:v>
      </x:c>
      <x:c r="R77" s="27" t="n">
        <x:v>46983</x:v>
      </x:c>
      <x:c r="S77" s="27" t="n">
        <x:v>72100000</x:v>
      </x:c>
      <x:c r="T77" s="27" t="n">
        <x:v>515000000</x:v>
      </x:c>
      <x:c r="U77" s="27" t="n">
        <x:v>72100000</x:v>
      </x:c>
      <x:c r="V77" s="27" t="str">
        <x:v>U</x:v>
      </x:c>
      <x:c r="W77" s="27" t="str">
        <x:v>N</x:v>
      </x:c>
      <x:c r="X77" s="27"/>
      <x:c r="Y77" s="27" t="str">
        <x:v>B</x:v>
      </x:c>
      <x:c r="Z77" s="27" t="n">
        <x:v>46662</x:v>
      </x:c>
      <x:c r="AA77" s="27" t="str">
        <x:v>P</x:v>
      </x:c>
      <x:c r="AB77" s="27" t="n">
        <x:v>7.1213</x:v>
      </x:c>
      <x:c r="AC77" s="27" t="n">
        <x:v>7.1</x:v>
      </x:c>
      <x:c r="AD77" s="27" t="n">
        <x:v>1047973.5</x:v>
      </x:c>
      <x:c r="AE77" s="27" t="str">
        <x:v>Public-safe anonymized industry-style SA-CCR sample</x:v>
      </x:c>
      <x:c r="AF77" s="27" t="str">
        <x:v>ANON-000074</x:v>
      </x:c>
      <x:c r="AG77" s="27" t="str">
        <x:v>FX Option</x:v>
      </x:c>
      <x:c r="AH77" s="27"/>
      <x:c r="AI77" s="27" t="str">
        <x:v>USD/CNY</x:v>
      </x:c>
      <x:c r="AJ77" s="27" t="n">
        <x:v>1281</x:v>
      </x:c>
      <x:c r="AK77" s="27" t="n">
        <x:v>3.5095890410958903</x:v>
      </x:c>
      <x:c r="AL77" s="27" t="str">
        <x:v>1Y-5Y</x:v>
      </x:c>
      <x:c r="AM77" s="27"/>
      <x:c r="AN77" s="27" t="str">
        <x:v>Unknown</x:v>
      </x:c>
      <x:c r="AO77" s="27" t="str">
        <x:v>CNY/USD</x:v>
      </x:c>
      <x:c r="AP77" s="27" t="str">
        <x:v>U</x:v>
      </x:c>
      <x:c r="AQ77" s="27" t="n">
        <x:v>0.04</x:v>
      </x:c>
      <x:c r="AR77" s="27" t="n">
        <x:v>1</x:v>
      </x:c>
      <x:c r="AS77" s="27" t="n">
        <x:v>0.04</x:v>
      </x:c>
      <x:c r="AT77" s="27"/>
      <x:c r="AU77" s="27" t="n">
        <x:v>1</x:v>
      </x:c>
      <x:c r="AV77" s="27" t="n">
        <x:v>72100000</x:v>
      </x:c>
      <x:c r="AW77" s="27" t="n">
        <x:v>0.15</x:v>
      </x:c>
      <x:c r="AX77" s="27" t="n">
        <x:v>-0.4564747455424095</x:v>
      </x:c>
      <x:c r="AY77" s="27" t="n">
        <x:v>1</x:v>
      </x:c>
      <x:c r="AZ77" s="27" t="n">
        <x:v>-32911829.153607726</x:v>
      </x:c>
    </x:row>
    <x:row r="78">
      <x:c r="A78" s="27" t="n">
        <x:v>45702</x:v>
      </x:c>
      <x:c r="B78" s="27" t="str">
        <x:v>IND_BANK_002</x:v>
      </x:c>
      <x:c r="C78" s="27" t="n">
        <x:v>3318</x:v>
      </x:c>
      <x:c r="D78" s="27" t="str">
        <x:v>IND-000075</x:v>
      </x:c>
      <x:c r="E78" s="27" t="str">
        <x:v>FX Option</x:v>
      </x:c>
      <x:c r="F78" s="27" t="str">
        <x:v>FX</x:v>
      </x:c>
      <x:c r="G78" s="27"/>
      <x:c r="H78" s="27" t="str">
        <x:v>EUR</x:v>
      </x:c>
      <x:c r="I78" s="27" t="str">
        <x:v>USD</x:v>
      </x:c>
      <x:c r="J78" s="27" t="str">
        <x:v>USD</x:v>
      </x:c>
      <x:c r="K78" s="27"/>
      <x:c r="L78" s="27"/>
      <x:c r="M78" s="27" t="str">
        <x:v>EUR/USD</x:v>
      </x:c>
      <x:c r="N78" s="27"/>
      <x:c r="O78" s="27"/>
      <x:c r="P78" s="27" t="n">
        <x:v>46221</x:v>
      </x:c>
      <x:c r="Q78" s="27" t="n">
        <x:v>45134</x:v>
      </x:c>
      <x:c r="R78" s="27" t="n">
        <x:v>46221</x:v>
      </x:c>
      <x:c r="S78" s="27" t="n">
        <x:v>100000000</x:v>
      </x:c>
      <x:c r="T78" s="27" t="n">
        <x:v>105000000</x:v>
      </x:c>
      <x:c r="U78" s="27" t="n">
        <x:v>105000000</x:v>
      </x:c>
      <x:c r="V78" s="27" t="str">
        <x:v>U</x:v>
      </x:c>
      <x:c r="W78" s="27" t="str">
        <x:v>N</x:v>
      </x:c>
      <x:c r="X78" s="27"/>
      <x:c r="Y78" s="27" t="str">
        <x:v>B</x:v>
      </x:c>
      <x:c r="Z78" s="27" t="n">
        <x:v>46091</x:v>
      </x:c>
      <x:c r="AA78" s="27" t="str">
        <x:v>C</x:v>
      </x:c>
      <x:c r="AB78" s="27" t="n">
        <x:v>1.394972</x:v>
      </x:c>
      <x:c r="AC78" s="27" t="n">
        <x:v>1.259</x:v>
      </x:c>
      <x:c r="AD78" s="27" t="n">
        <x:v>1370250</x:v>
      </x:c>
      <x:c r="AE78" s="27" t="str">
        <x:v>Public-safe anonymized industry-style SA-CCR sample</x:v>
      </x:c>
      <x:c r="AF78" s="27" t="str">
        <x:v>ANON-000075</x:v>
      </x:c>
      <x:c r="AG78" s="27" t="str">
        <x:v>FX Option</x:v>
      </x:c>
      <x:c r="AH78" s="27"/>
      <x:c r="AI78" s="27" t="str">
        <x:v>EUR/USD</x:v>
      </x:c>
      <x:c r="AJ78" s="27" t="n">
        <x:v>519</x:v>
      </x:c>
      <x:c r="AK78" s="27" t="n">
        <x:v>1.4219178082191781</x:v>
      </x:c>
      <x:c r="AL78" s="27" t="str">
        <x:v>1Y-5Y</x:v>
      </x:c>
      <x:c r="AM78" s="27"/>
      <x:c r="AN78" s="27" t="str">
        <x:v>Unknown</x:v>
      </x:c>
      <x:c r="AO78" s="27" t="str">
        <x:v>EUR/USD</x:v>
      </x:c>
      <x:c r="AP78" s="27" t="str">
        <x:v>U</x:v>
      </x:c>
      <x:c r="AQ78" s="27" t="n">
        <x:v>0.04</x:v>
      </x:c>
      <x:c r="AR78" s="27" t="n">
        <x:v>1</x:v>
      </x:c>
      <x:c r="AS78" s="27" t="n">
        <x:v>0.04</x:v>
      </x:c>
      <x:c r="AT78" s="27"/>
      <x:c r="AU78" s="27" t="n">
        <x:v>1</x:v>
      </x:c>
      <x:c r="AV78" s="27" t="n">
        <x:v>105000000</x:v>
      </x:c>
      <x:c r="AW78" s="27" t="n">
        <x:v>0.15</x:v>
      </x:c>
      <x:c r="AX78" s="27" t="n">
        <x:v>0.27932193595366966</x:v>
      </x:c>
      <x:c r="AY78" s="27" t="n">
        <x:v>1</x:v>
      </x:c>
      <x:c r="AZ78" s="27" t="n">
        <x:v>29328803.275135316</x:v>
      </x:c>
    </x:row>
    <x:row r="79">
      <x:c r="A79" s="27" t="n">
        <x:v>45702</x:v>
      </x:c>
      <x:c r="B79" s="27" t="str">
        <x:v>IND_ASSET_MANAGER_001</x:v>
      </x:c>
      <x:c r="C79" s="27" t="n">
        <x:v>3127</x:v>
      </x:c>
      <x:c r="D79" s="27" t="str">
        <x:v>IND-000076</x:v>
      </x:c>
      <x:c r="E79" s="27" t="str">
        <x:v>FX Option</x:v>
      </x:c>
      <x:c r="F79" s="27" t="str">
        <x:v>FX</x:v>
      </x:c>
      <x:c r="G79" s="27"/>
      <x:c r="H79" s="27" t="str">
        <x:v>USD</x:v>
      </x:c>
      <x:c r="I79" s="27" t="str">
        <x:v>JPY</x:v>
      </x:c>
      <x:c r="J79" s="27" t="str">
        <x:v>USD</x:v>
      </x:c>
      <x:c r="K79" s="27"/>
      <x:c r="L79" s="27"/>
      <x:c r="M79" s="27" t="str">
        <x:v>USD/JPY</x:v>
      </x:c>
      <x:c r="N79" s="27"/>
      <x:c r="O79" s="27"/>
      <x:c r="P79" s="27" t="n">
        <x:v>47464</x:v>
      </x:c>
      <x:c r="Q79" s="27" t="n">
        <x:v>45060</x:v>
      </x:c>
      <x:c r="R79" s="27" t="n">
        <x:v>47464</x:v>
      </x:c>
      <x:c r="S79" s="27" t="n">
        <x:v>2800000</x:v>
      </x:c>
      <x:c r="T79" s="27" t="n">
        <x:v>417910447.76</x:v>
      </x:c>
      <x:c r="U79" s="27" t="n">
        <x:v>2800000</x:v>
      </x:c>
      <x:c r="V79" s="27" t="str">
        <x:v>M</x:v>
      </x:c>
      <x:c r="W79" s="27" t="str">
        <x:v>N</x:v>
      </x:c>
      <x:c r="X79" s="27" t="n">
        <x:v>10</x:v>
      </x:c>
      <x:c r="Y79" s="27" t="str">
        <x:v>B</x:v>
      </x:c>
      <x:c r="Z79" s="27" t="n">
        <x:v>47023</x:v>
      </x:c>
      <x:c r="AA79" s="27" t="str">
        <x:v>C</x:v>
      </x:c>
      <x:c r="AB79" s="27" t="n">
        <x:v>1.335495</x:v>
      </x:c>
      <x:c r="AC79" s="27" t="n">
        <x:v>1.185</x:v>
      </x:c>
      <x:c r="AD79" s="27" t="n">
        <x:v>15288</x:v>
      </x:c>
      <x:c r="AE79" s="27" t="str">
        <x:v>Public-safe anonymized industry-style SA-CCR sample</x:v>
      </x:c>
      <x:c r="AF79" s="27" t="str">
        <x:v>ANON-000076</x:v>
      </x:c>
      <x:c r="AG79" s="27" t="str">
        <x:v>FX Option</x:v>
      </x:c>
      <x:c r="AH79" s="27"/>
      <x:c r="AI79" s="27" t="str">
        <x:v>USD/JPY</x:v>
      </x:c>
      <x:c r="AJ79" s="27" t="n">
        <x:v>1762</x:v>
      </x:c>
      <x:c r="AK79" s="27" t="n">
        <x:v>4.8273972602739725</x:v>
      </x:c>
      <x:c r="AL79" s="27" t="str">
        <x:v>1Y-5Y</x:v>
      </x:c>
      <x:c r="AM79" s="27"/>
      <x:c r="AN79" s="27" t="str">
        <x:v>Unknown</x:v>
      </x:c>
      <x:c r="AO79" s="27" t="str">
        <x:v>JPY/USD</x:v>
      </x:c>
      <x:c r="AP79" s="27" t="str">
        <x:v>M</x:v>
      </x:c>
      <x:c r="AQ79" s="27" t="n">
        <x:v>0.04</x:v>
      </x:c>
      <x:c r="AR79" s="27" t="n">
        <x:v>1</x:v>
      </x:c>
      <x:c r="AS79" s="27" t="n">
        <x:v>0.04</x:v>
      </x:c>
      <x:c r="AT79" s="27"/>
      <x:c r="AU79" s="27" t="n">
        <x:v>1</x:v>
      </x:c>
      <x:c r="AV79" s="27" t="n">
        <x:v>2800000</x:v>
      </x:c>
      <x:c r="AW79" s="27" t="n">
        <x:v>0.15</x:v>
      </x:c>
      <x:c r="AX79" s="27" t="n">
        <x:v>0.3911615950499457</x:v>
      </x:c>
      <x:c r="AY79" s="27" t="n">
        <x:v>0.30000000000000004</x:v>
      </x:c>
      <x:c r="AZ79" s="27" t="n">
        <x:v>328575.73984195443</x:v>
      </x:c>
    </x:row>
    <x:row r="80">
      <x:c r="A80" s="27" t="n">
        <x:v>45702</x:v>
      </x:c>
      <x:c r="B80" s="27" t="str">
        <x:v>IND_CLEARING_MEMBER_001</x:v>
      </x:c>
      <x:c r="C80" s="27" t="n">
        <x:v>3288</x:v>
      </x:c>
      <x:c r="D80" s="27" t="str">
        <x:v>IND-000077</x:v>
      </x:c>
      <x:c r="E80" s="27" t="str">
        <x:v>FX Option</x:v>
      </x:c>
      <x:c r="F80" s="27" t="str">
        <x:v>FX</x:v>
      </x:c>
      <x:c r="G80" s="27"/>
      <x:c r="H80" s="27" t="str">
        <x:v>GBP</x:v>
      </x:c>
      <x:c r="I80" s="27" t="str">
        <x:v>USD</x:v>
      </x:c>
      <x:c r="J80" s="27" t="str">
        <x:v>USD</x:v>
      </x:c>
      <x:c r="K80" s="27"/>
      <x:c r="L80" s="27"/>
      <x:c r="M80" s="27" t="str">
        <x:v>GBP/USD</x:v>
      </x:c>
      <x:c r="N80" s="27"/>
      <x:c r="O80" s="27"/>
      <x:c r="P80" s="27" t="n">
        <x:v>46811</x:v>
      </x:c>
      <x:c r="Q80" s="27" t="n">
        <x:v>44847</x:v>
      </x:c>
      <x:c r="R80" s="27" t="n">
        <x:v>46811</x:v>
      </x:c>
      <x:c r="S80" s="27" t="n">
        <x:v>32720000</x:v>
      </x:c>
      <x:c r="T80" s="27" t="n">
        <x:v>40900000</x:v>
      </x:c>
      <x:c r="U80" s="27" t="n">
        <x:v>40900000</x:v>
      </x:c>
      <x:c r="V80" s="27" t="str">
        <x:v>U</x:v>
      </x:c>
      <x:c r="W80" s="27" t="str">
        <x:v>N</x:v>
      </x:c>
      <x:c r="X80" s="27"/>
      <x:c r="Y80" s="27" t="str">
        <x:v>B</x:v>
      </x:c>
      <x:c r="Z80" s="27" t="n">
        <x:v>46533</x:v>
      </x:c>
      <x:c r="AA80" s="27" t="str">
        <x:v>C</x:v>
      </x:c>
      <x:c r="AB80" s="27" t="n">
        <x:v>1.11163</x:v>
      </x:c>
      <x:c r="AC80" s="27" t="n">
        <x:v>1.105</x:v>
      </x:c>
      <x:c r="AD80" s="27" t="n">
        <x:v>-480984</x:v>
      </x:c>
      <x:c r="AE80" s="27" t="str">
        <x:v>Public-safe anonymized industry-style SA-CCR sample</x:v>
      </x:c>
      <x:c r="AF80" s="27" t="str">
        <x:v>ANON-000077</x:v>
      </x:c>
      <x:c r="AG80" s="27" t="str">
        <x:v>FX Option</x:v>
      </x:c>
      <x:c r="AH80" s="27"/>
      <x:c r="AI80" s="27" t="str">
        <x:v>GBP/USD</x:v>
      </x:c>
      <x:c r="AJ80" s="27" t="n">
        <x:v>1109</x:v>
      </x:c>
      <x:c r="AK80" s="27" t="n">
        <x:v>3.0383561643835617</x:v>
      </x:c>
      <x:c r="AL80" s="27" t="str">
        <x:v>1Y-5Y</x:v>
      </x:c>
      <x:c r="AM80" s="27"/>
      <x:c r="AN80" s="27" t="str">
        <x:v>Unknown</x:v>
      </x:c>
      <x:c r="AO80" s="27" t="str">
        <x:v>GBP/USD</x:v>
      </x:c>
      <x:c r="AP80" s="27" t="str">
        <x:v>U</x:v>
      </x:c>
      <x:c r="AQ80" s="27" t="n">
        <x:v>0.04</x:v>
      </x:c>
      <x:c r="AR80" s="27" t="n">
        <x:v>1</x:v>
      </x:c>
      <x:c r="AS80" s="27" t="n">
        <x:v>0.04</x:v>
      </x:c>
      <x:c r="AT80" s="27"/>
      <x:c r="AU80" s="27" t="n">
        <x:v>1</x:v>
      </x:c>
      <x:c r="AV80" s="27" t="n">
        <x:v>40900000</x:v>
      </x:c>
      <x:c r="AW80" s="27" t="n">
        <x:v>0.15</x:v>
      </x:c>
      <x:c r="AX80" s="27" t="n">
        <x:v>0.5345590349907026</x:v>
      </x:c>
      <x:c r="AY80" s="27" t="n">
        <x:v>1</x:v>
      </x:c>
      <x:c r="AZ80" s="27" t="n">
        <x:v>21863464.531119734</x:v>
      </x:c>
    </x:row>
    <x:row r="81">
      <x:c r="A81" s="27" t="n">
        <x:v>45702</x:v>
      </x:c>
      <x:c r="B81" s="27" t="str">
        <x:v>IND_HEDGE_FUND_001</x:v>
      </x:c>
      <x:c r="C81" s="27" t="n">
        <x:v>3040</x:v>
      </x:c>
      <x:c r="D81" s="27" t="str">
        <x:v>IND-000078</x:v>
      </x:c>
      <x:c r="E81" s="27" t="str">
        <x:v>FX Option</x:v>
      </x:c>
      <x:c r="F81" s="27" t="str">
        <x:v>FX</x:v>
      </x:c>
      <x:c r="G81" s="27"/>
      <x:c r="H81" s="27" t="str">
        <x:v>USD</x:v>
      </x:c>
      <x:c r="I81" s="27" t="str">
        <x:v>CNY</x:v>
      </x:c>
      <x:c r="J81" s="27" t="str">
        <x:v>USD</x:v>
      </x:c>
      <x:c r="K81" s="27"/>
      <x:c r="L81" s="27"/>
      <x:c r="M81" s="27" t="str">
        <x:v>USD/CNY</x:v>
      </x:c>
      <x:c r="N81" s="27"/>
      <x:c r="O81" s="27"/>
      <x:c r="P81" s="27" t="n">
        <x:v>47172</x:v>
      </x:c>
      <x:c r="Q81" s="27" t="n">
        <x:v>45363</x:v>
      </x:c>
      <x:c r="R81" s="27" t="n">
        <x:v>47172</x:v>
      </x:c>
      <x:c r="S81" s="27" t="n">
        <x:v>73300000</x:v>
      </x:c>
      <x:c r="T81" s="27" t="n">
        <x:v>523571428.57</x:v>
      </x:c>
      <x:c r="U81" s="27" t="n">
        <x:v>73300000</x:v>
      </x:c>
      <x:c r="V81" s="27" t="str">
        <x:v>U</x:v>
      </x:c>
      <x:c r="W81" s="27" t="str">
        <x:v>N</x:v>
      </x:c>
      <x:c r="X81" s="27"/>
      <x:c r="Y81" s="27" t="str">
        <x:v>S</x:v>
      </x:c>
      <x:c r="Z81" s="27" t="n">
        <x:v>46804</x:v>
      </x:c>
      <x:c r="AA81" s="27" t="str">
        <x:v>C</x:v>
      </x:c>
      <x:c r="AB81" s="27" t="n">
        <x:v>6.7734</x:v>
      </x:c>
      <x:c r="AC81" s="27" t="n">
        <x:v>7.1</x:v>
      </x:c>
      <x:c r="AD81" s="27" t="n">
        <x:v>-570640.5</x:v>
      </x:c>
      <x:c r="AE81" s="27" t="str">
        <x:v>Public-safe anonymized industry-style SA-CCR sample</x:v>
      </x:c>
      <x:c r="AF81" s="27" t="str">
        <x:v>ANON-000078</x:v>
      </x:c>
      <x:c r="AG81" s="27" t="str">
        <x:v>FX Option</x:v>
      </x:c>
      <x:c r="AH81" s="27"/>
      <x:c r="AI81" s="27" t="str">
        <x:v>USD/CNY</x:v>
      </x:c>
      <x:c r="AJ81" s="27" t="n">
        <x:v>1470</x:v>
      </x:c>
      <x:c r="AK81" s="27" t="n">
        <x:v>4.027397260273973</x:v>
      </x:c>
      <x:c r="AL81" s="27" t="str">
        <x:v>1Y-5Y</x:v>
      </x:c>
      <x:c r="AM81" s="27"/>
      <x:c r="AN81" s="27" t="str">
        <x:v>Unknown</x:v>
      </x:c>
      <x:c r="AO81" s="27" t="str">
        <x:v>CNY/USD</x:v>
      </x:c>
      <x:c r="AP81" s="27" t="str">
        <x:v>U</x:v>
      </x:c>
      <x:c r="AQ81" s="27" t="n">
        <x:v>0.04</x:v>
      </x:c>
      <x:c r="AR81" s="27" t="n">
        <x:v>1</x:v>
      </x:c>
      <x:c r="AS81" s="27" t="n">
        <x:v>0.04</x:v>
      </x:c>
      <x:c r="AT81" s="27"/>
      <x:c r="AU81" s="27" t="n">
        <x:v>1</x:v>
      </x:c>
      <x:c r="AV81" s="27" t="n">
        <x:v>73300000</x:v>
      </x:c>
      <x:c r="AW81" s="27" t="n">
        <x:v>0.15</x:v>
      </x:c>
      <x:c r="AX81" s="27" t="n">
        <x:v>-0.6220987220426476</x:v>
      </x:c>
      <x:c r="AY81" s="27" t="n">
        <x:v>1</x:v>
      </x:c>
      <x:c r="AZ81" s="27" t="n">
        <x:v>-45599836.32572607</x:v>
      </x:c>
    </x:row>
    <x:row r="82">
      <x:c r="A82" s="27" t="n">
        <x:v>45702</x:v>
      </x:c>
      <x:c r="B82" s="27" t="str">
        <x:v>IND_CORPORATE_002</x:v>
      </x:c>
      <x:c r="C82" s="27" t="n">
        <x:v>3187</x:v>
      </x:c>
      <x:c r="D82" s="27" t="str">
        <x:v>IND-000079</x:v>
      </x:c>
      <x:c r="E82" s="27" t="str">
        <x:v>FX Option</x:v>
      </x:c>
      <x:c r="F82" s="27" t="str">
        <x:v>FX</x:v>
      </x:c>
      <x:c r="G82" s="27"/>
      <x:c r="H82" s="27" t="str">
        <x:v>GBP</x:v>
      </x:c>
      <x:c r="I82" s="27" t="str">
        <x:v>USD</x:v>
      </x:c>
      <x:c r="J82" s="27" t="str">
        <x:v>USD</x:v>
      </x:c>
      <x:c r="K82" s="27"/>
      <x:c r="L82" s="27"/>
      <x:c r="M82" s="27" t="str">
        <x:v>GBP/USD</x:v>
      </x:c>
      <x:c r="N82" s="27"/>
      <x:c r="O82" s="27"/>
      <x:c r="P82" s="27" t="n">
        <x:v>47186</x:v>
      </x:c>
      <x:c r="Q82" s="27" t="n">
        <x:v>45314</x:v>
      </x:c>
      <x:c r="R82" s="27" t="n">
        <x:v>47186</x:v>
      </x:c>
      <x:c r="S82" s="27" t="n">
        <x:v>35680000</x:v>
      </x:c>
      <x:c r="T82" s="27" t="n">
        <x:v>44600000</x:v>
      </x:c>
      <x:c r="U82" s="27" t="n">
        <x:v>44600000</x:v>
      </x:c>
      <x:c r="V82" s="27" t="str">
        <x:v>U</x:v>
      </x:c>
      <x:c r="W82" s="27" t="str">
        <x:v>N</x:v>
      </x:c>
      <x:c r="X82" s="27"/>
      <x:c r="Y82" s="27" t="str">
        <x:v>B</x:v>
      </x:c>
      <x:c r="Z82" s="27" t="n">
        <x:v>46815</x:v>
      </x:c>
      <x:c r="AA82" s="27" t="str">
        <x:v>C</x:v>
      </x:c>
      <x:c r="AB82" s="27" t="n">
        <x:v>1.17876</x:v>
      </x:c>
      <x:c r="AC82" s="27" t="n">
        <x:v>1.254</x:v>
      </x:c>
      <x:c r="AD82" s="27" t="n">
        <x:v>339183</x:v>
      </x:c>
      <x:c r="AE82" s="27" t="str">
        <x:v>Public-safe anonymized industry-style SA-CCR sample</x:v>
      </x:c>
      <x:c r="AF82" s="27" t="str">
        <x:v>ANON-000079</x:v>
      </x:c>
      <x:c r="AG82" s="27" t="str">
        <x:v>FX Option</x:v>
      </x:c>
      <x:c r="AH82" s="27"/>
      <x:c r="AI82" s="27" t="str">
        <x:v>GBP/USD</x:v>
      </x:c>
      <x:c r="AJ82" s="27" t="n">
        <x:v>1484</x:v>
      </x:c>
      <x:c r="AK82" s="27" t="n">
        <x:v>4.065753424657534</x:v>
      </x:c>
      <x:c r="AL82" s="27" t="str">
        <x:v>1Y-5Y</x:v>
      </x:c>
      <x:c r="AM82" s="27"/>
      <x:c r="AN82" s="27" t="str">
        <x:v>Unknown</x:v>
      </x:c>
      <x:c r="AO82" s="27" t="str">
        <x:v>GBP/USD</x:v>
      </x:c>
      <x:c r="AP82" s="27" t="str">
        <x:v>U</x:v>
      </x:c>
      <x:c r="AQ82" s="27" t="n">
        <x:v>0.04</x:v>
      </x:c>
      <x:c r="AR82" s="27" t="n">
        <x:v>1</x:v>
      </x:c>
      <x:c r="AS82" s="27" t="n">
        <x:v>0.04</x:v>
      </x:c>
      <x:c r="AT82" s="27"/>
      <x:c r="AU82" s="27" t="n">
        <x:v>1</x:v>
      </x:c>
      <x:c r="AV82" s="27" t="n">
        <x:v>44600000</x:v>
      </x:c>
      <x:c r="AW82" s="27" t="n">
        <x:v>0.15</x:v>
      </x:c>
      <x:c r="AX82" s="27" t="n">
        <x:v>0.643262112070183</x:v>
      </x:c>
      <x:c r="AY82" s="27" t="n">
        <x:v>1</x:v>
      </x:c>
      <x:c r="AZ82" s="27" t="n">
        <x:v>28689490.198330164</x:v>
      </x:c>
    </x:row>
    <x:row r="83">
      <x:c r="A83" s="27" t="n">
        <x:v>45702</x:v>
      </x:c>
      <x:c r="B83" s="27" t="str">
        <x:v>IND_INSURER_001</x:v>
      </x:c>
      <x:c r="C83" s="27" t="n">
        <x:v>3094</x:v>
      </x:c>
      <x:c r="D83" s="27" t="str">
        <x:v>IND-000080</x:v>
      </x:c>
      <x:c r="E83" s="27" t="str">
        <x:v>FX Option</x:v>
      </x:c>
      <x:c r="F83" s="27" t="str">
        <x:v>FX</x:v>
      </x:c>
      <x:c r="G83" s="27"/>
      <x:c r="H83" s="27" t="str">
        <x:v>USD</x:v>
      </x:c>
      <x:c r="I83" s="27" t="str">
        <x:v>JPY</x:v>
      </x:c>
      <x:c r="J83" s="27" t="str">
        <x:v>USD</x:v>
      </x:c>
      <x:c r="K83" s="27"/>
      <x:c r="L83" s="27"/>
      <x:c r="M83" s="27" t="str">
        <x:v>USD/JPY</x:v>
      </x:c>
      <x:c r="N83" s="27"/>
      <x:c r="O83" s="27"/>
      <x:c r="P83" s="27" t="n">
        <x:v>47490</x:v>
      </x:c>
      <x:c r="Q83" s="27" t="n">
        <x:v>45056</x:v>
      </x:c>
      <x:c r="R83" s="27" t="n">
        <x:v>47490</x:v>
      </x:c>
      <x:c r="S83" s="27" t="n">
        <x:v>135000000</x:v>
      </x:c>
      <x:c r="T83" s="27" t="n">
        <x:v>20149253731.34</x:v>
      </x:c>
      <x:c r="U83" s="27" t="n">
        <x:v>135000000</x:v>
      </x:c>
      <x:c r="V83" s="27" t="str">
        <x:v>U</x:v>
      </x:c>
      <x:c r="W83" s="27" t="str">
        <x:v>N</x:v>
      </x:c>
      <x:c r="X83" s="27"/>
      <x:c r="Y83" s="27" t="str">
        <x:v>S</x:v>
      </x:c>
      <x:c r="Z83" s="27" t="n">
        <x:v>47043</x:v>
      </x:c>
      <x:c r="AA83" s="27" t="str">
        <x:v>C</x:v>
      </x:c>
      <x:c r="AB83" s="27" t="n">
        <x:v>1.33052</x:v>
      </x:c>
      <x:c r="AC83" s="27" t="n">
        <x:v>1.24</x:v>
      </x:c>
      <x:c r="AD83" s="27" t="n">
        <x:v>121500</x:v>
      </x:c>
      <x:c r="AE83" s="27" t="str">
        <x:v>Public-safe anonymized industry-style SA-CCR sample</x:v>
      </x:c>
      <x:c r="AF83" s="27" t="str">
        <x:v>ANON-000080</x:v>
      </x:c>
      <x:c r="AG83" s="27" t="str">
        <x:v>FX Option</x:v>
      </x:c>
      <x:c r="AH83" s="27"/>
      <x:c r="AI83" s="27" t="str">
        <x:v>USD/JPY</x:v>
      </x:c>
      <x:c r="AJ83" s="27" t="n">
        <x:v>1788</x:v>
      </x:c>
      <x:c r="AK83" s="27" t="n">
        <x:v>4.898630136986301</x:v>
      </x:c>
      <x:c r="AL83" s="27" t="str">
        <x:v>1Y-5Y</x:v>
      </x:c>
      <x:c r="AM83" s="27"/>
      <x:c r="AN83" s="27" t="str">
        <x:v>Unknown</x:v>
      </x:c>
      <x:c r="AO83" s="27" t="str">
        <x:v>JPY/USD</x:v>
      </x:c>
      <x:c r="AP83" s="27" t="str">
        <x:v>U</x:v>
      </x:c>
      <x:c r="AQ83" s="27" t="n">
        <x:v>0.04</x:v>
      </x:c>
      <x:c r="AR83" s="27" t="n">
        <x:v>1</x:v>
      </x:c>
      <x:c r="AS83" s="27" t="n">
        <x:v>0.04</x:v>
      </x:c>
      <x:c r="AT83" s="27"/>
      <x:c r="AU83" s="27" t="n">
        <x:v>1</x:v>
      </x:c>
      <x:c r="AV83" s="27" t="n">
        <x:v>135000000</x:v>
      </x:c>
      <x:c r="AW83" s="27" t="n">
        <x:v>0.15</x:v>
      </x:c>
      <x:c r="AX83" s="27" t="n">
        <x:v>-0.45965465480677636</x:v>
      </x:c>
      <x:c r="AY83" s="27" t="n">
        <x:v>1</x:v>
      </x:c>
      <x:c r="AZ83" s="27" t="n">
        <x:v>-62053378.39891481</x:v>
      </x:c>
    </x:row>
    <x:row r="84">
      <x:c r="A84" s="27" t="n">
        <x:v>45702</x:v>
      </x:c>
      <x:c r="B84" s="27" t="str">
        <x:v>IND_BANK_001</x:v>
      </x:c>
      <x:c r="C84" s="27" t="n">
        <x:v>3214</x:v>
      </x:c>
      <x:c r="D84" s="27" t="str">
        <x:v>IND-000081</x:v>
      </x:c>
      <x:c r="E84" s="27" t="str">
        <x:v>FX Option</x:v>
      </x:c>
      <x:c r="F84" s="27" t="str">
        <x:v>FX</x:v>
      </x:c>
      <x:c r="G84" s="27"/>
      <x:c r="H84" s="27" t="str">
        <x:v>USD</x:v>
      </x:c>
      <x:c r="I84" s="27" t="str">
        <x:v>CNY</x:v>
      </x:c>
      <x:c r="J84" s="27" t="str">
        <x:v>USD</x:v>
      </x:c>
      <x:c r="K84" s="27"/>
      <x:c r="L84" s="27"/>
      <x:c r="M84" s="27" t="str">
        <x:v>USD/CNY</x:v>
      </x:c>
      <x:c r="N84" s="27"/>
      <x:c r="O84" s="27"/>
      <x:c r="P84" s="27" t="n">
        <x:v>46378</x:v>
      </x:c>
      <x:c r="Q84" s="27" t="n">
        <x:v>45127</x:v>
      </x:c>
      <x:c r="R84" s="27" t="n">
        <x:v>46378</x:v>
      </x:c>
      <x:c r="S84" s="27" t="n">
        <x:v>1000000</x:v>
      </x:c>
      <x:c r="T84" s="27" t="n">
        <x:v>7142857.14</x:v>
      </x:c>
      <x:c r="U84" s="27" t="n">
        <x:v>1000000</x:v>
      </x:c>
      <x:c r="V84" s="27" t="str">
        <x:v>U</x:v>
      </x:c>
      <x:c r="W84" s="27" t="str">
        <x:v>N</x:v>
      </x:c>
      <x:c r="X84" s="27"/>
      <x:c r="Y84" s="27" t="str">
        <x:v>B</x:v>
      </x:c>
      <x:c r="Z84" s="27" t="n">
        <x:v>46209</x:v>
      </x:c>
      <x:c r="AA84" s="27" t="str">
        <x:v>C</x:v>
      </x:c>
      <x:c r="AB84" s="27" t="n">
        <x:v>7.5544</x:v>
      </x:c>
      <x:c r="AC84" s="27" t="n">
        <x:v>7.1</x:v>
      </x:c>
      <x:c r="AD84" s="27" t="n">
        <x:v>-8235</x:v>
      </x:c>
      <x:c r="AE84" s="27" t="str">
        <x:v>Public-safe anonymized industry-style SA-CCR sample</x:v>
      </x:c>
      <x:c r="AF84" s="27" t="str">
        <x:v>ANON-000081</x:v>
      </x:c>
      <x:c r="AG84" s="27" t="str">
        <x:v>FX Option</x:v>
      </x:c>
      <x:c r="AH84" s="27"/>
      <x:c r="AI84" s="27" t="str">
        <x:v>USD/CNY</x:v>
      </x:c>
      <x:c r="AJ84" s="27" t="n">
        <x:v>676</x:v>
      </x:c>
      <x:c r="AK84" s="27" t="n">
        <x:v>1.8520547945205479</x:v>
      </x:c>
      <x:c r="AL84" s="27" t="str">
        <x:v>1Y-5Y</x:v>
      </x:c>
      <x:c r="AM84" s="27"/>
      <x:c r="AN84" s="27" t="str">
        <x:v>Unknown</x:v>
      </x:c>
      <x:c r="AO84" s="27" t="str">
        <x:v>CNY/USD</x:v>
      </x:c>
      <x:c r="AP84" s="27" t="str">
        <x:v>U</x:v>
      </x:c>
      <x:c r="AQ84" s="27" t="n">
        <x:v>0.04</x:v>
      </x:c>
      <x:c r="AR84" s="27" t="n">
        <x:v>1</x:v>
      </x:c>
      <x:c r="AS84" s="27" t="n">
        <x:v>0.04</x:v>
      </x:c>
      <x:c r="AT84" s="27"/>
      <x:c r="AU84" s="27" t="n">
        <x:v>1</x:v>
      </x:c>
      <x:c r="AV84" s="27" t="n">
        <x:v>1000000</x:v>
      </x:c>
      <x:c r="AW84" s="27" t="n">
        <x:v>0.15</x:v>
      </x:c>
      <x:c r="AX84" s="27" t="n">
        <x:v>0.39646307965559396</x:v>
      </x:c>
      <x:c r="AY84" s="27" t="n">
        <x:v>1</x:v>
      </x:c>
      <x:c r="AZ84" s="27" t="n">
        <x:v>396463.07965559396</x:v>
      </x:c>
    </x:row>
    <x:row r="85">
      <x:c r="A85" s="27" t="n">
        <x:v>45702</x:v>
      </x:c>
      <x:c r="B85" s="27" t="str">
        <x:v>IND_BROKER_001</x:v>
      </x:c>
      <x:c r="C85" s="27" t="n">
        <x:v>3276</x:v>
      </x:c>
      <x:c r="D85" s="27" t="str">
        <x:v>IND-000082</x:v>
      </x:c>
      <x:c r="E85" s="27" t="str">
        <x:v>FX Option</x:v>
      </x:c>
      <x:c r="F85" s="27" t="str">
        <x:v>FX</x:v>
      </x:c>
      <x:c r="G85" s="27"/>
      <x:c r="H85" s="27" t="str">
        <x:v>GBP</x:v>
      </x:c>
      <x:c r="I85" s="27" t="str">
        <x:v>USD</x:v>
      </x:c>
      <x:c r="J85" s="27" t="str">
        <x:v>USD</x:v>
      </x:c>
      <x:c r="K85" s="27"/>
      <x:c r="L85" s="27"/>
      <x:c r="M85" s="27" t="str">
        <x:v>GBP/USD</x:v>
      </x:c>
      <x:c r="N85" s="27"/>
      <x:c r="O85" s="27"/>
      <x:c r="P85" s="27" t="n">
        <x:v>47464</x:v>
      </x:c>
      <x:c r="Q85" s="27" t="n">
        <x:v>45069</x:v>
      </x:c>
      <x:c r="R85" s="27" t="n">
        <x:v>47464</x:v>
      </x:c>
      <x:c r="S85" s="27" t="n">
        <x:v>105600000</x:v>
      </x:c>
      <x:c r="T85" s="27" t="n">
        <x:v>132000000</x:v>
      </x:c>
      <x:c r="U85" s="27" t="n">
        <x:v>132000000</x:v>
      </x:c>
      <x:c r="V85" s="27" t="str">
        <x:v>M</x:v>
      </x:c>
      <x:c r="W85" s="27" t="str">
        <x:v>N</x:v>
      </x:c>
      <x:c r="X85" s="27" t="n">
        <x:v>10</x:v>
      </x:c>
      <x:c r="Y85" s="27" t="str">
        <x:v>S</x:v>
      </x:c>
      <x:c r="Z85" s="27" t="n">
        <x:v>47023</x:v>
      </x:c>
      <x:c r="AA85" s="27" t="str">
        <x:v>C</x:v>
      </x:c>
      <x:c r="AB85" s="27" t="n">
        <x:v>1.05569</x:v>
      </x:c>
      <x:c r="AC85" s="27" t="n">
        <x:v>1.145</x:v>
      </x:c>
      <x:c r="AD85" s="27" t="n">
        <x:v>1732500</x:v>
      </x:c>
      <x:c r="AE85" s="27" t="str">
        <x:v>Public-safe anonymized industry-style SA-CCR sample</x:v>
      </x:c>
      <x:c r="AF85" s="27" t="str">
        <x:v>ANON-000082</x:v>
      </x:c>
      <x:c r="AG85" s="27" t="str">
        <x:v>FX Option</x:v>
      </x:c>
      <x:c r="AH85" s="27"/>
      <x:c r="AI85" s="27" t="str">
        <x:v>GBP/USD</x:v>
      </x:c>
      <x:c r="AJ85" s="27" t="n">
        <x:v>1762</x:v>
      </x:c>
      <x:c r="AK85" s="27" t="n">
        <x:v>4.8273972602739725</x:v>
      </x:c>
      <x:c r="AL85" s="27" t="str">
        <x:v>1Y-5Y</x:v>
      </x:c>
      <x:c r="AM85" s="27"/>
      <x:c r="AN85" s="27" t="str">
        <x:v>Unknown</x:v>
      </x:c>
      <x:c r="AO85" s="27" t="str">
        <x:v>GBP/USD</x:v>
      </x:c>
      <x:c r="AP85" s="27" t="str">
        <x:v>M</x:v>
      </x:c>
      <x:c r="AQ85" s="27" t="n">
        <x:v>0.04</x:v>
      </x:c>
      <x:c r="AR85" s="27" t="n">
        <x:v>1</x:v>
      </x:c>
      <x:c r="AS85" s="27" t="n">
        <x:v>0.04</x:v>
      </x:c>
      <x:c r="AT85" s="27"/>
      <x:c r="AU85" s="27" t="n">
        <x:v>1</x:v>
      </x:c>
      <x:c r="AV85" s="27" t="n">
        <x:v>132000000</x:v>
      </x:c>
      <x:c r="AW85" s="27" t="n">
        <x:v>0.15</x:v>
      </x:c>
      <x:c r="AX85" s="27" t="n">
        <x:v>-0.6654075879735787</x:v>
      </x:c>
      <x:c r="AY85" s="27" t="n">
        <x:v>0.30000000000000004</x:v>
      </x:c>
      <x:c r="AZ85" s="27" t="n">
        <x:v>-26350140.48375372</x:v>
      </x:c>
    </x:row>
    <x:row r="86">
      <x:c r="A86" s="27" t="n">
        <x:v>45702</x:v>
      </x:c>
      <x:c r="B86" s="27" t="str">
        <x:v>IND_HEDGE_FUND_001</x:v>
      </x:c>
      <x:c r="C86" s="27" t="n">
        <x:v>3205</x:v>
      </x:c>
      <x:c r="D86" s="27" t="str">
        <x:v>IND-000083</x:v>
      </x:c>
      <x:c r="E86" s="27" t="str">
        <x:v>FX Option</x:v>
      </x:c>
      <x:c r="F86" s="27" t="str">
        <x:v>FX</x:v>
      </x:c>
      <x:c r="G86" s="27"/>
      <x:c r="H86" s="27" t="str">
        <x:v>USD</x:v>
      </x:c>
      <x:c r="I86" s="27" t="str">
        <x:v>CNY</x:v>
      </x:c>
      <x:c r="J86" s="27" t="str">
        <x:v>USD</x:v>
      </x:c>
      <x:c r="K86" s="27"/>
      <x:c r="L86" s="27"/>
      <x:c r="M86" s="27" t="str">
        <x:v>USD/CNY</x:v>
      </x:c>
      <x:c r="N86" s="27"/>
      <x:c r="O86" s="27"/>
      <x:c r="P86" s="27" t="n">
        <x:v>46058</x:v>
      </x:c>
      <x:c r="Q86" s="27" t="n">
        <x:v>44927</x:v>
      </x:c>
      <x:c r="R86" s="27" t="n">
        <x:v>46058</x:v>
      </x:c>
      <x:c r="S86" s="27" t="n">
        <x:v>44100000</x:v>
      </x:c>
      <x:c r="T86" s="27" t="n">
        <x:v>315000000</x:v>
      </x:c>
      <x:c r="U86" s="27" t="n">
        <x:v>44100000</x:v>
      </x:c>
      <x:c r="V86" s="27" t="str">
        <x:v>M</x:v>
      </x:c>
      <x:c r="W86" s="27" t="str">
        <x:v>N</x:v>
      </x:c>
      <x:c r="X86" s="27" t="n">
        <x:v>10</x:v>
      </x:c>
      <x:c r="Y86" s="27" t="str">
        <x:v>B</x:v>
      </x:c>
      <x:c r="Z86" s="27" t="n">
        <x:v>45969</x:v>
      </x:c>
      <x:c r="AA86" s="27" t="str">
        <x:v>C</x:v>
      </x:c>
      <x:c r="AB86" s="27" t="n">
        <x:v>7.5615</x:v>
      </x:c>
      <x:c r="AC86" s="27" t="n">
        <x:v>7.1</x:v>
      </x:c>
      <x:c r="AD86" s="27" t="n">
        <x:v>5292</x:v>
      </x:c>
      <x:c r="AE86" s="27" t="str">
        <x:v>Public-safe anonymized industry-style SA-CCR sample</x:v>
      </x:c>
      <x:c r="AF86" s="27" t="str">
        <x:v>ANON-000083</x:v>
      </x:c>
      <x:c r="AG86" s="27" t="str">
        <x:v>FX Option</x:v>
      </x:c>
      <x:c r="AH86" s="27"/>
      <x:c r="AI86" s="27" t="str">
        <x:v>USD/CNY</x:v>
      </x:c>
      <x:c r="AJ86" s="27" t="n">
        <x:v>356</x:v>
      </x:c>
      <x:c r="AK86" s="27" t="n">
        <x:v>0.9753424657534246</x:v>
      </x:c>
      <x:c r="AL86" s="27" t="str">
        <x:v>&lt;1Y</x:v>
      </x:c>
      <x:c r="AM86" s="27"/>
      <x:c r="AN86" s="27" t="str">
        <x:v>Unknown</x:v>
      </x:c>
      <x:c r="AO86" s="27" t="str">
        <x:v>CNY/USD</x:v>
      </x:c>
      <x:c r="AP86" s="27" t="str">
        <x:v>M</x:v>
      </x:c>
      <x:c r="AQ86" s="27" t="n">
        <x:v>0.04</x:v>
      </x:c>
      <x:c r="AR86" s="27" t="n">
        <x:v>1</x:v>
      </x:c>
      <x:c r="AS86" s="27" t="n">
        <x:v>0.04</x:v>
      </x:c>
      <x:c r="AT86" s="27"/>
      <x:c r="AU86" s="27" t="n">
        <x:v>1</x:v>
      </x:c>
      <x:c r="AV86" s="27" t="n">
        <x:v>44100000</x:v>
      </x:c>
      <x:c r="AW86" s="27" t="n">
        <x:v>0.15</x:v>
      </x:c>
      <x:c r="AX86" s="27" t="n">
        <x:v>0.3347902959119605</x:v>
      </x:c>
      <x:c r="AY86" s="27" t="n">
        <x:v>0.30000000000000004</x:v>
      </x:c>
      <x:c r="AZ86" s="27" t="n">
        <x:v>4429275.614915239</x:v>
      </x:c>
    </x:row>
    <x:row r="87">
      <x:c r="A87" s="27" t="n">
        <x:v>45702</x:v>
      </x:c>
      <x:c r="B87" s="27" t="str">
        <x:v>IND_SOVEREIGN_001</x:v>
      </x:c>
      <x:c r="C87" s="27" t="n">
        <x:v>3390</x:v>
      </x:c>
      <x:c r="D87" s="27" t="str">
        <x:v>IND-000084</x:v>
      </x:c>
      <x:c r="E87" s="27" t="str">
        <x:v>FX Option</x:v>
      </x:c>
      <x:c r="F87" s="27" t="str">
        <x:v>FX</x:v>
      </x:c>
      <x:c r="G87" s="27"/>
      <x:c r="H87" s="27" t="str">
        <x:v>USD</x:v>
      </x:c>
      <x:c r="I87" s="27" t="str">
        <x:v>CNY</x:v>
      </x:c>
      <x:c r="J87" s="27" t="str">
        <x:v>USD</x:v>
      </x:c>
      <x:c r="K87" s="27"/>
      <x:c r="L87" s="27"/>
      <x:c r="M87" s="27" t="str">
        <x:v>USD/CNY</x:v>
      </x:c>
      <x:c r="N87" s="27"/>
      <x:c r="O87" s="27"/>
      <x:c r="P87" s="27" t="n">
        <x:v>46868</x:v>
      </x:c>
      <x:c r="Q87" s="27" t="n">
        <x:v>45521</x:v>
      </x:c>
      <x:c r="R87" s="27" t="n">
        <x:v>46868</x:v>
      </x:c>
      <x:c r="S87" s="27" t="n">
        <x:v>50500000</x:v>
      </x:c>
      <x:c r="T87" s="27" t="n">
        <x:v>360714285.71</x:v>
      </x:c>
      <x:c r="U87" s="27" t="n">
        <x:v>50500000</x:v>
      </x:c>
      <x:c r="V87" s="27" t="str">
        <x:v>M</x:v>
      </x:c>
      <x:c r="W87" s="27" t="str">
        <x:v>N</x:v>
      </x:c>
      <x:c r="X87" s="27" t="n">
        <x:v>10</x:v>
      </x:c>
      <x:c r="Y87" s="27" t="str">
        <x:v>S</x:v>
      </x:c>
      <x:c r="Z87" s="27" t="n">
        <x:v>46576</x:v>
      </x:c>
      <x:c r="AA87" s="27" t="str">
        <x:v>C</x:v>
      </x:c>
      <x:c r="AB87" s="27" t="n">
        <x:v>7.5189</x:v>
      </x:c>
      <x:c r="AC87" s="27" t="n">
        <x:v>7.1</x:v>
      </x:c>
      <x:c r="AD87" s="27" t="n">
        <x:v>679477.5</x:v>
      </x:c>
      <x:c r="AE87" s="27" t="str">
        <x:v>Public-safe anonymized industry-style SA-CCR sample</x:v>
      </x:c>
      <x:c r="AF87" s="27" t="str">
        <x:v>ANON-000084</x:v>
      </x:c>
      <x:c r="AG87" s="27" t="str">
        <x:v>FX Option</x:v>
      </x:c>
      <x:c r="AH87" s="27"/>
      <x:c r="AI87" s="27" t="str">
        <x:v>USD/CNY</x:v>
      </x:c>
      <x:c r="AJ87" s="27" t="n">
        <x:v>1166</x:v>
      </x:c>
      <x:c r="AK87" s="27" t="n">
        <x:v>3.1945205479452055</x:v>
      </x:c>
      <x:c r="AL87" s="27" t="str">
        <x:v>1Y-5Y</x:v>
      </x:c>
      <x:c r="AM87" s="27"/>
      <x:c r="AN87" s="27" t="str">
        <x:v>Unknown</x:v>
      </x:c>
      <x:c r="AO87" s="27" t="str">
        <x:v>CNY/USD</x:v>
      </x:c>
      <x:c r="AP87" s="27" t="str">
        <x:v>M</x:v>
      </x:c>
      <x:c r="AQ87" s="27" t="n">
        <x:v>0.04</x:v>
      </x:c>
      <x:c r="AR87" s="27" t="n">
        <x:v>1</x:v>
      </x:c>
      <x:c r="AS87" s="27" t="n">
        <x:v>0.04</x:v>
      </x:c>
      <x:c r="AT87" s="27"/>
      <x:c r="AU87" s="27" t="n">
        <x:v>1</x:v>
      </x:c>
      <x:c r="AV87" s="27" t="n">
        <x:v>50500000</x:v>
      </x:c>
      <x:c r="AW87" s="27" t="n">
        <x:v>0.15</x:v>
      </x:c>
      <x:c r="AX87" s="27" t="n">
        <x:v>-0.4479220213171709</x:v>
      </x:c>
      <x:c r="AY87" s="27" t="n">
        <x:v>0.30000000000000004</x:v>
      </x:c>
      <x:c r="AZ87" s="27" t="n">
        <x:v>-6786018.622955141</x:v>
      </x:c>
    </x:row>
    <x:row r="88">
      <x:c r="A88" s="27" t="n">
        <x:v>45702</x:v>
      </x:c>
      <x:c r="B88" s="27" t="str">
        <x:v>IND_HEDGE_FUND_001</x:v>
      </x:c>
      <x:c r="C88" s="27" t="n">
        <x:v>3012</x:v>
      </x:c>
      <x:c r="D88" s="27" t="str">
        <x:v>IND-000085</x:v>
      </x:c>
      <x:c r="E88" s="27" t="str">
        <x:v>Interest Rate Swap</x:v>
      </x:c>
      <x:c r="F88" s="27" t="str">
        <x:v>Interest Rate</x:v>
      </x:c>
      <x:c r="G88" s="27"/>
      <x:c r="H88" s="27" t="str">
        <x:v>CNY</x:v>
      </x:c>
      <x:c r="I88" s="27" t="str">
        <x:v>CNY</x:v>
      </x:c>
      <x:c r="J88" s="27" t="str">
        <x:v>CNY</x:v>
      </x:c>
      <x:c r="K88" s="27"/>
      <x:c r="L88" s="27"/>
      <x:c r="M88" s="27" t="str">
        <x:v>CNY</x:v>
      </x:c>
      <x:c r="N88" s="27"/>
      <x:c r="O88" s="27"/>
      <x:c r="P88" s="27" t="n">
        <x:v>49570</x:v>
      </x:c>
      <x:c r="Q88" s="27" t="n">
        <x:v>45161</x:v>
      </x:c>
      <x:c r="R88" s="27" t="n">
        <x:v>49570</x:v>
      </x:c>
      <x:c r="S88" s="27" t="n">
        <x:v>6292857142.86</x:v>
      </x:c>
      <x:c r="T88" s="27" t="n">
        <x:v>6292857142.86</x:v>
      </x:c>
      <x:c r="U88" s="27" t="n">
        <x:v>881000000</x:v>
      </x:c>
      <x:c r="V88" s="27" t="str">
        <x:v>U</x:v>
      </x:c>
      <x:c r="W88" s="27" t="str">
        <x:v>N</x:v>
      </x:c>
      <x:c r="X88" s="27"/>
      <x:c r="Y88" s="27" t="str">
        <x:v>S</x:v>
      </x:c>
      <x:c r="Z88" s="27"/>
      <x:c r="AA88" s="27"/>
      <x:c r="AB88" s="27" t="n">
        <x:v>0</x:v>
      </x:c>
      <x:c r="AC88" s="27" t="n">
        <x:v>0</x:v>
      </x:c>
      <x:c r="AD88" s="27" t="n">
        <x:v>512742</x:v>
      </x:c>
      <x:c r="AE88" s="27" t="str">
        <x:v>Public-safe anonymized industry-style SA-CCR sample</x:v>
      </x:c>
      <x:c r="AF88" s="27" t="str">
        <x:v>ANON-000085</x:v>
      </x:c>
      <x:c r="AG88" s="27" t="str">
        <x:v>Interest Rate Swap</x:v>
      </x:c>
      <x:c r="AH88" s="27"/>
      <x:c r="AI88" s="27" t="str">
        <x:v>CNY</x:v>
      </x:c>
      <x:c r="AJ88" s="27" t="n">
        <x:v>3868</x:v>
      </x:c>
      <x:c r="AK88" s="27" t="n">
        <x:v>10.597260273972603</x:v>
      </x:c>
      <x:c r="AL88" s="27" t="str">
        <x:v>&gt;5Y</x:v>
      </x:c>
      <x:c r="AM88" s="27"/>
      <x:c r="AN88" s="27" t="str">
        <x:v>Unknown</x:v>
      </x:c>
      <x:c r="AO88" s="27" t="str">
        <x:v>CNY</x:v>
      </x:c>
      <x:c r="AP88" s="27" t="str">
        <x:v>U</x:v>
      </x:c>
      <x:c r="AQ88" s="27" t="n">
        <x:v>0.005</x:v>
      </x:c>
      <x:c r="AR88" s="27" t="n">
        <x:v>1</x:v>
      </x:c>
      <x:c r="AS88" s="27" t="n">
        <x:v>0.005</x:v>
      </x:c>
      <x:c r="AT88" s="27"/>
      <x:c r="AU88" s="27" t="n">
        <x:v>8.226287879619393</x:v>
      </x:c>
      <x:c r="AV88" s="27" t="n">
        <x:v>7247359621.944686</x:v>
      </x:c>
      <x:c r="AW88" s="27" t="n">
        <x:v>0.5</x:v>
      </x:c>
      <x:c r="AX88" s="27" t="n">
        <x:v>-1</x:v>
      </x:c>
      <x:c r="AY88" s="27" t="n">
        <x:v>1</x:v>
      </x:c>
      <x:c r="AZ88" s="27" t="n">
        <x:v>-7247359621.944686</x:v>
      </x:c>
    </x:row>
    <x:row r="89">
      <x:c r="A89" s="27" t="n">
        <x:v>45702</x:v>
      </x:c>
      <x:c r="B89" s="27" t="str">
        <x:v>IND_BANK_002</x:v>
      </x:c>
      <x:c r="C89" s="27" t="n">
        <x:v>3132</x:v>
      </x:c>
      <x:c r="D89" s="27" t="str">
        <x:v>IND-000086</x:v>
      </x:c>
      <x:c r="E89" s="27" t="str">
        <x:v>Interest Rate Swap</x:v>
      </x:c>
      <x:c r="F89" s="27" t="str">
        <x:v>Interest Rate</x:v>
      </x:c>
      <x:c r="G89" s="27"/>
      <x:c r="H89" s="27" t="str">
        <x:v>USD</x:v>
      </x:c>
      <x:c r="I89" s="27" t="str">
        <x:v>USD</x:v>
      </x:c>
      <x:c r="J89" s="27" t="str">
        <x:v>USD</x:v>
      </x:c>
      <x:c r="K89" s="27"/>
      <x:c r="L89" s="27"/>
      <x:c r="M89" s="27" t="str">
        <x:v>USD</x:v>
      </x:c>
      <x:c r="N89" s="27"/>
      <x:c r="O89" s="27"/>
      <x:c r="P89" s="27" t="n">
        <x:v>48669</x:v>
      </x:c>
      <x:c r="Q89" s="27" t="n">
        <x:v>45316</x:v>
      </x:c>
      <x:c r="R89" s="27" t="n">
        <x:v>48669</x:v>
      </x:c>
      <x:c r="S89" s="27" t="n">
        <x:v>81200000</x:v>
      </x:c>
      <x:c r="T89" s="27" t="n">
        <x:v>81200000</x:v>
      </x:c>
      <x:c r="U89" s="27" t="n">
        <x:v>81200000</x:v>
      </x:c>
      <x:c r="V89" s="27" t="str">
        <x:v>U</x:v>
      </x:c>
      <x:c r="W89" s="27" t="str">
        <x:v>N</x:v>
      </x:c>
      <x:c r="X89" s="27"/>
      <x:c r="Y89" s="27" t="str">
        <x:v>B</x:v>
      </x:c>
      <x:c r="Z89" s="27"/>
      <x:c r="AA89" s="27"/>
      <x:c r="AB89" s="27" t="n">
        <x:v>0</x:v>
      </x:c>
      <x:c r="AC89" s="27" t="n">
        <x:v>0</x:v>
      </x:c>
      <x:c r="AD89" s="27" t="n">
        <x:v>-214855.2</x:v>
      </x:c>
      <x:c r="AE89" s="27" t="str">
        <x:v>Public-safe anonymized industry-style SA-CCR sample</x:v>
      </x:c>
      <x:c r="AF89" s="27" t="str">
        <x:v>ANON-000086</x:v>
      </x:c>
      <x:c r="AG89" s="27" t="str">
        <x:v>Interest Rate Swap</x:v>
      </x:c>
      <x:c r="AH89" s="27"/>
      <x:c r="AI89" s="27" t="str">
        <x:v>USD</x:v>
      </x:c>
      <x:c r="AJ89" s="27" t="n">
        <x:v>2967</x:v>
      </x:c>
      <x:c r="AK89" s="27" t="n">
        <x:v>8.128767123287671</x:v>
      </x:c>
      <x:c r="AL89" s="27" t="str">
        <x:v>&gt;5Y</x:v>
      </x:c>
      <x:c r="AM89" s="27"/>
      <x:c r="AN89" s="27" t="str">
        <x:v>Unknown</x:v>
      </x:c>
      <x:c r="AO89" s="27" t="str">
        <x:v>USD</x:v>
      </x:c>
      <x:c r="AP89" s="27" t="str">
        <x:v>U</x:v>
      </x:c>
      <x:c r="AQ89" s="27" t="n">
        <x:v>0.005</x:v>
      </x:c>
      <x:c r="AR89" s="27" t="n">
        <x:v>1</x:v>
      </x:c>
      <x:c r="AS89" s="27" t="n">
        <x:v>0.005</x:v>
      </x:c>
      <x:c r="AT89" s="27"/>
      <x:c r="AU89" s="27" t="n">
        <x:v>6.679636994719169</x:v>
      </x:c>
      <x:c r="AV89" s="27" t="n">
        <x:v>542386523.9711965</x:v>
      </x:c>
      <x:c r="AW89" s="27" t="n">
        <x:v>0.5</x:v>
      </x:c>
      <x:c r="AX89" s="27" t="n">
        <x:v>1</x:v>
      </x:c>
      <x:c r="AY89" s="27" t="n">
        <x:v>1</x:v>
      </x:c>
      <x:c r="AZ89" s="27" t="n">
        <x:v>542386523.9711965</x:v>
      </x:c>
    </x:row>
    <x:row r="90">
      <x:c r="A90" s="27" t="n">
        <x:v>45702</x:v>
      </x:c>
      <x:c r="B90" s="27" t="str">
        <x:v>IND_ASSET_MANAGER_001</x:v>
      </x:c>
      <x:c r="C90" s="27" t="n">
        <x:v>3222</x:v>
      </x:c>
      <x:c r="D90" s="27" t="str">
        <x:v>IND-000087</x:v>
      </x:c>
      <x:c r="E90" s="27" t="str">
        <x:v>Interest Rate Swap</x:v>
      </x:c>
      <x:c r="F90" s="27" t="str">
        <x:v>Interest Rate</x:v>
      </x:c>
      <x:c r="G90" s="27"/>
      <x:c r="H90" s="27" t="str">
        <x:v>JPY</x:v>
      </x:c>
      <x:c r="I90" s="27" t="str">
        <x:v>JPY</x:v>
      </x:c>
      <x:c r="J90" s="27" t="str">
        <x:v>JPY</x:v>
      </x:c>
      <x:c r="K90" s="27"/>
      <x:c r="L90" s="27"/>
      <x:c r="M90" s="27" t="str">
        <x:v>JPY</x:v>
      </x:c>
      <x:c r="N90" s="27"/>
      <x:c r="O90" s="27"/>
      <x:c r="P90" s="27" t="n">
        <x:v>46756</x:v>
      </x:c>
      <x:c r="Q90" s="27" t="n">
        <x:v>45197</x:v>
      </x:c>
      <x:c r="R90" s="27" t="n">
        <x:v>46756</x:v>
      </x:c>
      <x:c r="S90" s="27" t="n">
        <x:v>7343283582.09</x:v>
      </x:c>
      <x:c r="T90" s="27" t="n">
        <x:v>7343283582.09</x:v>
      </x:c>
      <x:c r="U90" s="27" t="n">
        <x:v>49200000</x:v>
      </x:c>
      <x:c r="V90" s="27" t="str">
        <x:v>U</x:v>
      </x:c>
      <x:c r="W90" s="27" t="str">
        <x:v>Y</x:v>
      </x:c>
      <x:c r="X90" s="27" t="n">
        <x:v>5</x:v>
      </x:c>
      <x:c r="Y90" s="27" t="str">
        <x:v>S</x:v>
      </x:c>
      <x:c r="Z90" s="27"/>
      <x:c r="AA90" s="27"/>
      <x:c r="AB90" s="27" t="n">
        <x:v>0</x:v>
      </x:c>
      <x:c r="AC90" s="27" t="n">
        <x:v>0</x:v>
      </x:c>
      <x:c r="AD90" s="27" t="n">
        <x:v>-111290.4</x:v>
      </x:c>
      <x:c r="AE90" s="27" t="str">
        <x:v>Public-safe anonymized industry-style SA-CCR sample</x:v>
      </x:c>
      <x:c r="AF90" s="27" t="str">
        <x:v>ANON-000087</x:v>
      </x:c>
      <x:c r="AG90" s="27" t="str">
        <x:v>Interest Rate Swap</x:v>
      </x:c>
      <x:c r="AH90" s="27"/>
      <x:c r="AI90" s="27" t="str">
        <x:v>JPY</x:v>
      </x:c>
      <x:c r="AJ90" s="27" t="n">
        <x:v>1054</x:v>
      </x:c>
      <x:c r="AK90" s="27" t="n">
        <x:v>2.8876712328767122</x:v>
      </x:c>
      <x:c r="AL90" s="27" t="str">
        <x:v>1Y-5Y</x:v>
      </x:c>
      <x:c r="AM90" s="27"/>
      <x:c r="AN90" s="27" t="str">
        <x:v>Unknown</x:v>
      </x:c>
      <x:c r="AO90" s="27" t="str">
        <x:v>JPY</x:v>
      </x:c>
      <x:c r="AP90" s="27" t="str">
        <x:v>U</x:v>
      </x:c>
      <x:c r="AQ90" s="27" t="n">
        <x:v>0.005</x:v>
      </x:c>
      <x:c r="AR90" s="27" t="n">
        <x:v>1</x:v>
      </x:c>
      <x:c r="AS90" s="27" t="n">
        <x:v>0.005</x:v>
      </x:c>
      <x:c r="AT90" s="27"/>
      <x:c r="AU90" s="27" t="n">
        <x:v>2.6888861916491846</x:v>
      </x:c>
      <x:c r="AV90" s="27" t="n">
        <x:v>132293200.62913989</x:v>
      </x:c>
      <x:c r="AW90" s="27" t="n">
        <x:v>0.5</x:v>
      </x:c>
      <x:c r="AX90" s="27" t="n">
        <x:v>-1</x:v>
      </x:c>
      <x:c r="AY90" s="27" t="n">
        <x:v>1</x:v>
      </x:c>
      <x:c r="AZ90" s="27" t="n">
        <x:v>-132293200.62913989</x:v>
      </x:c>
    </x:row>
    <x:row r="91">
      <x:c r="A91" s="27" t="n">
        <x:v>45702</x:v>
      </x:c>
      <x:c r="B91" s="27" t="str">
        <x:v>IND_BANK_001</x:v>
      </x:c>
      <x:c r="C91" s="27" t="n">
        <x:v>3219</x:v>
      </x:c>
      <x:c r="D91" s="27" t="str">
        <x:v>IND-000088</x:v>
      </x:c>
      <x:c r="E91" s="27" t="str">
        <x:v>Interest Rate Swap</x:v>
      </x:c>
      <x:c r="F91" s="27" t="str">
        <x:v>Interest Rate</x:v>
      </x:c>
      <x:c r="G91" s="27"/>
      <x:c r="H91" s="27" t="str">
        <x:v>CNY</x:v>
      </x:c>
      <x:c r="I91" s="27" t="str">
        <x:v>CNY</x:v>
      </x:c>
      <x:c r="J91" s="27" t="str">
        <x:v>CNY</x:v>
      </x:c>
      <x:c r="K91" s="27" t="str">
        <x:v>Basis</x:v>
      </x:c>
      <x:c r="L91" s="27"/>
      <x:c r="M91" s="27" t="str">
        <x:v>CNY</x:v>
      </x:c>
      <x:c r="N91" s="27"/>
      <x:c r="O91" s="27"/>
      <x:c r="P91" s="27" t="n">
        <x:v>49638</x:v>
      </x:c>
      <x:c r="Q91" s="27" t="n">
        <x:v>45639</x:v>
      </x:c>
      <x:c r="R91" s="27" t="n">
        <x:v>49638</x:v>
      </x:c>
      <x:c r="S91" s="27" t="n">
        <x:v>2414285714.29</x:v>
      </x:c>
      <x:c r="T91" s="27" t="n">
        <x:v>2414285714.29</x:v>
      </x:c>
      <x:c r="U91" s="27" t="n">
        <x:v>338000000</x:v>
      </x:c>
      <x:c r="V91" s="27" t="str">
        <x:v>M</x:v>
      </x:c>
      <x:c r="W91" s="27" t="str">
        <x:v>N</x:v>
      </x:c>
      <x:c r="X91" s="27" t="n">
        <x:v>10</x:v>
      </x:c>
      <x:c r="Y91" s="27" t="str">
        <x:v>S</x:v>
      </x:c>
      <x:c r="Z91" s="27"/>
      <x:c r="AA91" s="27"/>
      <x:c r="AB91" s="27" t="n">
        <x:v>0</x:v>
      </x:c>
      <x:c r="AC91" s="27" t="n">
        <x:v>0</x:v>
      </x:c>
      <x:c r="AD91" s="27" t="n">
        <x:v>-1687296</x:v>
      </x:c>
      <x:c r="AE91" s="27" t="str">
        <x:v>Public-safe anonymized industry-style SA-CCR sample</x:v>
      </x:c>
      <x:c r="AF91" s="27" t="str">
        <x:v>ANON-000088</x:v>
      </x:c>
      <x:c r="AG91" s="27" t="str">
        <x:v>Interest Rate Swap</x:v>
      </x:c>
      <x:c r="AH91" s="27"/>
      <x:c r="AI91" s="27" t="str">
        <x:v>CNY</x:v>
      </x:c>
      <x:c r="AJ91" s="27" t="n">
        <x:v>3936</x:v>
      </x:c>
      <x:c r="AK91" s="27" t="n">
        <x:v>10.783561643835617</x:v>
      </x:c>
      <x:c r="AL91" s="27" t="str">
        <x:v>&gt;5Y</x:v>
      </x:c>
      <x:c r="AM91" s="27"/>
      <x:c r="AN91" s="27" t="str">
        <x:v>Unknown</x:v>
      </x:c>
      <x:c r="AO91" s="27" t="str">
        <x:v>CNY_Basis</x:v>
      </x:c>
      <x:c r="AP91" s="27" t="str">
        <x:v>M</x:v>
      </x:c>
      <x:c r="AQ91" s="27" t="n">
        <x:v>0.005</x:v>
      </x:c>
      <x:c r="AR91" s="27" t="n">
        <x:v>0.5</x:v>
      </x:c>
      <x:c r="AS91" s="27" t="n">
        <x:v>0.0025</x:v>
      </x:c>
      <x:c r="AT91" s="27"/>
      <x:c r="AU91" s="27" t="n">
        <x:v>8.335451591365416</x:v>
      </x:c>
      <x:c r="AV91" s="27" t="n">
        <x:v>2817382637.8815107</x:v>
      </x:c>
      <x:c r="AW91" s="27" t="n">
        <x:v>0.5</x:v>
      </x:c>
      <x:c r="AX91" s="27" t="n">
        <x:v>-1</x:v>
      </x:c>
      <x:c r="AY91" s="27" t="n">
        <x:v>0.30000000000000004</x:v>
      </x:c>
      <x:c r="AZ91" s="27" t="n">
        <x:v>-845214791.3644533</x:v>
      </x:c>
    </x:row>
    <x:row r="92">
      <x:c r="A92" s="27" t="n">
        <x:v>45702</x:v>
      </x:c>
      <x:c r="B92" s="27" t="str">
        <x:v>IND_CORPORATE_002</x:v>
      </x:c>
      <x:c r="C92" s="27" t="n">
        <x:v>3273</x:v>
      </x:c>
      <x:c r="D92" s="27" t="str">
        <x:v>IND-000089</x:v>
      </x:c>
      <x:c r="E92" s="27" t="str">
        <x:v>Interest Rate Swap</x:v>
      </x:c>
      <x:c r="F92" s="27" t="str">
        <x:v>Interest Rate</x:v>
      </x:c>
      <x:c r="G92" s="27"/>
      <x:c r="H92" s="27" t="str">
        <x:v>EUR</x:v>
      </x:c>
      <x:c r="I92" s="27" t="str">
        <x:v>EUR</x:v>
      </x:c>
      <x:c r="J92" s="27" t="str">
        <x:v>EUR</x:v>
      </x:c>
      <x:c r="K92" s="27"/>
      <x:c r="L92" s="27"/>
      <x:c r="M92" s="27" t="str">
        <x:v>EUR</x:v>
      </x:c>
      <x:c r="N92" s="27"/>
      <x:c r="O92" s="27"/>
      <x:c r="P92" s="27" t="n">
        <x:v>46545</x:v>
      </x:c>
      <x:c r="Q92" s="27" t="n">
        <x:v>45572</x:v>
      </x:c>
      <x:c r="R92" s="27" t="n">
        <x:v>46545</x:v>
      </x:c>
      <x:c r="S92" s="27" t="n">
        <x:v>1004761904.76</x:v>
      </x:c>
      <x:c r="T92" s="27" t="n">
        <x:v>1004761904.76</x:v>
      </x:c>
      <x:c r="U92" s="27" t="n">
        <x:v>1055000000</x:v>
      </x:c>
      <x:c r="V92" s="27" t="str">
        <x:v>U</x:v>
      </x:c>
      <x:c r="W92" s="27" t="str">
        <x:v>Y</x:v>
      </x:c>
      <x:c r="X92" s="27" t="n">
        <x:v>5</x:v>
      </x:c>
      <x:c r="Y92" s="27" t="str">
        <x:v>B</x:v>
      </x:c>
      <x:c r="Z92" s="27"/>
      <x:c r="AA92" s="27"/>
      <x:c r="AB92" s="27" t="n">
        <x:v>0</x:v>
      </x:c>
      <x:c r="AC92" s="27" t="n">
        <x:v>0</x:v>
      </x:c>
      <x:c r="AD92" s="27" t="n">
        <x:v>386130</x:v>
      </x:c>
      <x:c r="AE92" s="27" t="str">
        <x:v>Public-safe anonymized industry-style SA-CCR sample</x:v>
      </x:c>
      <x:c r="AF92" s="27" t="str">
        <x:v>ANON-000089</x:v>
      </x:c>
      <x:c r="AG92" s="27" t="str">
        <x:v>Interest Rate Swap</x:v>
      </x:c>
      <x:c r="AH92" s="27"/>
      <x:c r="AI92" s="27" t="str">
        <x:v>EUR</x:v>
      </x:c>
      <x:c r="AJ92" s="27" t="n">
        <x:v>843</x:v>
      </x:c>
      <x:c r="AK92" s="27" t="n">
        <x:v>2.3095890410958906</x:v>
      </x:c>
      <x:c r="AL92" s="27" t="str">
        <x:v>1Y-5Y</x:v>
      </x:c>
      <x:c r="AM92" s="27"/>
      <x:c r="AN92" s="27" t="str">
        <x:v>Unknown</x:v>
      </x:c>
      <x:c r="AO92" s="27" t="str">
        <x:v>EUR</x:v>
      </x:c>
      <x:c r="AP92" s="27" t="str">
        <x:v>U</x:v>
      </x:c>
      <x:c r="AQ92" s="27" t="n">
        <x:v>0.005</x:v>
      </x:c>
      <x:c r="AR92" s="27" t="n">
        <x:v>1</x:v>
      </x:c>
      <x:c r="AS92" s="27" t="n">
        <x:v>0.005</x:v>
      </x:c>
      <x:c r="AT92" s="27"/>
      <x:c r="AU92" s="27" t="n">
        <x:v>2.181222419754769</x:v>
      </x:c>
      <x:c r="AV92" s="27" t="n">
        <x:v>2301189652.8412814</x:v>
      </x:c>
      <x:c r="AW92" s="27" t="n">
        <x:v>0.5</x:v>
      </x:c>
      <x:c r="AX92" s="27" t="n">
        <x:v>1</x:v>
      </x:c>
      <x:c r="AY92" s="27" t="n">
        <x:v>1</x:v>
      </x:c>
      <x:c r="AZ92" s="27" t="n">
        <x:v>2301189652.8412814</x:v>
      </x:c>
    </x:row>
    <x:row r="93">
      <x:c r="A93" s="27" t="n">
        <x:v>45702</x:v>
      </x:c>
      <x:c r="B93" s="27" t="str">
        <x:v>IND_BROKER_001</x:v>
      </x:c>
      <x:c r="C93" s="27" t="n">
        <x:v>3332</x:v>
      </x:c>
      <x:c r="D93" s="27" t="str">
        <x:v>IND-000090</x:v>
      </x:c>
      <x:c r="E93" s="27" t="str">
        <x:v>Interest Rate Swap</x:v>
      </x:c>
      <x:c r="F93" s="27" t="str">
        <x:v>Interest Rate</x:v>
      </x:c>
      <x:c r="G93" s="27"/>
      <x:c r="H93" s="27" t="str">
        <x:v>EUR</x:v>
      </x:c>
      <x:c r="I93" s="27" t="str">
        <x:v>EUR</x:v>
      </x:c>
      <x:c r="J93" s="27" t="str">
        <x:v>EUR</x:v>
      </x:c>
      <x:c r="K93" s="27" t="str">
        <x:v>Basis</x:v>
      </x:c>
      <x:c r="L93" s="27"/>
      <x:c r="M93" s="27" t="str">
        <x:v>EUR</x:v>
      </x:c>
      <x:c r="N93" s="27"/>
      <x:c r="O93" s="27"/>
      <x:c r="P93" s="27" t="n">
        <x:v>46503</x:v>
      </x:c>
      <x:c r="Q93" s="27" t="n">
        <x:v>45410</x:v>
      </x:c>
      <x:c r="R93" s="27" t="n">
        <x:v>46503</x:v>
      </x:c>
      <x:c r="S93" s="27" t="n">
        <x:v>10666666.67</x:v>
      </x:c>
      <x:c r="T93" s="27" t="n">
        <x:v>10666666.67</x:v>
      </x:c>
      <x:c r="U93" s="27" t="n">
        <x:v>11200000</x:v>
      </x:c>
      <x:c r="V93" s="27" t="str">
        <x:v>M</x:v>
      </x:c>
      <x:c r="W93" s="27" t="str">
        <x:v>N</x:v>
      </x:c>
      <x:c r="X93" s="27" t="n">
        <x:v>10</x:v>
      </x:c>
      <x:c r="Y93" s="27" t="str">
        <x:v>S</x:v>
      </x:c>
      <x:c r="Z93" s="27"/>
      <x:c r="AA93" s="27"/>
      <x:c r="AB93" s="27" t="n">
        <x:v>0</x:v>
      </x:c>
      <x:c r="AC93" s="27" t="n">
        <x:v>0</x:v>
      </x:c>
      <x:c r="AD93" s="27" t="n">
        <x:v>-32659.2</x:v>
      </x:c>
      <x:c r="AE93" s="27" t="str">
        <x:v>Public-safe anonymized industry-style SA-CCR sample</x:v>
      </x:c>
      <x:c r="AF93" s="27" t="str">
        <x:v>ANON-000090</x:v>
      </x:c>
      <x:c r="AG93" s="27" t="str">
        <x:v>Interest Rate Swap</x:v>
      </x:c>
      <x:c r="AH93" s="27"/>
      <x:c r="AI93" s="27" t="str">
        <x:v>EUR</x:v>
      </x:c>
      <x:c r="AJ93" s="27" t="n">
        <x:v>801</x:v>
      </x:c>
      <x:c r="AK93" s="27" t="n">
        <x:v>2.1945205479452055</x:v>
      </x:c>
      <x:c r="AL93" s="27" t="str">
        <x:v>1Y-5Y</x:v>
      </x:c>
      <x:c r="AM93" s="27"/>
      <x:c r="AN93" s="27" t="str">
        <x:v>Unknown</x:v>
      </x:c>
      <x:c r="AO93" s="27" t="str">
        <x:v>EUR_Basis</x:v>
      </x:c>
      <x:c r="AP93" s="27" t="str">
        <x:v>M</x:v>
      </x:c>
      <x:c r="AQ93" s="27" t="n">
        <x:v>0.005</x:v>
      </x:c>
      <x:c r="AR93" s="27" t="n">
        <x:v>0.5</x:v>
      </x:c>
      <x:c r="AS93" s="27" t="n">
        <x:v>0.0025</x:v>
      </x:c>
      <x:c r="AT93" s="27"/>
      <x:c r="AU93" s="27" t="n">
        <x:v>2.0784079413926726</x:v>
      </x:c>
      <x:c r="AV93" s="27" t="n">
        <x:v>23278168.94359793</x:v>
      </x:c>
      <x:c r="AW93" s="27" t="n">
        <x:v>0.5</x:v>
      </x:c>
      <x:c r="AX93" s="27" t="n">
        <x:v>-1</x:v>
      </x:c>
      <x:c r="AY93" s="27" t="n">
        <x:v>0.30000000000000004</x:v>
      </x:c>
      <x:c r="AZ93" s="27" t="n">
        <x:v>-6983450.683079381</x:v>
      </x:c>
    </x:row>
    <x:row r="94">
      <x:c r="A94" s="27" t="n">
        <x:v>45702</x:v>
      </x:c>
      <x:c r="B94" s="27" t="str">
        <x:v>IND_REGIONAL_BANK_001</x:v>
      </x:c>
      <x:c r="C94" s="27" t="n">
        <x:v>3054</x:v>
      </x:c>
      <x:c r="D94" s="27" t="str">
        <x:v>IND-000091</x:v>
      </x:c>
      <x:c r="E94" s="27" t="str">
        <x:v>Interest Rate Swap</x:v>
      </x:c>
      <x:c r="F94" s="27" t="str">
        <x:v>Interest Rate</x:v>
      </x:c>
      <x:c r="G94" s="27"/>
      <x:c r="H94" s="27" t="str">
        <x:v>JPY</x:v>
      </x:c>
      <x:c r="I94" s="27" t="str">
        <x:v>JPY</x:v>
      </x:c>
      <x:c r="J94" s="27" t="str">
        <x:v>JPY</x:v>
      </x:c>
      <x:c r="K94" s="27"/>
      <x:c r="L94" s="27"/>
      <x:c r="M94" s="27" t="str">
        <x:v>JPY</x:v>
      </x:c>
      <x:c r="N94" s="27"/>
      <x:c r="O94" s="27"/>
      <x:c r="P94" s="27" t="n">
        <x:v>49052</x:v>
      </x:c>
      <x:c r="Q94" s="27" t="n">
        <x:v>45588</x:v>
      </x:c>
      <x:c r="R94" s="27" t="n">
        <x:v>49052</x:v>
      </x:c>
      <x:c r="S94" s="27" t="n">
        <x:v>5805970149.25</x:v>
      </x:c>
      <x:c r="T94" s="27" t="n">
        <x:v>5805970149.25</x:v>
      </x:c>
      <x:c r="U94" s="27" t="n">
        <x:v>38900000</x:v>
      </x:c>
      <x:c r="V94" s="27" t="str">
        <x:v>U</x:v>
      </x:c>
      <x:c r="W94" s="27" t="str">
        <x:v>N</x:v>
      </x:c>
      <x:c r="X94" s="27"/>
      <x:c r="Y94" s="27" t="str">
        <x:v>B</x:v>
      </x:c>
      <x:c r="Z94" s="27"/>
      <x:c r="AA94" s="27"/>
      <x:c r="AB94" s="27" t="n">
        <x:v>0</x:v>
      </x:c>
      <x:c r="AC94" s="27" t="n">
        <x:v>0</x:v>
      </x:c>
      <x:c r="AD94" s="27" t="n">
        <x:v>-14937.6</x:v>
      </x:c>
      <x:c r="AE94" s="27" t="str">
        <x:v>Public-safe anonymized industry-style SA-CCR sample</x:v>
      </x:c>
      <x:c r="AF94" s="27" t="str">
        <x:v>ANON-000091</x:v>
      </x:c>
      <x:c r="AG94" s="27" t="str">
        <x:v>Interest Rate Swap</x:v>
      </x:c>
      <x:c r="AH94" s="27"/>
      <x:c r="AI94" s="27" t="str">
        <x:v>JPY</x:v>
      </x:c>
      <x:c r="AJ94" s="27" t="n">
        <x:v>3350</x:v>
      </x:c>
      <x:c r="AK94" s="27" t="n">
        <x:v>9.178082191780822</x:v>
      </x:c>
      <x:c r="AL94" s="27" t="str">
        <x:v>&gt;5Y</x:v>
      </x:c>
      <x:c r="AM94" s="27"/>
      <x:c r="AN94" s="27" t="str">
        <x:v>Unknown</x:v>
      </x:c>
      <x:c r="AO94" s="27" t="str">
        <x:v>JPY</x:v>
      </x:c>
      <x:c r="AP94" s="27" t="str">
        <x:v>U</x:v>
      </x:c>
      <x:c r="AQ94" s="27" t="n">
        <x:v>0.005</x:v>
      </x:c>
      <x:c r="AR94" s="27" t="n">
        <x:v>1</x:v>
      </x:c>
      <x:c r="AS94" s="27" t="n">
        <x:v>0.005</x:v>
      </x:c>
      <x:c r="AT94" s="27"/>
      <x:c r="AU94" s="27" t="n">
        <x:v>7.36048315165331</x:v>
      </x:c>
      <x:c r="AV94" s="27" t="n">
        <x:v>286322794.59931374</x:v>
      </x:c>
      <x:c r="AW94" s="27" t="n">
        <x:v>0.5</x:v>
      </x:c>
      <x:c r="AX94" s="27" t="n">
        <x:v>1</x:v>
      </x:c>
      <x:c r="AY94" s="27" t="n">
        <x:v>1</x:v>
      </x:c>
      <x:c r="AZ94" s="27" t="n">
        <x:v>286322794.59931374</x:v>
      </x:c>
    </x:row>
    <x:row r="95">
      <x:c r="A95" s="27" t="n">
        <x:v>45702</x:v>
      </x:c>
      <x:c r="B95" s="27" t="str">
        <x:v>IND_SOVEREIGN_001</x:v>
      </x:c>
      <x:c r="C95" s="27" t="n">
        <x:v>3246</x:v>
      </x:c>
      <x:c r="D95" s="27" t="str">
        <x:v>IND-000092</x:v>
      </x:c>
      <x:c r="E95" s="27" t="str">
        <x:v>Interest Rate Swap</x:v>
      </x:c>
      <x:c r="F95" s="27" t="str">
        <x:v>Interest Rate</x:v>
      </x:c>
      <x:c r="G95" s="27"/>
      <x:c r="H95" s="27" t="str">
        <x:v>CNY</x:v>
      </x:c>
      <x:c r="I95" s="27" t="str">
        <x:v>CNY</x:v>
      </x:c>
      <x:c r="J95" s="27" t="str">
        <x:v>CNY</x:v>
      </x:c>
      <x:c r="K95" s="27"/>
      <x:c r="L95" s="27"/>
      <x:c r="M95" s="27" t="str">
        <x:v>CNY</x:v>
      </x:c>
      <x:c r="N95" s="27"/>
      <x:c r="O95" s="27"/>
      <x:c r="P95" s="27" t="n">
        <x:v>48226</x:v>
      </x:c>
      <x:c r="Q95" s="27" t="n">
        <x:v>45702</x:v>
      </x:c>
      <x:c r="R95" s="27" t="n">
        <x:v>48226</x:v>
      </x:c>
      <x:c r="S95" s="27" t="n">
        <x:v>2792857142.86</x:v>
      </x:c>
      <x:c r="T95" s="27" t="n">
        <x:v>2792857142.86</x:v>
      </x:c>
      <x:c r="U95" s="27" t="n">
        <x:v>391000000</x:v>
      </x:c>
      <x:c r="V95" s="27" t="str">
        <x:v>M</x:v>
      </x:c>
      <x:c r="W95" s="27" t="str">
        <x:v>N</x:v>
      </x:c>
      <x:c r="X95" s="27" t="n">
        <x:v>10</x:v>
      </x:c>
      <x:c r="Y95" s="27" t="str">
        <x:v>B</x:v>
      </x:c>
      <x:c r="Z95" s="27"/>
      <x:c r="AA95" s="27"/>
      <x:c r="AB95" s="27" t="n">
        <x:v>0</x:v>
      </x:c>
      <x:c r="AC95" s="27" t="n">
        <x:v>0</x:v>
      </x:c>
      <x:c r="AD95" s="27" t="n">
        <x:v>-2261544</x:v>
      </x:c>
      <x:c r="AE95" s="27" t="str">
        <x:v>Public-safe anonymized industry-style SA-CCR sample</x:v>
      </x:c>
      <x:c r="AF95" s="27" t="str">
        <x:v>ANON-000092</x:v>
      </x:c>
      <x:c r="AG95" s="27" t="str">
        <x:v>Interest Rate Swap</x:v>
      </x:c>
      <x:c r="AH95" s="27"/>
      <x:c r="AI95" s="27" t="str">
        <x:v>CNY</x:v>
      </x:c>
      <x:c r="AJ95" s="27" t="n">
        <x:v>2524</x:v>
      </x:c>
      <x:c r="AK95" s="27" t="n">
        <x:v>6.9150684931506845</x:v>
      </x:c>
      <x:c r="AL95" s="27" t="str">
        <x:v>&gt;5Y</x:v>
      </x:c>
      <x:c r="AM95" s="27"/>
      <x:c r="AN95" s="27" t="str">
        <x:v>Unknown</x:v>
      </x:c>
      <x:c r="AO95" s="27" t="str">
        <x:v>CNY</x:v>
      </x:c>
      <x:c r="AP95" s="27" t="str">
        <x:v>M</x:v>
      </x:c>
      <x:c r="AQ95" s="27" t="n">
        <x:v>0.005</x:v>
      </x:c>
      <x:c r="AR95" s="27" t="n">
        <x:v>1</x:v>
      </x:c>
      <x:c r="AS95" s="27" t="n">
        <x:v>0.005</x:v>
      </x:c>
      <x:c r="AT95" s="27"/>
      <x:c r="AU95" s="27" t="n">
        <x:v>5.846260724995123</x:v>
      </x:c>
      <x:c r="AV95" s="27" t="n">
        <x:v>2285887943.473093</x:v>
      </x:c>
      <x:c r="AW95" s="27" t="n">
        <x:v>0.5</x:v>
      </x:c>
      <x:c r="AX95" s="27" t="n">
        <x:v>1</x:v>
      </x:c>
      <x:c r="AY95" s="27" t="n">
        <x:v>0.30000000000000004</x:v>
      </x:c>
      <x:c r="AZ95" s="27" t="n">
        <x:v>685766383.041928</x:v>
      </x:c>
    </x:row>
    <x:row r="96">
      <x:c r="A96" s="27" t="n">
        <x:v>45702</x:v>
      </x:c>
      <x:c r="B96" s="27" t="str">
        <x:v>IND_PENSION_001</x:v>
      </x:c>
      <x:c r="C96" s="27" t="n">
        <x:v>3103</x:v>
      </x:c>
      <x:c r="D96" s="27" t="str">
        <x:v>IND-000093</x:v>
      </x:c>
      <x:c r="E96" s="27" t="str">
        <x:v>Interest Rate Swap</x:v>
      </x:c>
      <x:c r="F96" s="27" t="str">
        <x:v>Interest Rate</x:v>
      </x:c>
      <x:c r="G96" s="27"/>
      <x:c r="H96" s="27" t="str">
        <x:v>USD</x:v>
      </x:c>
      <x:c r="I96" s="27" t="str">
        <x:v>USD</x:v>
      </x:c>
      <x:c r="J96" s="27" t="str">
        <x:v>USD</x:v>
      </x:c>
      <x:c r="K96" s="27"/>
      <x:c r="L96" s="27"/>
      <x:c r="M96" s="27" t="str">
        <x:v>USD</x:v>
      </x:c>
      <x:c r="N96" s="27"/>
      <x:c r="O96" s="27"/>
      <x:c r="P96" s="27" t="n">
        <x:v>48587</x:v>
      </x:c>
      <x:c r="Q96" s="27" t="n">
        <x:v>44911</x:v>
      </x:c>
      <x:c r="R96" s="27" t="n">
        <x:v>48587</x:v>
      </x:c>
      <x:c r="S96" s="27" t="n">
        <x:v>1656000000</x:v>
      </x:c>
      <x:c r="T96" s="27" t="n">
        <x:v>1656000000</x:v>
      </x:c>
      <x:c r="U96" s="27" t="n">
        <x:v>1656000000</x:v>
      </x:c>
      <x:c r="V96" s="27" t="str">
        <x:v>M</x:v>
      </x:c>
      <x:c r="W96" s="27" t="str">
        <x:v>N</x:v>
      </x:c>
      <x:c r="X96" s="27" t="n">
        <x:v>10</x:v>
      </x:c>
      <x:c r="Y96" s="27" t="str">
        <x:v>S</x:v>
      </x:c>
      <x:c r="Z96" s="27"/>
      <x:c r="AA96" s="27"/>
      <x:c r="AB96" s="27" t="n">
        <x:v>0</x:v>
      </x:c>
      <x:c r="AC96" s="27" t="n">
        <x:v>0</x:v>
      </x:c>
      <x:c r="AD96" s="27" t="n">
        <x:v>4043952</x:v>
      </x:c>
      <x:c r="AE96" s="27" t="str">
        <x:v>Public-safe anonymized industry-style SA-CCR sample</x:v>
      </x:c>
      <x:c r="AF96" s="27" t="str">
        <x:v>ANON-000093</x:v>
      </x:c>
      <x:c r="AG96" s="27" t="str">
        <x:v>Interest Rate Swap</x:v>
      </x:c>
      <x:c r="AH96" s="27"/>
      <x:c r="AI96" s="27" t="str">
        <x:v>USD</x:v>
      </x:c>
      <x:c r="AJ96" s="27" t="n">
        <x:v>2885</x:v>
      </x:c>
      <x:c r="AK96" s="27" t="n">
        <x:v>7.904109589041096</x:v>
      </x:c>
      <x:c r="AL96" s="27" t="str">
        <x:v>&gt;5Y</x:v>
      </x:c>
      <x:c r="AM96" s="27"/>
      <x:c r="AN96" s="27" t="str">
        <x:v>Unknown</x:v>
      </x:c>
      <x:c r="AO96" s="27" t="str">
        <x:v>USD</x:v>
      </x:c>
      <x:c r="AP96" s="27" t="str">
        <x:v>M</x:v>
      </x:c>
      <x:c r="AQ96" s="27" t="n">
        <x:v>0.005</x:v>
      </x:c>
      <x:c r="AR96" s="27" t="n">
        <x:v>1</x:v>
      </x:c>
      <x:c r="AS96" s="27" t="n">
        <x:v>0.005</x:v>
      </x:c>
      <x:c r="AT96" s="27"/>
      <x:c r="AU96" s="27" t="n">
        <x:v>6.529167478708757</x:v>
      </x:c>
      <x:c r="AV96" s="27" t="n">
        <x:v>10812301344.741701</x:v>
      </x:c>
      <x:c r="AW96" s="27" t="n">
        <x:v>0.5</x:v>
      </x:c>
      <x:c r="AX96" s="27" t="n">
        <x:v>-1</x:v>
      </x:c>
      <x:c r="AY96" s="27" t="n">
        <x:v>0.30000000000000004</x:v>
      </x:c>
      <x:c r="AZ96" s="27" t="n">
        <x:v>-3243690403.4225106</x:v>
      </x:c>
    </x:row>
    <x:row r="97">
      <x:c r="A97" s="27" t="n">
        <x:v>45702</x:v>
      </x:c>
      <x:c r="B97" s="27" t="str">
        <x:v>IND_CLEARING_MEMBER_001</x:v>
      </x:c>
      <x:c r="C97" s="27" t="n">
        <x:v>3399</x:v>
      </x:c>
      <x:c r="D97" s="27" t="str">
        <x:v>IND-000094</x:v>
      </x:c>
      <x:c r="E97" s="27" t="str">
        <x:v>Interest Rate Swap</x:v>
      </x:c>
      <x:c r="F97" s="27" t="str">
        <x:v>Interest Rate</x:v>
      </x:c>
      <x:c r="G97" s="27"/>
      <x:c r="H97" s="27" t="str">
        <x:v>EUR</x:v>
      </x:c>
      <x:c r="I97" s="27" t="str">
        <x:v>EUR</x:v>
      </x:c>
      <x:c r="J97" s="27" t="str">
        <x:v>EUR</x:v>
      </x:c>
      <x:c r="K97" s="27"/>
      <x:c r="L97" s="27"/>
      <x:c r="M97" s="27" t="str">
        <x:v>EUR</x:v>
      </x:c>
      <x:c r="N97" s="27"/>
      <x:c r="O97" s="27"/>
      <x:c r="P97" s="27" t="n">
        <x:v>47336</x:v>
      </x:c>
      <x:c r="Q97" s="27" t="n">
        <x:v>45090</x:v>
      </x:c>
      <x:c r="R97" s="27" t="n">
        <x:v>47336</x:v>
      </x:c>
      <x:c r="S97" s="27" t="n">
        <x:v>829523809.52</x:v>
      </x:c>
      <x:c r="T97" s="27" t="n">
        <x:v>829523809.52</x:v>
      </x:c>
      <x:c r="U97" s="27" t="n">
        <x:v>871000000</x:v>
      </x:c>
      <x:c r="V97" s="27" t="str">
        <x:v>U</x:v>
      </x:c>
      <x:c r="W97" s="27" t="str">
        <x:v>N</x:v>
      </x:c>
      <x:c r="X97" s="27"/>
      <x:c r="Y97" s="27" t="str">
        <x:v>S</x:v>
      </x:c>
      <x:c r="Z97" s="27"/>
      <x:c r="AA97" s="27"/>
      <x:c r="AB97" s="27" t="n">
        <x:v>0</x:v>
      </x:c>
      <x:c r="AC97" s="27" t="n">
        <x:v>0</x:v>
      </x:c>
      <x:c r="AD97" s="27" t="n">
        <x:v>-365820</x:v>
      </x:c>
      <x:c r="AE97" s="27" t="str">
        <x:v>Public-safe anonymized industry-style SA-CCR sample</x:v>
      </x:c>
      <x:c r="AF97" s="27" t="str">
        <x:v>ANON-000094</x:v>
      </x:c>
      <x:c r="AG97" s="27" t="str">
        <x:v>Interest Rate Swap</x:v>
      </x:c>
      <x:c r="AH97" s="27"/>
      <x:c r="AI97" s="27" t="str">
        <x:v>EUR</x:v>
      </x:c>
      <x:c r="AJ97" s="27" t="n">
        <x:v>1634</x:v>
      </x:c>
      <x:c r="AK97" s="27" t="n">
        <x:v>4.476712328767123</x:v>
      </x:c>
      <x:c r="AL97" s="27" t="str">
        <x:v>1Y-5Y</x:v>
      </x:c>
      <x:c r="AM97" s="27"/>
      <x:c r="AN97" s="27" t="str">
        <x:v>Unknown</x:v>
      </x:c>
      <x:c r="AO97" s="27" t="str">
        <x:v>EUR</x:v>
      </x:c>
      <x:c r="AP97" s="27" t="str">
        <x:v>U</x:v>
      </x:c>
      <x:c r="AQ97" s="27" t="n">
        <x:v>0.005</x:v>
      </x:c>
      <x:c r="AR97" s="27" t="n">
        <x:v>1</x:v>
      </x:c>
      <x:c r="AS97" s="27" t="n">
        <x:v>0.005</x:v>
      </x:c>
      <x:c r="AT97" s="27"/>
      <x:c r="AU97" s="27" t="n">
        <x:v>4.0110692112370145</x:v>
      </x:c>
      <x:c r="AV97" s="27" t="n">
        <x:v>3493641282.9874396</x:v>
      </x:c>
      <x:c r="AW97" s="27" t="n">
        <x:v>0.5</x:v>
      </x:c>
      <x:c r="AX97" s="27" t="n">
        <x:v>-1</x:v>
      </x:c>
      <x:c r="AY97" s="27" t="n">
        <x:v>1</x:v>
      </x:c>
      <x:c r="AZ97" s="27" t="n">
        <x:v>-3493641282.9874396</x:v>
      </x:c>
    </x:row>
    <x:row r="98">
      <x:c r="A98" s="27" t="n">
        <x:v>45702</x:v>
      </x:c>
      <x:c r="B98" s="27" t="str">
        <x:v>IND_BANK_002</x:v>
      </x:c>
      <x:c r="C98" s="27" t="n">
        <x:v>3049</x:v>
      </x:c>
      <x:c r="D98" s="27" t="str">
        <x:v>IND-000095</x:v>
      </x:c>
      <x:c r="E98" s="27" t="str">
        <x:v>Interest Rate Swap</x:v>
      </x:c>
      <x:c r="F98" s="27" t="str">
        <x:v>Interest Rate</x:v>
      </x:c>
      <x:c r="G98" s="27"/>
      <x:c r="H98" s="27" t="str">
        <x:v>USD</x:v>
      </x:c>
      <x:c r="I98" s="27" t="str">
        <x:v>USD</x:v>
      </x:c>
      <x:c r="J98" s="27" t="str">
        <x:v>USD</x:v>
      </x:c>
      <x:c r="K98" s="27"/>
      <x:c r="L98" s="27"/>
      <x:c r="M98" s="27" t="str">
        <x:v>USD</x:v>
      </x:c>
      <x:c r="N98" s="27"/>
      <x:c r="O98" s="27"/>
      <x:c r="P98" s="27" t="n">
        <x:v>49562</x:v>
      </x:c>
      <x:c r="Q98" s="27" t="n">
        <x:v>44835</x:v>
      </x:c>
      <x:c r="R98" s="27" t="n">
        <x:v>49562</x:v>
      </x:c>
      <x:c r="S98" s="27" t="n">
        <x:v>42900000</x:v>
      </x:c>
      <x:c r="T98" s="27" t="n">
        <x:v>42900000</x:v>
      </x:c>
      <x:c r="U98" s="27" t="n">
        <x:v>42900000</x:v>
      </x:c>
      <x:c r="V98" s="27" t="str">
        <x:v>M</x:v>
      </x:c>
      <x:c r="W98" s="27" t="str">
        <x:v>Y</x:v>
      </x:c>
      <x:c r="X98" s="27" t="n">
        <x:v>5</x:v>
      </x:c>
      <x:c r="Y98" s="27" t="str">
        <x:v>B</x:v>
      </x:c>
      <x:c r="Z98" s="27"/>
      <x:c r="AA98" s="27"/>
      <x:c r="AB98" s="27" t="n">
        <x:v>0</x:v>
      </x:c>
      <x:c r="AC98" s="27" t="n">
        <x:v>0</x:v>
      </x:c>
      <x:c r="AD98" s="27" t="n">
        <x:v>235263.6</x:v>
      </x:c>
      <x:c r="AE98" s="27" t="str">
        <x:v>Public-safe anonymized industry-style SA-CCR sample</x:v>
      </x:c>
      <x:c r="AF98" s="27" t="str">
        <x:v>ANON-000095</x:v>
      </x:c>
      <x:c r="AG98" s="27" t="str">
        <x:v>Interest Rate Swap</x:v>
      </x:c>
      <x:c r="AH98" s="27"/>
      <x:c r="AI98" s="27" t="str">
        <x:v>USD</x:v>
      </x:c>
      <x:c r="AJ98" s="27" t="n">
        <x:v>3860</x:v>
      </x:c>
      <x:c r="AK98" s="27" t="n">
        <x:v>10.575342465753424</x:v>
      </x:c>
      <x:c r="AL98" s="27" t="str">
        <x:v>&gt;5Y</x:v>
      </x:c>
      <x:c r="AM98" s="27"/>
      <x:c r="AN98" s="27" t="str">
        <x:v>Unknown</x:v>
      </x:c>
      <x:c r="AO98" s="27" t="str">
        <x:v>USD</x:v>
      </x:c>
      <x:c r="AP98" s="27" t="str">
        <x:v>M</x:v>
      </x:c>
      <x:c r="AQ98" s="27" t="n">
        <x:v>0.005</x:v>
      </x:c>
      <x:c r="AR98" s="27" t="n">
        <x:v>1</x:v>
      </x:c>
      <x:c r="AS98" s="27" t="n">
        <x:v>0.005</x:v>
      </x:c>
      <x:c r="AT98" s="27"/>
      <x:c r="AU98" s="27" t="n">
        <x:v>8.213378108850309</x:v>
      </x:c>
      <x:c r="AV98" s="27" t="n">
        <x:v>352353920.86967826</x:v>
      </x:c>
      <x:c r="AW98" s="27" t="n">
        <x:v>0.5</x:v>
      </x:c>
      <x:c r="AX98" s="27" t="n">
        <x:v>1</x:v>
      </x:c>
      <x:c r="AY98" s="27" t="n">
        <x:v>0.21213203435596426</x:v>
      </x:c>
      <x:c r="AZ98" s="27" t="n">
        <x:v>74745554.0473853</x:v>
      </x:c>
    </x:row>
    <x:row r="99">
      <x:c r="A99" s="27" t="n">
        <x:v>45702</x:v>
      </x:c>
      <x:c r="B99" s="27" t="str">
        <x:v>IND_INSURER_001</x:v>
      </x:c>
      <x:c r="C99" s="27" t="n">
        <x:v>3048</x:v>
      </x:c>
      <x:c r="D99" s="27" t="str">
        <x:v>IND-000096</x:v>
      </x:c>
      <x:c r="E99" s="27" t="str">
        <x:v>Interest Rate Swap</x:v>
      </x:c>
      <x:c r="F99" s="27" t="str">
        <x:v>Interest Rate</x:v>
      </x:c>
      <x:c r="G99" s="27"/>
      <x:c r="H99" s="27" t="str">
        <x:v>JPY</x:v>
      </x:c>
      <x:c r="I99" s="27" t="str">
        <x:v>JPY</x:v>
      </x:c>
      <x:c r="J99" s="27" t="str">
        <x:v>JPY</x:v>
      </x:c>
      <x:c r="K99" s="27"/>
      <x:c r="L99" s="27"/>
      <x:c r="M99" s="27" t="str">
        <x:v>JPY</x:v>
      </x:c>
      <x:c r="N99" s="27"/>
      <x:c r="O99" s="27"/>
      <x:c r="P99" s="27" t="n">
        <x:v>48104</x:v>
      </x:c>
      <x:c r="Q99" s="27" t="n">
        <x:v>44964</x:v>
      </x:c>
      <x:c r="R99" s="27" t="n">
        <x:v>48104</x:v>
      </x:c>
      <x:c r="S99" s="27" t="n">
        <x:v>168805970149.25</x:v>
      </x:c>
      <x:c r="T99" s="27" t="n">
        <x:v>168805970149.25</x:v>
      </x:c>
      <x:c r="U99" s="27" t="n">
        <x:v>1131000000</x:v>
      </x:c>
      <x:c r="V99" s="27" t="str">
        <x:v>U</x:v>
      </x:c>
      <x:c r="W99" s="27" t="str">
        <x:v>N</x:v>
      </x:c>
      <x:c r="X99" s="27"/>
      <x:c r="Y99" s="27" t="str">
        <x:v>S</x:v>
      </x:c>
      <x:c r="Z99" s="27"/>
      <x:c r="AA99" s="27"/>
      <x:c r="AB99" s="27" t="n">
        <x:v>0</x:v>
      </x:c>
      <x:c r="AC99" s="27" t="n">
        <x:v>0</x:v>
      </x:c>
      <x:c r="AD99" s="27" t="n">
        <x:v>4858776</x:v>
      </x:c>
      <x:c r="AE99" s="27" t="str">
        <x:v>Public-safe anonymized industry-style SA-CCR sample</x:v>
      </x:c>
      <x:c r="AF99" s="27" t="str">
        <x:v>ANON-000096</x:v>
      </x:c>
      <x:c r="AG99" s="27" t="str">
        <x:v>Interest Rate Swap</x:v>
      </x:c>
      <x:c r="AH99" s="27"/>
      <x:c r="AI99" s="27" t="str">
        <x:v>JPY</x:v>
      </x:c>
      <x:c r="AJ99" s="27" t="n">
        <x:v>2402</x:v>
      </x:c>
      <x:c r="AK99" s="27" t="n">
        <x:v>6.580821917808219</x:v>
      </x:c>
      <x:c r="AL99" s="27" t="str">
        <x:v>&gt;5Y</x:v>
      </x:c>
      <x:c r="AM99" s="27"/>
      <x:c r="AN99" s="27" t="str">
        <x:v>Unknown</x:v>
      </x:c>
      <x:c r="AO99" s="27" t="str">
        <x:v>JPY</x:v>
      </x:c>
      <x:c r="AP99" s="27" t="str">
        <x:v>U</x:v>
      </x:c>
      <x:c r="AQ99" s="27" t="n">
        <x:v>0.005</x:v>
      </x:c>
      <x:c r="AR99" s="27" t="n">
        <x:v>1</x:v>
      </x:c>
      <x:c r="AS99" s="27" t="n">
        <x:v>0.005</x:v>
      </x:c>
      <x:c r="AT99" s="27"/>
      <x:c r="AU99" s="27" t="n">
        <x:v>5.607731140315832</x:v>
      </x:c>
      <x:c r="AV99" s="27" t="n">
        <x:v>6342343919.6972065</x:v>
      </x:c>
      <x:c r="AW99" s="27" t="n">
        <x:v>0.5</x:v>
      </x:c>
      <x:c r="AX99" s="27" t="n">
        <x:v>-1</x:v>
      </x:c>
      <x:c r="AY99" s="27" t="n">
        <x:v>1</x:v>
      </x:c>
      <x:c r="AZ99" s="27" t="n">
        <x:v>-6342343919.6972065</x:v>
      </x:c>
    </x:row>
    <x:row r="100">
      <x:c r="A100" s="27" t="n">
        <x:v>45702</x:v>
      </x:c>
      <x:c r="B100" s="27" t="str">
        <x:v>IND_BANK_002</x:v>
      </x:c>
      <x:c r="C100" s="27" t="n">
        <x:v>3049</x:v>
      </x:c>
      <x:c r="D100" s="27" t="str">
        <x:v>IND-000097</x:v>
      </x:c>
      <x:c r="E100" s="27" t="str">
        <x:v>Interest Rate Swap</x:v>
      </x:c>
      <x:c r="F100" s="27" t="str">
        <x:v>Interest Rate</x:v>
      </x:c>
      <x:c r="G100" s="27"/>
      <x:c r="H100" s="27" t="str">
        <x:v>USD</x:v>
      </x:c>
      <x:c r="I100" s="27" t="str">
        <x:v>USD</x:v>
      </x:c>
      <x:c r="J100" s="27" t="str">
        <x:v>USD</x:v>
      </x:c>
      <x:c r="K100" s="27"/>
      <x:c r="L100" s="27"/>
      <x:c r="M100" s="27" t="str">
        <x:v>USD</x:v>
      </x:c>
      <x:c r="N100" s="27"/>
      <x:c r="O100" s="27"/>
      <x:c r="P100" s="27" t="n">
        <x:v>49008</x:v>
      </x:c>
      <x:c r="Q100" s="27" t="n">
        <x:v>45550</x:v>
      </x:c>
      <x:c r="R100" s="27" t="n">
        <x:v>49008</x:v>
      </x:c>
      <x:c r="S100" s="27" t="n">
        <x:v>1358000000</x:v>
      </x:c>
      <x:c r="T100" s="27" t="n">
        <x:v>1358000000</x:v>
      </x:c>
      <x:c r="U100" s="27" t="n">
        <x:v>1358000000</x:v>
      </x:c>
      <x:c r="V100" s="27" t="str">
        <x:v>M</x:v>
      </x:c>
      <x:c r="W100" s="27" t="str">
        <x:v>N</x:v>
      </x:c>
      <x:c r="X100" s="27" t="n">
        <x:v>10</x:v>
      </x:c>
      <x:c r="Y100" s="27" t="str">
        <x:v>S</x:v>
      </x:c>
      <x:c r="Z100" s="27"/>
      <x:c r="AA100" s="27"/>
      <x:c r="AB100" s="27" t="n">
        <x:v>0</x:v>
      </x:c>
      <x:c r="AC100" s="27" t="n">
        <x:v>0</x:v>
      </x:c>
      <x:c r="AD100" s="27" t="n">
        <x:v>-2591064</x:v>
      </x:c>
      <x:c r="AE100" s="27" t="str">
        <x:v>Public-safe anonymized industry-style SA-CCR sample</x:v>
      </x:c>
      <x:c r="AF100" s="27" t="str">
        <x:v>ANON-000097</x:v>
      </x:c>
      <x:c r="AG100" s="27" t="str">
        <x:v>Interest Rate Swap</x:v>
      </x:c>
      <x:c r="AH100" s="27"/>
      <x:c r="AI100" s="27" t="str">
        <x:v>USD</x:v>
      </x:c>
      <x:c r="AJ100" s="27" t="n">
        <x:v>3306</x:v>
      </x:c>
      <x:c r="AK100" s="27" t="n">
        <x:v>9.057534246575342</x:v>
      </x:c>
      <x:c r="AL100" s="27" t="str">
        <x:v>&gt;5Y</x:v>
      </x:c>
      <x:c r="AM100" s="27"/>
      <x:c r="AN100" s="27" t="str">
        <x:v>Unknown</x:v>
      </x:c>
      <x:c r="AO100" s="27" t="str">
        <x:v>USD</x:v>
      </x:c>
      <x:c r="AP100" s="27" t="str">
        <x:v>M</x:v>
      </x:c>
      <x:c r="AQ100" s="27" t="n">
        <x:v>0.005</x:v>
      </x:c>
      <x:c r="AR100" s="27" t="n">
        <x:v>1</x:v>
      </x:c>
      <x:c r="AS100" s="27" t="n">
        <x:v>0.005</x:v>
      </x:c>
      <x:c r="AT100" s="27"/>
      <x:c r="AU100" s="27" t="n">
        <x:v>7.284069706674434</x:v>
      </x:c>
      <x:c r="AV100" s="27" t="n">
        <x:v>9891766661.663881</x:v>
      </x:c>
      <x:c r="AW100" s="27" t="n">
        <x:v>0.5</x:v>
      </x:c>
      <x:c r="AX100" s="27" t="n">
        <x:v>-1</x:v>
      </x:c>
      <x:c r="AY100" s="27" t="n">
        <x:v>0.30000000000000004</x:v>
      </x:c>
      <x:c r="AZ100" s="27" t="n">
        <x:v>-2967529998.499165</x:v>
      </x:c>
    </x:row>
    <x:row r="101">
      <x:c r="A101" s="27" t="n">
        <x:v>45702</x:v>
      </x:c>
      <x:c r="B101" s="27" t="str">
        <x:v>IND_CORPORATE_002</x:v>
      </x:c>
      <x:c r="C101" s="27" t="n">
        <x:v>3074</x:v>
      </x:c>
      <x:c r="D101" s="27" t="str">
        <x:v>IND-000098</x:v>
      </x:c>
      <x:c r="E101" s="27" t="str">
        <x:v>Interest Rate Swap</x:v>
      </x:c>
      <x:c r="F101" s="27" t="str">
        <x:v>Interest Rate</x:v>
      </x:c>
      <x:c r="G101" s="27"/>
      <x:c r="H101" s="27" t="str">
        <x:v>EUR</x:v>
      </x:c>
      <x:c r="I101" s="27" t="str">
        <x:v>EUR</x:v>
      </x:c>
      <x:c r="J101" s="27" t="str">
        <x:v>EUR</x:v>
      </x:c>
      <x:c r="K101" s="27"/>
      <x:c r="L101" s="27"/>
      <x:c r="M101" s="27" t="str">
        <x:v>EUR</x:v>
      </x:c>
      <x:c r="N101" s="27"/>
      <x:c r="O101" s="27"/>
      <x:c r="P101" s="27" t="n">
        <x:v>47485</x:v>
      </x:c>
      <x:c r="Q101" s="27" t="n">
        <x:v>45413</x:v>
      </x:c>
      <x:c r="R101" s="27" t="n">
        <x:v>47485</x:v>
      </x:c>
      <x:c r="S101" s="27" t="n">
        <x:v>1700000000</x:v>
      </x:c>
      <x:c r="T101" s="27" t="n">
        <x:v>1700000000</x:v>
      </x:c>
      <x:c r="U101" s="27" t="n">
        <x:v>1785000000</x:v>
      </x:c>
      <x:c r="V101" s="27" t="str">
        <x:v>M</x:v>
      </x:c>
      <x:c r="W101" s="27" t="str">
        <x:v>N</x:v>
      </x:c>
      <x:c r="X101" s="27" t="n">
        <x:v>10</x:v>
      </x:c>
      <x:c r="Y101" s="27" t="str">
        <x:v>S</x:v>
      </x:c>
      <x:c r="Z101" s="27"/>
      <x:c r="AA101" s="27"/>
      <x:c r="AB101" s="27" t="n">
        <x:v>0</x:v>
      </x:c>
      <x:c r="AC101" s="27" t="n">
        <x:v>0</x:v>
      </x:c>
      <x:c r="AD101" s="27" t="n">
        <x:v>-2002770</x:v>
      </x:c>
      <x:c r="AE101" s="27" t="str">
        <x:v>Public-safe anonymized industry-style SA-CCR sample</x:v>
      </x:c>
      <x:c r="AF101" s="27" t="str">
        <x:v>ANON-000098</x:v>
      </x:c>
      <x:c r="AG101" s="27" t="str">
        <x:v>Interest Rate Swap</x:v>
      </x:c>
      <x:c r="AH101" s="27"/>
      <x:c r="AI101" s="27" t="str">
        <x:v>EUR</x:v>
      </x:c>
      <x:c r="AJ101" s="27" t="n">
        <x:v>1783</x:v>
      </x:c>
      <x:c r="AK101" s="27" t="n">
        <x:v>4.884931506849315</x:v>
      </x:c>
      <x:c r="AL101" s="27" t="str">
        <x:v>1Y-5Y</x:v>
      </x:c>
      <x:c r="AM101" s="27"/>
      <x:c r="AN101" s="27" t="str">
        <x:v>Unknown</x:v>
      </x:c>
      <x:c r="AO101" s="27" t="str">
        <x:v>EUR</x:v>
      </x:c>
      <x:c r="AP101" s="27" t="str">
        <x:v>M</x:v>
      </x:c>
      <x:c r="AQ101" s="27" t="n">
        <x:v>0.005</x:v>
      </x:c>
      <x:c r="AR101" s="27" t="n">
        <x:v>1</x:v>
      </x:c>
      <x:c r="AS101" s="27" t="n">
        <x:v>0.005</x:v>
      </x:c>
      <x:c r="AT101" s="27"/>
      <x:c r="AU101" s="27" t="n">
        <x:v>4.334110613060844</x:v>
      </x:c>
      <x:c r="AV101" s="27" t="n">
        <x:v>7736387444.313606</x:v>
      </x:c>
      <x:c r="AW101" s="27" t="n">
        <x:v>0.5</x:v>
      </x:c>
      <x:c r="AX101" s="27" t="n">
        <x:v>-1</x:v>
      </x:c>
      <x:c r="AY101" s="27" t="n">
        <x:v>0.30000000000000004</x:v>
      </x:c>
      <x:c r="AZ101" s="27" t="n">
        <x:v>-2320916233.294082</x:v>
      </x:c>
    </x:row>
    <x:row r="102">
      <x:c r="A102" s="27" t="n">
        <x:v>45702</x:v>
      </x:c>
      <x:c r="B102" s="27" t="str">
        <x:v>IND_SOVEREIGN_001</x:v>
      </x:c>
      <x:c r="C102" s="27" t="n">
        <x:v>3246</x:v>
      </x:c>
      <x:c r="D102" s="27" t="str">
        <x:v>IND-000099</x:v>
      </x:c>
      <x:c r="E102" s="27" t="str">
        <x:v>Interest Rate Swap</x:v>
      </x:c>
      <x:c r="F102" s="27" t="str">
        <x:v>Interest Rate</x:v>
      </x:c>
      <x:c r="G102" s="27"/>
      <x:c r="H102" s="27" t="str">
        <x:v>CNY</x:v>
      </x:c>
      <x:c r="I102" s="27" t="str">
        <x:v>CNY</x:v>
      </x:c>
      <x:c r="J102" s="27" t="str">
        <x:v>CNY</x:v>
      </x:c>
      <x:c r="K102" s="27"/>
      <x:c r="L102" s="27"/>
      <x:c r="M102" s="27" t="str">
        <x:v>CNY</x:v>
      </x:c>
      <x:c r="N102" s="27"/>
      <x:c r="O102" s="27"/>
      <x:c r="P102" s="27" t="n">
        <x:v>49145</x:v>
      </x:c>
      <x:c r="Q102" s="27" t="n">
        <x:v>45228</x:v>
      </x:c>
      <x:c r="R102" s="27" t="n">
        <x:v>49145</x:v>
      </x:c>
      <x:c r="S102" s="27" t="n">
        <x:v>12671428571.43</x:v>
      </x:c>
      <x:c r="T102" s="27" t="n">
        <x:v>12671428571.43</x:v>
      </x:c>
      <x:c r="U102" s="27" t="n">
        <x:v>1774000000</x:v>
      </x:c>
      <x:c r="V102" s="27" t="str">
        <x:v>M</x:v>
      </x:c>
      <x:c r="W102" s="27" t="str">
        <x:v>N</x:v>
      </x:c>
      <x:c r="X102" s="27" t="n">
        <x:v>10</x:v>
      </x:c>
      <x:c r="Y102" s="27" t="str">
        <x:v>B</x:v>
      </x:c>
      <x:c r="Z102" s="27"/>
      <x:c r="AA102" s="27"/>
      <x:c r="AB102" s="27" t="n">
        <x:v>0</x:v>
      </x:c>
      <x:c r="AC102" s="27" t="n">
        <x:v>0</x:v>
      </x:c>
      <x:c r="AD102" s="27" t="n">
        <x:v>5832912</x:v>
      </x:c>
      <x:c r="AE102" s="27" t="str">
        <x:v>Public-safe anonymized industry-style SA-CCR sample</x:v>
      </x:c>
      <x:c r="AF102" s="27" t="str">
        <x:v>ANON-000099</x:v>
      </x:c>
      <x:c r="AG102" s="27" t="str">
        <x:v>Interest Rate Swap</x:v>
      </x:c>
      <x:c r="AH102" s="27"/>
      <x:c r="AI102" s="27" t="str">
        <x:v>CNY</x:v>
      </x:c>
      <x:c r="AJ102" s="27" t="n">
        <x:v>3443</x:v>
      </x:c>
      <x:c r="AK102" s="27" t="n">
        <x:v>9.432876712328767</x:v>
      </x:c>
      <x:c r="AL102" s="27" t="str">
        <x:v>&gt;5Y</x:v>
      </x:c>
      <x:c r="AM102" s="27"/>
      <x:c r="AN102" s="27" t="str">
        <x:v>Unknown</x:v>
      </x:c>
      <x:c r="AO102" s="27" t="str">
        <x:v>CNY</x:v>
      </x:c>
      <x:c r="AP102" s="27" t="str">
        <x:v>M</x:v>
      </x:c>
      <x:c r="AQ102" s="27" t="n">
        <x:v>0.005</x:v>
      </x:c>
      <x:c r="AR102" s="27" t="n">
        <x:v>1</x:v>
      </x:c>
      <x:c r="AS102" s="27" t="n">
        <x:v>0.005</x:v>
      </x:c>
      <x:c r="AT102" s="27"/>
      <x:c r="AU102" s="27" t="n">
        <x:v>7.520485774592087</x:v>
      </x:c>
      <x:c r="AV102" s="27" t="n">
        <x:v>13341341764.126362</x:v>
      </x:c>
      <x:c r="AW102" s="27" t="n">
        <x:v>0.5</x:v>
      </x:c>
      <x:c r="AX102" s="27" t="n">
        <x:v>1</x:v>
      </x:c>
      <x:c r="AY102" s="27" t="n">
        <x:v>0.30000000000000004</x:v>
      </x:c>
      <x:c r="AZ102" s="27" t="n">
        <x:v>4002402529.2379093</x:v>
      </x:c>
    </x:row>
    <x:row r="103">
      <x:c r="A103" s="27" t="n">
        <x:v>45702</x:v>
      </x:c>
      <x:c r="B103" s="27" t="str">
        <x:v>IND_REGIONAL_BANK_001</x:v>
      </x:c>
      <x:c r="C103" s="27" t="n">
        <x:v>3054</x:v>
      </x:c>
      <x:c r="D103" s="27" t="str">
        <x:v>IND-000100</x:v>
      </x:c>
      <x:c r="E103" s="27" t="str">
        <x:v>Interest Rate Swap</x:v>
      </x:c>
      <x:c r="F103" s="27" t="str">
        <x:v>Interest Rate</x:v>
      </x:c>
      <x:c r="G103" s="27"/>
      <x:c r="H103" s="27" t="str">
        <x:v>JPY</x:v>
      </x:c>
      <x:c r="I103" s="27" t="str">
        <x:v>JPY</x:v>
      </x:c>
      <x:c r="J103" s="27" t="str">
        <x:v>JPY</x:v>
      </x:c>
      <x:c r="K103" s="27"/>
      <x:c r="L103" s="27"/>
      <x:c r="M103" s="27" t="str">
        <x:v>JPY</x:v>
      </x:c>
      <x:c r="N103" s="27"/>
      <x:c r="O103" s="27"/>
      <x:c r="P103" s="27" t="n">
        <x:v>47968</x:v>
      </x:c>
      <x:c r="Q103" s="27" t="n">
        <x:v>45685</x:v>
      </x:c>
      <x:c r="R103" s="27" t="n">
        <x:v>47968</x:v>
      </x:c>
      <x:c r="S103" s="27" t="n">
        <x:v>65074626865.67</x:v>
      </x:c>
      <x:c r="T103" s="27" t="n">
        <x:v>65074626865.67</x:v>
      </x:c>
      <x:c r="U103" s="27" t="n">
        <x:v>436000000</x:v>
      </x:c>
      <x:c r="V103" s="27" t="str">
        <x:v>U</x:v>
      </x:c>
      <x:c r="W103" s="27" t="str">
        <x:v>Y</x:v>
      </x:c>
      <x:c r="X103" s="27" t="n">
        <x:v>5</x:v>
      </x:c>
      <x:c r="Y103" s="27" t="str">
        <x:v>B</x:v>
      </x:c>
      <x:c r="Z103" s="27"/>
      <x:c r="AA103" s="27"/>
      <x:c r="AB103" s="27" t="n">
        <x:v>0</x:v>
      </x:c>
      <x:c r="AC103" s="27" t="n">
        <x:v>0</x:v>
      </x:c>
      <x:c r="AD103" s="27" t="n">
        <x:v>107256</x:v>
      </x:c>
      <x:c r="AE103" s="27" t="str">
        <x:v>Public-safe anonymized industry-style SA-CCR sample</x:v>
      </x:c>
      <x:c r="AF103" s="27" t="str">
        <x:v>ANON-000100</x:v>
      </x:c>
      <x:c r="AG103" s="27" t="str">
        <x:v>Interest Rate Swap</x:v>
      </x:c>
      <x:c r="AH103" s="27"/>
      <x:c r="AI103" s="27" t="str">
        <x:v>JPY</x:v>
      </x:c>
      <x:c r="AJ103" s="27" t="n">
        <x:v>2266</x:v>
      </x:c>
      <x:c r="AK103" s="27" t="n">
        <x:v>6.208219178082191</x:v>
      </x:c>
      <x:c r="AL103" s="27" t="str">
        <x:v>&gt;5Y</x:v>
      </x:c>
      <x:c r="AM103" s="27"/>
      <x:c r="AN103" s="27" t="str">
        <x:v>Unknown</x:v>
      </x:c>
      <x:c r="AO103" s="27" t="str">
        <x:v>JPY</x:v>
      </x:c>
      <x:c r="AP103" s="27" t="str">
        <x:v>U</x:v>
      </x:c>
      <x:c r="AQ103" s="27" t="n">
        <x:v>0.005</x:v>
      </x:c>
      <x:c r="AR103" s="27" t="n">
        <x:v>1</x:v>
      </x:c>
      <x:c r="AS103" s="27" t="n">
        <x:v>0.005</x:v>
      </x:c>
      <x:c r="AT103" s="27"/>
      <x:c r="AU103" s="27" t="n">
        <x:v>5.337087968132749</x:v>
      </x:c>
      <x:c r="AV103" s="27" t="n">
        <x:v>2326970354.105879</x:v>
      </x:c>
      <x:c r="AW103" s="27" t="n">
        <x:v>0.5</x:v>
      </x:c>
      <x:c r="AX103" s="27" t="n">
        <x:v>1</x:v>
      </x:c>
      <x:c r="AY103" s="27" t="n">
        <x:v>1</x:v>
      </x:c>
      <x:c r="AZ103" s="27" t="n">
        <x:v>2326970354.105879</x:v>
      </x:c>
    </x:row>
    <x:row r="104">
      <x:c r="A104" s="27" t="n">
        <x:v>45702</x:v>
      </x:c>
      <x:c r="B104" s="27" t="str">
        <x:v>IND_ASSET_MANAGER_001</x:v>
      </x:c>
      <x:c r="C104" s="27" t="n">
        <x:v>3050</x:v>
      </x:c>
      <x:c r="D104" s="27" t="str">
        <x:v>IND-000101</x:v>
      </x:c>
      <x:c r="E104" s="27" t="str">
        <x:v>Interest Rate Swap</x:v>
      </x:c>
      <x:c r="F104" s="27" t="str">
        <x:v>Interest Rate</x:v>
      </x:c>
      <x:c r="G104" s="27"/>
      <x:c r="H104" s="27" t="str">
        <x:v>JPY</x:v>
      </x:c>
      <x:c r="I104" s="27" t="str">
        <x:v>JPY</x:v>
      </x:c>
      <x:c r="J104" s="27" t="str">
        <x:v>JPY</x:v>
      </x:c>
      <x:c r="K104" s="27"/>
      <x:c r="L104" s="27"/>
      <x:c r="M104" s="27" t="str">
        <x:v>JPY</x:v>
      </x:c>
      <x:c r="N104" s="27"/>
      <x:c r="O104" s="27"/>
      <x:c r="P104" s="27" t="n">
        <x:v>46586</x:v>
      </x:c>
      <x:c r="Q104" s="27" t="n">
        <x:v>45534</x:v>
      </x:c>
      <x:c r="R104" s="27" t="n">
        <x:v>46586</x:v>
      </x:c>
      <x:c r="S104" s="27" t="n">
        <x:v>2417910447.76</x:v>
      </x:c>
      <x:c r="T104" s="27" t="n">
        <x:v>2417910447.76</x:v>
      </x:c>
      <x:c r="U104" s="27" t="n">
        <x:v>16200000</x:v>
      </x:c>
      <x:c r="V104" s="27" t="str">
        <x:v>M</x:v>
      </x:c>
      <x:c r="W104" s="27" t="str">
        <x:v>N</x:v>
      </x:c>
      <x:c r="X104" s="27" t="n">
        <x:v>10</x:v>
      </x:c>
      <x:c r="Y104" s="27" t="str">
        <x:v>S</x:v>
      </x:c>
      <x:c r="Z104" s="27"/>
      <x:c r="AA104" s="27"/>
      <x:c r="AB104" s="27" t="n">
        <x:v>0</x:v>
      </x:c>
      <x:c r="AC104" s="27" t="n">
        <x:v>0</x:v>
      </x:c>
      <x:c r="AD104" s="27" t="n">
        <x:v>39366</x:v>
      </x:c>
      <x:c r="AE104" s="27" t="str">
        <x:v>Public-safe anonymized industry-style SA-CCR sample</x:v>
      </x:c>
      <x:c r="AF104" s="27" t="str">
        <x:v>ANON-000101</x:v>
      </x:c>
      <x:c r="AG104" s="27" t="str">
        <x:v>Interest Rate Swap</x:v>
      </x:c>
      <x:c r="AH104" s="27"/>
      <x:c r="AI104" s="27" t="str">
        <x:v>JPY</x:v>
      </x:c>
      <x:c r="AJ104" s="27" t="n">
        <x:v>884</x:v>
      </x:c>
      <x:c r="AK104" s="27" t="n">
        <x:v>2.421917808219178</x:v>
      </x:c>
      <x:c r="AL104" s="27" t="str">
        <x:v>1Y-5Y</x:v>
      </x:c>
      <x:c r="AM104" s="27"/>
      <x:c r="AN104" s="27" t="str">
        <x:v>Unknown</x:v>
      </x:c>
      <x:c r="AO104" s="27" t="str">
        <x:v>JPY</x:v>
      </x:c>
      <x:c r="AP104" s="27" t="str">
        <x:v>M</x:v>
      </x:c>
      <x:c r="AQ104" s="27" t="n">
        <x:v>0.005</x:v>
      </x:c>
      <x:c r="AR104" s="27" t="n">
        <x:v>1</x:v>
      </x:c>
      <x:c r="AS104" s="27" t="n">
        <x:v>0.005</x:v>
      </x:c>
      <x:c r="AT104" s="27"/>
      <x:c r="AU104" s="27" t="n">
        <x:v>2.2810199698847056</x:v>
      </x:c>
      <x:c r="AV104" s="27" t="n">
        <x:v>36952523.51213223</x:v>
      </x:c>
      <x:c r="AW104" s="27" t="n">
        <x:v>0.5</x:v>
      </x:c>
      <x:c r="AX104" s="27" t="n">
        <x:v>-1</x:v>
      </x:c>
      <x:c r="AY104" s="27" t="n">
        <x:v>0.30000000000000004</x:v>
      </x:c>
      <x:c r="AZ104" s="27" t="n">
        <x:v>-11085757.053639669</x:v>
      </x:c>
    </x:row>
    <x:row r="105">
      <x:c r="A105" s="27" t="n">
        <x:v>45702</x:v>
      </x:c>
      <x:c r="B105" s="27" t="str">
        <x:v>IND_BANK_001</x:v>
      </x:c>
      <x:c r="C105" s="27" t="n">
        <x:v>3219</x:v>
      </x:c>
      <x:c r="D105" s="27" t="str">
        <x:v>IND-000102</x:v>
      </x:c>
      <x:c r="E105" s="27" t="str">
        <x:v>Interest Rate Swap</x:v>
      </x:c>
      <x:c r="F105" s="27" t="str">
        <x:v>Interest Rate</x:v>
      </x:c>
      <x:c r="G105" s="27"/>
      <x:c r="H105" s="27" t="str">
        <x:v>CNY</x:v>
      </x:c>
      <x:c r="I105" s="27" t="str">
        <x:v>CNY</x:v>
      </x:c>
      <x:c r="J105" s="27" t="str">
        <x:v>CNY</x:v>
      </x:c>
      <x:c r="K105" s="27"/>
      <x:c r="L105" s="27"/>
      <x:c r="M105" s="27" t="str">
        <x:v>CNY</x:v>
      </x:c>
      <x:c r="N105" s="27"/>
      <x:c r="O105" s="27"/>
      <x:c r="P105" s="27" t="n">
        <x:v>47159</x:v>
      </x:c>
      <x:c r="Q105" s="27" t="n">
        <x:v>44923</x:v>
      </x:c>
      <x:c r="R105" s="27" t="n">
        <x:v>47159</x:v>
      </x:c>
      <x:c r="S105" s="27" t="n">
        <x:v>12850000000</x:v>
      </x:c>
      <x:c r="T105" s="27" t="n">
        <x:v>12850000000</x:v>
      </x:c>
      <x:c r="U105" s="27" t="n">
        <x:v>1799000000</x:v>
      </x:c>
      <x:c r="V105" s="27" t="str">
        <x:v>M</x:v>
      </x:c>
      <x:c r="W105" s="27" t="str">
        <x:v>N</x:v>
      </x:c>
      <x:c r="X105" s="27" t="n">
        <x:v>10</x:v>
      </x:c>
      <x:c r="Y105" s="27" t="str">
        <x:v>S</x:v>
      </x:c>
      <x:c r="Z105" s="27"/>
      <x:c r="AA105" s="27"/>
      <x:c r="AB105" s="27" t="n">
        <x:v>0</x:v>
      </x:c>
      <x:c r="AC105" s="27" t="n">
        <x:v>0</x:v>
      </x:c>
      <x:c r="AD105" s="27" t="n">
        <x:v>5170326</x:v>
      </x:c>
      <x:c r="AE105" s="27" t="str">
        <x:v>Public-safe anonymized industry-style SA-CCR sample</x:v>
      </x:c>
      <x:c r="AF105" s="27" t="str">
        <x:v>ANON-000102</x:v>
      </x:c>
      <x:c r="AG105" s="27" t="str">
        <x:v>Interest Rate Swap</x:v>
      </x:c>
      <x:c r="AH105" s="27"/>
      <x:c r="AI105" s="27" t="str">
        <x:v>CNY</x:v>
      </x:c>
      <x:c r="AJ105" s="27" t="n">
        <x:v>1457</x:v>
      </x:c>
      <x:c r="AK105" s="27" t="n">
        <x:v>3.9917808219178084</x:v>
      </x:c>
      <x:c r="AL105" s="27" t="str">
        <x:v>1Y-5Y</x:v>
      </x:c>
      <x:c r="AM105" s="27"/>
      <x:c r="AN105" s="27" t="str">
        <x:v>Unknown</x:v>
      </x:c>
      <x:c r="AO105" s="27" t="str">
        <x:v>CNY</x:v>
      </x:c>
      <x:c r="AP105" s="27" t="str">
        <x:v>M</x:v>
      </x:c>
      <x:c r="AQ105" s="27" t="n">
        <x:v>0.005</x:v>
      </x:c>
      <x:c r="AR105" s="27" t="n">
        <x:v>1</x:v>
      </x:c>
      <x:c r="AS105" s="27" t="n">
        <x:v>0.005</x:v>
      </x:c>
      <x:c r="AT105" s="27"/>
      <x:c r="AU105" s="27" t="n">
        <x:v>3.6186542616583983</x:v>
      </x:c>
      <x:c r="AV105" s="27" t="n">
        <x:v>6509959016.723458</x:v>
      </x:c>
      <x:c r="AW105" s="27" t="n">
        <x:v>0.5</x:v>
      </x:c>
      <x:c r="AX105" s="27" t="n">
        <x:v>-1</x:v>
      </x:c>
      <x:c r="AY105" s="27" t="n">
        <x:v>0.30000000000000004</x:v>
      </x:c>
      <x:c r="AZ105" s="27" t="n">
        <x:v>-1952987705.0170379</x:v>
      </x:c>
    </x:row>
    <x:row r="106">
      <x:c r="A106" s="27" t="n">
        <x:v>45702</x:v>
      </x:c>
      <x:c r="B106" s="27" t="str">
        <x:v>IND_REGIONAL_BANK_001</x:v>
      </x:c>
      <x:c r="C106" s="27" t="n">
        <x:v>3315</x:v>
      </x:c>
      <x:c r="D106" s="27" t="str">
        <x:v>IND-000103</x:v>
      </x:c>
      <x:c r="E106" s="27" t="str">
        <x:v>Interest Rate Swap</x:v>
      </x:c>
      <x:c r="F106" s="27" t="str">
        <x:v>Interest Rate</x:v>
      </x:c>
      <x:c r="G106" s="27"/>
      <x:c r="H106" s="27" t="str">
        <x:v>JPY</x:v>
      </x:c>
      <x:c r="I106" s="27" t="str">
        <x:v>JPY</x:v>
      </x:c>
      <x:c r="J106" s="27" t="str">
        <x:v>JPY</x:v>
      </x:c>
      <x:c r="K106" s="27"/>
      <x:c r="L106" s="27"/>
      <x:c r="M106" s="27" t="str">
        <x:v>JPY</x:v>
      </x:c>
      <x:c r="N106" s="27"/>
      <x:c r="O106" s="27"/>
      <x:c r="P106" s="27" t="n">
        <x:v>46445</x:v>
      </x:c>
      <x:c r="Q106" s="27" t="n">
        <x:v>45309</x:v>
      </x:c>
      <x:c r="R106" s="27" t="n">
        <x:v>46445</x:v>
      </x:c>
      <x:c r="S106" s="27" t="n">
        <x:v>30597014925.37</x:v>
      </x:c>
      <x:c r="T106" s="27" t="n">
        <x:v>30597014925.37</x:v>
      </x:c>
      <x:c r="U106" s="27" t="n">
        <x:v>205000000</x:v>
      </x:c>
      <x:c r="V106" s="27" t="str">
        <x:v>M</x:v>
      </x:c>
      <x:c r="W106" s="27" t="str">
        <x:v>Y</x:v>
      </x:c>
      <x:c r="X106" s="27" t="n">
        <x:v>5</x:v>
      </x:c>
      <x:c r="Y106" s="27" t="str">
        <x:v>S</x:v>
      </x:c>
      <x:c r="Z106" s="27"/>
      <x:c r="AA106" s="27"/>
      <x:c r="AB106" s="27" t="n">
        <x:v>0</x:v>
      </x:c>
      <x:c r="AC106" s="27" t="n">
        <x:v>0</x:v>
      </x:c>
      <x:c r="AD106" s="27" t="n">
        <x:v>28290</x:v>
      </x:c>
      <x:c r="AE106" s="27" t="str">
        <x:v>Public-safe anonymized industry-style SA-CCR sample</x:v>
      </x:c>
      <x:c r="AF106" s="27" t="str">
        <x:v>ANON-000103</x:v>
      </x:c>
      <x:c r="AG106" s="27" t="str">
        <x:v>Interest Rate Swap</x:v>
      </x:c>
      <x:c r="AH106" s="27"/>
      <x:c r="AI106" s="27" t="str">
        <x:v>JPY</x:v>
      </x:c>
      <x:c r="AJ106" s="27" t="n">
        <x:v>743</x:v>
      </x:c>
      <x:c r="AK106" s="27" t="n">
        <x:v>2.0356164383561643</x:v>
      </x:c>
      <x:c r="AL106" s="27" t="str">
        <x:v>1Y-5Y</x:v>
      </x:c>
      <x:c r="AM106" s="27"/>
      <x:c r="AN106" s="27" t="str">
        <x:v>Unknown</x:v>
      </x:c>
      <x:c r="AO106" s="27" t="str">
        <x:v>JPY</x:v>
      </x:c>
      <x:c r="AP106" s="27" t="str">
        <x:v>M</x:v>
      </x:c>
      <x:c r="AQ106" s="27" t="n">
        <x:v>0.005</x:v>
      </x:c>
      <x:c r="AR106" s="27" t="n">
        <x:v>1</x:v>
      </x:c>
      <x:c r="AS106" s="27" t="n">
        <x:v>0.005</x:v>
      </x:c>
      <x:c r="AT106" s="27"/>
      <x:c r="AU106" s="27" t="n">
        <x:v>1.9354500470781688</x:v>
      </x:c>
      <x:c r="AV106" s="27" t="n">
        <x:v>396767259.6510246</x:v>
      </x:c>
      <x:c r="AW106" s="27" t="n">
        <x:v>0.5</x:v>
      </x:c>
      <x:c r="AX106" s="27" t="n">
        <x:v>-1</x:v>
      </x:c>
      <x:c r="AY106" s="27" t="n">
        <x:v>0.21213203435596426</x:v>
      </x:c>
      <x:c r="AZ106" s="27" t="n">
        <x:v>-84167045.95561294</x:v>
      </x:c>
    </x:row>
    <x:row r="107">
      <x:c r="A107" s="27" t="n">
        <x:v>45702</x:v>
      </x:c>
      <x:c r="B107" s="27" t="str">
        <x:v>IND_INSURER_001</x:v>
      </x:c>
      <x:c r="C107" s="27" t="n">
        <x:v>3297</x:v>
      </x:c>
      <x:c r="D107" s="27" t="str">
        <x:v>IND-000104</x:v>
      </x:c>
      <x:c r="E107" s="27" t="str">
        <x:v>Interest Rate Swap</x:v>
      </x:c>
      <x:c r="F107" s="27" t="str">
        <x:v>Interest Rate</x:v>
      </x:c>
      <x:c r="G107" s="27"/>
      <x:c r="H107" s="27" t="str">
        <x:v>JPY</x:v>
      </x:c>
      <x:c r="I107" s="27" t="str">
        <x:v>JPY</x:v>
      </x:c>
      <x:c r="J107" s="27" t="str">
        <x:v>JPY</x:v>
      </x:c>
      <x:c r="K107" s="27"/>
      <x:c r="L107" s="27"/>
      <x:c r="M107" s="27" t="str">
        <x:v>JPY</x:v>
      </x:c>
      <x:c r="N107" s="27"/>
      <x:c r="O107" s="27"/>
      <x:c r="P107" s="27" t="n">
        <x:v>49211</x:v>
      </x:c>
      <x:c r="Q107" s="27" t="n">
        <x:v>45567</x:v>
      </x:c>
      <x:c r="R107" s="27" t="n">
        <x:v>49211</x:v>
      </x:c>
      <x:c r="S107" s="27" t="n">
        <x:v>168656716417.91</x:v>
      </x:c>
      <x:c r="T107" s="27" t="n">
        <x:v>168656716417.91</x:v>
      </x:c>
      <x:c r="U107" s="27" t="n">
        <x:v>1130000000</x:v>
      </x:c>
      <x:c r="V107" s="27" t="str">
        <x:v>M</x:v>
      </x:c>
      <x:c r="W107" s="27" t="str">
        <x:v>N</x:v>
      </x:c>
      <x:c r="X107" s="27" t="n">
        <x:v>10</x:v>
      </x:c>
      <x:c r="Y107" s="27" t="str">
        <x:v>B</x:v>
      </x:c>
      <x:c r="Z107" s="27"/>
      <x:c r="AA107" s="27"/>
      <x:c r="AB107" s="27" t="n">
        <x:v>0</x:v>
      </x:c>
      <x:c r="AC107" s="27" t="n">
        <x:v>0</x:v>
      </x:c>
      <x:c r="AD107" s="27" t="n">
        <x:v>-4976520</x:v>
      </x:c>
      <x:c r="AE107" s="27" t="str">
        <x:v>Public-safe anonymized industry-style SA-CCR sample</x:v>
      </x:c>
      <x:c r="AF107" s="27" t="str">
        <x:v>ANON-000104</x:v>
      </x:c>
      <x:c r="AG107" s="27" t="str">
        <x:v>Interest Rate Swap</x:v>
      </x:c>
      <x:c r="AH107" s="27"/>
      <x:c r="AI107" s="27" t="str">
        <x:v>JPY</x:v>
      </x:c>
      <x:c r="AJ107" s="27" t="n">
        <x:v>3509</x:v>
      </x:c>
      <x:c r="AK107" s="27" t="n">
        <x:v>9.613698630136986</x:v>
      </x:c>
      <x:c r="AL107" s="27" t="str">
        <x:v>&gt;5Y</x:v>
      </x:c>
      <x:c r="AM107" s="27"/>
      <x:c r="AN107" s="27" t="str">
        <x:v>Unknown</x:v>
      </x:c>
      <x:c r="AO107" s="27" t="str">
        <x:v>JPY</x:v>
      </x:c>
      <x:c r="AP107" s="27" t="str">
        <x:v>M</x:v>
      </x:c>
      <x:c r="AQ107" s="27" t="n">
        <x:v>0.005</x:v>
      </x:c>
      <x:c r="AR107" s="27" t="n">
        <x:v>1</x:v>
      </x:c>
      <x:c r="AS107" s="27" t="n">
        <x:v>0.005</x:v>
      </x:c>
      <x:c r="AT107" s="27"/>
      <x:c r="AU107" s="27" t="n">
        <x:v>7.632805746453335</x:v>
      </x:c>
      <x:c r="AV107" s="27" t="n">
        <x:v>8625070493.492268</x:v>
      </x:c>
      <x:c r="AW107" s="27" t="n">
        <x:v>0.5</x:v>
      </x:c>
      <x:c r="AX107" s="27" t="n">
        <x:v>1</x:v>
      </x:c>
      <x:c r="AY107" s="27" t="n">
        <x:v>0.30000000000000004</x:v>
      </x:c>
      <x:c r="AZ107" s="27" t="n">
        <x:v>2587521148.047681</x:v>
      </x:c>
    </x:row>
    <x:row r="108">
      <x:c r="A108" s="27" t="n">
        <x:v>45702</x:v>
      </x:c>
      <x:c r="B108" s="27" t="str">
        <x:v>IND_HEDGE_FUND_001</x:v>
      </x:c>
      <x:c r="C108" s="27" t="n">
        <x:v>3345</x:v>
      </x:c>
      <x:c r="D108" s="27" t="str">
        <x:v>IND-000105</x:v>
      </x:c>
      <x:c r="E108" s="27" t="str">
        <x:v>Interest Rate Swap</x:v>
      </x:c>
      <x:c r="F108" s="27" t="str">
        <x:v>Interest Rate</x:v>
      </x:c>
      <x:c r="G108" s="27"/>
      <x:c r="H108" s="27" t="str">
        <x:v>CNY</x:v>
      </x:c>
      <x:c r="I108" s="27" t="str">
        <x:v>CNY</x:v>
      </x:c>
      <x:c r="J108" s="27" t="str">
        <x:v>CNY</x:v>
      </x:c>
      <x:c r="K108" s="27"/>
      <x:c r="L108" s="27"/>
      <x:c r="M108" s="27" t="str">
        <x:v>CNY</x:v>
      </x:c>
      <x:c r="N108" s="27"/>
      <x:c r="O108" s="27"/>
      <x:c r="P108" s="27" t="n">
        <x:v>47417</x:v>
      </x:c>
      <x:c r="Q108" s="27" t="n">
        <x:v>45281</x:v>
      </x:c>
      <x:c r="R108" s="27" t="n">
        <x:v>47417</x:v>
      </x:c>
      <x:c r="S108" s="27" t="n">
        <x:v>8628571428.57</x:v>
      </x:c>
      <x:c r="T108" s="27" t="n">
        <x:v>8628571428.57</x:v>
      </x:c>
      <x:c r="U108" s="27" t="n">
        <x:v>1208000000</x:v>
      </x:c>
      <x:c r="V108" s="27" t="str">
        <x:v>M</x:v>
      </x:c>
      <x:c r="W108" s="27" t="str">
        <x:v>N</x:v>
      </x:c>
      <x:c r="X108" s="27" t="n">
        <x:v>10</x:v>
      </x:c>
      <x:c r="Y108" s="27" t="str">
        <x:v>S</x:v>
      </x:c>
      <x:c r="Z108" s="27"/>
      <x:c r="AA108" s="27"/>
      <x:c r="AB108" s="27" t="n">
        <x:v>0</x:v>
      </x:c>
      <x:c r="AC108" s="27" t="n">
        <x:v>0</x:v>
      </x:c>
      <x:c r="AD108" s="27" t="n">
        <x:v>456624</x:v>
      </x:c>
      <x:c r="AE108" s="27" t="str">
        <x:v>Public-safe anonymized industry-style SA-CCR sample</x:v>
      </x:c>
      <x:c r="AF108" s="27" t="str">
        <x:v>ANON-000105</x:v>
      </x:c>
      <x:c r="AG108" s="27" t="str">
        <x:v>Interest Rate Swap</x:v>
      </x:c>
      <x:c r="AH108" s="27"/>
      <x:c r="AI108" s="27" t="str">
        <x:v>CNY</x:v>
      </x:c>
      <x:c r="AJ108" s="27" t="n">
        <x:v>1715</x:v>
      </x:c>
      <x:c r="AK108" s="27" t="n">
        <x:v>4.698630136986301</x:v>
      </x:c>
      <x:c r="AL108" s="27" t="str">
        <x:v>1Y-5Y</x:v>
      </x:c>
      <x:c r="AM108" s="27"/>
      <x:c r="AN108" s="27" t="str">
        <x:v>Unknown</x:v>
      </x:c>
      <x:c r="AO108" s="27" t="str">
        <x:v>CNY</x:v>
      </x:c>
      <x:c r="AP108" s="27" t="str">
        <x:v>M</x:v>
      </x:c>
      <x:c r="AQ108" s="27" t="n">
        <x:v>0.005</x:v>
      </x:c>
      <x:c r="AR108" s="27" t="n">
        <x:v>1</x:v>
      </x:c>
      <x:c r="AS108" s="27" t="n">
        <x:v>0.005</x:v>
      </x:c>
      <x:c r="AT108" s="27"/>
      <x:c r="AU108" s="27" t="n">
        <x:v>4.187499996569685</x:v>
      </x:c>
      <x:c r="AV108" s="27" t="n">
        <x:v>5058499995.85618</x:v>
      </x:c>
      <x:c r="AW108" s="27" t="n">
        <x:v>0.5</x:v>
      </x:c>
      <x:c r="AX108" s="27" t="n">
        <x:v>-1</x:v>
      </x:c>
      <x:c r="AY108" s="27" t="n">
        <x:v>0.30000000000000004</x:v>
      </x:c>
      <x:c r="AZ108" s="27" t="n">
        <x:v>-1517549998.7568543</x:v>
      </x:c>
    </x:row>
    <x:row r="109">
      <x:c r="A109" s="27" t="n">
        <x:v>45702</x:v>
      </x:c>
      <x:c r="B109" s="27" t="str">
        <x:v>IND_BANK_001</x:v>
      </x:c>
      <x:c r="C109" s="27" t="n">
        <x:v>3219</x:v>
      </x:c>
      <x:c r="D109" s="27" t="str">
        <x:v>IND-000106</x:v>
      </x:c>
      <x:c r="E109" s="27" t="str">
        <x:v>Interest Rate Swap</x:v>
      </x:c>
      <x:c r="F109" s="27" t="str">
        <x:v>Interest Rate</x:v>
      </x:c>
      <x:c r="G109" s="27"/>
      <x:c r="H109" s="27" t="str">
        <x:v>CNY</x:v>
      </x:c>
      <x:c r="I109" s="27" t="str">
        <x:v>CNY</x:v>
      </x:c>
      <x:c r="J109" s="27" t="str">
        <x:v>CNY</x:v>
      </x:c>
      <x:c r="K109" s="27"/>
      <x:c r="L109" s="27"/>
      <x:c r="M109" s="27" t="str">
        <x:v>CNY</x:v>
      </x:c>
      <x:c r="N109" s="27"/>
      <x:c r="O109" s="27"/>
      <x:c r="P109" s="27" t="n">
        <x:v>47465</x:v>
      </x:c>
      <x:c r="Q109" s="27" t="n">
        <x:v>45155</x:v>
      </x:c>
      <x:c r="R109" s="27" t="n">
        <x:v>47465</x:v>
      </x:c>
      <x:c r="S109" s="27" t="n">
        <x:v>8957142857.14</x:v>
      </x:c>
      <x:c r="T109" s="27" t="n">
        <x:v>8957142857.14</x:v>
      </x:c>
      <x:c r="U109" s="27" t="n">
        <x:v>1254000000</x:v>
      </x:c>
      <x:c r="V109" s="27" t="str">
        <x:v>M</x:v>
      </x:c>
      <x:c r="W109" s="27" t="str">
        <x:v>N</x:v>
      </x:c>
      <x:c r="X109" s="27" t="n">
        <x:v>10</x:v>
      </x:c>
      <x:c r="Y109" s="27" t="str">
        <x:v>B</x:v>
      </x:c>
      <x:c r="Z109" s="27"/>
      <x:c r="AA109" s="27"/>
      <x:c r="AB109" s="27" t="n">
        <x:v>0</x:v>
      </x:c>
      <x:c r="AC109" s="27" t="n">
        <x:v>0</x:v>
      </x:c>
      <x:c r="AD109" s="27" t="n">
        <x:v>-684684</x:v>
      </x:c>
      <x:c r="AE109" s="27" t="str">
        <x:v>Public-safe anonymized industry-style SA-CCR sample</x:v>
      </x:c>
      <x:c r="AF109" s="27" t="str">
        <x:v>ANON-000106</x:v>
      </x:c>
      <x:c r="AG109" s="27" t="str">
        <x:v>Interest Rate Swap</x:v>
      </x:c>
      <x:c r="AH109" s="27"/>
      <x:c r="AI109" s="27" t="str">
        <x:v>CNY</x:v>
      </x:c>
      <x:c r="AJ109" s="27" t="n">
        <x:v>1763</x:v>
      </x:c>
      <x:c r="AK109" s="27" t="n">
        <x:v>4.83013698630137</x:v>
      </x:c>
      <x:c r="AL109" s="27" t="str">
        <x:v>1Y-5Y</x:v>
      </x:c>
      <x:c r="AM109" s="27"/>
      <x:c r="AN109" s="27" t="str">
        <x:v>Unknown</x:v>
      </x:c>
      <x:c r="AO109" s="27" t="str">
        <x:v>CNY</x:v>
      </x:c>
      <x:c r="AP109" s="27" t="str">
        <x:v>M</x:v>
      </x:c>
      <x:c r="AQ109" s="27" t="n">
        <x:v>0.005</x:v>
      </x:c>
      <x:c r="AR109" s="27" t="n">
        <x:v>1</x:v>
      </x:c>
      <x:c r="AS109" s="27" t="n">
        <x:v>0.005</x:v>
      </x:c>
      <x:c r="AT109" s="27"/>
      <x:c r="AU109" s="27" t="n">
        <x:v>4.291131519578368</x:v>
      </x:c>
      <x:c r="AV109" s="27" t="n">
        <x:v>5381078925.551273</x:v>
      </x:c>
      <x:c r="AW109" s="27" t="n">
        <x:v>0.5</x:v>
      </x:c>
      <x:c r="AX109" s="27" t="n">
        <x:v>1</x:v>
      </x:c>
      <x:c r="AY109" s="27" t="n">
        <x:v>0.30000000000000004</x:v>
      </x:c>
      <x:c r="AZ109" s="27" t="n">
        <x:v>1614323677.6653821</x:v>
      </x:c>
    </x:row>
    <x:row r="110">
      <x:c r="A110" s="27" t="n">
        <x:v>45702</x:v>
      </x:c>
      <x:c r="B110" s="27" t="str">
        <x:v>IND_CLEARING_MEMBER_001</x:v>
      </x:c>
      <x:c r="C110" s="27" t="n">
        <x:v>3020</x:v>
      </x:c>
      <x:c r="D110" s="27" t="str">
        <x:v>IND-000107</x:v>
      </x:c>
      <x:c r="E110" s="27" t="str">
        <x:v>Interest Rate Swap</x:v>
      </x:c>
      <x:c r="F110" s="27" t="str">
        <x:v>Interest Rate</x:v>
      </x:c>
      <x:c r="G110" s="27"/>
      <x:c r="H110" s="27" t="str">
        <x:v>EUR</x:v>
      </x:c>
      <x:c r="I110" s="27" t="str">
        <x:v>EUR</x:v>
      </x:c>
      <x:c r="J110" s="27" t="str">
        <x:v>EUR</x:v>
      </x:c>
      <x:c r="K110" s="27"/>
      <x:c r="L110" s="27"/>
      <x:c r="M110" s="27" t="str">
        <x:v>EUR</x:v>
      </x:c>
      <x:c r="N110" s="27"/>
      <x:c r="O110" s="27"/>
      <x:c r="P110" s="27" t="n">
        <x:v>48685</x:v>
      </x:c>
      <x:c r="Q110" s="27" t="n">
        <x:v>44947</x:v>
      </x:c>
      <x:c r="R110" s="27" t="n">
        <x:v>48685</x:v>
      </x:c>
      <x:c r="S110" s="27" t="n">
        <x:v>1334285714.29</x:v>
      </x:c>
      <x:c r="T110" s="27" t="n">
        <x:v>1334285714.29</x:v>
      </x:c>
      <x:c r="U110" s="27" t="n">
        <x:v>1401000000</x:v>
      </x:c>
      <x:c r="V110" s="27" t="str">
        <x:v>M</x:v>
      </x:c>
      <x:c r="W110" s="27" t="str">
        <x:v>N</x:v>
      </x:c>
      <x:c r="X110" s="27" t="n">
        <x:v>10</x:v>
      </x:c>
      <x:c r="Y110" s="27" t="str">
        <x:v>S</x:v>
      </x:c>
      <x:c r="Z110" s="27"/>
      <x:c r="AA110" s="27"/>
      <x:c r="AB110" s="27" t="n">
        <x:v>0</x:v>
      </x:c>
      <x:c r="AC110" s="27" t="n">
        <x:v>0</x:v>
      </x:c>
      <x:c r="AD110" s="27" t="n">
        <x:v>-554796</x:v>
      </x:c>
      <x:c r="AE110" s="27" t="str">
        <x:v>Public-safe anonymized industry-style SA-CCR sample</x:v>
      </x:c>
      <x:c r="AF110" s="27" t="str">
        <x:v>ANON-000107</x:v>
      </x:c>
      <x:c r="AG110" s="27" t="str">
        <x:v>Interest Rate Swap</x:v>
      </x:c>
      <x:c r="AH110" s="27"/>
      <x:c r="AI110" s="27" t="str">
        <x:v>EUR</x:v>
      </x:c>
      <x:c r="AJ110" s="27" t="n">
        <x:v>2983</x:v>
      </x:c>
      <x:c r="AK110" s="27" t="n">
        <x:v>8.172602739726027</x:v>
      </x:c>
      <x:c r="AL110" s="27" t="str">
        <x:v>&gt;5Y</x:v>
      </x:c>
      <x:c r="AM110" s="27"/>
      <x:c r="AN110" s="27" t="str">
        <x:v>Unknown</x:v>
      </x:c>
      <x:c r="AO110" s="27" t="str">
        <x:v>EUR</x:v>
      </x:c>
      <x:c r="AP110" s="27" t="str">
        <x:v>M</x:v>
      </x:c>
      <x:c r="AQ110" s="27" t="n">
        <x:v>0.005</x:v>
      </x:c>
      <x:c r="AR110" s="27" t="n">
        <x:v>1</x:v>
      </x:c>
      <x:c r="AS110" s="27" t="n">
        <x:v>0.005</x:v>
      </x:c>
      <x:c r="AT110" s="27"/>
      <x:c r="AU110" s="27" t="n">
        <x:v>6.708800339390528</x:v>
      </x:c>
      <x:c r="AV110" s="27" t="n">
        <x:v>9399029275.48613</x:v>
      </x:c>
      <x:c r="AW110" s="27" t="n">
        <x:v>0.5</x:v>
      </x:c>
      <x:c r="AX110" s="27" t="n">
        <x:v>-1</x:v>
      </x:c>
      <x:c r="AY110" s="27" t="n">
        <x:v>0.30000000000000004</x:v>
      </x:c>
      <x:c r="AZ110" s="27" t="n">
        <x:v>-2819708782.645839</x:v>
      </x:c>
    </x:row>
    <x:row r="111">
      <x:c r="A111" s="27" t="n">
        <x:v>45702</x:v>
      </x:c>
      <x:c r="B111" s="27" t="str">
        <x:v>IND_SOVEREIGN_001</x:v>
      </x:c>
      <x:c r="C111" s="27" t="n">
        <x:v>3065</x:v>
      </x:c>
      <x:c r="D111" s="27" t="str">
        <x:v>IND-000108</x:v>
      </x:c>
      <x:c r="E111" s="27" t="str">
        <x:v>Interest Rate Swap</x:v>
      </x:c>
      <x:c r="F111" s="27" t="str">
        <x:v>Interest Rate</x:v>
      </x:c>
      <x:c r="G111" s="27"/>
      <x:c r="H111" s="27" t="str">
        <x:v>CNY</x:v>
      </x:c>
      <x:c r="I111" s="27" t="str">
        <x:v>CNY</x:v>
      </x:c>
      <x:c r="J111" s="27" t="str">
        <x:v>CNY</x:v>
      </x:c>
      <x:c r="K111" s="27" t="str">
        <x:v>Basis</x:v>
      </x:c>
      <x:c r="L111" s="27"/>
      <x:c r="M111" s="27" t="str">
        <x:v>CNY</x:v>
      </x:c>
      <x:c r="N111" s="27"/>
      <x:c r="O111" s="27"/>
      <x:c r="P111" s="27" t="n">
        <x:v>47701</x:v>
      </x:c>
      <x:c r="Q111" s="27" t="n">
        <x:v>45097</x:v>
      </x:c>
      <x:c r="R111" s="27" t="n">
        <x:v>47701</x:v>
      </x:c>
      <x:c r="S111" s="27" t="n">
        <x:v>1442857142.86</x:v>
      </x:c>
      <x:c r="T111" s="27" t="n">
        <x:v>1442857142.86</x:v>
      </x:c>
      <x:c r="U111" s="27" t="n">
        <x:v>202000000</x:v>
      </x:c>
      <x:c r="V111" s="27" t="str">
        <x:v>U</x:v>
      </x:c>
      <x:c r="W111" s="27" t="str">
        <x:v>N</x:v>
      </x:c>
      <x:c r="X111" s="27"/>
      <x:c r="Y111" s="27" t="str">
        <x:v>B</x:v>
      </x:c>
      <x:c r="Z111" s="27"/>
      <x:c r="AA111" s="27"/>
      <x:c r="AB111" s="27" t="n">
        <x:v>0</x:v>
      </x:c>
      <x:c r="AC111" s="27" t="n">
        <x:v>0</x:v>
      </x:c>
      <x:c r="AD111" s="27" t="n">
        <x:v>409656</x:v>
      </x:c>
      <x:c r="AE111" s="27" t="str">
        <x:v>Public-safe anonymized industry-style SA-CCR sample</x:v>
      </x:c>
      <x:c r="AF111" s="27" t="str">
        <x:v>ANON-000108</x:v>
      </x:c>
      <x:c r="AG111" s="27" t="str">
        <x:v>Interest Rate Swap</x:v>
      </x:c>
      <x:c r="AH111" s="27"/>
      <x:c r="AI111" s="27" t="str">
        <x:v>CNY</x:v>
      </x:c>
      <x:c r="AJ111" s="27" t="n">
        <x:v>1999</x:v>
      </x:c>
      <x:c r="AK111" s="27" t="n">
        <x:v>5.476712328767123</x:v>
      </x:c>
      <x:c r="AL111" s="27" t="str">
        <x:v>&gt;5Y</x:v>
      </x:c>
      <x:c r="AM111" s="27"/>
      <x:c r="AN111" s="27" t="str">
        <x:v>Unknown</x:v>
      </x:c>
      <x:c r="AO111" s="27" t="str">
        <x:v>CNY_Basis</x:v>
      </x:c>
      <x:c r="AP111" s="27" t="str">
        <x:v>U</x:v>
      </x:c>
      <x:c r="AQ111" s="27" t="n">
        <x:v>0.005</x:v>
      </x:c>
      <x:c r="AR111" s="27" t="n">
        <x:v>0.5</x:v>
      </x:c>
      <x:c r="AS111" s="27" t="n">
        <x:v>0.0025</x:v>
      </x:c>
      <x:c r="AT111" s="27"/>
      <x:c r="AU111" s="27" t="n">
        <x:v>4.790858567423237</x:v>
      </x:c>
      <x:c r="AV111" s="27" t="n">
        <x:v>967753430.619494</x:v>
      </x:c>
      <x:c r="AW111" s="27" t="n">
        <x:v>0.5</x:v>
      </x:c>
      <x:c r="AX111" s="27" t="n">
        <x:v>1</x:v>
      </x:c>
      <x:c r="AY111" s="27" t="n">
        <x:v>1</x:v>
      </x:c>
      <x:c r="AZ111" s="27" t="n">
        <x:v>967753430.619494</x:v>
      </x:c>
    </x:row>
    <x:row r="112">
      <x:c r="A112" s="27" t="n">
        <x:v>45702</x:v>
      </x:c>
      <x:c r="B112" s="27" t="str">
        <x:v>IND_HEDGE_FUND_001</x:v>
      </x:c>
      <x:c r="C112" s="27" t="n">
        <x:v>3345</x:v>
      </x:c>
      <x:c r="D112" s="27" t="str">
        <x:v>IND-000109</x:v>
      </x:c>
      <x:c r="E112" s="27" t="str">
        <x:v>Interest Rate Swap</x:v>
      </x:c>
      <x:c r="F112" s="27" t="str">
        <x:v>Interest Rate</x:v>
      </x:c>
      <x:c r="G112" s="27"/>
      <x:c r="H112" s="27" t="str">
        <x:v>CNY</x:v>
      </x:c>
      <x:c r="I112" s="27" t="str">
        <x:v>CNY</x:v>
      </x:c>
      <x:c r="J112" s="27" t="str">
        <x:v>CNY</x:v>
      </x:c>
      <x:c r="K112" s="27"/>
      <x:c r="L112" s="27"/>
      <x:c r="M112" s="27" t="str">
        <x:v>CNY</x:v>
      </x:c>
      <x:c r="N112" s="27"/>
      <x:c r="O112" s="27"/>
      <x:c r="P112" s="27" t="n">
        <x:v>49714</x:v>
      </x:c>
      <x:c r="Q112" s="27" t="n">
        <x:v>45416</x:v>
      </x:c>
      <x:c r="R112" s="27" t="n">
        <x:v>49714</x:v>
      </x:c>
      <x:c r="S112" s="27" t="n">
        <x:v>1335714285.71</x:v>
      </x:c>
      <x:c r="T112" s="27" t="n">
        <x:v>1335714285.71</x:v>
      </x:c>
      <x:c r="U112" s="27" t="n">
        <x:v>187000000</x:v>
      </x:c>
      <x:c r="V112" s="27" t="str">
        <x:v>M</x:v>
      </x:c>
      <x:c r="W112" s="27" t="str">
        <x:v>N</x:v>
      </x:c>
      <x:c r="X112" s="27" t="n">
        <x:v>10</x:v>
      </x:c>
      <x:c r="Y112" s="27" t="str">
        <x:v>S</x:v>
      </x:c>
      <x:c r="Z112" s="27"/>
      <x:c r="AA112" s="27"/>
      <x:c r="AB112" s="27" t="n">
        <x:v>0</x:v>
      </x:c>
      <x:c r="AC112" s="27" t="n">
        <x:v>0</x:v>
      </x:c>
      <x:c r="AD112" s="27" t="n">
        <x:v>-983994</x:v>
      </x:c>
      <x:c r="AE112" s="27" t="str">
        <x:v>Public-safe anonymized industry-style SA-CCR sample</x:v>
      </x:c>
      <x:c r="AF112" s="27" t="str">
        <x:v>ANON-000109</x:v>
      </x:c>
      <x:c r="AG112" s="27" t="str">
        <x:v>Interest Rate Swap</x:v>
      </x:c>
      <x:c r="AH112" s="27"/>
      <x:c r="AI112" s="27" t="str">
        <x:v>CNY</x:v>
      </x:c>
      <x:c r="AJ112" s="27" t="n">
        <x:v>4012</x:v>
      </x:c>
      <x:c r="AK112" s="27" t="n">
        <x:v>10.991780821917809</x:v>
      </x:c>
      <x:c r="AL112" s="27" t="str">
        <x:v>&gt;5Y</x:v>
      </x:c>
      <x:c r="AM112" s="27"/>
      <x:c r="AN112" s="27" t="str">
        <x:v>Unknown</x:v>
      </x:c>
      <x:c r="AO112" s="27" t="str">
        <x:v>CNY</x:v>
      </x:c>
      <x:c r="AP112" s="27" t="str">
        <x:v>M</x:v>
      </x:c>
      <x:c r="AQ112" s="27" t="n">
        <x:v>0.005</x:v>
      </x:c>
      <x:c r="AR112" s="27" t="n">
        <x:v>1</x:v>
      </x:c>
      <x:c r="AS112" s="27" t="n">
        <x:v>0.005</x:v>
      </x:c>
      <x:c r="AT112" s="27"/>
      <x:c r="AU112" s="27" t="n">
        <x:v>8.456260764626268</x:v>
      </x:c>
      <x:c r="AV112" s="27" t="n">
        <x:v>1581320762.9851122</x:v>
      </x:c>
      <x:c r="AW112" s="27" t="n">
        <x:v>0.5</x:v>
      </x:c>
      <x:c r="AX112" s="27" t="n">
        <x:v>-1</x:v>
      </x:c>
      <x:c r="AY112" s="27" t="n">
        <x:v>0.30000000000000004</x:v>
      </x:c>
      <x:c r="AZ112" s="27" t="n">
        <x:v>-474396228.89553374</x:v>
      </x:c>
    </x:row>
    <x:row r="113">
      <x:c r="A113" s="27" t="n">
        <x:v>45702</x:v>
      </x:c>
      <x:c r="B113" s="27" t="str">
        <x:v>IND_CLEARING_MEMBER_001</x:v>
      </x:c>
      <x:c r="C113" s="27" t="n">
        <x:v>3020</x:v>
      </x:c>
      <x:c r="D113" s="27" t="str">
        <x:v>IND-000110</x:v>
      </x:c>
      <x:c r="E113" s="27" t="str">
        <x:v>Interest Rate Swap</x:v>
      </x:c>
      <x:c r="F113" s="27" t="str">
        <x:v>Interest Rate</x:v>
      </x:c>
      <x:c r="G113" s="27"/>
      <x:c r="H113" s="27" t="str">
        <x:v>EUR</x:v>
      </x:c>
      <x:c r="I113" s="27" t="str">
        <x:v>EUR</x:v>
      </x:c>
      <x:c r="J113" s="27" t="str">
        <x:v>EUR</x:v>
      </x:c>
      <x:c r="K113" s="27"/>
      <x:c r="L113" s="27"/>
      <x:c r="M113" s="27" t="str">
        <x:v>EUR</x:v>
      </x:c>
      <x:c r="N113" s="27"/>
      <x:c r="O113" s="27"/>
      <x:c r="P113" s="27" t="n">
        <x:v>48124</x:v>
      </x:c>
      <x:c r="Q113" s="27" t="n">
        <x:v>45121</x:v>
      </x:c>
      <x:c r="R113" s="27" t="n">
        <x:v>48124</x:v>
      </x:c>
      <x:c r="S113" s="27" t="n">
        <x:v>498095238.1</x:v>
      </x:c>
      <x:c r="T113" s="27" t="n">
        <x:v>498095238.1</x:v>
      </x:c>
      <x:c r="U113" s="27" t="n">
        <x:v>523000000</x:v>
      </x:c>
      <x:c r="V113" s="27" t="str">
        <x:v>M</x:v>
      </x:c>
      <x:c r="W113" s="27" t="str">
        <x:v>N</x:v>
      </x:c>
      <x:c r="X113" s="27" t="n">
        <x:v>10</x:v>
      </x:c>
      <x:c r="Y113" s="27" t="str">
        <x:v>S</x:v>
      </x:c>
      <x:c r="Z113" s="27"/>
      <x:c r="AA113" s="27"/>
      <x:c r="AB113" s="27" t="n">
        <x:v>0</x:v>
      </x:c>
      <x:c r="AC113" s="27" t="n">
        <x:v>0</x:v>
      </x:c>
      <x:c r="AD113" s="27" t="n">
        <x:v>1838868</x:v>
      </x:c>
      <x:c r="AE113" s="27" t="str">
        <x:v>Public-safe anonymized industry-style SA-CCR sample</x:v>
      </x:c>
      <x:c r="AF113" s="27" t="str">
        <x:v>ANON-000110</x:v>
      </x:c>
      <x:c r="AG113" s="27" t="str">
        <x:v>Interest Rate Swap</x:v>
      </x:c>
      <x:c r="AH113" s="27"/>
      <x:c r="AI113" s="27" t="str">
        <x:v>EUR</x:v>
      </x:c>
      <x:c r="AJ113" s="27" t="n">
        <x:v>2422</x:v>
      </x:c>
      <x:c r="AK113" s="27" t="n">
        <x:v>6.635616438356164</x:v>
      </x:c>
      <x:c r="AL113" s="27" t="str">
        <x:v>&gt;5Y</x:v>
      </x:c>
      <x:c r="AM113" s="27"/>
      <x:c r="AN113" s="27" t="str">
        <x:v>Unknown</x:v>
      </x:c>
      <x:c r="AO113" s="27" t="str">
        <x:v>EUR</x:v>
      </x:c>
      <x:c r="AP113" s="27" t="str">
        <x:v>M</x:v>
      </x:c>
      <x:c r="AQ113" s="27" t="n">
        <x:v>0.005</x:v>
      </x:c>
      <x:c r="AR113" s="27" t="n">
        <x:v>1</x:v>
      </x:c>
      <x:c r="AS113" s="27" t="n">
        <x:v>0.005</x:v>
      </x:c>
      <x:c r="AT113" s="27"/>
      <x:c r="AU113" s="27" t="n">
        <x:v>5.647108048303586</x:v>
      </x:c>
      <x:c r="AV113" s="27" t="n">
        <x:v>2953437509.2627754</x:v>
      </x:c>
      <x:c r="AW113" s="27" t="n">
        <x:v>0.5</x:v>
      </x:c>
      <x:c r="AX113" s="27" t="n">
        <x:v>-1</x:v>
      </x:c>
      <x:c r="AY113" s="27" t="n">
        <x:v>0.30000000000000004</x:v>
      </x:c>
      <x:c r="AZ113" s="27" t="n">
        <x:v>-886031252.7788328</x:v>
      </x:c>
    </x:row>
    <x:row r="114">
      <x:c r="A114" s="27" t="n">
        <x:v>45702</x:v>
      </x:c>
      <x:c r="B114" s="27" t="str">
        <x:v>IND_SOVEREIGN_001</x:v>
      </x:c>
      <x:c r="C114" s="27" t="n">
        <x:v>3246</x:v>
      </x:c>
      <x:c r="D114" s="27" t="str">
        <x:v>IND-000111</x:v>
      </x:c>
      <x:c r="E114" s="27" t="str">
        <x:v>Interest Rate Swap</x:v>
      </x:c>
      <x:c r="F114" s="27" t="str">
        <x:v>Interest Rate</x:v>
      </x:c>
      <x:c r="G114" s="27"/>
      <x:c r="H114" s="27" t="str">
        <x:v>CNY</x:v>
      </x:c>
      <x:c r="I114" s="27" t="str">
        <x:v>CNY</x:v>
      </x:c>
      <x:c r="J114" s="27" t="str">
        <x:v>CNY</x:v>
      </x:c>
      <x:c r="K114" s="27"/>
      <x:c r="L114" s="27"/>
      <x:c r="M114" s="27" t="str">
        <x:v>CNY</x:v>
      </x:c>
      <x:c r="N114" s="27"/>
      <x:c r="O114" s="27"/>
      <x:c r="P114" s="27" t="n">
        <x:v>46668</x:v>
      </x:c>
      <x:c r="Q114" s="27" t="n">
        <x:v>45472</x:v>
      </x:c>
      <x:c r="R114" s="27" t="n">
        <x:v>46668</x:v>
      </x:c>
      <x:c r="S114" s="27" t="n">
        <x:v>6957142857.14</x:v>
      </x:c>
      <x:c r="T114" s="27" t="n">
        <x:v>6957142857.14</x:v>
      </x:c>
      <x:c r="U114" s="27" t="n">
        <x:v>974000000</x:v>
      </x:c>
      <x:c r="V114" s="27" t="str">
        <x:v>M</x:v>
      </x:c>
      <x:c r="W114" s="27" t="str">
        <x:v>N</x:v>
      </x:c>
      <x:c r="X114" s="27" t="n">
        <x:v>10</x:v>
      </x:c>
      <x:c r="Y114" s="27" t="str">
        <x:v>S</x:v>
      </x:c>
      <x:c r="Z114" s="27"/>
      <x:c r="AA114" s="27"/>
      <x:c r="AB114" s="27" t="n">
        <x:v>0</x:v>
      </x:c>
      <x:c r="AC114" s="27" t="n">
        <x:v>0</x:v>
      </x:c>
      <x:c r="AD114" s="27" t="n">
        <x:v>-1852548</x:v>
      </x:c>
      <x:c r="AE114" s="27" t="str">
        <x:v>Public-safe anonymized industry-style SA-CCR sample</x:v>
      </x:c>
      <x:c r="AF114" s="27" t="str">
        <x:v>ANON-000111</x:v>
      </x:c>
      <x:c r="AG114" s="27" t="str">
        <x:v>Interest Rate Swap</x:v>
      </x:c>
      <x:c r="AH114" s="27"/>
      <x:c r="AI114" s="27" t="str">
        <x:v>CNY</x:v>
      </x:c>
      <x:c r="AJ114" s="27" t="n">
        <x:v>966</x:v>
      </x:c>
      <x:c r="AK114" s="27" t="n">
        <x:v>2.6465753424657534</x:v>
      </x:c>
      <x:c r="AL114" s="27" t="str">
        <x:v>1Y-5Y</x:v>
      </x:c>
      <x:c r="AM114" s="27"/>
      <x:c r="AN114" s="27" t="str">
        <x:v>Unknown</x:v>
      </x:c>
      <x:c r="AO114" s="27" t="str">
        <x:v>CNY</x:v>
      </x:c>
      <x:c r="AP114" s="27" t="str">
        <x:v>M</x:v>
      </x:c>
      <x:c r="AQ114" s="27" t="n">
        <x:v>0.005</x:v>
      </x:c>
      <x:c r="AR114" s="27" t="n">
        <x:v>1</x:v>
      </x:c>
      <x:c r="AS114" s="27" t="n">
        <x:v>0.005</x:v>
      </x:c>
      <x:c r="AT114" s="27"/>
      <x:c r="AU114" s="27" t="n">
        <x:v>2.4789413934578675</x:v>
      </x:c>
      <x:c r="AV114" s="27" t="n">
        <x:v>2414488917.227963</x:v>
      </x:c>
      <x:c r="AW114" s="27" t="n">
        <x:v>0.5</x:v>
      </x:c>
      <x:c r="AX114" s="27" t="n">
        <x:v>-1</x:v>
      </x:c>
      <x:c r="AY114" s="27" t="n">
        <x:v>0.30000000000000004</x:v>
      </x:c>
      <x:c r="AZ114" s="27" t="n">
        <x:v>-724346675.168389</x:v>
      </x:c>
    </x:row>
    <x:row r="115">
      <x:c r="A115" s="27" t="n">
        <x:v>45702</x:v>
      </x:c>
      <x:c r="B115" s="27" t="str">
        <x:v>IND_REGIONAL_BANK_001</x:v>
      </x:c>
      <x:c r="C115" s="27" t="n">
        <x:v>3315</x:v>
      </x:c>
      <x:c r="D115" s="27" t="str">
        <x:v>IND-000112</x:v>
      </x:c>
      <x:c r="E115" s="27" t="str">
        <x:v>Interest Rate Swap</x:v>
      </x:c>
      <x:c r="F115" s="27" t="str">
        <x:v>Interest Rate</x:v>
      </x:c>
      <x:c r="G115" s="27"/>
      <x:c r="H115" s="27" t="str">
        <x:v>JPY</x:v>
      </x:c>
      <x:c r="I115" s="27" t="str">
        <x:v>JPY</x:v>
      </x:c>
      <x:c r="J115" s="27" t="str">
        <x:v>JPY</x:v>
      </x:c>
      <x:c r="K115" s="27"/>
      <x:c r="L115" s="27"/>
      <x:c r="M115" s="27" t="str">
        <x:v>JPY</x:v>
      </x:c>
      <x:c r="N115" s="27"/>
      <x:c r="O115" s="27"/>
      <x:c r="P115" s="27" t="n">
        <x:v>47585</x:v>
      </x:c>
      <x:c r="Q115" s="27" t="n">
        <x:v>45515</x:v>
      </x:c>
      <x:c r="R115" s="27" t="n">
        <x:v>47585</x:v>
      </x:c>
      <x:c r="S115" s="27" t="n">
        <x:v>24179104477.61</x:v>
      </x:c>
      <x:c r="T115" s="27" t="n">
        <x:v>24179104477.61</x:v>
      </x:c>
      <x:c r="U115" s="27" t="n">
        <x:v>162000000</x:v>
      </x:c>
      <x:c r="V115" s="27" t="str">
        <x:v>M</x:v>
      </x:c>
      <x:c r="W115" s="27" t="str">
        <x:v>N</x:v>
      </x:c>
      <x:c r="X115" s="27" t="n">
        <x:v>10</x:v>
      </x:c>
      <x:c r="Y115" s="27" t="str">
        <x:v>B</x:v>
      </x:c>
      <x:c r="Z115" s="27"/>
      <x:c r="AA115" s="27"/>
      <x:c r="AB115" s="27" t="n">
        <x:v>0</x:v>
      </x:c>
      <x:c r="AC115" s="27" t="n">
        <x:v>0</x:v>
      </x:c>
      <x:c r="AD115" s="27" t="n">
        <x:v>-635688</x:v>
      </x:c>
      <x:c r="AE115" s="27" t="str">
        <x:v>Public-safe anonymized industry-style SA-CCR sample</x:v>
      </x:c>
      <x:c r="AF115" s="27" t="str">
        <x:v>ANON-000112</x:v>
      </x:c>
      <x:c r="AG115" s="27" t="str">
        <x:v>Interest Rate Swap</x:v>
      </x:c>
      <x:c r="AH115" s="27"/>
      <x:c r="AI115" s="27" t="str">
        <x:v>JPY</x:v>
      </x:c>
      <x:c r="AJ115" s="27" t="n">
        <x:v>1883</x:v>
      </x:c>
      <x:c r="AK115" s="27" t="n">
        <x:v>5.158904109589041</x:v>
      </x:c>
      <x:c r="AL115" s="27" t="str">
        <x:v>&gt;5Y</x:v>
      </x:c>
      <x:c r="AM115" s="27"/>
      <x:c r="AN115" s="27" t="str">
        <x:v>Unknown</x:v>
      </x:c>
      <x:c r="AO115" s="27" t="str">
        <x:v>JPY</x:v>
      </x:c>
      <x:c r="AP115" s="27" t="str">
        <x:v>M</x:v>
      </x:c>
      <x:c r="AQ115" s="27" t="n">
        <x:v>0.005</x:v>
      </x:c>
      <x:c r="AR115" s="27" t="n">
        <x:v>1</x:v>
      </x:c>
      <x:c r="AS115" s="27" t="n">
        <x:v>0.005</x:v>
      </x:c>
      <x:c r="AT115" s="27"/>
      <x:c r="AU115" s="27" t="n">
        <x:v>4.547248654957891</x:v>
      </x:c>
      <x:c r="AV115" s="27" t="n">
        <x:v>736654282.1031784</x:v>
      </x:c>
      <x:c r="AW115" s="27" t="n">
        <x:v>0.5</x:v>
      </x:c>
      <x:c r="AX115" s="27" t="n">
        <x:v>1</x:v>
      </x:c>
      <x:c r="AY115" s="27" t="n">
        <x:v>0.30000000000000004</x:v>
      </x:c>
      <x:c r="AZ115" s="27" t="n">
        <x:v>220996284.63095355</x:v>
      </x:c>
    </x:row>
    <x:row r="116">
      <x:c r="A116" s="27" t="n">
        <x:v>45702</x:v>
      </x:c>
      <x:c r="B116" s="27" t="str">
        <x:v>IND_PENSION_001</x:v>
      </x:c>
      <x:c r="C116" s="27" t="n">
        <x:v>3103</x:v>
      </x:c>
      <x:c r="D116" s="27" t="str">
        <x:v>IND-000113</x:v>
      </x:c>
      <x:c r="E116" s="27" t="str">
        <x:v>Interest Rate Swap</x:v>
      </x:c>
      <x:c r="F116" s="27" t="str">
        <x:v>Interest Rate</x:v>
      </x:c>
      <x:c r="G116" s="27"/>
      <x:c r="H116" s="27" t="str">
        <x:v>USD</x:v>
      </x:c>
      <x:c r="I116" s="27" t="str">
        <x:v>USD</x:v>
      </x:c>
      <x:c r="J116" s="27" t="str">
        <x:v>USD</x:v>
      </x:c>
      <x:c r="K116" s="27"/>
      <x:c r="L116" s="27"/>
      <x:c r="M116" s="27" t="str">
        <x:v>USD</x:v>
      </x:c>
      <x:c r="N116" s="27"/>
      <x:c r="O116" s="27"/>
      <x:c r="P116" s="27" t="n">
        <x:v>49596</x:v>
      </x:c>
      <x:c r="Q116" s="27" t="n">
        <x:v>45189</x:v>
      </x:c>
      <x:c r="R116" s="27" t="n">
        <x:v>49596</x:v>
      </x:c>
      <x:c r="S116" s="27" t="n">
        <x:v>492000000</x:v>
      </x:c>
      <x:c r="T116" s="27" t="n">
        <x:v>492000000</x:v>
      </x:c>
      <x:c r="U116" s="27" t="n">
        <x:v>492000000</x:v>
      </x:c>
      <x:c r="V116" s="27" t="str">
        <x:v>M</x:v>
      </x:c>
      <x:c r="W116" s="27" t="str">
        <x:v>Y</x:v>
      </x:c>
      <x:c r="X116" s="27" t="n">
        <x:v>5</x:v>
      </x:c>
      <x:c r="Y116" s="27" t="str">
        <x:v>S</x:v>
      </x:c>
      <x:c r="Z116" s="27"/>
      <x:c r="AA116" s="27"/>
      <x:c r="AB116" s="27" t="n">
        <x:v>0</x:v>
      </x:c>
      <x:c r="AC116" s="27" t="n">
        <x:v>0</x:v>
      </x:c>
      <x:c r="AD116" s="27" t="n">
        <x:v>1461240</x:v>
      </x:c>
      <x:c r="AE116" s="27" t="str">
        <x:v>Public-safe anonymized industry-style SA-CCR sample</x:v>
      </x:c>
      <x:c r="AF116" s="27" t="str">
        <x:v>ANON-000113</x:v>
      </x:c>
      <x:c r="AG116" s="27" t="str">
        <x:v>Interest Rate Swap</x:v>
      </x:c>
      <x:c r="AH116" s="27"/>
      <x:c r="AI116" s="27" t="str">
        <x:v>USD</x:v>
      </x:c>
      <x:c r="AJ116" s="27" t="n">
        <x:v>3894</x:v>
      </x:c>
      <x:c r="AK116" s="27" t="n">
        <x:v>10.668493150684931</x:v>
      </x:c>
      <x:c r="AL116" s="27" t="str">
        <x:v>&gt;5Y</x:v>
      </x:c>
      <x:c r="AM116" s="27"/>
      <x:c r="AN116" s="27" t="str">
        <x:v>Unknown</x:v>
      </x:c>
      <x:c r="AO116" s="27" t="str">
        <x:v>USD</x:v>
      </x:c>
      <x:c r="AP116" s="27" t="str">
        <x:v>M</x:v>
      </x:c>
      <x:c r="AQ116" s="27" t="n">
        <x:v>0.005</x:v>
      </x:c>
      <x:c r="AR116" s="27" t="n">
        <x:v>1</x:v>
      </x:c>
      <x:c r="AS116" s="27" t="n">
        <x:v>0.005</x:v>
      </x:c>
      <x:c r="AT116" s="27"/>
      <x:c r="AU116" s="27" t="n">
        <x:v>8.268147060818226</x:v>
      </x:c>
      <x:c r="AV116" s="27" t="n">
        <x:v>4067928353.9225674</x:v>
      </x:c>
      <x:c r="AW116" s="27" t="n">
        <x:v>0.5</x:v>
      </x:c>
      <x:c r="AX116" s="27" t="n">
        <x:v>-1</x:v>
      </x:c>
      <x:c r="AY116" s="27" t="n">
        <x:v>0.21213203435596426</x:v>
      </x:c>
      <x:c r="AZ116" s="27" t="n">
        <x:v>-862937917.3319032</x:v>
      </x:c>
    </x:row>
    <x:row r="117">
      <x:c r="A117" s="27" t="n">
        <x:v>45702</x:v>
      </x:c>
      <x:c r="B117" s="27" t="str">
        <x:v>IND_BANK_001</x:v>
      </x:c>
      <x:c r="C117" s="27" t="n">
        <x:v>3219</x:v>
      </x:c>
      <x:c r="D117" s="27" t="str">
        <x:v>IND-000114</x:v>
      </x:c>
      <x:c r="E117" s="27" t="str">
        <x:v>Interest Rate Swap</x:v>
      </x:c>
      <x:c r="F117" s="27" t="str">
        <x:v>Interest Rate</x:v>
      </x:c>
      <x:c r="G117" s="27"/>
      <x:c r="H117" s="27" t="str">
        <x:v>CNY</x:v>
      </x:c>
      <x:c r="I117" s="27" t="str">
        <x:v>CNY</x:v>
      </x:c>
      <x:c r="J117" s="27" t="str">
        <x:v>CNY</x:v>
      </x:c>
      <x:c r="K117" s="27"/>
      <x:c r="L117" s="27"/>
      <x:c r="M117" s="27" t="str">
        <x:v>CNY</x:v>
      </x:c>
      <x:c r="N117" s="27"/>
      <x:c r="O117" s="27"/>
      <x:c r="P117" s="27" t="n">
        <x:v>49091</x:v>
      </x:c>
      <x:c r="Q117" s="27" t="n">
        <x:v>45686</x:v>
      </x:c>
      <x:c r="R117" s="27" t="n">
        <x:v>49091</x:v>
      </x:c>
      <x:c r="S117" s="27" t="n">
        <x:v>5350000000</x:v>
      </x:c>
      <x:c r="T117" s="27" t="n">
        <x:v>5350000000</x:v>
      </x:c>
      <x:c r="U117" s="27" t="n">
        <x:v>749000000</x:v>
      </x:c>
      <x:c r="V117" s="27" t="str">
        <x:v>M</x:v>
      </x:c>
      <x:c r="W117" s="27" t="str">
        <x:v>N</x:v>
      </x:c>
      <x:c r="X117" s="27" t="n">
        <x:v>10</x:v>
      </x:c>
      <x:c r="Y117" s="27" t="str">
        <x:v>S</x:v>
      </x:c>
      <x:c r="Z117" s="27"/>
      <x:c r="AA117" s="27"/>
      <x:c r="AB117" s="27" t="n">
        <x:v>0</x:v>
      </x:c>
      <x:c r="AC117" s="27" t="n">
        <x:v>0</x:v>
      </x:c>
      <x:c r="AD117" s="27" t="n">
        <x:v>2543604</x:v>
      </x:c>
      <x:c r="AE117" s="27" t="str">
        <x:v>Public-safe anonymized industry-style SA-CCR sample</x:v>
      </x:c>
      <x:c r="AF117" s="27" t="str">
        <x:v>ANON-000114</x:v>
      </x:c>
      <x:c r="AG117" s="27" t="str">
        <x:v>Interest Rate Swap</x:v>
      </x:c>
      <x:c r="AH117" s="27"/>
      <x:c r="AI117" s="27" t="str">
        <x:v>CNY</x:v>
      </x:c>
      <x:c r="AJ117" s="27" t="n">
        <x:v>3389</x:v>
      </x:c>
      <x:c r="AK117" s="27" t="n">
        <x:v>9.284931506849315</x:v>
      </x:c>
      <x:c r="AL117" s="27" t="str">
        <x:v>&gt;5Y</x:v>
      </x:c>
      <x:c r="AM117" s="27"/>
      <x:c r="AN117" s="27" t="str">
        <x:v>Unknown</x:v>
      </x:c>
      <x:c r="AO117" s="27" t="str">
        <x:v>CNY</x:v>
      </x:c>
      <x:c r="AP117" s="27" t="str">
        <x:v>M</x:v>
      </x:c>
      <x:c r="AQ117" s="27" t="n">
        <x:v>0.005</x:v>
      </x:c>
      <x:c r="AR117" s="27" t="n">
        <x:v>1</x:v>
      </x:c>
      <x:c r="AS117" s="27" t="n">
        <x:v>0.005</x:v>
      </x:c>
      <x:c r="AT117" s="27"/>
      <x:c r="AU117" s="27" t="n">
        <x:v>7.42782928018044</x:v>
      </x:c>
      <x:c r="AV117" s="27" t="n">
        <x:v>5563444130.855149</x:v>
      </x:c>
      <x:c r="AW117" s="27" t="n">
        <x:v>0.5</x:v>
      </x:c>
      <x:c r="AX117" s="27" t="n">
        <x:v>-1</x:v>
      </x:c>
      <x:c r="AY117" s="27" t="n">
        <x:v>0.30000000000000004</x:v>
      </x:c>
      <x:c r="AZ117" s="27" t="n">
        <x:v>-1669033239.256545</x:v>
      </x:c>
    </x:row>
    <x:row r="118">
      <x:c r="A118" s="27" t="n">
        <x:v>45702</x:v>
      </x:c>
      <x:c r="B118" s="27" t="str">
        <x:v>IND_HEDGE_FUND_001</x:v>
      </x:c>
      <x:c r="C118" s="27" t="n">
        <x:v>3345</x:v>
      </x:c>
      <x:c r="D118" s="27" t="str">
        <x:v>IND-000115</x:v>
      </x:c>
      <x:c r="E118" s="27" t="str">
        <x:v>Interest Rate Swap</x:v>
      </x:c>
      <x:c r="F118" s="27" t="str">
        <x:v>Interest Rate</x:v>
      </x:c>
      <x:c r="G118" s="27"/>
      <x:c r="H118" s="27" t="str">
        <x:v>CNY</x:v>
      </x:c>
      <x:c r="I118" s="27" t="str">
        <x:v>CNY</x:v>
      </x:c>
      <x:c r="J118" s="27" t="str">
        <x:v>CNY</x:v>
      </x:c>
      <x:c r="K118" s="27"/>
      <x:c r="L118" s="27"/>
      <x:c r="M118" s="27" t="str">
        <x:v>CNY</x:v>
      </x:c>
      <x:c r="N118" s="27"/>
      <x:c r="O118" s="27"/>
      <x:c r="P118" s="27" t="n">
        <x:v>46644</x:v>
      </x:c>
      <x:c r="Q118" s="27" t="n">
        <x:v>45590</x:v>
      </x:c>
      <x:c r="R118" s="27" t="n">
        <x:v>46644</x:v>
      </x:c>
      <x:c r="S118" s="27" t="n">
        <x:v>6257142857.14</x:v>
      </x:c>
      <x:c r="T118" s="27" t="n">
        <x:v>6257142857.14</x:v>
      </x:c>
      <x:c r="U118" s="27" t="n">
        <x:v>876000000</x:v>
      </x:c>
      <x:c r="V118" s="27" t="str">
        <x:v>M</x:v>
      </x:c>
      <x:c r="W118" s="27" t="str">
        <x:v>N</x:v>
      </x:c>
      <x:c r="X118" s="27" t="n">
        <x:v>10</x:v>
      </x:c>
      <x:c r="Y118" s="27" t="str">
        <x:v>B</x:v>
      </x:c>
      <x:c r="Z118" s="27"/>
      <x:c r="AA118" s="27"/>
      <x:c r="AB118" s="27" t="n">
        <x:v>0</x:v>
      </x:c>
      <x:c r="AC118" s="27" t="n">
        <x:v>0</x:v>
      </x:c>
      <x:c r="AD118" s="27" t="n">
        <x:v>2817216</x:v>
      </x:c>
      <x:c r="AE118" s="27" t="str">
        <x:v>Public-safe anonymized industry-style SA-CCR sample</x:v>
      </x:c>
      <x:c r="AF118" s="27" t="str">
        <x:v>ANON-000115</x:v>
      </x:c>
      <x:c r="AG118" s="27" t="str">
        <x:v>Interest Rate Swap</x:v>
      </x:c>
      <x:c r="AH118" s="27"/>
      <x:c r="AI118" s="27" t="str">
        <x:v>CNY</x:v>
      </x:c>
      <x:c r="AJ118" s="27" t="n">
        <x:v>942</x:v>
      </x:c>
      <x:c r="AK118" s="27" t="n">
        <x:v>2.580821917808219</x:v>
      </x:c>
      <x:c r="AL118" s="27" t="str">
        <x:v>1Y-5Y</x:v>
      </x:c>
      <x:c r="AM118" s="27"/>
      <x:c r="AN118" s="27" t="str">
        <x:v>Unknown</x:v>
      </x:c>
      <x:c r="AO118" s="27" t="str">
        <x:v>CNY</x:v>
      </x:c>
      <x:c r="AP118" s="27" t="str">
        <x:v>M</x:v>
      </x:c>
      <x:c r="AQ118" s="27" t="n">
        <x:v>0.005</x:v>
      </x:c>
      <x:c r="AR118" s="27" t="n">
        <x:v>1</x:v>
      </x:c>
      <x:c r="AS118" s="27" t="n">
        <x:v>0.005</x:v>
      </x:c>
      <x:c r="AT118" s="27"/>
      <x:c r="AU118" s="27" t="n">
        <x:v>2.4212431185990346</x:v>
      </x:c>
      <x:c r="AV118" s="27" t="n">
        <x:v>2121008971.8927543</x:v>
      </x:c>
      <x:c r="AW118" s="27" t="n">
        <x:v>0.5</x:v>
      </x:c>
      <x:c r="AX118" s="27" t="n">
        <x:v>1</x:v>
      </x:c>
      <x:c r="AY118" s="27" t="n">
        <x:v>0.30000000000000004</x:v>
      </x:c>
      <x:c r="AZ118" s="27" t="n">
        <x:v>636302691.5678264</x:v>
      </x:c>
    </x:row>
    <x:row r="119">
      <x:c r="A119" s="27" t="n">
        <x:v>45702</x:v>
      </x:c>
      <x:c r="B119" s="27" t="str">
        <x:v>IND_HEDGE_FUND_001</x:v>
      </x:c>
      <x:c r="C119" s="27" t="n">
        <x:v>3345</x:v>
      </x:c>
      <x:c r="D119" s="27" t="str">
        <x:v>IND-000116</x:v>
      </x:c>
      <x:c r="E119" s="27" t="str">
        <x:v>Interest Rate Swap</x:v>
      </x:c>
      <x:c r="F119" s="27" t="str">
        <x:v>Interest Rate</x:v>
      </x:c>
      <x:c r="G119" s="27"/>
      <x:c r="H119" s="27" t="str">
        <x:v>CNY</x:v>
      </x:c>
      <x:c r="I119" s="27" t="str">
        <x:v>CNY</x:v>
      </x:c>
      <x:c r="J119" s="27" t="str">
        <x:v>CNY</x:v>
      </x:c>
      <x:c r="K119" s="27"/>
      <x:c r="L119" s="27"/>
      <x:c r="M119" s="27" t="str">
        <x:v>CNY</x:v>
      </x:c>
      <x:c r="N119" s="27"/>
      <x:c r="O119" s="27"/>
      <x:c r="P119" s="27" t="n">
        <x:v>48954</x:v>
      </x:c>
      <x:c r="Q119" s="27" t="n">
        <x:v>45160</x:v>
      </x:c>
      <x:c r="R119" s="27" t="n">
        <x:v>48954</x:v>
      </x:c>
      <x:c r="S119" s="27" t="n">
        <x:v>6185714285.71</x:v>
      </x:c>
      <x:c r="T119" s="27" t="n">
        <x:v>6185714285.71</x:v>
      </x:c>
      <x:c r="U119" s="27" t="n">
        <x:v>866000000</x:v>
      </x:c>
      <x:c r="V119" s="27" t="str">
        <x:v>M</x:v>
      </x:c>
      <x:c r="W119" s="27" t="str">
        <x:v>Y</x:v>
      </x:c>
      <x:c r="X119" s="27" t="n">
        <x:v>5</x:v>
      </x:c>
      <x:c r="Y119" s="27" t="str">
        <x:v>B</x:v>
      </x:c>
      <x:c r="Z119" s="27"/>
      <x:c r="AA119" s="27"/>
      <x:c r="AB119" s="27" t="n">
        <x:v>0</x:v>
      </x:c>
      <x:c r="AC119" s="27" t="n">
        <x:v>0</x:v>
      </x:c>
      <x:c r="AD119" s="27" t="n">
        <x:v>3143580</x:v>
      </x:c>
      <x:c r="AE119" s="27" t="str">
        <x:v>Public-safe anonymized industry-style SA-CCR sample</x:v>
      </x:c>
      <x:c r="AF119" s="27" t="str">
        <x:v>ANON-000116</x:v>
      </x:c>
      <x:c r="AG119" s="27" t="str">
        <x:v>Interest Rate Swap</x:v>
      </x:c>
      <x:c r="AH119" s="27"/>
      <x:c r="AI119" s="27" t="str">
        <x:v>CNY</x:v>
      </x:c>
      <x:c r="AJ119" s="27" t="n">
        <x:v>3252</x:v>
      </x:c>
      <x:c r="AK119" s="27" t="n">
        <x:v>8.90958904109589</x:v>
      </x:c>
      <x:c r="AL119" s="27" t="str">
        <x:v>&gt;5Y</x:v>
      </x:c>
      <x:c r="AM119" s="27"/>
      <x:c r="AN119" s="27" t="str">
        <x:v>Unknown</x:v>
      </x:c>
      <x:c r="AO119" s="27" t="str">
        <x:v>CNY</x:v>
      </x:c>
      <x:c r="AP119" s="27" t="str">
        <x:v>M</x:v>
      </x:c>
      <x:c r="AQ119" s="27" t="n">
        <x:v>0.005</x:v>
      </x:c>
      <x:c r="AR119" s="27" t="n">
        <x:v>1</x:v>
      </x:c>
      <x:c r="AS119" s="27" t="n">
        <x:v>0.005</x:v>
      </x:c>
      <x:c r="AT119" s="27"/>
      <x:c r="AU119" s="27" t="n">
        <x:v>7.189657896816994</x:v>
      </x:c>
      <x:c r="AV119" s="27" t="n">
        <x:v>6226243738.6435175</x:v>
      </x:c>
      <x:c r="AW119" s="27" t="n">
        <x:v>0.5</x:v>
      </x:c>
      <x:c r="AX119" s="27" t="n">
        <x:v>1</x:v>
      </x:c>
      <x:c r="AY119" s="27" t="n">
        <x:v>0.21213203435596426</x:v>
      </x:c>
      <x:c r="AZ119" s="27" t="n">
        <x:v>1320785750.674534</x:v>
      </x:c>
    </x:row>
    <x:row r="120">
      <x:c r="A120" s="27" t="n">
        <x:v>45702</x:v>
      </x:c>
      <x:c r="B120" s="27" t="str">
        <x:v>IND_HEDGE_FUND_001</x:v>
      </x:c>
      <x:c r="C120" s="27" t="n">
        <x:v>3345</x:v>
      </x:c>
      <x:c r="D120" s="27" t="str">
        <x:v>IND-000117</x:v>
      </x:c>
      <x:c r="E120" s="27" t="str">
        <x:v>Interest Rate Swap</x:v>
      </x:c>
      <x:c r="F120" s="27" t="str">
        <x:v>Interest Rate</x:v>
      </x:c>
      <x:c r="G120" s="27"/>
      <x:c r="H120" s="27" t="str">
        <x:v>CNY</x:v>
      </x:c>
      <x:c r="I120" s="27" t="str">
        <x:v>CNY</x:v>
      </x:c>
      <x:c r="J120" s="27" t="str">
        <x:v>CNY</x:v>
      </x:c>
      <x:c r="K120" s="27"/>
      <x:c r="L120" s="27"/>
      <x:c r="M120" s="27" t="str">
        <x:v>CNY</x:v>
      </x:c>
      <x:c r="N120" s="27"/>
      <x:c r="O120" s="27"/>
      <x:c r="P120" s="27" t="n">
        <x:v>47437</x:v>
      </x:c>
      <x:c r="Q120" s="27" t="n">
        <x:v>44916</x:v>
      </x:c>
      <x:c r="R120" s="27" t="n">
        <x:v>47437</x:v>
      </x:c>
      <x:c r="S120" s="27" t="n">
        <x:v>2978571428.57</x:v>
      </x:c>
      <x:c r="T120" s="27" t="n">
        <x:v>2978571428.57</x:v>
      </x:c>
      <x:c r="U120" s="27" t="n">
        <x:v>417000000</x:v>
      </x:c>
      <x:c r="V120" s="27" t="str">
        <x:v>M</x:v>
      </x:c>
      <x:c r="W120" s="27" t="str">
        <x:v>N</x:v>
      </x:c>
      <x:c r="X120" s="27" t="n">
        <x:v>10</x:v>
      </x:c>
      <x:c r="Y120" s="27" t="str">
        <x:v>S</x:v>
      </x:c>
      <x:c r="Z120" s="27"/>
      <x:c r="AA120" s="27"/>
      <x:c r="AB120" s="27" t="n">
        <x:v>0</x:v>
      </x:c>
      <x:c r="AC120" s="27" t="n">
        <x:v>0</x:v>
      </x:c>
      <x:c r="AD120" s="27" t="n">
        <x:v>-2084166</x:v>
      </x:c>
      <x:c r="AE120" s="27" t="str">
        <x:v>Public-safe anonymized industry-style SA-CCR sample</x:v>
      </x:c>
      <x:c r="AF120" s="27" t="str">
        <x:v>ANON-000117</x:v>
      </x:c>
      <x:c r="AG120" s="27" t="str">
        <x:v>Interest Rate Swap</x:v>
      </x:c>
      <x:c r="AH120" s="27"/>
      <x:c r="AI120" s="27" t="str">
        <x:v>CNY</x:v>
      </x:c>
      <x:c r="AJ120" s="27" t="n">
        <x:v>1735</x:v>
      </x:c>
      <x:c r="AK120" s="27" t="n">
        <x:v>4.7534246575342465</x:v>
      </x:c>
      <x:c r="AL120" s="27" t="str">
        <x:v>1Y-5Y</x:v>
      </x:c>
      <x:c r="AM120" s="27"/>
      <x:c r="AN120" s="27" t="str">
        <x:v>Unknown</x:v>
      </x:c>
      <x:c r="AO120" s="27" t="str">
        <x:v>CNY</x:v>
      </x:c>
      <x:c r="AP120" s="27" t="str">
        <x:v>M</x:v>
      </x:c>
      <x:c r="AQ120" s="27" t="n">
        <x:v>0.005</x:v>
      </x:c>
      <x:c r="AR120" s="27" t="n">
        <x:v>1</x:v>
      </x:c>
      <x:c r="AS120" s="27" t="n">
        <x:v>0.005</x:v>
      </x:c>
      <x:c r="AT120" s="27"/>
      <x:c r="AU120" s="27" t="n">
        <x:v>4.230762623453732</x:v>
      </x:c>
      <x:c r="AV120" s="27" t="n">
        <x:v>1764228013.980206</x:v>
      </x:c>
      <x:c r="AW120" s="27" t="n">
        <x:v>0.5</x:v>
      </x:c>
      <x:c r="AX120" s="27" t="n">
        <x:v>-1</x:v>
      </x:c>
      <x:c r="AY120" s="27" t="n">
        <x:v>0.30000000000000004</x:v>
      </x:c>
      <x:c r="AZ120" s="27" t="n">
        <x:v>-529268404.1940619</x:v>
      </x:c>
    </x:row>
    <x:row r="121">
      <x:c r="A121" s="27" t="n">
        <x:v>45702</x:v>
      </x:c>
      <x:c r="B121" s="27" t="str">
        <x:v>IND_PENSION_001</x:v>
      </x:c>
      <x:c r="C121" s="27" t="n">
        <x:v>3103</x:v>
      </x:c>
      <x:c r="D121" s="27" t="str">
        <x:v>IND-000118</x:v>
      </x:c>
      <x:c r="E121" s="27" t="str">
        <x:v>Interest Rate Swap</x:v>
      </x:c>
      <x:c r="F121" s="27" t="str">
        <x:v>Interest Rate</x:v>
      </x:c>
      <x:c r="G121" s="27"/>
      <x:c r="H121" s="27" t="str">
        <x:v>USD</x:v>
      </x:c>
      <x:c r="I121" s="27" t="str">
        <x:v>USD</x:v>
      </x:c>
      <x:c r="J121" s="27" t="str">
        <x:v>USD</x:v>
      </x:c>
      <x:c r="K121" s="27"/>
      <x:c r="L121" s="27"/>
      <x:c r="M121" s="27" t="str">
        <x:v>USD</x:v>
      </x:c>
      <x:c r="N121" s="27"/>
      <x:c r="O121" s="27"/>
      <x:c r="P121" s="27" t="n">
        <x:v>48902</x:v>
      </x:c>
      <x:c r="Q121" s="27" t="n">
        <x:v>45125</x:v>
      </x:c>
      <x:c r="R121" s="27" t="n">
        <x:v>48902</x:v>
      </x:c>
      <x:c r="S121" s="27" t="n">
        <x:v>1389000000</x:v>
      </x:c>
      <x:c r="T121" s="27" t="n">
        <x:v>1389000000</x:v>
      </x:c>
      <x:c r="U121" s="27" t="n">
        <x:v>1389000000</x:v>
      </x:c>
      <x:c r="V121" s="27" t="str">
        <x:v>M</x:v>
      </x:c>
      <x:c r="W121" s="27" t="str">
        <x:v>N</x:v>
      </x:c>
      <x:c r="X121" s="27" t="n">
        <x:v>10</x:v>
      </x:c>
      <x:c r="Y121" s="27" t="str">
        <x:v>B</x:v>
      </x:c>
      <x:c r="Z121" s="27"/>
      <x:c r="AA121" s="27"/>
      <x:c r="AB121" s="27" t="n">
        <x:v>0</x:v>
      </x:c>
      <x:c r="AC121" s="27" t="n">
        <x:v>0</x:v>
      </x:c>
      <x:c r="AD121" s="27" t="n">
        <x:v>-4958730</x:v>
      </x:c>
      <x:c r="AE121" s="27" t="str">
        <x:v>Public-safe anonymized industry-style SA-CCR sample</x:v>
      </x:c>
      <x:c r="AF121" s="27" t="str">
        <x:v>ANON-000118</x:v>
      </x:c>
      <x:c r="AG121" s="27" t="str">
        <x:v>Interest Rate Swap</x:v>
      </x:c>
      <x:c r="AH121" s="27"/>
      <x:c r="AI121" s="27" t="str">
        <x:v>USD</x:v>
      </x:c>
      <x:c r="AJ121" s="27" t="n">
        <x:v>3200</x:v>
      </x:c>
      <x:c r="AK121" s="27" t="n">
        <x:v>8.767123287671232</x:v>
      </x:c>
      <x:c r="AL121" s="27" t="str">
        <x:v>&gt;5Y</x:v>
      </x:c>
      <x:c r="AM121" s="27"/>
      <x:c r="AN121" s="27" t="str">
        <x:v>Unknown</x:v>
      </x:c>
      <x:c r="AO121" s="27" t="str">
        <x:v>USD</x:v>
      </x:c>
      <x:c r="AP121" s="27" t="str">
        <x:v>M</x:v>
      </x:c>
      <x:c r="AQ121" s="27" t="n">
        <x:v>0.005</x:v>
      </x:c>
      <x:c r="AR121" s="27" t="n">
        <x:v>1</x:v>
      </x:c>
      <x:c r="AS121" s="27" t="n">
        <x:v>0.005</x:v>
      </x:c>
      <x:c r="AT121" s="27"/>
      <x:c r="AU121" s="27" t="n">
        <x:v>7.098080365528687</x:v>
      </x:c>
      <x:c r="AV121" s="27" t="n">
        <x:v>9859233627.719345</x:v>
      </x:c>
      <x:c r="AW121" s="27" t="n">
        <x:v>0.5</x:v>
      </x:c>
      <x:c r="AX121" s="27" t="n">
        <x:v>1</x:v>
      </x:c>
      <x:c r="AY121" s="27" t="n">
        <x:v>0.30000000000000004</x:v>
      </x:c>
      <x:c r="AZ121" s="27" t="n">
        <x:v>2957770088.315804</x:v>
      </x:c>
    </x:row>
    <x:row r="122">
      <x:c r="A122" s="27" t="n">
        <x:v>45702</x:v>
      </x:c>
      <x:c r="B122" s="27" t="str">
        <x:v>IND_PENSION_001</x:v>
      </x:c>
      <x:c r="C122" s="27" t="n">
        <x:v>3103</x:v>
      </x:c>
      <x:c r="D122" s="27" t="str">
        <x:v>IND-000119</x:v>
      </x:c>
      <x:c r="E122" s="27" t="str">
        <x:v>Cross Currency Swap</x:v>
      </x:c>
      <x:c r="F122" s="27" t="str">
        <x:v>Interest Rate</x:v>
      </x:c>
      <x:c r="G122" s="27"/>
      <x:c r="H122" s="27" t="str">
        <x:v>USD</x:v>
      </x:c>
      <x:c r="I122" s="27" t="str">
        <x:v>CNY</x:v>
      </x:c>
      <x:c r="J122" s="27" t="str">
        <x:v>USD</x:v>
      </x:c>
      <x:c r="K122" s="27"/>
      <x:c r="L122" s="27"/>
      <x:c r="M122" s="27" t="str">
        <x:v>USD/CNY</x:v>
      </x:c>
      <x:c r="N122" s="27"/>
      <x:c r="O122" s="27"/>
      <x:c r="P122" s="27" t="n">
        <x:v>46471</x:v>
      </x:c>
      <x:c r="Q122" s="27" t="n">
        <x:v>45402</x:v>
      </x:c>
      <x:c r="R122" s="27" t="n">
        <x:v>46471</x:v>
      </x:c>
      <x:c r="S122" s="27" t="n">
        <x:v>74200000</x:v>
      </x:c>
      <x:c r="T122" s="27" t="n">
        <x:v>530000000</x:v>
      </x:c>
      <x:c r="U122" s="27" t="n">
        <x:v>74200000</x:v>
      </x:c>
      <x:c r="V122" s="27" t="str">
        <x:v>M</x:v>
      </x:c>
      <x:c r="W122" s="27" t="str">
        <x:v>Y</x:v>
      </x:c>
      <x:c r="X122" s="27" t="n">
        <x:v>5</x:v>
      </x:c>
      <x:c r="Y122" s="27" t="str">
        <x:v>B</x:v>
      </x:c>
      <x:c r="Z122" s="27"/>
      <x:c r="AA122" s="27"/>
      <x:c r="AB122" s="27" t="n">
        <x:v>0</x:v>
      </x:c>
      <x:c r="AC122" s="27" t="n">
        <x:v>0</x:v>
      </x:c>
      <x:c r="AD122" s="27" t="n">
        <x:v>414481.2</x:v>
      </x:c>
      <x:c r="AE122" s="27" t="str">
        <x:v>Public-safe anonymized industry-style SA-CCR sample</x:v>
      </x:c>
      <x:c r="AF122" s="27" t="str">
        <x:v>ANON-000119</x:v>
      </x:c>
      <x:c r="AG122" s="27" t="str">
        <x:v>Cross Currency Swap</x:v>
      </x:c>
      <x:c r="AH122" s="27"/>
      <x:c r="AI122" s="27" t="str">
        <x:v>USD/CNY</x:v>
      </x:c>
      <x:c r="AJ122" s="27" t="n">
        <x:v>769</x:v>
      </x:c>
      <x:c r="AK122" s="27" t="n">
        <x:v>2.106849315068493</x:v>
      </x:c>
      <x:c r="AL122" s="27" t="str">
        <x:v>1Y-5Y</x:v>
      </x:c>
      <x:c r="AM122" s="27"/>
      <x:c r="AN122" s="27" t="str">
        <x:v>Unknown</x:v>
      </x:c>
      <x:c r="AO122" s="27" t="str">
        <x:v>USD</x:v>
      </x:c>
      <x:c r="AP122" s="27" t="str">
        <x:v>M</x:v>
      </x:c>
      <x:c r="AQ122" s="27" t="n">
        <x:v>0.005</x:v>
      </x:c>
      <x:c r="AR122" s="27" t="n">
        <x:v>1</x:v>
      </x:c>
      <x:c r="AS122" s="27" t="n">
        <x:v>0.005</x:v>
      </x:c>
      <x:c r="AT122" s="27"/>
      <x:c r="AU122" s="27" t="n">
        <x:v>1.9996750987885603</x:v>
      </x:c>
      <x:c r="AV122" s="27" t="n">
        <x:v>148375892.33011118</x:v>
      </x:c>
      <x:c r="AW122" s="27" t="n">
        <x:v>0.5</x:v>
      </x:c>
      <x:c r="AX122" s="27" t="n">
        <x:v>1</x:v>
      </x:c>
      <x:c r="AY122" s="27" t="n">
        <x:v>0.21213203435596426</x:v>
      </x:c>
      <x:c r="AZ122" s="27" t="n">
        <x:v>31475279.889367998</x:v>
      </x:c>
    </x:row>
    <x:row r="123">
      <x:c r="A123" s="27" t="n">
        <x:v>45702</x:v>
      </x:c>
      <x:c r="B123" s="27" t="str">
        <x:v>IND_PENSION_001</x:v>
      </x:c>
      <x:c r="C123" s="27" t="n">
        <x:v>3103</x:v>
      </x:c>
      <x:c r="D123" s="27" t="str">
        <x:v>IND-000120</x:v>
      </x:c>
      <x:c r="E123" s="27" t="str">
        <x:v>Cross Currency Swap</x:v>
      </x:c>
      <x:c r="F123" s="27" t="str">
        <x:v>Interest Rate</x:v>
      </x:c>
      <x:c r="G123" s="27"/>
      <x:c r="H123" s="27" t="str">
        <x:v>USD</x:v>
      </x:c>
      <x:c r="I123" s="27" t="str">
        <x:v>CNY</x:v>
      </x:c>
      <x:c r="J123" s="27" t="str">
        <x:v>USD</x:v>
      </x:c>
      <x:c r="K123" s="27"/>
      <x:c r="L123" s="27"/>
      <x:c r="M123" s="27" t="str">
        <x:v>USD/CNY</x:v>
      </x:c>
      <x:c r="N123" s="27"/>
      <x:c r="O123" s="27"/>
      <x:c r="P123" s="27" t="n">
        <x:v>47224</x:v>
      </x:c>
      <x:c r="Q123" s="27" t="n">
        <x:v>45319</x:v>
      </x:c>
      <x:c r="R123" s="27" t="n">
        <x:v>47224</x:v>
      </x:c>
      <x:c r="S123" s="27" t="n">
        <x:v>656000000</x:v>
      </x:c>
      <x:c r="T123" s="27" t="n">
        <x:v>4685714285.71</x:v>
      </x:c>
      <x:c r="U123" s="27" t="n">
        <x:v>656000000</x:v>
      </x:c>
      <x:c r="V123" s="27" t="str">
        <x:v>M</x:v>
      </x:c>
      <x:c r="W123" s="27" t="str">
        <x:v>N</x:v>
      </x:c>
      <x:c r="X123" s="27" t="n">
        <x:v>10</x:v>
      </x:c>
      <x:c r="Y123" s="27" t="str">
        <x:v>S</x:v>
      </x:c>
      <x:c r="Z123" s="27"/>
      <x:c r="AA123" s="27"/>
      <x:c r="AB123" s="27" t="n">
        <x:v>0</x:v>
      </x:c>
      <x:c r="AC123" s="27" t="n">
        <x:v>0</x:v>
      </x:c>
      <x:c r="AD123" s="27" t="n">
        <x:v>-2696160</x:v>
      </x:c>
      <x:c r="AE123" s="27" t="str">
        <x:v>Public-safe anonymized industry-style SA-CCR sample</x:v>
      </x:c>
      <x:c r="AF123" s="27" t="str">
        <x:v>ANON-000120</x:v>
      </x:c>
      <x:c r="AG123" s="27" t="str">
        <x:v>Cross Currency Swap</x:v>
      </x:c>
      <x:c r="AH123" s="27"/>
      <x:c r="AI123" s="27" t="str">
        <x:v>USD/CNY</x:v>
      </x:c>
      <x:c r="AJ123" s="27" t="n">
        <x:v>1522</x:v>
      </x:c>
      <x:c r="AK123" s="27" t="n">
        <x:v>4.16986301369863</x:v>
      </x:c>
      <x:c r="AL123" s="27" t="str">
        <x:v>1Y-5Y</x:v>
      </x:c>
      <x:c r="AM123" s="27"/>
      <x:c r="AN123" s="27" t="str">
        <x:v>Unknown</x:v>
      </x:c>
      <x:c r="AO123" s="27" t="str">
        <x:v>USD</x:v>
      </x:c>
      <x:c r="AP123" s="27" t="str">
        <x:v>M</x:v>
      </x:c>
      <x:c r="AQ123" s="27" t="n">
        <x:v>0.005</x:v>
      </x:c>
      <x:c r="AR123" s="27" t="n">
        <x:v>1</x:v>
      </x:c>
      <x:c r="AS123" s="27" t="n">
        <x:v>0.005</x:v>
      </x:c>
      <x:c r="AT123" s="27"/>
      <x:c r="AU123" s="27" t="n">
        <x:v>3.7638680999470897</x:v>
      </x:c>
      <x:c r="AV123" s="27" t="n">
        <x:v>2469097473.565291</x:v>
      </x:c>
      <x:c r="AW123" s="27" t="n">
        <x:v>0.5</x:v>
      </x:c>
      <x:c r="AX123" s="27" t="n">
        <x:v>-1</x:v>
      </x:c>
      <x:c r="AY123" s="27" t="n">
        <x:v>0.30000000000000004</x:v>
      </x:c>
      <x:c r="AZ123" s="27" t="n">
        <x:v>-740729242.0695873</x:v>
      </x:c>
    </x:row>
    <x:row r="124">
      <x:c r="A124" s="27" t="n">
        <x:v>45702</x:v>
      </x:c>
      <x:c r="B124" s="27" t="str">
        <x:v>IND_HEDGE_FUND_001</x:v>
      </x:c>
      <x:c r="C124" s="27" t="n">
        <x:v>3345</x:v>
      </x:c>
      <x:c r="D124" s="27" t="str">
        <x:v>IND-000121</x:v>
      </x:c>
      <x:c r="E124" s="27" t="str">
        <x:v>Cross Currency Swap</x:v>
      </x:c>
      <x:c r="F124" s="27" t="str">
        <x:v>Interest Rate</x:v>
      </x:c>
      <x:c r="G124" s="27"/>
      <x:c r="H124" s="27" t="str">
        <x:v>EUR</x:v>
      </x:c>
      <x:c r="I124" s="27" t="str">
        <x:v>USD</x:v>
      </x:c>
      <x:c r="J124" s="27" t="str">
        <x:v>USD</x:v>
      </x:c>
      <x:c r="K124" s="27"/>
      <x:c r="L124" s="27"/>
      <x:c r="M124" s="27" t="str">
        <x:v>EUR/USD</x:v>
      </x:c>
      <x:c r="N124" s="27"/>
      <x:c r="O124" s="27"/>
      <x:c r="P124" s="27" t="n">
        <x:v>48275</x:v>
      </x:c>
      <x:c r="Q124" s="27" t="n">
        <x:v>45313</x:v>
      </x:c>
      <x:c r="R124" s="27" t="n">
        <x:v>48275</x:v>
      </x:c>
      <x:c r="S124" s="27" t="n">
        <x:v>720952380.95</x:v>
      </x:c>
      <x:c r="T124" s="27" t="n">
        <x:v>757000000</x:v>
      </x:c>
      <x:c r="U124" s="27" t="n">
        <x:v>757000000</x:v>
      </x:c>
      <x:c r="V124" s="27" t="str">
        <x:v>M</x:v>
      </x:c>
      <x:c r="W124" s="27" t="str">
        <x:v>N</x:v>
      </x:c>
      <x:c r="X124" s="27" t="n">
        <x:v>10</x:v>
      </x:c>
      <x:c r="Y124" s="27" t="str">
        <x:v>S</x:v>
      </x:c>
      <x:c r="Z124" s="27"/>
      <x:c r="AA124" s="27"/>
      <x:c r="AB124" s="27" t="n">
        <x:v>0</x:v>
      </x:c>
      <x:c r="AC124" s="27" t="n">
        <x:v>0</x:v>
      </x:c>
      <x:c r="AD124" s="27" t="n">
        <x:v>3302034</x:v>
      </x:c>
      <x:c r="AE124" s="27" t="str">
        <x:v>Public-safe anonymized industry-style SA-CCR sample</x:v>
      </x:c>
      <x:c r="AF124" s="27" t="str">
        <x:v>ANON-000121</x:v>
      </x:c>
      <x:c r="AG124" s="27" t="str">
        <x:v>Cross Currency Swap</x:v>
      </x:c>
      <x:c r="AH124" s="27"/>
      <x:c r="AI124" s="27" t="str">
        <x:v>EUR/USD</x:v>
      </x:c>
      <x:c r="AJ124" s="27" t="n">
        <x:v>2573</x:v>
      </x:c>
      <x:c r="AK124" s="27" t="n">
        <x:v>7.049315068493151</x:v>
      </x:c>
      <x:c r="AL124" s="27" t="str">
        <x:v>&gt;5Y</x:v>
      </x:c>
      <x:c r="AM124" s="27"/>
      <x:c r="AN124" s="27" t="str">
        <x:v>Unknown</x:v>
      </x:c>
      <x:c r="AO124" s="27" t="str">
        <x:v>USD</x:v>
      </x:c>
      <x:c r="AP124" s="27" t="str">
        <x:v>M</x:v>
      </x:c>
      <x:c r="AQ124" s="27" t="n">
        <x:v>0.005</x:v>
      </x:c>
      <x:c r="AR124" s="27" t="n">
        <x:v>1</x:v>
      </x:c>
      <x:c r="AS124" s="27" t="n">
        <x:v>0.005</x:v>
      </x:c>
      <x:c r="AT124" s="27"/>
      <x:c r="AU124" s="27" t="n">
        <x:v>5.940947137616872</x:v>
      </x:c>
      <x:c r="AV124" s="27" t="n">
        <x:v>4497296983.175972</x:v>
      </x:c>
      <x:c r="AW124" s="27" t="n">
        <x:v>0.5</x:v>
      </x:c>
      <x:c r="AX124" s="27" t="n">
        <x:v>-1</x:v>
      </x:c>
      <x:c r="AY124" s="27" t="n">
        <x:v>0.30000000000000004</x:v>
      </x:c>
      <x:c r="AZ124" s="27" t="n">
        <x:v>-1349189094.9527917</x:v>
      </x:c>
    </x:row>
    <x:row r="125">
      <x:c r="A125" s="27" t="n">
        <x:v>45702</x:v>
      </x:c>
      <x:c r="B125" s="27" t="str">
        <x:v>IND_SOVEREIGN_001</x:v>
      </x:c>
      <x:c r="C125" s="27" t="n">
        <x:v>3065</x:v>
      </x:c>
      <x:c r="D125" s="27" t="str">
        <x:v>IND-000122</x:v>
      </x:c>
      <x:c r="E125" s="27" t="str">
        <x:v>Cross Currency Swap</x:v>
      </x:c>
      <x:c r="F125" s="27" t="str">
        <x:v>Interest Rate</x:v>
      </x:c>
      <x:c r="G125" s="27"/>
      <x:c r="H125" s="27" t="str">
        <x:v>USD</x:v>
      </x:c>
      <x:c r="I125" s="27" t="str">
        <x:v>JPY</x:v>
      </x:c>
      <x:c r="J125" s="27" t="str">
        <x:v>USD</x:v>
      </x:c>
      <x:c r="K125" s="27"/>
      <x:c r="L125" s="27"/>
      <x:c r="M125" s="27" t="str">
        <x:v>USD/JPY</x:v>
      </x:c>
      <x:c r="N125" s="27"/>
      <x:c r="O125" s="27"/>
      <x:c r="P125" s="27" t="n">
        <x:v>48131</x:v>
      </x:c>
      <x:c r="Q125" s="27" t="n">
        <x:v>44999</x:v>
      </x:c>
      <x:c r="R125" s="27" t="n">
        <x:v>48131</x:v>
      </x:c>
      <x:c r="S125" s="27" t="n">
        <x:v>206000000</x:v>
      </x:c>
      <x:c r="T125" s="27" t="n">
        <x:v>30746268656.72</x:v>
      </x:c>
      <x:c r="U125" s="27" t="n">
        <x:v>206000000</x:v>
      </x:c>
      <x:c r="V125" s="27" t="str">
        <x:v>U</x:v>
      </x:c>
      <x:c r="W125" s="27" t="str">
        <x:v>N</x:v>
      </x:c>
      <x:c r="X125" s="27"/>
      <x:c r="Y125" s="27" t="str">
        <x:v>B</x:v>
      </x:c>
      <x:c r="Z125" s="27"/>
      <x:c r="AA125" s="27"/>
      <x:c r="AB125" s="27" t="n">
        <x:v>0</x:v>
      </x:c>
      <x:c r="AC125" s="27" t="n">
        <x:v>0</x:v>
      </x:c>
      <x:c r="AD125" s="27" t="n">
        <x:v>917112</x:v>
      </x:c>
      <x:c r="AE125" s="27" t="str">
        <x:v>Public-safe anonymized industry-style SA-CCR sample</x:v>
      </x:c>
      <x:c r="AF125" s="27" t="str">
        <x:v>ANON-000122</x:v>
      </x:c>
      <x:c r="AG125" s="27" t="str">
        <x:v>Cross Currency Swap</x:v>
      </x:c>
      <x:c r="AH125" s="27"/>
      <x:c r="AI125" s="27" t="str">
        <x:v>USD/JPY</x:v>
      </x:c>
      <x:c r="AJ125" s="27" t="n">
        <x:v>2429</x:v>
      </x:c>
      <x:c r="AK125" s="27" t="n">
        <x:v>6.654794520547945</x:v>
      </x:c>
      <x:c r="AL125" s="27" t="str">
        <x:v>&gt;5Y</x:v>
      </x:c>
      <x:c r="AM125" s="27"/>
      <x:c r="AN125" s="27" t="str">
        <x:v>Unknown</x:v>
      </x:c>
      <x:c r="AO125" s="27" t="str">
        <x:v>USD</x:v>
      </x:c>
      <x:c r="AP125" s="27" t="str">
        <x:v>U</x:v>
      </x:c>
      <x:c r="AQ125" s="27" t="n">
        <x:v>0.005</x:v>
      </x:c>
      <x:c r="AR125" s="27" t="n">
        <x:v>1</x:v>
      </x:c>
      <x:c r="AS125" s="27" t="n">
        <x:v>0.005</x:v>
      </x:c>
      <x:c r="AT125" s="27"/>
      <x:c r="AU125" s="27" t="n">
        <x:v>5.660864498768028</x:v>
      </x:c>
      <x:c r="AV125" s="27" t="n">
        <x:v>1166138086.7462137</x:v>
      </x:c>
      <x:c r="AW125" s="27" t="n">
        <x:v>0.5</x:v>
      </x:c>
      <x:c r="AX125" s="27" t="n">
        <x:v>1</x:v>
      </x:c>
      <x:c r="AY125" s="27" t="n">
        <x:v>1</x:v>
      </x:c>
      <x:c r="AZ125" s="27" t="n">
        <x:v>1166138086.7462137</x:v>
      </x:c>
    </x:row>
    <x:row r="126">
      <x:c r="A126" s="27" t="n">
        <x:v>45702</x:v>
      </x:c>
      <x:c r="B126" s="27" t="str">
        <x:v>IND_REGIONAL_BANK_001</x:v>
      </x:c>
      <x:c r="C126" s="27" t="n">
        <x:v>3315</x:v>
      </x:c>
      <x:c r="D126" s="27" t="str">
        <x:v>IND-000123</x:v>
      </x:c>
      <x:c r="E126" s="27" t="str">
        <x:v>Cross Currency Swap</x:v>
      </x:c>
      <x:c r="F126" s="27" t="str">
        <x:v>Interest Rate</x:v>
      </x:c>
      <x:c r="G126" s="27"/>
      <x:c r="H126" s="27" t="str">
        <x:v>USD</x:v>
      </x:c>
      <x:c r="I126" s="27" t="str">
        <x:v>JPY</x:v>
      </x:c>
      <x:c r="J126" s="27" t="str">
        <x:v>USD</x:v>
      </x:c>
      <x:c r="K126" s="27"/>
      <x:c r="L126" s="27"/>
      <x:c r="M126" s="27" t="str">
        <x:v>USD/JPY</x:v>
      </x:c>
      <x:c r="N126" s="27"/>
      <x:c r="O126" s="27"/>
      <x:c r="P126" s="27" t="n">
        <x:v>49518</x:v>
      </x:c>
      <x:c r="Q126" s="27" t="n">
        <x:v>45487</x:v>
      </x:c>
      <x:c r="R126" s="27" t="n">
        <x:v>49518</x:v>
      </x:c>
      <x:c r="S126" s="27" t="n">
        <x:v>298000000</x:v>
      </x:c>
      <x:c r="T126" s="27" t="n">
        <x:v>44477611940.3</x:v>
      </x:c>
      <x:c r="U126" s="27" t="n">
        <x:v>298000000</x:v>
      </x:c>
      <x:c r="V126" s="27" t="str">
        <x:v>M</x:v>
      </x:c>
      <x:c r="W126" s="27" t="str">
        <x:v>N</x:v>
      </x:c>
      <x:c r="X126" s="27" t="n">
        <x:v>10</x:v>
      </x:c>
      <x:c r="Y126" s="27" t="str">
        <x:v>S</x:v>
      </x:c>
      <x:c r="Z126" s="27"/>
      <x:c r="AA126" s="27"/>
      <x:c r="AB126" s="27" t="n">
        <x:v>0</x:v>
      </x:c>
      <x:c r="AC126" s="27" t="n">
        <x:v>0</x:v>
      </x:c>
      <x:c r="AD126" s="27" t="n">
        <x:v>668712</x:v>
      </x:c>
      <x:c r="AE126" s="27" t="str">
        <x:v>Public-safe anonymized industry-style SA-CCR sample</x:v>
      </x:c>
      <x:c r="AF126" s="27" t="str">
        <x:v>ANON-000123</x:v>
      </x:c>
      <x:c r="AG126" s="27" t="str">
        <x:v>Cross Currency Swap</x:v>
      </x:c>
      <x:c r="AH126" s="27"/>
      <x:c r="AI126" s="27" t="str">
        <x:v>USD/JPY</x:v>
      </x:c>
      <x:c r="AJ126" s="27" t="n">
        <x:v>3816</x:v>
      </x:c>
      <x:c r="AK126" s="27" t="n">
        <x:v>10.454794520547946</x:v>
      </x:c>
      <x:c r="AL126" s="27" t="str">
        <x:v>&gt;5Y</x:v>
      </x:c>
      <x:c r="AM126" s="27"/>
      <x:c r="AN126" s="27" t="str">
        <x:v>Unknown</x:v>
      </x:c>
      <x:c r="AO126" s="27" t="str">
        <x:v>USD</x:v>
      </x:c>
      <x:c r="AP126" s="27" t="str">
        <x:v>M</x:v>
      </x:c>
      <x:c r="AQ126" s="27" t="n">
        <x:v>0.005</x:v>
      </x:c>
      <x:c r="AR126" s="27" t="n">
        <x:v>1</x:v>
      </x:c>
      <x:c r="AS126" s="27" t="n">
        <x:v>0.005</x:v>
      </x:c>
      <x:c r="AT126" s="27"/>
      <x:c r="AU126" s="27" t="n">
        <x:v>8.142120924404686</x:v>
      </x:c>
      <x:c r="AV126" s="27" t="n">
        <x:v>2426352035.4725966</x:v>
      </x:c>
      <x:c r="AW126" s="27" t="n">
        <x:v>0.5</x:v>
      </x:c>
      <x:c r="AX126" s="27" t="n">
        <x:v>-1</x:v>
      </x:c>
      <x:c r="AY126" s="27" t="n">
        <x:v>0.30000000000000004</x:v>
      </x:c>
      <x:c r="AZ126" s="27" t="n">
        <x:v>-727905610.6417791</x:v>
      </x:c>
    </x:row>
    <x:row r="127">
      <x:c r="A127" s="27" t="n">
        <x:v>45702</x:v>
      </x:c>
      <x:c r="B127" s="27" t="str">
        <x:v>IND_CORPORATE_002</x:v>
      </x:c>
      <x:c r="C127" s="27" t="n">
        <x:v>3074</x:v>
      </x:c>
      <x:c r="D127" s="27" t="str">
        <x:v>IND-000124</x:v>
      </x:c>
      <x:c r="E127" s="27" t="str">
        <x:v>Cross Currency Swap</x:v>
      </x:c>
      <x:c r="F127" s="27" t="str">
        <x:v>Interest Rate</x:v>
      </x:c>
      <x:c r="G127" s="27"/>
      <x:c r="H127" s="27" t="str">
        <x:v>USD</x:v>
      </x:c>
      <x:c r="I127" s="27" t="str">
        <x:v>CNY</x:v>
      </x:c>
      <x:c r="J127" s="27" t="str">
        <x:v>USD</x:v>
      </x:c>
      <x:c r="K127" s="27"/>
      <x:c r="L127" s="27"/>
      <x:c r="M127" s="27" t="str">
        <x:v>USD/CNY</x:v>
      </x:c>
      <x:c r="N127" s="27"/>
      <x:c r="O127" s="27"/>
      <x:c r="P127" s="27" t="n">
        <x:v>48487</x:v>
      </x:c>
      <x:c r="Q127" s="27" t="n">
        <x:v>45337</x:v>
      </x:c>
      <x:c r="R127" s="27" t="n">
        <x:v>48487</x:v>
      </x:c>
      <x:c r="S127" s="27" t="n">
        <x:v>223000000</x:v>
      </x:c>
      <x:c r="T127" s="27" t="n">
        <x:v>1592857142.86</x:v>
      </x:c>
      <x:c r="U127" s="27" t="n">
        <x:v>223000000</x:v>
      </x:c>
      <x:c r="V127" s="27" t="str">
        <x:v>M</x:v>
      </x:c>
      <x:c r="W127" s="27" t="str">
        <x:v>N</x:v>
      </x:c>
      <x:c r="X127" s="27" t="n">
        <x:v>10</x:v>
      </x:c>
      <x:c r="Y127" s="27" t="str">
        <x:v>S</x:v>
      </x:c>
      <x:c r="Z127" s="27"/>
      <x:c r="AA127" s="27"/>
      <x:c r="AB127" s="27" t="n">
        <x:v>0</x:v>
      </x:c>
      <x:c r="AC127" s="27" t="n">
        <x:v>0</x:v>
      </x:c>
      <x:c r="AD127" s="27" t="n">
        <x:v>-388020</x:v>
      </x:c>
      <x:c r="AE127" s="27" t="str">
        <x:v>Public-safe anonymized industry-style SA-CCR sample</x:v>
      </x:c>
      <x:c r="AF127" s="27" t="str">
        <x:v>ANON-000124</x:v>
      </x:c>
      <x:c r="AG127" s="27" t="str">
        <x:v>Cross Currency Swap</x:v>
      </x:c>
      <x:c r="AH127" s="27"/>
      <x:c r="AI127" s="27" t="str">
        <x:v>USD/CNY</x:v>
      </x:c>
      <x:c r="AJ127" s="27" t="n">
        <x:v>2785</x:v>
      </x:c>
      <x:c r="AK127" s="27" t="n">
        <x:v>7.63013698630137</x:v>
      </x:c>
      <x:c r="AL127" s="27" t="str">
        <x:v>&gt;5Y</x:v>
      </x:c>
      <x:c r="AM127" s="27"/>
      <x:c r="AN127" s="27" t="str">
        <x:v>Unknown</x:v>
      </x:c>
      <x:c r="AO127" s="27" t="str">
        <x:v>USD</x:v>
      </x:c>
      <x:c r="AP127" s="27" t="str">
        <x:v>M</x:v>
      </x:c>
      <x:c r="AQ127" s="27" t="n">
        <x:v>0.005</x:v>
      </x:c>
      <x:c r="AR127" s="27" t="n">
        <x:v>1</x:v>
      </x:c>
      <x:c r="AS127" s="27" t="n">
        <x:v>0.005</x:v>
      </x:c>
      <x:c r="AT127" s="27"/>
      <x:c r="AU127" s="27" t="n">
        <x:v>6.343365817748731</x:v>
      </x:c>
      <x:c r="AV127" s="27" t="n">
        <x:v>1414570577.3579671</x:v>
      </x:c>
      <x:c r="AW127" s="27" t="n">
        <x:v>0.5</x:v>
      </x:c>
      <x:c r="AX127" s="27" t="n">
        <x:v>-1</x:v>
      </x:c>
      <x:c r="AY127" s="27" t="n">
        <x:v>0.30000000000000004</x:v>
      </x:c>
      <x:c r="AZ127" s="27" t="n">
        <x:v>-424371173.2073902</x:v>
      </x:c>
    </x:row>
    <x:row r="128">
      <x:c r="A128" s="27" t="n">
        <x:v>45702</x:v>
      </x:c>
      <x:c r="B128" s="27" t="str">
        <x:v>IND_CORPORATE_001</x:v>
      </x:c>
      <x:c r="C128" s="27" t="n">
        <x:v>3161</x:v>
      </x:c>
      <x:c r="D128" s="27" t="str">
        <x:v>IND-000125</x:v>
      </x:c>
      <x:c r="E128" s="27" t="str">
        <x:v>Cross Currency Swap</x:v>
      </x:c>
      <x:c r="F128" s="27" t="str">
        <x:v>Interest Rate</x:v>
      </x:c>
      <x:c r="G128" s="27"/>
      <x:c r="H128" s="27" t="str">
        <x:v>USD</x:v>
      </x:c>
      <x:c r="I128" s="27" t="str">
        <x:v>JPY</x:v>
      </x:c>
      <x:c r="J128" s="27" t="str">
        <x:v>USD</x:v>
      </x:c>
      <x:c r="K128" s="27"/>
      <x:c r="L128" s="27"/>
      <x:c r="M128" s="27" t="str">
        <x:v>USD/JPY</x:v>
      </x:c>
      <x:c r="N128" s="27"/>
      <x:c r="O128" s="27"/>
      <x:c r="P128" s="27" t="n">
        <x:v>46882</x:v>
      </x:c>
      <x:c r="Q128" s="27" t="n">
        <x:v>44944</x:v>
      </x:c>
      <x:c r="R128" s="27" t="n">
        <x:v>46882</x:v>
      </x:c>
      <x:c r="S128" s="27" t="n">
        <x:v>20900000</x:v>
      </x:c>
      <x:c r="T128" s="27" t="n">
        <x:v>3119402985.07</x:v>
      </x:c>
      <x:c r="U128" s="27" t="n">
        <x:v>20900000</x:v>
      </x:c>
      <x:c r="V128" s="27" t="str">
        <x:v>U</x:v>
      </x:c>
      <x:c r="W128" s="27" t="str">
        <x:v>N</x:v>
      </x:c>
      <x:c r="X128" s="27"/>
      <x:c r="Y128" s="27" t="str">
        <x:v>B</x:v>
      </x:c>
      <x:c r="Z128" s="27"/>
      <x:c r="AA128" s="27"/>
      <x:c r="AB128" s="27" t="n">
        <x:v>0</x:v>
      </x:c>
      <x:c r="AC128" s="27" t="n">
        <x:v>0</x:v>
      </x:c>
      <x:c r="AD128" s="27" t="n">
        <x:v>-66336.6</x:v>
      </x:c>
      <x:c r="AE128" s="27" t="str">
        <x:v>Public-safe anonymized industry-style SA-CCR sample</x:v>
      </x:c>
      <x:c r="AF128" s="27" t="str">
        <x:v>ANON-000125</x:v>
      </x:c>
      <x:c r="AG128" s="27" t="str">
        <x:v>Cross Currency Swap</x:v>
      </x:c>
      <x:c r="AH128" s="27"/>
      <x:c r="AI128" s="27" t="str">
        <x:v>USD/JPY</x:v>
      </x:c>
      <x:c r="AJ128" s="27" t="n">
        <x:v>1180</x:v>
      </x:c>
      <x:c r="AK128" s="27" t="n">
        <x:v>3.232876712328767</x:v>
      </x:c>
      <x:c r="AL128" s="27" t="str">
        <x:v>1Y-5Y</x:v>
      </x:c>
      <x:c r="AM128" s="27"/>
      <x:c r="AN128" s="27" t="str">
        <x:v>Unknown</x:v>
      </x:c>
      <x:c r="AO128" s="27" t="str">
        <x:v>USD</x:v>
      </x:c>
      <x:c r="AP128" s="27" t="str">
        <x:v>U</x:v>
      </x:c>
      <x:c r="AQ128" s="27" t="n">
        <x:v>0.005</x:v>
      </x:c>
      <x:c r="AR128" s="27" t="n">
        <x:v>1</x:v>
      </x:c>
      <x:c r="AS128" s="27" t="n">
        <x:v>0.005</x:v>
      </x:c>
      <x:c r="AT128" s="27"/>
      <x:c r="AU128" s="27" t="n">
        <x:v>2.985116892909081</x:v>
      </x:c>
      <x:c r="AV128" s="27" t="n">
        <x:v>62388943.061799794</x:v>
      </x:c>
      <x:c r="AW128" s="27" t="n">
        <x:v>0.5</x:v>
      </x:c>
      <x:c r="AX128" s="27" t="n">
        <x:v>1</x:v>
      </x:c>
      <x:c r="AY128" s="27" t="n">
        <x:v>1</x:v>
      </x:c>
      <x:c r="AZ128" s="27" t="n">
        <x:v>62388943.061799794</x:v>
      </x:c>
    </x:row>
    <x:row r="129">
      <x:c r="A129" s="27" t="n">
        <x:v>45702</x:v>
      </x:c>
      <x:c r="B129" s="27" t="str">
        <x:v>IND_CORPORATE_001</x:v>
      </x:c>
      <x:c r="C129" s="27" t="n">
        <x:v>3161</x:v>
      </x:c>
      <x:c r="D129" s="27" t="str">
        <x:v>IND-000126</x:v>
      </x:c>
      <x:c r="E129" s="27" t="str">
        <x:v>Cross Currency Swap</x:v>
      </x:c>
      <x:c r="F129" s="27" t="str">
        <x:v>Interest Rate</x:v>
      </x:c>
      <x:c r="G129" s="27"/>
      <x:c r="H129" s="27" t="str">
        <x:v>USD</x:v>
      </x:c>
      <x:c r="I129" s="27" t="str">
        <x:v>JPY</x:v>
      </x:c>
      <x:c r="J129" s="27" t="str">
        <x:v>USD</x:v>
      </x:c>
      <x:c r="K129" s="27"/>
      <x:c r="L129" s="27"/>
      <x:c r="M129" s="27" t="str">
        <x:v>USD/JPY</x:v>
      </x:c>
      <x:c r="N129" s="27"/>
      <x:c r="O129" s="27"/>
      <x:c r="P129" s="27" t="n">
        <x:v>47084</x:v>
      </x:c>
      <x:c r="Q129" s="27" t="n">
        <x:v>44973</x:v>
      </x:c>
      <x:c r="R129" s="27" t="n">
        <x:v>47084</x:v>
      </x:c>
      <x:c r="S129" s="27" t="n">
        <x:v>499000000</x:v>
      </x:c>
      <x:c r="T129" s="27" t="n">
        <x:v>74477611940.3</x:v>
      </x:c>
      <x:c r="U129" s="27" t="n">
        <x:v>499000000</x:v>
      </x:c>
      <x:c r="V129" s="27" t="str">
        <x:v>U</x:v>
      </x:c>
      <x:c r="W129" s="27" t="str">
        <x:v>N</x:v>
      </x:c>
      <x:c r="X129" s="27"/>
      <x:c r="Y129" s="27" t="str">
        <x:v>S</x:v>
      </x:c>
      <x:c r="Z129" s="27"/>
      <x:c r="AA129" s="27"/>
      <x:c r="AB129" s="27" t="n">
        <x:v>0</x:v>
      </x:c>
      <x:c r="AC129" s="27" t="n">
        <x:v>0</x:v>
      </x:c>
      <x:c r="AD129" s="27" t="n">
        <x:v>-248502</x:v>
      </x:c>
      <x:c r="AE129" s="27" t="str">
        <x:v>Public-safe anonymized industry-style SA-CCR sample</x:v>
      </x:c>
      <x:c r="AF129" s="27" t="str">
        <x:v>ANON-000126</x:v>
      </x:c>
      <x:c r="AG129" s="27" t="str">
        <x:v>Cross Currency Swap</x:v>
      </x:c>
      <x:c r="AH129" s="27"/>
      <x:c r="AI129" s="27" t="str">
        <x:v>USD/JPY</x:v>
      </x:c>
      <x:c r="AJ129" s="27" t="n">
        <x:v>1382</x:v>
      </x:c>
      <x:c r="AK129" s="27" t="n">
        <x:v>3.786301369863014</x:v>
      </x:c>
      <x:c r="AL129" s="27" t="str">
        <x:v>1Y-5Y</x:v>
      </x:c>
      <x:c r="AM129" s="27"/>
      <x:c r="AN129" s="27" t="str">
        <x:v>Unknown</x:v>
      </x:c>
      <x:c r="AO129" s="27" t="str">
        <x:v>USD</x:v>
      </x:c>
      <x:c r="AP129" s="27" t="str">
        <x:v>U</x:v>
      </x:c>
      <x:c r="AQ129" s="27" t="n">
        <x:v>0.005</x:v>
      </x:c>
      <x:c r="AR129" s="27" t="n">
        <x:v>1</x:v>
      </x:c>
      <x:c r="AS129" s="27" t="n">
        <x:v>0.005</x:v>
      </x:c>
      <x:c r="AT129" s="27"/>
      <x:c r="AU129" s="27" t="n">
        <x:v>3.4494852334095216</x:v>
      </x:c>
      <x:c r="AV129" s="27" t="n">
        <x:v>1721293131.4713514</x:v>
      </x:c>
      <x:c r="AW129" s="27" t="n">
        <x:v>0.5</x:v>
      </x:c>
      <x:c r="AX129" s="27" t="n">
        <x:v>-1</x:v>
      </x:c>
      <x:c r="AY129" s="27" t="n">
        <x:v>1</x:v>
      </x:c>
      <x:c r="AZ129" s="27" t="n">
        <x:v>-1721293131.4713514</x:v>
      </x:c>
    </x:row>
    <x:row r="130">
      <x:c r="A130" s="27" t="n">
        <x:v>45702</x:v>
      </x:c>
      <x:c r="B130" s="27" t="str">
        <x:v>IND_BANK_001</x:v>
      </x:c>
      <x:c r="C130" s="27" t="n">
        <x:v>3324</x:v>
      </x:c>
      <x:c r="D130" s="27" t="str">
        <x:v>IND-000127</x:v>
      </x:c>
      <x:c r="E130" s="27" t="str">
        <x:v>Cross Currency Swap</x:v>
      </x:c>
      <x:c r="F130" s="27" t="str">
        <x:v>Interest Rate</x:v>
      </x:c>
      <x:c r="G130" s="27"/>
      <x:c r="H130" s="27" t="str">
        <x:v>USD</x:v>
      </x:c>
      <x:c r="I130" s="27" t="str">
        <x:v>CNY</x:v>
      </x:c>
      <x:c r="J130" s="27" t="str">
        <x:v>USD</x:v>
      </x:c>
      <x:c r="K130" s="27"/>
      <x:c r="L130" s="27"/>
      <x:c r="M130" s="27" t="str">
        <x:v>USD/CNY</x:v>
      </x:c>
      <x:c r="N130" s="27"/>
      <x:c r="O130" s="27"/>
      <x:c r="P130" s="27" t="n">
        <x:v>47708</x:v>
      </x:c>
      <x:c r="Q130" s="27" t="n">
        <x:v>44979</x:v>
      </x:c>
      <x:c r="R130" s="27" t="n">
        <x:v>47708</x:v>
      </x:c>
      <x:c r="S130" s="27" t="n">
        <x:v>33500000</x:v>
      </x:c>
      <x:c r="T130" s="27" t="n">
        <x:v>239285714.29</x:v>
      </x:c>
      <x:c r="U130" s="27" t="n">
        <x:v>33500000</x:v>
      </x:c>
      <x:c r="V130" s="27" t="str">
        <x:v>U</x:v>
      </x:c>
      <x:c r="W130" s="27" t="str">
        <x:v>Y</x:v>
      </x:c>
      <x:c r="X130" s="27" t="n">
        <x:v>5</x:v>
      </x:c>
      <x:c r="Y130" s="27" t="str">
        <x:v>S</x:v>
      </x:c>
      <x:c r="Z130" s="27"/>
      <x:c r="AA130" s="27"/>
      <x:c r="AB130" s="27" t="n">
        <x:v>0</x:v>
      </x:c>
      <x:c r="AC130" s="27" t="n">
        <x:v>0</x:v>
      </x:c>
      <x:c r="AD130" s="27" t="n">
        <x:v>-176277</x:v>
      </x:c>
      <x:c r="AE130" s="27" t="str">
        <x:v>Public-safe anonymized industry-style SA-CCR sample</x:v>
      </x:c>
      <x:c r="AF130" s="27" t="str">
        <x:v>ANON-000127</x:v>
      </x:c>
      <x:c r="AG130" s="27" t="str">
        <x:v>Cross Currency Swap</x:v>
      </x:c>
      <x:c r="AH130" s="27"/>
      <x:c r="AI130" s="27" t="str">
        <x:v>USD/CNY</x:v>
      </x:c>
      <x:c r="AJ130" s="27" t="n">
        <x:v>2006</x:v>
      </x:c>
      <x:c r="AK130" s="27" t="n">
        <x:v>5.495890410958904</x:v>
      </x:c>
      <x:c r="AL130" s="27" t="str">
        <x:v>&gt;5Y</x:v>
      </x:c>
      <x:c r="AM130" s="27"/>
      <x:c r="AN130" s="27" t="str">
        <x:v>Unknown</x:v>
      </x:c>
      <x:c r="AO130" s="27" t="str">
        <x:v>USD</x:v>
      </x:c>
      <x:c r="AP130" s="27" t="str">
        <x:v>U</x:v>
      </x:c>
      <x:c r="AQ130" s="27" t="n">
        <x:v>0.005</x:v>
      </x:c>
      <x:c r="AR130" s="27" t="n">
        <x:v>1</x:v>
      </x:c>
      <x:c r="AS130" s="27" t="n">
        <x:v>0.005</x:v>
      </x:c>
      <x:c r="AT130" s="27"/>
      <x:c r="AU130" s="27" t="n">
        <x:v>4.805435685500075</x:v>
      </x:c>
      <x:c r="AV130" s="27" t="n">
        <x:v>160982095.4642525</x:v>
      </x:c>
      <x:c r="AW130" s="27" t="n">
        <x:v>0.5</x:v>
      </x:c>
      <x:c r="AX130" s="27" t="n">
        <x:v>-1</x:v>
      </x:c>
      <x:c r="AY130" s="27" t="n">
        <x:v>1</x:v>
      </x:c>
      <x:c r="AZ130" s="27" t="n">
        <x:v>-160982095.4642525</x:v>
      </x:c>
    </x:row>
    <x:row r="131">
      <x:c r="A131" s="27" t="n">
        <x:v>45702</x:v>
      </x:c>
      <x:c r="B131" s="27" t="str">
        <x:v>IND_ASSET_MANAGER_001</x:v>
      </x:c>
      <x:c r="C131" s="27" t="n">
        <x:v>3050</x:v>
      </x:c>
      <x:c r="D131" s="27" t="str">
        <x:v>IND-000128</x:v>
      </x:c>
      <x:c r="E131" s="27" t="str">
        <x:v>Cross Currency Swap</x:v>
      </x:c>
      <x:c r="F131" s="27" t="str">
        <x:v>Interest Rate</x:v>
      </x:c>
      <x:c r="G131" s="27"/>
      <x:c r="H131" s="27" t="str">
        <x:v>USD</x:v>
      </x:c>
      <x:c r="I131" s="27" t="str">
        <x:v>CNY</x:v>
      </x:c>
      <x:c r="J131" s="27" t="str">
        <x:v>USD</x:v>
      </x:c>
      <x:c r="K131" s="27"/>
      <x:c r="L131" s="27"/>
      <x:c r="M131" s="27" t="str">
        <x:v>USD/CNY</x:v>
      </x:c>
      <x:c r="N131" s="27"/>
      <x:c r="O131" s="27"/>
      <x:c r="P131" s="27" t="n">
        <x:v>47010</x:v>
      </x:c>
      <x:c r="Q131" s="27" t="n">
        <x:v>45074</x:v>
      </x:c>
      <x:c r="R131" s="27" t="n">
        <x:v>47010</x:v>
      </x:c>
      <x:c r="S131" s="27" t="n">
        <x:v>252000000</x:v>
      </x:c>
      <x:c r="T131" s="27" t="n">
        <x:v>1800000000</x:v>
      </x:c>
      <x:c r="U131" s="27" t="n">
        <x:v>252000000</x:v>
      </x:c>
      <x:c r="V131" s="27" t="str">
        <x:v>M</x:v>
      </x:c>
      <x:c r="W131" s="27" t="str">
        <x:v>N</x:v>
      </x:c>
      <x:c r="X131" s="27" t="n">
        <x:v>10</x:v>
      </x:c>
      <x:c r="Y131" s="27" t="str">
        <x:v>B</x:v>
      </x:c>
      <x:c r="Z131" s="27"/>
      <x:c r="AA131" s="27"/>
      <x:c r="AB131" s="27" t="n">
        <x:v>0</x:v>
      </x:c>
      <x:c r="AC131" s="27" t="n">
        <x:v>0</x:v>
      </x:c>
      <x:c r="AD131" s="27" t="n">
        <x:v>1489320</x:v>
      </x:c>
      <x:c r="AE131" s="27" t="str">
        <x:v>Public-safe anonymized industry-style SA-CCR sample</x:v>
      </x:c>
      <x:c r="AF131" s="27" t="str">
        <x:v>ANON-000128</x:v>
      </x:c>
      <x:c r="AG131" s="27" t="str">
        <x:v>Cross Currency Swap</x:v>
      </x:c>
      <x:c r="AH131" s="27"/>
      <x:c r="AI131" s="27" t="str">
        <x:v>USD/CNY</x:v>
      </x:c>
      <x:c r="AJ131" s="27" t="n">
        <x:v>1308</x:v>
      </x:c>
      <x:c r="AK131" s="27" t="n">
        <x:v>3.5835616438356164</x:v>
      </x:c>
      <x:c r="AL131" s="27" t="str">
        <x:v>1Y-5Y</x:v>
      </x:c>
      <x:c r="AM131" s="27"/>
      <x:c r="AN131" s="27" t="str">
        <x:v>Unknown</x:v>
      </x:c>
      <x:c r="AO131" s="27" t="str">
        <x:v>USD</x:v>
      </x:c>
      <x:c r="AP131" s="27" t="str">
        <x:v>M</x:v>
      </x:c>
      <x:c r="AQ131" s="27" t="n">
        <x:v>0.005</x:v>
      </x:c>
      <x:c r="AR131" s="27" t="n">
        <x:v>1</x:v>
      </x:c>
      <x:c r="AS131" s="27" t="n">
        <x:v>0.005</x:v>
      </x:c>
      <x:c r="AT131" s="27"/>
      <x:c r="AU131" s="27" t="n">
        <x:v>3.280859658341042</x:v>
      </x:c>
      <x:c r="AV131" s="27" t="n">
        <x:v>826776633.9019426</x:v>
      </x:c>
      <x:c r="AW131" s="27" t="n">
        <x:v>0.5</x:v>
      </x:c>
      <x:c r="AX131" s="27" t="n">
        <x:v>1</x:v>
      </x:c>
      <x:c r="AY131" s="27" t="n">
        <x:v>0.30000000000000004</x:v>
      </x:c>
      <x:c r="AZ131" s="27" t="n">
        <x:v>248032990.17058283</x:v>
      </x:c>
    </x:row>
    <x:row r="132">
      <x:c r="A132" s="27" t="n">
        <x:v>45702</x:v>
      </x:c>
      <x:c r="B132" s="27" t="str">
        <x:v>IND_ASSET_MANAGER_001</x:v>
      </x:c>
      <x:c r="C132" s="27" t="n">
        <x:v>3050</x:v>
      </x:c>
      <x:c r="D132" s="27" t="str">
        <x:v>IND-000129</x:v>
      </x:c>
      <x:c r="E132" s="27" t="str">
        <x:v>Cross Currency Swap</x:v>
      </x:c>
      <x:c r="F132" s="27" t="str">
        <x:v>Interest Rate</x:v>
      </x:c>
      <x:c r="G132" s="27"/>
      <x:c r="H132" s="27" t="str">
        <x:v>USD</x:v>
      </x:c>
      <x:c r="I132" s="27" t="str">
        <x:v>CNY</x:v>
      </x:c>
      <x:c r="J132" s="27" t="str">
        <x:v>USD</x:v>
      </x:c>
      <x:c r="K132" s="27"/>
      <x:c r="L132" s="27"/>
      <x:c r="M132" s="27" t="str">
        <x:v>USD/CNY</x:v>
      </x:c>
      <x:c r="N132" s="27"/>
      <x:c r="O132" s="27"/>
      <x:c r="P132" s="27" t="n">
        <x:v>47213</x:v>
      </x:c>
      <x:c r="Q132" s="27" t="n">
        <x:v>45296</x:v>
      </x:c>
      <x:c r="R132" s="27" t="n">
        <x:v>47213</x:v>
      </x:c>
      <x:c r="S132" s="27" t="n">
        <x:v>893000000</x:v>
      </x:c>
      <x:c r="T132" s="27" t="n">
        <x:v>6378571428.57</x:v>
      </x:c>
      <x:c r="U132" s="27" t="n">
        <x:v>893000000</x:v>
      </x:c>
      <x:c r="V132" s="27" t="str">
        <x:v>M</x:v>
      </x:c>
      <x:c r="W132" s="27" t="str">
        <x:v>N</x:v>
      </x:c>
      <x:c r="X132" s="27" t="n">
        <x:v>10</x:v>
      </x:c>
      <x:c r="Y132" s="27" t="str">
        <x:v>S</x:v>
      </x:c>
      <x:c r="Z132" s="27"/>
      <x:c r="AA132" s="27"/>
      <x:c r="AB132" s="27" t="n">
        <x:v>0</x:v>
      </x:c>
      <x:c r="AC132" s="27" t="n">
        <x:v>0</x:v>
      </x:c>
      <x:c r="AD132" s="27" t="n">
        <x:v>3450552</x:v>
      </x:c>
      <x:c r="AE132" s="27" t="str">
        <x:v>Public-safe anonymized industry-style SA-CCR sample</x:v>
      </x:c>
      <x:c r="AF132" s="27" t="str">
        <x:v>ANON-000129</x:v>
      </x:c>
      <x:c r="AG132" s="27" t="str">
        <x:v>Cross Currency Swap</x:v>
      </x:c>
      <x:c r="AH132" s="27"/>
      <x:c r="AI132" s="27" t="str">
        <x:v>USD/CNY</x:v>
      </x:c>
      <x:c r="AJ132" s="27" t="n">
        <x:v>1511</x:v>
      </x:c>
      <x:c r="AK132" s="27" t="n">
        <x:v>4.13972602739726</x:v>
      </x:c>
      <x:c r="AL132" s="27" t="str">
        <x:v>1Y-5Y</x:v>
      </x:c>
      <x:c r="AM132" s="27"/>
      <x:c r="AN132" s="27" t="str">
        <x:v>Unknown</x:v>
      </x:c>
      <x:c r="AO132" s="27" t="str">
        <x:v>USD</x:v>
      </x:c>
      <x:c r="AP132" s="27" t="str">
        <x:v>M</x:v>
      </x:c>
      <x:c r="AQ132" s="27" t="n">
        <x:v>0.005</x:v>
      </x:c>
      <x:c r="AR132" s="27" t="n">
        <x:v>1</x:v>
      </x:c>
      <x:c r="AS132" s="27" t="n">
        <x:v>0.005</x:v>
      </x:c>
      <x:c r="AT132" s="27"/>
      <x:c r="AU132" s="27" t="n">
        <x:v>3.739384253613336</x:v>
      </x:c>
      <x:c r="AV132" s="27" t="n">
        <x:v>3339270138.476709</x:v>
      </x:c>
      <x:c r="AW132" s="27" t="n">
        <x:v>0.5</x:v>
      </x:c>
      <x:c r="AX132" s="27" t="n">
        <x:v>-1</x:v>
      </x:c>
      <x:c r="AY132" s="27" t="n">
        <x:v>0.30000000000000004</x:v>
      </x:c>
      <x:c r="AZ132" s="27" t="n">
        <x:v>-1001781041.5430129</x:v>
      </x:c>
    </x:row>
    <x:row r="133">
      <x:c r="A133" s="27" t="n">
        <x:v>45702</x:v>
      </x:c>
      <x:c r="B133" s="27" t="str">
        <x:v>IND_ASSET_MANAGER_001</x:v>
      </x:c>
      <x:c r="C133" s="27" t="n">
        <x:v>3050</x:v>
      </x:c>
      <x:c r="D133" s="27" t="str">
        <x:v>IND-000130</x:v>
      </x:c>
      <x:c r="E133" s="27" t="str">
        <x:v>Cross Currency Swap</x:v>
      </x:c>
      <x:c r="F133" s="27" t="str">
        <x:v>Interest Rate</x:v>
      </x:c>
      <x:c r="G133" s="27"/>
      <x:c r="H133" s="27" t="str">
        <x:v>USD</x:v>
      </x:c>
      <x:c r="I133" s="27" t="str">
        <x:v>CNY</x:v>
      </x:c>
      <x:c r="J133" s="27" t="str">
        <x:v>USD</x:v>
      </x:c>
      <x:c r="K133" s="27"/>
      <x:c r="L133" s="27"/>
      <x:c r="M133" s="27" t="str">
        <x:v>USD/CNY</x:v>
      </x:c>
      <x:c r="N133" s="27"/>
      <x:c r="O133" s="27"/>
      <x:c r="P133" s="27" t="n">
        <x:v>47454</x:v>
      </x:c>
      <x:c r="Q133" s="27" t="n">
        <x:v>45607</x:v>
      </x:c>
      <x:c r="R133" s="27" t="n">
        <x:v>47454</x:v>
      </x:c>
      <x:c r="S133" s="27" t="n">
        <x:v>32900000</x:v>
      </x:c>
      <x:c r="T133" s="27" t="n">
        <x:v>235000000</x:v>
      </x:c>
      <x:c r="U133" s="27" t="n">
        <x:v>32900000</x:v>
      </x:c>
      <x:c r="V133" s="27" t="str">
        <x:v>M</x:v>
      </x:c>
      <x:c r="W133" s="27" t="str">
        <x:v>N</x:v>
      </x:c>
      <x:c r="X133" s="27" t="n">
        <x:v>10</x:v>
      </x:c>
      <x:c r="Y133" s="27" t="str">
        <x:v>B</x:v>
      </x:c>
      <x:c r="Z133" s="27"/>
      <x:c r="AA133" s="27"/>
      <x:c r="AB133" s="27" t="n">
        <x:v>0</x:v>
      </x:c>
      <x:c r="AC133" s="27" t="n">
        <x:v>0</x:v>
      </x:c>
      <x:c r="AD133" s="27" t="n">
        <x:v>-31584</x:v>
      </x:c>
      <x:c r="AE133" s="27" t="str">
        <x:v>Public-safe anonymized industry-style SA-CCR sample</x:v>
      </x:c>
      <x:c r="AF133" s="27" t="str">
        <x:v>ANON-000130</x:v>
      </x:c>
      <x:c r="AG133" s="27" t="str">
        <x:v>Cross Currency Swap</x:v>
      </x:c>
      <x:c r="AH133" s="27"/>
      <x:c r="AI133" s="27" t="str">
        <x:v>USD/CNY</x:v>
      </x:c>
      <x:c r="AJ133" s="27" t="n">
        <x:v>1752</x:v>
      </x:c>
      <x:c r="AK133" s="27" t="n">
        <x:v>4.8</x:v>
      </x:c>
      <x:c r="AL133" s="27" t="str">
        <x:v>1Y-5Y</x:v>
      </x:c>
      <x:c r="AM133" s="27"/>
      <x:c r="AN133" s="27" t="str">
        <x:v>Unknown</x:v>
      </x:c>
      <x:c r="AO133" s="27" t="str">
        <x:v>USD</x:v>
      </x:c>
      <x:c r="AP133" s="27" t="str">
        <x:v>M</x:v>
      </x:c>
      <x:c r="AQ133" s="27" t="n">
        <x:v>0.005</x:v>
      </x:c>
      <x:c r="AR133" s="27" t="n">
        <x:v>1</x:v>
      </x:c>
      <x:c r="AS133" s="27" t="n">
        <x:v>0.005</x:v>
      </x:c>
      <x:c r="AT133" s="27"/>
      <x:c r="AU133" s="27" t="n">
        <x:v>4.26744277866893</x:v>
      </x:c>
      <x:c r="AV133" s="27" t="n">
        <x:v>140398867.4182078</x:v>
      </x:c>
      <x:c r="AW133" s="27" t="n">
        <x:v>0.5</x:v>
      </x:c>
      <x:c r="AX133" s="27" t="n">
        <x:v>1</x:v>
      </x:c>
      <x:c r="AY133" s="27" t="n">
        <x:v>0.30000000000000004</x:v>
      </x:c>
      <x:c r="AZ133" s="27" t="n">
        <x:v>42119660.22546235</x:v>
      </x:c>
    </x:row>
    <x:row r="134">
      <x:c r="A134" s="27" t="n">
        <x:v>45702</x:v>
      </x:c>
      <x:c r="B134" s="27" t="str">
        <x:v>IND_BROKER_001</x:v>
      </x:c>
      <x:c r="C134" s="27" t="n">
        <x:v>3332</x:v>
      </x:c>
      <x:c r="D134" s="27" t="str">
        <x:v>IND-000131</x:v>
      </x:c>
      <x:c r="E134" s="27" t="str">
        <x:v>Cross Currency Swap</x:v>
      </x:c>
      <x:c r="F134" s="27" t="str">
        <x:v>Interest Rate</x:v>
      </x:c>
      <x:c r="G134" s="27"/>
      <x:c r="H134" s="27" t="str">
        <x:v>USD</x:v>
      </x:c>
      <x:c r="I134" s="27" t="str">
        <x:v>JPY</x:v>
      </x:c>
      <x:c r="J134" s="27" t="str">
        <x:v>USD</x:v>
      </x:c>
      <x:c r="K134" s="27"/>
      <x:c r="L134" s="27"/>
      <x:c r="M134" s="27" t="str">
        <x:v>USD/JPY</x:v>
      </x:c>
      <x:c r="N134" s="27"/>
      <x:c r="O134" s="27"/>
      <x:c r="P134" s="27" t="n">
        <x:v>46093</x:v>
      </x:c>
      <x:c r="Q134" s="27" t="n">
        <x:v>45645</x:v>
      </x:c>
      <x:c r="R134" s="27" t="n">
        <x:v>46093</x:v>
      </x:c>
      <x:c r="S134" s="27" t="n">
        <x:v>72900000</x:v>
      </x:c>
      <x:c r="T134" s="27" t="n">
        <x:v>10880597014.93</x:v>
      </x:c>
      <x:c r="U134" s="27" t="n">
        <x:v>72900000</x:v>
      </x:c>
      <x:c r="V134" s="27" t="str">
        <x:v>M</x:v>
      </x:c>
      <x:c r="W134" s="27" t="str">
        <x:v>N</x:v>
      </x:c>
      <x:c r="X134" s="27" t="n">
        <x:v>10</x:v>
      </x:c>
      <x:c r="Y134" s="27" t="str">
        <x:v>S</x:v>
      </x:c>
      <x:c r="Z134" s="27"/>
      <x:c r="AA134" s="27"/>
      <x:c r="AB134" s="27" t="n">
        <x:v>0</x:v>
      </x:c>
      <x:c r="AC134" s="27" t="n">
        <x:v>0</x:v>
      </x:c>
      <x:c r="AD134" s="27" t="n">
        <x:v>-339859.8</x:v>
      </x:c>
      <x:c r="AE134" s="27" t="str">
        <x:v>Public-safe anonymized industry-style SA-CCR sample</x:v>
      </x:c>
      <x:c r="AF134" s="27" t="str">
        <x:v>ANON-000131</x:v>
      </x:c>
      <x:c r="AG134" s="27" t="str">
        <x:v>Cross Currency Swap</x:v>
      </x:c>
      <x:c r="AH134" s="27"/>
      <x:c r="AI134" s="27" t="str">
        <x:v>USD/JPY</x:v>
      </x:c>
      <x:c r="AJ134" s="27" t="n">
        <x:v>391</x:v>
      </x:c>
      <x:c r="AK134" s="27" t="n">
        <x:v>1.0712328767123287</x:v>
      </x:c>
      <x:c r="AL134" s="27" t="str">
        <x:v>1Y-5Y</x:v>
      </x:c>
      <x:c r="AM134" s="27"/>
      <x:c r="AN134" s="27" t="str">
        <x:v>Unknown</x:v>
      </x:c>
      <x:c r="AO134" s="27" t="str">
        <x:v>USD</x:v>
      </x:c>
      <x:c r="AP134" s="27" t="str">
        <x:v>M</x:v>
      </x:c>
      <x:c r="AQ134" s="27" t="n">
        <x:v>0.005</x:v>
      </x:c>
      <x:c r="AR134" s="27" t="n">
        <x:v>1</x:v>
      </x:c>
      <x:c r="AS134" s="27" t="n">
        <x:v>0.005</x:v>
      </x:c>
      <x:c r="AT134" s="27"/>
      <x:c r="AU134" s="27" t="n">
        <x:v>1.0430497950647477</x:v>
      </x:c>
      <x:c r="AV134" s="27" t="n">
        <x:v>76038330.0602201</x:v>
      </x:c>
      <x:c r="AW134" s="27" t="n">
        <x:v>0.5</x:v>
      </x:c>
      <x:c r="AX134" s="27" t="n">
        <x:v>-1</x:v>
      </x:c>
      <x:c r="AY134" s="27" t="n">
        <x:v>0.30000000000000004</x:v>
      </x:c>
      <x:c r="AZ134" s="27" t="n">
        <x:v>-22811499.018066037</x:v>
      </x:c>
    </x:row>
    <x:row r="135">
      <x:c r="A135" s="27" t="n">
        <x:v>45702</x:v>
      </x:c>
      <x:c r="B135" s="27" t="str">
        <x:v>IND_REGIONAL_BANK_001</x:v>
      </x:c>
      <x:c r="C135" s="27" t="n">
        <x:v>3315</x:v>
      </x:c>
      <x:c r="D135" s="27" t="str">
        <x:v>IND-000132</x:v>
      </x:c>
      <x:c r="E135" s="27" t="str">
        <x:v>Cross Currency Swap</x:v>
      </x:c>
      <x:c r="F135" s="27" t="str">
        <x:v>Interest Rate</x:v>
      </x:c>
      <x:c r="G135" s="27"/>
      <x:c r="H135" s="27" t="str">
        <x:v>USD</x:v>
      </x:c>
      <x:c r="I135" s="27" t="str">
        <x:v>JPY</x:v>
      </x:c>
      <x:c r="J135" s="27" t="str">
        <x:v>USD</x:v>
      </x:c>
      <x:c r="K135" s="27"/>
      <x:c r="L135" s="27"/>
      <x:c r="M135" s="27" t="str">
        <x:v>USD/JPY</x:v>
      </x:c>
      <x:c r="N135" s="27"/>
      <x:c r="O135" s="27"/>
      <x:c r="P135" s="27" t="n">
        <x:v>49024</x:v>
      </x:c>
      <x:c r="Q135" s="27" t="n">
        <x:v>45228</x:v>
      </x:c>
      <x:c r="R135" s="27" t="n">
        <x:v>49024</x:v>
      </x:c>
      <x:c r="S135" s="27" t="n">
        <x:v>222000000</x:v>
      </x:c>
      <x:c r="T135" s="27" t="n">
        <x:v>33134328358.21</x:v>
      </x:c>
      <x:c r="U135" s="27" t="n">
        <x:v>222000000</x:v>
      </x:c>
      <x:c r="V135" s="27" t="str">
        <x:v>M</x:v>
      </x:c>
      <x:c r="W135" s="27" t="str">
        <x:v>N</x:v>
      </x:c>
      <x:c r="X135" s="27" t="n">
        <x:v>10</x:v>
      </x:c>
      <x:c r="Y135" s="27" t="str">
        <x:v>B</x:v>
      </x:c>
      <x:c r="Z135" s="27"/>
      <x:c r="AA135" s="27"/>
      <x:c r="AB135" s="27" t="n">
        <x:v>0</x:v>
      </x:c>
      <x:c r="AC135" s="27" t="n">
        <x:v>0</x:v>
      </x:c>
      <x:c r="AD135" s="27" t="n">
        <x:v>712620</x:v>
      </x:c>
      <x:c r="AE135" s="27" t="str">
        <x:v>Public-safe anonymized industry-style SA-CCR sample</x:v>
      </x:c>
      <x:c r="AF135" s="27" t="str">
        <x:v>ANON-000132</x:v>
      </x:c>
      <x:c r="AG135" s="27" t="str">
        <x:v>Cross Currency Swap</x:v>
      </x:c>
      <x:c r="AH135" s="27"/>
      <x:c r="AI135" s="27" t="str">
        <x:v>USD/JPY</x:v>
      </x:c>
      <x:c r="AJ135" s="27" t="n">
        <x:v>3322</x:v>
      </x:c>
      <x:c r="AK135" s="27" t="n">
        <x:v>9.101369863013698</x:v>
      </x:c>
      <x:c r="AL135" s="27" t="str">
        <x:v>&gt;5Y</x:v>
      </x:c>
      <x:c r="AM135" s="27"/>
      <x:c r="AN135" s="27" t="str">
        <x:v>Unknown</x:v>
      </x:c>
      <x:c r="AO135" s="27" t="str">
        <x:v>USD</x:v>
      </x:c>
      <x:c r="AP135" s="27" t="str">
        <x:v>M</x:v>
      </x:c>
      <x:c r="AQ135" s="27" t="n">
        <x:v>0.005</x:v>
      </x:c>
      <x:c r="AR135" s="27" t="n">
        <x:v>1</x:v>
      </x:c>
      <x:c r="AS135" s="27" t="n">
        <x:v>0.005</x:v>
      </x:c>
      <x:c r="AT135" s="27"/>
      <x:c r="AU135" s="27" t="n">
        <x:v>7.311909718077591</x:v>
      </x:c>
      <x:c r="AV135" s="27" t="n">
        <x:v>1623243957.4132252</x:v>
      </x:c>
      <x:c r="AW135" s="27" t="n">
        <x:v>0.5</x:v>
      </x:c>
      <x:c r="AX135" s="27" t="n">
        <x:v>1</x:v>
      </x:c>
      <x:c r="AY135" s="27" t="n">
        <x:v>0.30000000000000004</x:v>
      </x:c>
      <x:c r="AZ135" s="27" t="n">
        <x:v>486973187.2239676</x:v>
      </x:c>
    </x:row>
    <x:row r="136">
      <x:c r="A136" s="27" t="n">
        <x:v>45702</x:v>
      </x:c>
      <x:c r="B136" s="27" t="str">
        <x:v>IND_BANK_002</x:v>
      </x:c>
      <x:c r="C136" s="27" t="n">
        <x:v>3132</x:v>
      </x:c>
      <x:c r="D136" s="27" t="str">
        <x:v>IND-000133</x:v>
      </x:c>
      <x:c r="E136" s="27" t="str">
        <x:v>Cross Currency Swap</x:v>
      </x:c>
      <x:c r="F136" s="27" t="str">
        <x:v>Interest Rate</x:v>
      </x:c>
      <x:c r="G136" s="27"/>
      <x:c r="H136" s="27" t="str">
        <x:v>EUR</x:v>
      </x:c>
      <x:c r="I136" s="27" t="str">
        <x:v>USD</x:v>
      </x:c>
      <x:c r="J136" s="27" t="str">
        <x:v>USD</x:v>
      </x:c>
      <x:c r="K136" s="27"/>
      <x:c r="L136" s="27"/>
      <x:c r="M136" s="27" t="str">
        <x:v>EUR/USD</x:v>
      </x:c>
      <x:c r="N136" s="27"/>
      <x:c r="O136" s="27"/>
      <x:c r="P136" s="27" t="n">
        <x:v>46742</x:v>
      </x:c>
      <x:c r="Q136" s="27" t="n">
        <x:v>45400</x:v>
      </x:c>
      <x:c r="R136" s="27" t="n">
        <x:v>46742</x:v>
      </x:c>
      <x:c r="S136" s="27" t="n">
        <x:v>202857142.86</x:v>
      </x:c>
      <x:c r="T136" s="27" t="n">
        <x:v>213000000</x:v>
      </x:c>
      <x:c r="U136" s="27" t="n">
        <x:v>213000000</x:v>
      </x:c>
      <x:c r="V136" s="27" t="str">
        <x:v>U</x:v>
      </x:c>
      <x:c r="W136" s="27" t="str">
        <x:v>N</x:v>
      </x:c>
      <x:c r="X136" s="27"/>
      <x:c r="Y136" s="27" t="str">
        <x:v>B</x:v>
      </x:c>
      <x:c r="Z136" s="27"/>
      <x:c r="AA136" s="27"/>
      <x:c r="AB136" s="27" t="n">
        <x:v>0</x:v>
      </x:c>
      <x:c r="AC136" s="27" t="n">
        <x:v>0</x:v>
      </x:c>
      <x:c r="AD136" s="27" t="n">
        <x:v>-779580</x:v>
      </x:c>
      <x:c r="AE136" s="27" t="str">
        <x:v>Public-safe anonymized industry-style SA-CCR sample</x:v>
      </x:c>
      <x:c r="AF136" s="27" t="str">
        <x:v>ANON-000133</x:v>
      </x:c>
      <x:c r="AG136" s="27" t="str">
        <x:v>Cross Currency Swap</x:v>
      </x:c>
      <x:c r="AH136" s="27"/>
      <x:c r="AI136" s="27" t="str">
        <x:v>EUR/USD</x:v>
      </x:c>
      <x:c r="AJ136" s="27" t="n">
        <x:v>1040</x:v>
      </x:c>
      <x:c r="AK136" s="27" t="n">
        <x:v>2.8493150684931505</x:v>
      </x:c>
      <x:c r="AL136" s="27" t="str">
        <x:v>1Y-5Y</x:v>
      </x:c>
      <x:c r="AM136" s="27"/>
      <x:c r="AN136" s="27" t="str">
        <x:v>Unknown</x:v>
      </x:c>
      <x:c r="AO136" s="27" t="str">
        <x:v>USD</x:v>
      </x:c>
      <x:c r="AP136" s="27" t="str">
        <x:v>U</x:v>
      </x:c>
      <x:c r="AQ136" s="27" t="n">
        <x:v>0.005</x:v>
      </x:c>
      <x:c r="AR136" s="27" t="n">
        <x:v>1</x:v>
      </x:c>
      <x:c r="AS136" s="27" t="n">
        <x:v>0.005</x:v>
      </x:c>
      <x:c r="AT136" s="27"/>
      <x:c r="AU136" s="27" t="n">
        <x:v>2.655654939905885</x:v>
      </x:c>
      <x:c r="AV136" s="27" t="n">
        <x:v>565654502.1999534</x:v>
      </x:c>
      <x:c r="AW136" s="27" t="n">
        <x:v>0.5</x:v>
      </x:c>
      <x:c r="AX136" s="27" t="n">
        <x:v>1</x:v>
      </x:c>
      <x:c r="AY136" s="27" t="n">
        <x:v>1</x:v>
      </x:c>
      <x:c r="AZ136" s="27" t="n">
        <x:v>565654502.1999534</x:v>
      </x:c>
    </x:row>
    <x:row r="137">
      <x:c r="A137" s="27" t="n">
        <x:v>45702</x:v>
      </x:c>
      <x:c r="B137" s="27" t="str">
        <x:v>IND_HEDGE_FUND_001</x:v>
      </x:c>
      <x:c r="C137" s="27" t="n">
        <x:v>3345</x:v>
      </x:c>
      <x:c r="D137" s="27" t="str">
        <x:v>IND-000134</x:v>
      </x:c>
      <x:c r="E137" s="27" t="str">
        <x:v>Cross Currency Swap</x:v>
      </x:c>
      <x:c r="F137" s="27" t="str">
        <x:v>Interest Rate</x:v>
      </x:c>
      <x:c r="G137" s="27"/>
      <x:c r="H137" s="27" t="str">
        <x:v>EUR</x:v>
      </x:c>
      <x:c r="I137" s="27" t="str">
        <x:v>USD</x:v>
      </x:c>
      <x:c r="J137" s="27" t="str">
        <x:v>USD</x:v>
      </x:c>
      <x:c r="K137" s="27"/>
      <x:c r="L137" s="27"/>
      <x:c r="M137" s="27" t="str">
        <x:v>EUR/USD</x:v>
      </x:c>
      <x:c r="N137" s="27"/>
      <x:c r="O137" s="27"/>
      <x:c r="P137" s="27" t="n">
        <x:v>48067</x:v>
      </x:c>
      <x:c r="Q137" s="27" t="n">
        <x:v>45088</x:v>
      </x:c>
      <x:c r="R137" s="27" t="n">
        <x:v>48067</x:v>
      </x:c>
      <x:c r="S137" s="27" t="n">
        <x:v>152380952.38</x:v>
      </x:c>
      <x:c r="T137" s="27" t="n">
        <x:v>160000000</x:v>
      </x:c>
      <x:c r="U137" s="27" t="n">
        <x:v>160000000</x:v>
      </x:c>
      <x:c r="V137" s="27" t="str">
        <x:v>M</x:v>
      </x:c>
      <x:c r="W137" s="27" t="str">
        <x:v>N</x:v>
      </x:c>
      <x:c r="X137" s="27" t="n">
        <x:v>10</x:v>
      </x:c>
      <x:c r="Y137" s="27" t="str">
        <x:v>S</x:v>
      </x:c>
      <x:c r="Z137" s="27"/>
      <x:c r="AA137" s="27"/>
      <x:c r="AB137" s="27" t="n">
        <x:v>0</x:v>
      </x:c>
      <x:c r="AC137" s="27" t="n">
        <x:v>0</x:v>
      </x:c>
      <x:c r="AD137" s="27" t="n">
        <x:v>1920</x:v>
      </x:c>
      <x:c r="AE137" s="27" t="str">
        <x:v>Public-safe anonymized industry-style SA-CCR sample</x:v>
      </x:c>
      <x:c r="AF137" s="27" t="str">
        <x:v>ANON-000134</x:v>
      </x:c>
      <x:c r="AG137" s="27" t="str">
        <x:v>Cross Currency Swap</x:v>
      </x:c>
      <x:c r="AH137" s="27"/>
      <x:c r="AI137" s="27" t="str">
        <x:v>EUR/USD</x:v>
      </x:c>
      <x:c r="AJ137" s="27" t="n">
        <x:v>2365</x:v>
      </x:c>
      <x:c r="AK137" s="27" t="n">
        <x:v>6.47945205479452</x:v>
      </x:c>
      <x:c r="AL137" s="27" t="str">
        <x:v>&gt;5Y</x:v>
      </x:c>
      <x:c r="AM137" s="27"/>
      <x:c r="AN137" s="27" t="str">
        <x:v>Unknown</x:v>
      </x:c>
      <x:c r="AO137" s="27" t="str">
        <x:v>USD</x:v>
      </x:c>
      <x:c r="AP137" s="27" t="str">
        <x:v>M</x:v>
      </x:c>
      <x:c r="AQ137" s="27" t="n">
        <x:v>0.005</x:v>
      </x:c>
      <x:c r="AR137" s="27" t="n">
        <x:v>1</x:v>
      </x:c>
      <x:c r="AS137" s="27" t="n">
        <x:v>0.005</x:v>
      </x:c>
      <x:c r="AT137" s="27"/>
      <x:c r="AU137" s="27" t="n">
        <x:v>5.534598845471641</x:v>
      </x:c>
      <x:c r="AV137" s="27" t="n">
        <x:v>885535815.2754625</x:v>
      </x:c>
      <x:c r="AW137" s="27" t="n">
        <x:v>0.5</x:v>
      </x:c>
      <x:c r="AX137" s="27" t="n">
        <x:v>-1</x:v>
      </x:c>
      <x:c r="AY137" s="27" t="n">
        <x:v>0.30000000000000004</x:v>
      </x:c>
      <x:c r="AZ137" s="27" t="n">
        <x:v>-265660744.5826388</x:v>
      </x:c>
    </x:row>
    <x:row r="138">
      <x:c r="A138" s="27" t="n">
        <x:v>45702</x:v>
      </x:c>
      <x:c r="B138" s="27" t="str">
        <x:v>IND_SOVEREIGN_001</x:v>
      </x:c>
      <x:c r="C138" s="27" t="n">
        <x:v>3065</x:v>
      </x:c>
      <x:c r="D138" s="27" t="str">
        <x:v>IND-000135</x:v>
      </x:c>
      <x:c r="E138" s="27" t="str">
        <x:v>Interest Rate FRA</x:v>
      </x:c>
      <x:c r="F138" s="27" t="str">
        <x:v>Interest Rate</x:v>
      </x:c>
      <x:c r="G138" s="27"/>
      <x:c r="H138" s="27" t="str">
        <x:v>EUR</x:v>
      </x:c>
      <x:c r="I138" s="27" t="str">
        <x:v>EUR</x:v>
      </x:c>
      <x:c r="J138" s="27" t="str">
        <x:v>EUR</x:v>
      </x:c>
      <x:c r="K138" s="27"/>
      <x:c r="L138" s="27"/>
      <x:c r="M138" s="27" t="str">
        <x:v>EUR</x:v>
      </x:c>
      <x:c r="N138" s="27"/>
      <x:c r="O138" s="27"/>
      <x:c r="P138" s="27" t="n">
        <x:v>46060</x:v>
      </x:c>
      <x:c r="Q138" s="27" t="n">
        <x:v>45567</x:v>
      </x:c>
      <x:c r="R138" s="27" t="n">
        <x:v>46060</x:v>
      </x:c>
      <x:c r="S138" s="27" t="n">
        <x:v>16571428.57</x:v>
      </x:c>
      <x:c r="T138" s="27" t="n">
        <x:v>16571428.57</x:v>
      </x:c>
      <x:c r="U138" s="27" t="n">
        <x:v>17400000</x:v>
      </x:c>
      <x:c r="V138" s="27" t="str">
        <x:v>U</x:v>
      </x:c>
      <x:c r="W138" s="27" t="str">
        <x:v>N</x:v>
      </x:c>
      <x:c r="X138" s="27"/>
      <x:c r="Y138" s="27" t="str">
        <x:v>B</x:v>
      </x:c>
      <x:c r="Z138" s="27"/>
      <x:c r="AA138" s="27"/>
      <x:c r="AB138" s="27" t="n">
        <x:v>0</x:v>
      </x:c>
      <x:c r="AC138" s="27" t="n">
        <x:v>0</x:v>
      </x:c>
      <x:c r="AD138" s="27" t="n">
        <x:v>87800.4</x:v>
      </x:c>
      <x:c r="AE138" s="27" t="str">
        <x:v>Public-safe anonymized industry-style SA-CCR sample</x:v>
      </x:c>
      <x:c r="AF138" s="27" t="str">
        <x:v>ANON-000135</x:v>
      </x:c>
      <x:c r="AG138" s="27" t="str">
        <x:v>Interest Rate FRA</x:v>
      </x:c>
      <x:c r="AH138" s="27"/>
      <x:c r="AI138" s="27" t="str">
        <x:v>EUR</x:v>
      </x:c>
      <x:c r="AJ138" s="27" t="n">
        <x:v>358</x:v>
      </x:c>
      <x:c r="AK138" s="27" t="n">
        <x:v>0.9808219178082191</x:v>
      </x:c>
      <x:c r="AL138" s="27" t="str">
        <x:v>&lt;1Y</x:v>
      </x:c>
      <x:c r="AM138" s="27"/>
      <x:c r="AN138" s="27" t="str">
        <x:v>Unknown</x:v>
      </x:c>
      <x:c r="AO138" s="27" t="str">
        <x:v>EUR</x:v>
      </x:c>
      <x:c r="AP138" s="27" t="str">
        <x:v>U</x:v>
      </x:c>
      <x:c r="AQ138" s="27" t="n">
        <x:v>0.005</x:v>
      </x:c>
      <x:c r="AR138" s="27" t="n">
        <x:v>1</x:v>
      </x:c>
      <x:c r="AS138" s="27" t="n">
        <x:v>0.005</x:v>
      </x:c>
      <x:c r="AT138" s="27"/>
      <x:c r="AU138" s="27" t="n">
        <x:v>0.9571600045761497</x:v>
      </x:c>
      <x:c r="AV138" s="27" t="n">
        <x:v>16654584.079625005</x:v>
      </x:c>
      <x:c r="AW138" s="27" t="n">
        <x:v>0.5</x:v>
      </x:c>
      <x:c r="AX138" s="27" t="n">
        <x:v>1</x:v>
      </x:c>
      <x:c r="AY138" s="27" t="n">
        <x:v>0.9903645378385775</x:v>
      </x:c>
      <x:c r="AZ138" s="27" t="n">
        <x:v>16494109.464911548</x:v>
      </x:c>
    </x:row>
    <x:row r="139">
      <x:c r="A139" s="27" t="n">
        <x:v>45702</x:v>
      </x:c>
      <x:c r="B139" s="27" t="str">
        <x:v>IND_BANK_002</x:v>
      </x:c>
      <x:c r="C139" s="27" t="n">
        <x:v>3132</x:v>
      </x:c>
      <x:c r="D139" s="27" t="str">
        <x:v>IND-000136</x:v>
      </x:c>
      <x:c r="E139" s="27" t="str">
        <x:v>Interest Rate FRA</x:v>
      </x:c>
      <x:c r="F139" s="27" t="str">
        <x:v>Interest Rate</x:v>
      </x:c>
      <x:c r="G139" s="27"/>
      <x:c r="H139" s="27" t="str">
        <x:v>USD</x:v>
      </x:c>
      <x:c r="I139" s="27" t="str">
        <x:v>USD</x:v>
      </x:c>
      <x:c r="J139" s="27" t="str">
        <x:v>USD</x:v>
      </x:c>
      <x:c r="K139" s="27"/>
      <x:c r="L139" s="27"/>
      <x:c r="M139" s="27" t="str">
        <x:v>USD</x:v>
      </x:c>
      <x:c r="N139" s="27"/>
      <x:c r="O139" s="27"/>
      <x:c r="P139" s="27" t="n">
        <x:v>45993</x:v>
      </x:c>
      <x:c r="Q139" s="27" t="n">
        <x:v>45211</x:v>
      </x:c>
      <x:c r="R139" s="27" t="n">
        <x:v>45993</x:v>
      </x:c>
      <x:c r="S139" s="27" t="n">
        <x:v>158000000</x:v>
      </x:c>
      <x:c r="T139" s="27" t="n">
        <x:v>158000000</x:v>
      </x:c>
      <x:c r="U139" s="27" t="n">
        <x:v>158000000</x:v>
      </x:c>
      <x:c r="V139" s="27" t="str">
        <x:v>U</x:v>
      </x:c>
      <x:c r="W139" s="27" t="str">
        <x:v>N</x:v>
      </x:c>
      <x:c r="X139" s="27"/>
      <x:c r="Y139" s="27" t="str">
        <x:v>B</x:v>
      </x:c>
      <x:c r="Z139" s="27"/>
      <x:c r="AA139" s="27"/>
      <x:c r="AB139" s="27" t="n">
        <x:v>0</x:v>
      </x:c>
      <x:c r="AC139" s="27" t="n">
        <x:v>0</x:v>
      </x:c>
      <x:c r="AD139" s="27" t="n">
        <x:v>-756504</x:v>
      </x:c>
      <x:c r="AE139" s="27" t="str">
        <x:v>Public-safe anonymized industry-style SA-CCR sample</x:v>
      </x:c>
      <x:c r="AF139" s="27" t="str">
        <x:v>ANON-000136</x:v>
      </x:c>
      <x:c r="AG139" s="27" t="str">
        <x:v>Interest Rate FRA</x:v>
      </x:c>
      <x:c r="AH139" s="27"/>
      <x:c r="AI139" s="27" t="str">
        <x:v>USD</x:v>
      </x:c>
      <x:c r="AJ139" s="27" t="n">
        <x:v>291</x:v>
      </x:c>
      <x:c r="AK139" s="27" t="n">
        <x:v>0.7972602739726027</x:v>
      </x:c>
      <x:c r="AL139" s="27" t="str">
        <x:v>&lt;1Y</x:v>
      </x:c>
      <x:c r="AM139" s="27"/>
      <x:c r="AN139" s="27" t="str">
        <x:v>Unknown</x:v>
      </x:c>
      <x:c r="AO139" s="27" t="str">
        <x:v>USD</x:v>
      </x:c>
      <x:c r="AP139" s="27" t="str">
        <x:v>U</x:v>
      </x:c>
      <x:c r="AQ139" s="27" t="n">
        <x:v>0.005</x:v>
      </x:c>
      <x:c r="AR139" s="27" t="n">
        <x:v>1</x:v>
      </x:c>
      <x:c r="AS139" s="27" t="n">
        <x:v>0.005</x:v>
      </x:c>
      <x:c r="AT139" s="27"/>
      <x:c r="AU139" s="27" t="n">
        <x:v>0.7815787368174987</x:v>
      </x:c>
      <x:c r="AV139" s="27" t="n">
        <x:v>123489440.41716479</x:v>
      </x:c>
      <x:c r="AW139" s="27" t="n">
        <x:v>0.5</x:v>
      </x:c>
      <x:c r="AX139" s="27" t="n">
        <x:v>1</x:v>
      </x:c>
      <x:c r="AY139" s="27" t="n">
        <x:v>0.8928943240790607</x:v>
      </x:c>
      <x:c r="AZ139" s="27" t="n">
        <x:v>110263020.43218578</x:v>
      </x:c>
    </x:row>
    <x:row r="140">
      <x:c r="A140" s="27" t="n">
        <x:v>45702</x:v>
      </x:c>
      <x:c r="B140" s="27" t="str">
        <x:v>IND_CORPORATE_002</x:v>
      </x:c>
      <x:c r="C140" s="27" t="n">
        <x:v>3074</x:v>
      </x:c>
      <x:c r="D140" s="27" t="str">
        <x:v>IND-000137</x:v>
      </x:c>
      <x:c r="E140" s="27" t="str">
        <x:v>Interest Rate FRA</x:v>
      </x:c>
      <x:c r="F140" s="27" t="str">
        <x:v>Interest Rate</x:v>
      </x:c>
      <x:c r="G140" s="27"/>
      <x:c r="H140" s="27" t="str">
        <x:v>CNY</x:v>
      </x:c>
      <x:c r="I140" s="27" t="str">
        <x:v>CNY</x:v>
      </x:c>
      <x:c r="J140" s="27" t="str">
        <x:v>CNY</x:v>
      </x:c>
      <x:c r="K140" s="27"/>
      <x:c r="L140" s="27"/>
      <x:c r="M140" s="27" t="str">
        <x:v>CNY</x:v>
      </x:c>
      <x:c r="N140" s="27"/>
      <x:c r="O140" s="27"/>
      <x:c r="P140" s="27" t="n">
        <x:v>46039</x:v>
      </x:c>
      <x:c r="Q140" s="27" t="n">
        <x:v>45431</x:v>
      </x:c>
      <x:c r="R140" s="27" t="n">
        <x:v>46039</x:v>
      </x:c>
      <x:c r="S140" s="27" t="n">
        <x:v>942857142.86</x:v>
      </x:c>
      <x:c r="T140" s="27" t="n">
        <x:v>942857142.86</x:v>
      </x:c>
      <x:c r="U140" s="27" t="n">
        <x:v>132000000</x:v>
      </x:c>
      <x:c r="V140" s="27" t="str">
        <x:v>M</x:v>
      </x:c>
      <x:c r="W140" s="27" t="str">
        <x:v>N</x:v>
      </x:c>
      <x:c r="X140" s="27" t="n">
        <x:v>10</x:v>
      </x:c>
      <x:c r="Y140" s="27" t="str">
        <x:v>S</x:v>
      </x:c>
      <x:c r="Z140" s="27"/>
      <x:c r="AA140" s="27"/>
      <x:c r="AB140" s="27" t="n">
        <x:v>0</x:v>
      </x:c>
      <x:c r="AC140" s="27" t="n">
        <x:v>0</x:v>
      </x:c>
      <x:c r="AD140" s="27" t="n">
        <x:v>757944</x:v>
      </x:c>
      <x:c r="AE140" s="27" t="str">
        <x:v>Public-safe anonymized industry-style SA-CCR sample</x:v>
      </x:c>
      <x:c r="AF140" s="27" t="str">
        <x:v>ANON-000137</x:v>
      </x:c>
      <x:c r="AG140" s="27" t="str">
        <x:v>Interest Rate FRA</x:v>
      </x:c>
      <x:c r="AH140" s="27"/>
      <x:c r="AI140" s="27" t="str">
        <x:v>CNY</x:v>
      </x:c>
      <x:c r="AJ140" s="27" t="n">
        <x:v>337</x:v>
      </x:c>
      <x:c r="AK140" s="27" t="n">
        <x:v>0.9232876712328767</x:v>
      </x:c>
      <x:c r="AL140" s="27" t="str">
        <x:v>&lt;1Y</x:v>
      </x:c>
      <x:c r="AM140" s="27"/>
      <x:c r="AN140" s="27" t="str">
        <x:v>Unknown</x:v>
      </x:c>
      <x:c r="AO140" s="27" t="str">
        <x:v>CNY</x:v>
      </x:c>
      <x:c r="AP140" s="27" t="str">
        <x:v>M</x:v>
      </x:c>
      <x:c r="AQ140" s="27" t="n">
        <x:v>0.005</x:v>
      </x:c>
      <x:c r="AR140" s="27" t="n">
        <x:v>1</x:v>
      </x:c>
      <x:c r="AS140" s="27" t="n">
        <x:v>0.005</x:v>
      </x:c>
      <x:c r="AT140" s="27"/>
      <x:c r="AU140" s="27" t="n">
        <x:v>0.902300362114119</x:v>
      </x:c>
      <x:c r="AV140" s="27" t="n">
        <x:v>119103647.79906371</x:v>
      </x:c>
      <x:c r="AW140" s="27" t="n">
        <x:v>0.5</x:v>
      </x:c>
      <x:c r="AX140" s="27" t="n">
        <x:v>-1</x:v>
      </x:c>
      <x:c r="AY140" s="27" t="n">
        <x:v>0.30000000000000004</x:v>
      </x:c>
      <x:c r="AZ140" s="27" t="n">
        <x:v>-35731094.33971912</x:v>
      </x:c>
    </x:row>
    <x:row r="141">
      <x:c r="A141" s="27" t="n">
        <x:v>45702</x:v>
      </x:c>
      <x:c r="B141" s="27" t="str">
        <x:v>IND_CORPORATE_001</x:v>
      </x:c>
      <x:c r="C141" s="27" t="n">
        <x:v>3004</x:v>
      </x:c>
      <x:c r="D141" s="27" t="str">
        <x:v>IND-000138</x:v>
      </x:c>
      <x:c r="E141" s="27" t="str">
        <x:v>Interest Rate FRA</x:v>
      </x:c>
      <x:c r="F141" s="27" t="str">
        <x:v>Interest Rate</x:v>
      </x:c>
      <x:c r="G141" s="27"/>
      <x:c r="H141" s="27" t="str">
        <x:v>EUR</x:v>
      </x:c>
      <x:c r="I141" s="27" t="str">
        <x:v>EUR</x:v>
      </x:c>
      <x:c r="J141" s="27" t="str">
        <x:v>EUR</x:v>
      </x:c>
      <x:c r="K141" s="27"/>
      <x:c r="L141" s="27"/>
      <x:c r="M141" s="27" t="str">
        <x:v>EUR</x:v>
      </x:c>
      <x:c r="N141" s="27"/>
      <x:c r="O141" s="27"/>
      <x:c r="P141" s="27" t="n">
        <x:v>45984</x:v>
      </x:c>
      <x:c r="Q141" s="27" t="n">
        <x:v>44891</x:v>
      </x:c>
      <x:c r="R141" s="27" t="n">
        <x:v>45984</x:v>
      </x:c>
      <x:c r="S141" s="27" t="n">
        <x:v>33523809.52</x:v>
      </x:c>
      <x:c r="T141" s="27" t="n">
        <x:v>33523809.52</x:v>
      </x:c>
      <x:c r="U141" s="27" t="n">
        <x:v>35200000</x:v>
      </x:c>
      <x:c r="V141" s="27" t="str">
        <x:v>M</x:v>
      </x:c>
      <x:c r="W141" s="27" t="str">
        <x:v>N</x:v>
      </x:c>
      <x:c r="X141" s="27" t="n">
        <x:v>10</x:v>
      </x:c>
      <x:c r="Y141" s="27" t="str">
        <x:v>S</x:v>
      </x:c>
      <x:c r="Z141" s="27"/>
      <x:c r="AA141" s="27"/>
      <x:c r="AB141" s="27" t="n">
        <x:v>0</x:v>
      </x:c>
      <x:c r="AC141" s="27" t="n">
        <x:v>0</x:v>
      </x:c>
      <x:c r="AD141" s="27" t="n">
        <x:v>165792</x:v>
      </x:c>
      <x:c r="AE141" s="27" t="str">
        <x:v>Public-safe anonymized industry-style SA-CCR sample</x:v>
      </x:c>
      <x:c r="AF141" s="27" t="str">
        <x:v>ANON-000138</x:v>
      </x:c>
      <x:c r="AG141" s="27" t="str">
        <x:v>Interest Rate FRA</x:v>
      </x:c>
      <x:c r="AH141" s="27"/>
      <x:c r="AI141" s="27" t="str">
        <x:v>EUR</x:v>
      </x:c>
      <x:c r="AJ141" s="27" t="n">
        <x:v>282</x:v>
      </x:c>
      <x:c r="AK141" s="27" t="n">
        <x:v>0.7726027397260274</x:v>
      </x:c>
      <x:c r="AL141" s="27" t="str">
        <x:v>&lt;1Y</x:v>
      </x:c>
      <x:c r="AM141" s="27"/>
      <x:c r="AN141" s="27" t="str">
        <x:v>Unknown</x:v>
      </x:c>
      <x:c r="AO141" s="27" t="str">
        <x:v>EUR</x:v>
      </x:c>
      <x:c r="AP141" s="27" t="str">
        <x:v>M</x:v>
      </x:c>
      <x:c r="AQ141" s="27" t="n">
        <x:v>0.005</x:v>
      </x:c>
      <x:c r="AR141" s="27" t="n">
        <x:v>1</x:v>
      </x:c>
      <x:c r="AS141" s="27" t="n">
        <x:v>0.005</x:v>
      </x:c>
      <x:c r="AT141" s="27"/>
      <x:c r="AU141" s="27" t="n">
        <x:v>0.757870180934237</x:v>
      </x:c>
      <x:c r="AV141" s="27" t="n">
        <x:v>26677030.36888514</x:v>
      </x:c>
      <x:c r="AW141" s="27" t="n">
        <x:v>0.5</x:v>
      </x:c>
      <x:c r="AX141" s="27" t="n">
        <x:v>-1</x:v>
      </x:c>
      <x:c r="AY141" s="27" t="n">
        <x:v>0.30000000000000004</x:v>
      </x:c>
      <x:c r="AZ141" s="27" t="n">
        <x:v>-8003109.110665543</x:v>
      </x:c>
    </x:row>
    <x:row r="142">
      <x:c r="A142" s="27" t="n">
        <x:v>45702</x:v>
      </x:c>
      <x:c r="B142" s="27" t="str">
        <x:v>IND_PENSION_001</x:v>
      </x:c>
      <x:c r="C142" s="27" t="n">
        <x:v>3103</x:v>
      </x:c>
      <x:c r="D142" s="27" t="str">
        <x:v>IND-000139</x:v>
      </x:c>
      <x:c r="E142" s="27" t="str">
        <x:v>Interest Rate FRA</x:v>
      </x:c>
      <x:c r="F142" s="27" t="str">
        <x:v>Interest Rate</x:v>
      </x:c>
      <x:c r="G142" s="27"/>
      <x:c r="H142" s="27" t="str">
        <x:v>CNY</x:v>
      </x:c>
      <x:c r="I142" s="27" t="str">
        <x:v>CNY</x:v>
      </x:c>
      <x:c r="J142" s="27" t="str">
        <x:v>CNY</x:v>
      </x:c>
      <x:c r="K142" s="27"/>
      <x:c r="L142" s="27"/>
      <x:c r="M142" s="27" t="str">
        <x:v>CNY</x:v>
      </x:c>
      <x:c r="N142" s="27"/>
      <x:c r="O142" s="27"/>
      <x:c r="P142" s="27" t="n">
        <x:v>46008</x:v>
      </x:c>
      <x:c r="Q142" s="27" t="n">
        <x:v>45265</x:v>
      </x:c>
      <x:c r="R142" s="27" t="n">
        <x:v>46008</x:v>
      </x:c>
      <x:c r="S142" s="27" t="n">
        <x:v>907142857.14</x:v>
      </x:c>
      <x:c r="T142" s="27" t="n">
        <x:v>907142857.14</x:v>
      </x:c>
      <x:c r="U142" s="27" t="n">
        <x:v>127000000</x:v>
      </x:c>
      <x:c r="V142" s="27" t="str">
        <x:v>M</x:v>
      </x:c>
      <x:c r="W142" s="27" t="str">
        <x:v>N</x:v>
      </x:c>
      <x:c r="X142" s="27" t="n">
        <x:v>10</x:v>
      </x:c>
      <x:c r="Y142" s="27" t="str">
        <x:v>S</x:v>
      </x:c>
      <x:c r="Z142" s="27"/>
      <x:c r="AA142" s="27"/>
      <x:c r="AB142" s="27" t="n">
        <x:v>0</x:v>
      </x:c>
      <x:c r="AC142" s="27" t="n">
        <x:v>0</x:v>
      </x:c>
      <x:c r="AD142" s="27" t="n">
        <x:v>685038</x:v>
      </x:c>
      <x:c r="AE142" s="27" t="str">
        <x:v>Public-safe anonymized industry-style SA-CCR sample</x:v>
      </x:c>
      <x:c r="AF142" s="27" t="str">
        <x:v>ANON-000139</x:v>
      </x:c>
      <x:c r="AG142" s="27" t="str">
        <x:v>Interest Rate FRA</x:v>
      </x:c>
      <x:c r="AH142" s="27"/>
      <x:c r="AI142" s="27" t="str">
        <x:v>CNY</x:v>
      </x:c>
      <x:c r="AJ142" s="27" t="n">
        <x:v>306</x:v>
      </x:c>
      <x:c r="AK142" s="27" t="n">
        <x:v>0.8383561643835616</x:v>
      </x:c>
      <x:c r="AL142" s="27" t="str">
        <x:v>&lt;1Y</x:v>
      </x:c>
      <x:c r="AM142" s="27"/>
      <x:c r="AN142" s="27" t="str">
        <x:v>Unknown</x:v>
      </x:c>
      <x:c r="AO142" s="27" t="str">
        <x:v>CNY</x:v>
      </x:c>
      <x:c r="AP142" s="27" t="str">
        <x:v>M</x:v>
      </x:c>
      <x:c r="AQ142" s="27" t="n">
        <x:v>0.005</x:v>
      </x:c>
      <x:c r="AR142" s="27" t="n">
        <x:v>1</x:v>
      </x:c>
      <x:c r="AS142" s="27" t="n">
        <x:v>0.005</x:v>
      </x:c>
      <x:c r="AT142" s="27"/>
      <x:c r="AU142" s="27" t="n">
        <x:v>0.8210280994753627</x:v>
      </x:c>
      <x:c r="AV142" s="27" t="n">
        <x:v>104270568.63337107</x:v>
      </x:c>
      <x:c r="AW142" s="27" t="n">
        <x:v>0.5</x:v>
      </x:c>
      <x:c r="AX142" s="27" t="n">
        <x:v>-1</x:v>
      </x:c>
      <x:c r="AY142" s="27" t="n">
        <x:v>0.30000000000000004</x:v>
      </x:c>
      <x:c r="AZ142" s="27" t="n">
        <x:v>-31281170.590011325</x:v>
      </x:c>
    </x:row>
    <x:row r="143">
      <x:c r="A143" s="27" t="n">
        <x:v>45702</x:v>
      </x:c>
      <x:c r="B143" s="27" t="str">
        <x:v>IND_INSURER_001</x:v>
      </x:c>
      <x:c r="C143" s="27" t="n">
        <x:v>3048</x:v>
      </x:c>
      <x:c r="D143" s="27" t="str">
        <x:v>IND-000140</x:v>
      </x:c>
      <x:c r="E143" s="27" t="str">
        <x:v>Interest Rate FRA</x:v>
      </x:c>
      <x:c r="F143" s="27" t="str">
        <x:v>Interest Rate</x:v>
      </x:c>
      <x:c r="G143" s="27"/>
      <x:c r="H143" s="27" t="str">
        <x:v>USD</x:v>
      </x:c>
      <x:c r="I143" s="27" t="str">
        <x:v>USD</x:v>
      </x:c>
      <x:c r="J143" s="27" t="str">
        <x:v>USD</x:v>
      </x:c>
      <x:c r="K143" s="27"/>
      <x:c r="L143" s="27"/>
      <x:c r="M143" s="27" t="str">
        <x:v>USD</x:v>
      </x:c>
      <x:c r="N143" s="27"/>
      <x:c r="O143" s="27"/>
      <x:c r="P143" s="27" t="n">
        <x:v>45939</x:v>
      </x:c>
      <x:c r="Q143" s="27" t="n">
        <x:v>45681</x:v>
      </x:c>
      <x:c r="R143" s="27" t="n">
        <x:v>45939</x:v>
      </x:c>
      <x:c r="S143" s="27" t="n">
        <x:v>28200000</x:v>
      </x:c>
      <x:c r="T143" s="27" t="n">
        <x:v>28200000</x:v>
      </x:c>
      <x:c r="U143" s="27" t="n">
        <x:v>28200000</x:v>
      </x:c>
      <x:c r="V143" s="27" t="str">
        <x:v>U</x:v>
      </x:c>
      <x:c r="W143" s="27" t="str">
        <x:v>N</x:v>
      </x:c>
      <x:c r="X143" s="27"/>
      <x:c r="Y143" s="27" t="str">
        <x:v>S</x:v>
      </x:c>
      <x:c r="Z143" s="27"/>
      <x:c r="AA143" s="27"/>
      <x:c r="AB143" s="27" t="n">
        <x:v>0</x:v>
      </x:c>
      <x:c r="AC143" s="27" t="n">
        <x:v>0</x:v>
      </x:c>
      <x:c r="AD143" s="27" t="n">
        <x:v>-47714.4</x:v>
      </x:c>
      <x:c r="AE143" s="27" t="str">
        <x:v>Public-safe anonymized industry-style SA-CCR sample</x:v>
      </x:c>
      <x:c r="AF143" s="27" t="str">
        <x:v>ANON-000140</x:v>
      </x:c>
      <x:c r="AG143" s="27" t="str">
        <x:v>Interest Rate FRA</x:v>
      </x:c>
      <x:c r="AH143" s="27"/>
      <x:c r="AI143" s="27" t="str">
        <x:v>USD</x:v>
      </x:c>
      <x:c r="AJ143" s="27" t="n">
        <x:v>237</x:v>
      </x:c>
      <x:c r="AK143" s="27" t="n">
        <x:v>0.6493150684931507</x:v>
      </x:c>
      <x:c r="AL143" s="27" t="str">
        <x:v>&lt;1Y</x:v>
      </x:c>
      <x:c r="AM143" s="27"/>
      <x:c r="AN143" s="27" t="str">
        <x:v>Unknown</x:v>
      </x:c>
      <x:c r="AO143" s="27" t="str">
        <x:v>USD</x:v>
      </x:c>
      <x:c r="AP143" s="27" t="str">
        <x:v>U</x:v>
      </x:c>
      <x:c r="AQ143" s="27" t="n">
        <x:v>0.005</x:v>
      </x:c>
      <x:c r="AR143" s="27" t="n">
        <x:v>1</x:v>
      </x:c>
      <x:c r="AS143" s="27" t="n">
        <x:v>0.005</x:v>
      </x:c>
      <x:c r="AT143" s="27"/>
      <x:c r="AU143" s="27" t="n">
        <x:v>0.6388879629452848</x:v>
      </x:c>
      <x:c r="AV143" s="27" t="n">
        <x:v>18016640.555057034</x:v>
      </x:c>
      <x:c r="AW143" s="27" t="n">
        <x:v>0.5</x:v>
      </x:c>
      <x:c r="AX143" s="27" t="n">
        <x:v>-1</x:v>
      </x:c>
      <x:c r="AY143" s="27" t="n">
        <x:v>0.8058008863814625</x:v>
      </x:c>
      <x:c r="AZ143" s="27" t="n">
        <x:v>-14517824.928881163</x:v>
      </x:c>
    </x:row>
    <x:row r="144">
      <x:c r="A144" s="27" t="n">
        <x:v>45702</x:v>
      </x:c>
      <x:c r="B144" s="27" t="str">
        <x:v>IND_ASSET_MANAGER_001</x:v>
      </x:c>
      <x:c r="C144" s="27" t="n">
        <x:v>3050</x:v>
      </x:c>
      <x:c r="D144" s="27" t="str">
        <x:v>IND-000141</x:v>
      </x:c>
      <x:c r="E144" s="27" t="str">
        <x:v>Interest Rate FRA</x:v>
      </x:c>
      <x:c r="F144" s="27" t="str">
        <x:v>Interest Rate</x:v>
      </x:c>
      <x:c r="G144" s="27"/>
      <x:c r="H144" s="27" t="str">
        <x:v>CNY</x:v>
      </x:c>
      <x:c r="I144" s="27" t="str">
        <x:v>CNY</x:v>
      </x:c>
      <x:c r="J144" s="27" t="str">
        <x:v>CNY</x:v>
      </x:c>
      <x:c r="K144" s="27"/>
      <x:c r="L144" s="27"/>
      <x:c r="M144" s="27" t="str">
        <x:v>CNY</x:v>
      </x:c>
      <x:c r="N144" s="27"/>
      <x:c r="O144" s="27"/>
      <x:c r="P144" s="27" t="n">
        <x:v>45975</x:v>
      </x:c>
      <x:c r="Q144" s="27" t="n">
        <x:v>45034</x:v>
      </x:c>
      <x:c r="R144" s="27" t="n">
        <x:v>45975</x:v>
      </x:c>
      <x:c r="S144" s="27" t="n">
        <x:v>371428571.43</x:v>
      </x:c>
      <x:c r="T144" s="27" t="n">
        <x:v>371428571.43</x:v>
      </x:c>
      <x:c r="U144" s="27" t="n">
        <x:v>52000000</x:v>
      </x:c>
      <x:c r="V144" s="27" t="str">
        <x:v>M</x:v>
      </x:c>
      <x:c r="W144" s="27" t="str">
        <x:v>Y</x:v>
      </x:c>
      <x:c r="X144" s="27" t="n">
        <x:v>5</x:v>
      </x:c>
      <x:c r="Y144" s="27" t="str">
        <x:v>S</x:v>
      </x:c>
      <x:c r="Z144" s="27"/>
      <x:c r="AA144" s="27"/>
      <x:c r="AB144" s="27" t="n">
        <x:v>0</x:v>
      </x:c>
      <x:c r="AC144" s="27" t="n">
        <x:v>0</x:v>
      </x:c>
      <x:c r="AD144" s="27" t="n">
        <x:v>15600</x:v>
      </x:c>
      <x:c r="AE144" s="27" t="str">
        <x:v>Public-safe anonymized industry-style SA-CCR sample</x:v>
      </x:c>
      <x:c r="AF144" s="27" t="str">
        <x:v>ANON-000141</x:v>
      </x:c>
      <x:c r="AG144" s="27" t="str">
        <x:v>Interest Rate FRA</x:v>
      </x:c>
      <x:c r="AH144" s="27"/>
      <x:c r="AI144" s="27" t="str">
        <x:v>CNY</x:v>
      </x:c>
      <x:c r="AJ144" s="27" t="n">
        <x:v>273</x:v>
      </x:c>
      <x:c r="AK144" s="27" t="n">
        <x:v>0.7479452054794521</x:v>
      </x:c>
      <x:c r="AL144" s="27" t="str">
        <x:v>&lt;1Y</x:v>
      </x:c>
      <x:c r="AM144" s="27"/>
      <x:c r="AN144" s="27" t="str">
        <x:v>Unknown</x:v>
      </x:c>
      <x:c r="AO144" s="27" t="str">
        <x:v>CNY</x:v>
      </x:c>
      <x:c r="AP144" s="27" t="str">
        <x:v>M</x:v>
      </x:c>
      <x:c r="AQ144" s="27" t="n">
        <x:v>0.005</x:v>
      </x:c>
      <x:c r="AR144" s="27" t="n">
        <x:v>1</x:v>
      </x:c>
      <x:c r="AS144" s="27" t="n">
        <x:v>0.005</x:v>
      </x:c>
      <x:c r="AT144" s="27"/>
      <x:c r="AU144" s="27" t="n">
        <x:v>0.7341323772988106</x:v>
      </x:c>
      <x:c r="AV144" s="27" t="n">
        <x:v>38174883.61953815</x:v>
      </x:c>
      <x:c r="AW144" s="27" t="n">
        <x:v>0.5</x:v>
      </x:c>
      <x:c r="AX144" s="27" t="n">
        <x:v>-1</x:v>
      </x:c>
      <x:c r="AY144" s="27" t="n">
        <x:v>0.21213203435596426</x:v>
      </x:c>
      <x:c r="AZ144" s="27" t="n">
        <x:v>-8098115.723514804</x:v>
      </x:c>
    </x:row>
    <x:row r="145">
      <x:c r="A145" s="27" t="n">
        <x:v>45702</x:v>
      </x:c>
      <x:c r="B145" s="27" t="str">
        <x:v>IND_HEDGE_FUND_001</x:v>
      </x:c>
      <x:c r="C145" s="27" t="n">
        <x:v>3345</x:v>
      </x:c>
      <x:c r="D145" s="27" t="str">
        <x:v>IND-000142</x:v>
      </x:c>
      <x:c r="E145" s="27" t="str">
        <x:v>Interest Rate FRA</x:v>
      </x:c>
      <x:c r="F145" s="27" t="str">
        <x:v>Interest Rate</x:v>
      </x:c>
      <x:c r="G145" s="27"/>
      <x:c r="H145" s="27" t="str">
        <x:v>USD</x:v>
      </x:c>
      <x:c r="I145" s="27" t="str">
        <x:v>USD</x:v>
      </x:c>
      <x:c r="J145" s="27" t="str">
        <x:v>USD</x:v>
      </x:c>
      <x:c r="K145" s="27"/>
      <x:c r="L145" s="27"/>
      <x:c r="M145" s="27" t="str">
        <x:v>USD</x:v>
      </x:c>
      <x:c r="N145" s="27"/>
      <x:c r="O145" s="27"/>
      <x:c r="P145" s="27" t="n">
        <x:v>46051</x:v>
      </x:c>
      <x:c r="Q145" s="27" t="n">
        <x:v>44867</x:v>
      </x:c>
      <x:c r="R145" s="27" t="n">
        <x:v>46051</x:v>
      </x:c>
      <x:c r="S145" s="27" t="n">
        <x:v>315000000</x:v>
      </x:c>
      <x:c r="T145" s="27" t="n">
        <x:v>315000000</x:v>
      </x:c>
      <x:c r="U145" s="27" t="n">
        <x:v>315000000</x:v>
      </x:c>
      <x:c r="V145" s="27" t="str">
        <x:v>M</x:v>
      </x:c>
      <x:c r="W145" s="27" t="str">
        <x:v>N</x:v>
      </x:c>
      <x:c r="X145" s="27" t="n">
        <x:v>10</x:v>
      </x:c>
      <x:c r="Y145" s="27" t="str">
        <x:v>B</x:v>
      </x:c>
      <x:c r="Z145" s="27"/>
      <x:c r="AA145" s="27"/>
      <x:c r="AB145" s="27" t="n">
        <x:v>0</x:v>
      </x:c>
      <x:c r="AC145" s="27" t="n">
        <x:v>0</x:v>
      </x:c>
      <x:c r="AD145" s="27" t="n">
        <x:v>-1343790</x:v>
      </x:c>
      <x:c r="AE145" s="27" t="str">
        <x:v>Public-safe anonymized industry-style SA-CCR sample</x:v>
      </x:c>
      <x:c r="AF145" s="27" t="str">
        <x:v>ANON-000142</x:v>
      </x:c>
      <x:c r="AG145" s="27" t="str">
        <x:v>Interest Rate FRA</x:v>
      </x:c>
      <x:c r="AH145" s="27"/>
      <x:c r="AI145" s="27" t="str">
        <x:v>USD</x:v>
      </x:c>
      <x:c r="AJ145" s="27" t="n">
        <x:v>349</x:v>
      </x:c>
      <x:c r="AK145" s="27" t="n">
        <x:v>0.9561643835616438</x:v>
      </x:c>
      <x:c r="AL145" s="27" t="str">
        <x:v>&lt;1Y</x:v>
      </x:c>
      <x:c r="AM145" s="27"/>
      <x:c r="AN145" s="27" t="str">
        <x:v>Unknown</x:v>
      </x:c>
      <x:c r="AO145" s="27" t="str">
        <x:v>USD</x:v>
      </x:c>
      <x:c r="AP145" s="27" t="str">
        <x:v>M</x:v>
      </x:c>
      <x:c r="AQ145" s="27" t="n">
        <x:v>0.005</x:v>
      </x:c>
      <x:c r="AR145" s="27" t="n">
        <x:v>1</x:v>
      </x:c>
      <x:c r="AS145" s="27" t="n">
        <x:v>0.005</x:v>
      </x:c>
      <x:c r="AT145" s="27"/>
      <x:c r="AU145" s="27" t="n">
        <x:v>0.9336680522443297</x:v>
      </x:c>
      <x:c r="AV145" s="27" t="n">
        <x:v>294105436.45696384</x:v>
      </x:c>
      <x:c r="AW145" s="27" t="n">
        <x:v>0.5</x:v>
      </x:c>
      <x:c r="AX145" s="27" t="n">
        <x:v>1</x:v>
      </x:c>
      <x:c r="AY145" s="27" t="n">
        <x:v>0.30000000000000004</x:v>
      </x:c>
      <x:c r="AZ145" s="27" t="n">
        <x:v>88231630.93708916</x:v>
      </x:c>
    </x:row>
    <x:row r="146">
      <x:c r="A146" s="27" t="n">
        <x:v>45702</x:v>
      </x:c>
      <x:c r="B146" s="27" t="str">
        <x:v>IND_CLEARING_MEMBER_001</x:v>
      </x:c>
      <x:c r="C146" s="27" t="n">
        <x:v>3020</x:v>
      </x:c>
      <x:c r="D146" s="27" t="str">
        <x:v>IND-000143</x:v>
      </x:c>
      <x:c r="E146" s="27" t="str">
        <x:v>Interest Rate FRA</x:v>
      </x:c>
      <x:c r="F146" s="27" t="str">
        <x:v>Interest Rate</x:v>
      </x:c>
      <x:c r="G146" s="27"/>
      <x:c r="H146" s="27" t="str">
        <x:v>USD</x:v>
      </x:c>
      <x:c r="I146" s="27" t="str">
        <x:v>USD</x:v>
      </x:c>
      <x:c r="J146" s="27" t="str">
        <x:v>USD</x:v>
      </x:c>
      <x:c r="K146" s="27"/>
      <x:c r="L146" s="27"/>
      <x:c r="M146" s="27" t="str">
        <x:v>USD</x:v>
      </x:c>
      <x:c r="N146" s="27"/>
      <x:c r="O146" s="27"/>
      <x:c r="P146" s="27" t="n">
        <x:v>45980</x:v>
      </x:c>
      <x:c r="Q146" s="27" t="n">
        <x:v>45259</x:v>
      </x:c>
      <x:c r="R146" s="27" t="n">
        <x:v>45980</x:v>
      </x:c>
      <x:c r="S146" s="27" t="n">
        <x:v>21600000</x:v>
      </x:c>
      <x:c r="T146" s="27" t="n">
        <x:v>21600000</x:v>
      </x:c>
      <x:c r="U146" s="27" t="n">
        <x:v>21600000</x:v>
      </x:c>
      <x:c r="V146" s="27" t="str">
        <x:v>M</x:v>
      </x:c>
      <x:c r="W146" s="27" t="str">
        <x:v>N</x:v>
      </x:c>
      <x:c r="X146" s="27" t="n">
        <x:v>10</x:v>
      </x:c>
      <x:c r="Y146" s="27" t="str">
        <x:v>S</x:v>
      </x:c>
      <x:c r="Z146" s="27"/>
      <x:c r="AA146" s="27"/>
      <x:c r="AB146" s="27" t="n">
        <x:v>0</x:v>
      </x:c>
      <x:c r="AC146" s="27" t="n">
        <x:v>0</x:v>
      </x:c>
      <x:c r="AD146" s="27" t="n">
        <x:v>119750.4</x:v>
      </x:c>
      <x:c r="AE146" s="27" t="str">
        <x:v>Public-safe anonymized industry-style SA-CCR sample</x:v>
      </x:c>
      <x:c r="AF146" s="27" t="str">
        <x:v>ANON-000143</x:v>
      </x:c>
      <x:c r="AG146" s="27" t="str">
        <x:v>Interest Rate FRA</x:v>
      </x:c>
      <x:c r="AH146" s="27"/>
      <x:c r="AI146" s="27" t="str">
        <x:v>USD</x:v>
      </x:c>
      <x:c r="AJ146" s="27" t="n">
        <x:v>278</x:v>
      </x:c>
      <x:c r="AK146" s="27" t="n">
        <x:v>0.7616438356164383</x:v>
      </x:c>
      <x:c r="AL146" s="27" t="str">
        <x:v>&lt;1Y</x:v>
      </x:c>
      <x:c r="AM146" s="27"/>
      <x:c r="AN146" s="27" t="str">
        <x:v>Unknown</x:v>
      </x:c>
      <x:c r="AO146" s="27" t="str">
        <x:v>USD</x:v>
      </x:c>
      <x:c r="AP146" s="27" t="str">
        <x:v>M</x:v>
      </x:c>
      <x:c r="AQ146" s="27" t="n">
        <x:v>0.005</x:v>
      </x:c>
      <x:c r="AR146" s="27" t="n">
        <x:v>1</x:v>
      </x:c>
      <x:c r="AS146" s="27" t="n">
        <x:v>0.005</x:v>
      </x:c>
      <x:c r="AT146" s="27"/>
      <x:c r="AU146" s="27" t="n">
        <x:v>0.7473236589624688</x:v>
      </x:c>
      <x:c r="AV146" s="27" t="n">
        <x:v>16142191.033589326</x:v>
      </x:c>
      <x:c r="AW146" s="27" t="n">
        <x:v>0.5</x:v>
      </x:c>
      <x:c r="AX146" s="27" t="n">
        <x:v>-1</x:v>
      </x:c>
      <x:c r="AY146" s="27" t="n">
        <x:v>0.30000000000000004</x:v>
      </x:c>
      <x:c r="AZ146" s="27" t="n">
        <x:v>-4842657.310076798</x:v>
      </x:c>
    </x:row>
    <x:row r="147">
      <x:c r="A147" s="27" t="n">
        <x:v>45702</x:v>
      </x:c>
      <x:c r="B147" s="27" t="str">
        <x:v>IND_BROKER_001</x:v>
      </x:c>
      <x:c r="C147" s="27" t="n">
        <x:v>3332</x:v>
      </x:c>
      <x:c r="D147" s="27" t="str">
        <x:v>IND-000144</x:v>
      </x:c>
      <x:c r="E147" s="27" t="str">
        <x:v>Interest Rate FRA</x:v>
      </x:c>
      <x:c r="F147" s="27" t="str">
        <x:v>Interest Rate</x:v>
      </x:c>
      <x:c r="G147" s="27"/>
      <x:c r="H147" s="27" t="str">
        <x:v>EUR</x:v>
      </x:c>
      <x:c r="I147" s="27" t="str">
        <x:v>EUR</x:v>
      </x:c>
      <x:c r="J147" s="27" t="str">
        <x:v>EUR</x:v>
      </x:c>
      <x:c r="K147" s="27"/>
      <x:c r="L147" s="27"/>
      <x:c r="M147" s="27" t="str">
        <x:v>EUR</x:v>
      </x:c>
      <x:c r="N147" s="27"/>
      <x:c r="O147" s="27"/>
      <x:c r="P147" s="27" t="n">
        <x:v>45950</x:v>
      </x:c>
      <x:c r="Q147" s="27" t="n">
        <x:v>45177</x:v>
      </x:c>
      <x:c r="R147" s="27" t="n">
        <x:v>45950</x:v>
      </x:c>
      <x:c r="S147" s="27" t="n">
        <x:v>12476190.48</x:v>
      </x:c>
      <x:c r="T147" s="27" t="n">
        <x:v>12476190.48</x:v>
      </x:c>
      <x:c r="U147" s="27" t="n">
        <x:v>13100000</x:v>
      </x:c>
      <x:c r="V147" s="27" t="str">
        <x:v>M</x:v>
      </x:c>
      <x:c r="W147" s="27" t="str">
        <x:v>N</x:v>
      </x:c>
      <x:c r="X147" s="27" t="n">
        <x:v>10</x:v>
      </x:c>
      <x:c r="Y147" s="27" t="str">
        <x:v>S</x:v>
      </x:c>
      <x:c r="Z147" s="27"/>
      <x:c r="AA147" s="27"/>
      <x:c r="AB147" s="27" t="n">
        <x:v>0</x:v>
      </x:c>
      <x:c r="AC147" s="27" t="n">
        <x:v>0</x:v>
      </x:c>
      <x:c r="AD147" s="27" t="n">
        <x:v>28374.6</x:v>
      </x:c>
      <x:c r="AE147" s="27" t="str">
        <x:v>Public-safe anonymized industry-style SA-CCR sample</x:v>
      </x:c>
      <x:c r="AF147" s="27" t="str">
        <x:v>ANON-000144</x:v>
      </x:c>
      <x:c r="AG147" s="27" t="str">
        <x:v>Interest Rate FRA</x:v>
      </x:c>
      <x:c r="AH147" s="27"/>
      <x:c r="AI147" s="27" t="str">
        <x:v>EUR</x:v>
      </x:c>
      <x:c r="AJ147" s="27" t="n">
        <x:v>248</x:v>
      </x:c>
      <x:c r="AK147" s="27" t="n">
        <x:v>0.6794520547945205</x:v>
      </x:c>
      <x:c r="AL147" s="27" t="str">
        <x:v>&lt;1Y</x:v>
      </x:c>
      <x:c r="AM147" s="27"/>
      <x:c r="AN147" s="27" t="str">
        <x:v>Unknown</x:v>
      </x:c>
      <x:c r="AO147" s="27" t="str">
        <x:v>EUR</x:v>
      </x:c>
      <x:c r="AP147" s="27" t="str">
        <x:v>M</x:v>
      </x:c>
      <x:c r="AQ147" s="27" t="n">
        <x:v>0.005</x:v>
      </x:c>
      <x:c r="AR147" s="27" t="n">
        <x:v>1</x:v>
      </x:c>
      <x:c r="AS147" s="27" t="n">
        <x:v>0.005</x:v>
      </x:c>
      <x:c r="AT147" s="27"/>
      <x:c r="AU147" s="27" t="n">
        <x:v>0.6680402717729006</x:v>
      </x:c>
      <x:c r="AV147" s="27" t="n">
        <x:v>8751327.560224997</x:v>
      </x:c>
      <x:c r="AW147" s="27" t="n">
        <x:v>0.5</x:v>
      </x:c>
      <x:c r="AX147" s="27" t="n">
        <x:v>-1</x:v>
      </x:c>
      <x:c r="AY147" s="27" t="n">
        <x:v>0.30000000000000004</x:v>
      </x:c>
      <x:c r="AZ147" s="27" t="n">
        <x:v>-2625398.2680674996</x:v>
      </x:c>
    </x:row>
    <x:row r="148">
      <x:c r="A148" s="27" t="n">
        <x:v>45702</x:v>
      </x:c>
      <x:c r="B148" s="27" t="str">
        <x:v>IND_HEDGE_FUND_001</x:v>
      </x:c>
      <x:c r="C148" s="27" t="n">
        <x:v>3345</x:v>
      </x:c>
      <x:c r="D148" s="27" t="str">
        <x:v>IND-000145</x:v>
      </x:c>
      <x:c r="E148" s="27" t="str">
        <x:v>Interest Rate FRA</x:v>
      </x:c>
      <x:c r="F148" s="27" t="str">
        <x:v>Interest Rate</x:v>
      </x:c>
      <x:c r="G148" s="27"/>
      <x:c r="H148" s="27" t="str">
        <x:v>USD</x:v>
      </x:c>
      <x:c r="I148" s="27" t="str">
        <x:v>USD</x:v>
      </x:c>
      <x:c r="J148" s="27" t="str">
        <x:v>USD</x:v>
      </x:c>
      <x:c r="K148" s="27"/>
      <x:c r="L148" s="27"/>
      <x:c r="M148" s="27" t="str">
        <x:v>USD</x:v>
      </x:c>
      <x:c r="N148" s="27"/>
      <x:c r="O148" s="27"/>
      <x:c r="P148" s="27" t="n">
        <x:v>45929</x:v>
      </x:c>
      <x:c r="Q148" s="27" t="n">
        <x:v>45175</x:v>
      </x:c>
      <x:c r="R148" s="27" t="n">
        <x:v>45929</x:v>
      </x:c>
      <x:c r="S148" s="27" t="n">
        <x:v>594000000</x:v>
      </x:c>
      <x:c r="T148" s="27" t="n">
        <x:v>594000000</x:v>
      </x:c>
      <x:c r="U148" s="27" t="n">
        <x:v>594000000</x:v>
      </x:c>
      <x:c r="V148" s="27" t="str">
        <x:v>M</x:v>
      </x:c>
      <x:c r="W148" s="27" t="str">
        <x:v>Y</x:v>
      </x:c>
      <x:c r="X148" s="27" t="n">
        <x:v>5</x:v>
      </x:c>
      <x:c r="Y148" s="27" t="str">
        <x:v>S</x:v>
      </x:c>
      <x:c r="Z148" s="27"/>
      <x:c r="AA148" s="27"/>
      <x:c r="AB148" s="27" t="n">
        <x:v>0</x:v>
      </x:c>
      <x:c r="AC148" s="27" t="n">
        <x:v>0</x:v>
      </x:c>
      <x:c r="AD148" s="27" t="n">
        <x:v>-912384</x:v>
      </x:c>
      <x:c r="AE148" s="27" t="str">
        <x:v>Public-safe anonymized industry-style SA-CCR sample</x:v>
      </x:c>
      <x:c r="AF148" s="27" t="str">
        <x:v>ANON-000145</x:v>
      </x:c>
      <x:c r="AG148" s="27" t="str">
        <x:v>Interest Rate FRA</x:v>
      </x:c>
      <x:c r="AH148" s="27"/>
      <x:c r="AI148" s="27" t="str">
        <x:v>USD</x:v>
      </x:c>
      <x:c r="AJ148" s="27" t="n">
        <x:v>227</x:v>
      </x:c>
      <x:c r="AK148" s="27" t="n">
        <x:v>0.6219178082191781</x:v>
      </x:c>
      <x:c r="AL148" s="27" t="str">
        <x:v>&lt;1Y</x:v>
      </x:c>
      <x:c r="AM148" s="27"/>
      <x:c r="AN148" s="27" t="str">
        <x:v>Unknown</x:v>
      </x:c>
      <x:c r="AO148" s="27" t="str">
        <x:v>USD</x:v>
      </x:c>
      <x:c r="AP148" s="27" t="str">
        <x:v>M</x:v>
      </x:c>
      <x:c r="AQ148" s="27" t="n">
        <x:v>0.005</x:v>
      </x:c>
      <x:c r="AR148" s="27" t="n">
        <x:v>1</x:v>
      </x:c>
      <x:c r="AS148" s="27" t="n">
        <x:v>0.005</x:v>
      </x:c>
      <x:c r="AT148" s="27"/>
      <x:c r="AU148" s="27" t="n">
        <x:v>0.6123477175616721</x:v>
      </x:c>
      <x:c r="AV148" s="27" t="n">
        <x:v>363734544.2316332</x:v>
      </x:c>
      <x:c r="AW148" s="27" t="n">
        <x:v>0.5</x:v>
      </x:c>
      <x:c r="AX148" s="27" t="n">
        <x:v>-1</x:v>
      </x:c>
      <x:c r="AY148" s="27" t="n">
        <x:v>0.21213203435596426</x:v>
      </x:c>
      <x:c r="AZ148" s="27" t="n">
        <x:v>-77159748.83339581</x:v>
      </x:c>
    </x:row>
    <x:row r="149">
      <x:c r="A149" s="27" t="n">
        <x:v>45702</x:v>
      </x:c>
      <x:c r="B149" s="27" t="str">
        <x:v>IND_REGIONAL_BANK_001</x:v>
      </x:c>
      <x:c r="C149" s="27" t="n">
        <x:v>3054</x:v>
      </x:c>
      <x:c r="D149" s="27" t="str">
        <x:v>IND-000146</x:v>
      </x:c>
      <x:c r="E149" s="27" t="str">
        <x:v>Interest Rate FRA</x:v>
      </x:c>
      <x:c r="F149" s="27" t="str">
        <x:v>Interest Rate</x:v>
      </x:c>
      <x:c r="G149" s="27"/>
      <x:c r="H149" s="27" t="str">
        <x:v>EUR</x:v>
      </x:c>
      <x:c r="I149" s="27" t="str">
        <x:v>EUR</x:v>
      </x:c>
      <x:c r="J149" s="27" t="str">
        <x:v>EUR</x:v>
      </x:c>
      <x:c r="K149" s="27"/>
      <x:c r="L149" s="27"/>
      <x:c r="M149" s="27" t="str">
        <x:v>EUR</x:v>
      </x:c>
      <x:c r="N149" s="27"/>
      <x:c r="O149" s="27"/>
      <x:c r="P149" s="27" t="n">
        <x:v>46043</x:v>
      </x:c>
      <x:c r="Q149" s="27" t="n">
        <x:v>44832</x:v>
      </x:c>
      <x:c r="R149" s="27" t="n">
        <x:v>46043</x:v>
      </x:c>
      <x:c r="S149" s="27" t="n">
        <x:v>478095238.1</x:v>
      </x:c>
      <x:c r="T149" s="27" t="n">
        <x:v>478095238.1</x:v>
      </x:c>
      <x:c r="U149" s="27" t="n">
        <x:v>502000000</x:v>
      </x:c>
      <x:c r="V149" s="27" t="str">
        <x:v>U</x:v>
      </x:c>
      <x:c r="W149" s="27" t="str">
        <x:v>N</x:v>
      </x:c>
      <x:c r="X149" s="27"/>
      <x:c r="Y149" s="27" t="str">
        <x:v>B</x:v>
      </x:c>
      <x:c r="Z149" s="27"/>
      <x:c r="AA149" s="27"/>
      <x:c r="AB149" s="27" t="n">
        <x:v>0</x:v>
      </x:c>
      <x:c r="AC149" s="27" t="n">
        <x:v>0</x:v>
      </x:c>
      <x:c r="AD149" s="27" t="n">
        <x:v>370476</x:v>
      </x:c>
      <x:c r="AE149" s="27" t="str">
        <x:v>Public-safe anonymized industry-style SA-CCR sample</x:v>
      </x:c>
      <x:c r="AF149" s="27" t="str">
        <x:v>ANON-000146</x:v>
      </x:c>
      <x:c r="AG149" s="27" t="str">
        <x:v>Interest Rate FRA</x:v>
      </x:c>
      <x:c r="AH149" s="27"/>
      <x:c r="AI149" s="27" t="str">
        <x:v>EUR</x:v>
      </x:c>
      <x:c r="AJ149" s="27" t="n">
        <x:v>341</x:v>
      </x:c>
      <x:c r="AK149" s="27" t="n">
        <x:v>0.9342465753424658</x:v>
      </x:c>
      <x:c r="AL149" s="27" t="str">
        <x:v>&lt;1Y</x:v>
      </x:c>
      <x:c r="AM149" s="27"/>
      <x:c r="AN149" s="27" t="str">
        <x:v>Unknown</x:v>
      </x:c>
      <x:c r="AO149" s="27" t="str">
        <x:v>EUR</x:v>
      </x:c>
      <x:c r="AP149" s="27" t="str">
        <x:v>U</x:v>
      </x:c>
      <x:c r="AQ149" s="27" t="n">
        <x:v>0.005</x:v>
      </x:c>
      <x:c r="AR149" s="27" t="n">
        <x:v>1</x:v>
      </x:c>
      <x:c r="AS149" s="27" t="n">
        <x:v>0.005</x:v>
      </x:c>
      <x:c r="AT149" s="27"/>
      <x:c r="AU149" s="27" t="n">
        <x:v>0.9127619886055949</x:v>
      </x:c>
      <x:c r="AV149" s="27" t="n">
        <x:v>458206518.2800086</x:v>
      </x:c>
      <x:c r="AW149" s="27" t="n">
        <x:v>0.5</x:v>
      </x:c>
      <x:c r="AX149" s="27" t="n">
        <x:v>1</x:v>
      </x:c>
      <x:c r="AY149" s="27" t="n">
        <x:v>0.9665643151609032</x:v>
      </x:c>
      <x:c r="AZ149" s="27" t="n">
        <x:v>442886069.54357845</x:v>
      </x:c>
    </x:row>
    <x:row r="150">
      <x:c r="A150" s="27" t="n">
        <x:v>45702</x:v>
      </x:c>
      <x:c r="B150" s="27" t="str">
        <x:v>IND_PENSION_001</x:v>
      </x:c>
      <x:c r="C150" s="27" t="n">
        <x:v>3103</x:v>
      </x:c>
      <x:c r="D150" s="27" t="str">
        <x:v>IND-000147</x:v>
      </x:c>
      <x:c r="E150" s="27" t="str">
        <x:v>Interest Rate FRA</x:v>
      </x:c>
      <x:c r="F150" s="27" t="str">
        <x:v>Interest Rate</x:v>
      </x:c>
      <x:c r="G150" s="27"/>
      <x:c r="H150" s="27" t="str">
        <x:v>CNY</x:v>
      </x:c>
      <x:c r="I150" s="27" t="str">
        <x:v>CNY</x:v>
      </x:c>
      <x:c r="J150" s="27" t="str">
        <x:v>CNY</x:v>
      </x:c>
      <x:c r="K150" s="27"/>
      <x:c r="L150" s="27"/>
      <x:c r="M150" s="27" t="str">
        <x:v>CNY</x:v>
      </x:c>
      <x:c r="N150" s="27"/>
      <x:c r="O150" s="27"/>
      <x:c r="P150" s="27" t="n">
        <x:v>45924</x:v>
      </x:c>
      <x:c r="Q150" s="27" t="n">
        <x:v>45296</x:v>
      </x:c>
      <x:c r="R150" s="27" t="n">
        <x:v>45924</x:v>
      </x:c>
      <x:c r="S150" s="27" t="n">
        <x:v>244285714.29</x:v>
      </x:c>
      <x:c r="T150" s="27" t="n">
        <x:v>244285714.29</x:v>
      </x:c>
      <x:c r="U150" s="27" t="n">
        <x:v>34200000</x:v>
      </x:c>
      <x:c r="V150" s="27" t="str">
        <x:v>M</x:v>
      </x:c>
      <x:c r="W150" s="27" t="str">
        <x:v>Y</x:v>
      </x:c>
      <x:c r="X150" s="27" t="n">
        <x:v>5</x:v>
      </x:c>
      <x:c r="Y150" s="27" t="str">
        <x:v>B</x:v>
      </x:c>
      <x:c r="Z150" s="27"/>
      <x:c r="AA150" s="27"/>
      <x:c r="AB150" s="27" t="n">
        <x:v>0</x:v>
      </x:c>
      <x:c r="AC150" s="27" t="n">
        <x:v>0</x:v>
      </x:c>
      <x:c r="AD150" s="27" t="n">
        <x:v>-148564.8</x:v>
      </x:c>
      <x:c r="AE150" s="27" t="str">
        <x:v>Public-safe anonymized industry-style SA-CCR sample</x:v>
      </x:c>
      <x:c r="AF150" s="27" t="str">
        <x:v>ANON-000147</x:v>
      </x:c>
      <x:c r="AG150" s="27" t="str">
        <x:v>Interest Rate FRA</x:v>
      </x:c>
      <x:c r="AH150" s="27"/>
      <x:c r="AI150" s="27" t="str">
        <x:v>CNY</x:v>
      </x:c>
      <x:c r="AJ150" s="27" t="n">
        <x:v>222</x:v>
      </x:c>
      <x:c r="AK150" s="27" t="n">
        <x:v>0.6082191780821918</x:v>
      </x:c>
      <x:c r="AL150" s="27" t="str">
        <x:v>&lt;1Y</x:v>
      </x:c>
      <x:c r="AM150" s="27"/>
      <x:c r="AN150" s="27" t="str">
        <x:v>Unknown</x:v>
      </x:c>
      <x:c r="AO150" s="27" t="str">
        <x:v>CNY</x:v>
      </x:c>
      <x:c r="AP150" s="27" t="str">
        <x:v>M</x:v>
      </x:c>
      <x:c r="AQ150" s="27" t="n">
        <x:v>0.005</x:v>
      </x:c>
      <x:c r="AR150" s="27" t="n">
        <x:v>1</x:v>
      </x:c>
      <x:c r="AS150" s="27" t="n">
        <x:v>0.005</x:v>
      </x:c>
      <x:c r="AT150" s="27"/>
      <x:c r="AU150" s="27" t="n">
        <x:v>0.5990639549551391</x:v>
      </x:c>
      <x:c r="AV150" s="27" t="n">
        <x:v>20487987.259465758</x:v>
      </x:c>
      <x:c r="AW150" s="27" t="n">
        <x:v>0.5</x:v>
      </x:c>
      <x:c r="AX150" s="27" t="n">
        <x:v>1</x:v>
      </x:c>
      <x:c r="AY150" s="27" t="n">
        <x:v>0.21213203435596426</x:v>
      </x:c>
      <x:c r="AZ150" s="27" t="n">
        <x:v>4346158.417209548</x:v>
      </x:c>
    </x:row>
    <x:row r="151">
      <x:c r="A151" s="27" t="n">
        <x:v>45702</x:v>
      </x:c>
      <x:c r="B151" s="27" t="str">
        <x:v>IND_HEDGE_FUND_001</x:v>
      </x:c>
      <x:c r="C151" s="27" t="n">
        <x:v>3345</x:v>
      </x:c>
      <x:c r="D151" s="27" t="str">
        <x:v>IND-000148</x:v>
      </x:c>
      <x:c r="E151" s="27" t="str">
        <x:v>Interest Rate FRA</x:v>
      </x:c>
      <x:c r="F151" s="27" t="str">
        <x:v>Interest Rate</x:v>
      </x:c>
      <x:c r="G151" s="27"/>
      <x:c r="H151" s="27" t="str">
        <x:v>USD</x:v>
      </x:c>
      <x:c r="I151" s="27" t="str">
        <x:v>USD</x:v>
      </x:c>
      <x:c r="J151" s="27" t="str">
        <x:v>USD</x:v>
      </x:c>
      <x:c r="K151" s="27"/>
      <x:c r="L151" s="27"/>
      <x:c r="M151" s="27" t="str">
        <x:v>USD</x:v>
      </x:c>
      <x:c r="N151" s="27"/>
      <x:c r="O151" s="27"/>
      <x:c r="P151" s="27" t="n">
        <x:v>46050</x:v>
      </x:c>
      <x:c r="Q151" s="27" t="n">
        <x:v>44850</x:v>
      </x:c>
      <x:c r="R151" s="27" t="n">
        <x:v>46050</x:v>
      </x:c>
      <x:c r="S151" s="27" t="n">
        <x:v>236000000</x:v>
      </x:c>
      <x:c r="T151" s="27" t="n">
        <x:v>236000000</x:v>
      </x:c>
      <x:c r="U151" s="27" t="n">
        <x:v>236000000</x:v>
      </x:c>
      <x:c r="V151" s="27" t="str">
        <x:v>M</x:v>
      </x:c>
      <x:c r="W151" s="27" t="str">
        <x:v>N</x:v>
      </x:c>
      <x:c r="X151" s="27" t="n">
        <x:v>10</x:v>
      </x:c>
      <x:c r="Y151" s="27" t="str">
        <x:v>B</x:v>
      </x:c>
      <x:c r="Z151" s="27"/>
      <x:c r="AA151" s="27"/>
      <x:c r="AB151" s="27" t="n">
        <x:v>0</x:v>
      </x:c>
      <x:c r="AC151" s="27" t="n">
        <x:v>0</x:v>
      </x:c>
      <x:c r="AD151" s="27" t="n">
        <x:v>465864</x:v>
      </x:c>
      <x:c r="AE151" s="27" t="str">
        <x:v>Public-safe anonymized industry-style SA-CCR sample</x:v>
      </x:c>
      <x:c r="AF151" s="27" t="str">
        <x:v>ANON-000148</x:v>
      </x:c>
      <x:c r="AG151" s="27" t="str">
        <x:v>Interest Rate FRA</x:v>
      </x:c>
      <x:c r="AH151" s="27"/>
      <x:c r="AI151" s="27" t="str">
        <x:v>USD</x:v>
      </x:c>
      <x:c r="AJ151" s="27" t="n">
        <x:v>348</x:v>
      </x:c>
      <x:c r="AK151" s="27" t="n">
        <x:v>0.9534246575342465</x:v>
      </x:c>
      <x:c r="AL151" s="27" t="str">
        <x:v>&lt;1Y</x:v>
      </x:c>
      <x:c r="AM151" s="27"/>
      <x:c r="AN151" s="27" t="str">
        <x:v>Unknown</x:v>
      </x:c>
      <x:c r="AO151" s="27" t="str">
        <x:v>USD</x:v>
      </x:c>
      <x:c r="AP151" s="27" t="str">
        <x:v>M</x:v>
      </x:c>
      <x:c r="AQ151" s="27" t="n">
        <x:v>0.005</x:v>
      </x:c>
      <x:c r="AR151" s="27" t="n">
        <x:v>1</x:v>
      </x:c>
      <x:c r="AS151" s="27" t="n">
        <x:v>0.005</x:v>
      </x:c>
      <x:c r="AT151" s="27"/>
      <x:c r="AU151" s="27" t="n">
        <x:v>0.9310560470497342</x:v>
      </x:c>
      <x:c r="AV151" s="27" t="n">
        <x:v>219729227.10373726</x:v>
      </x:c>
      <x:c r="AW151" s="27" t="n">
        <x:v>0.5</x:v>
      </x:c>
      <x:c r="AX151" s="27" t="n">
        <x:v>1</x:v>
      </x:c>
      <x:c r="AY151" s="27" t="n">
        <x:v>0.30000000000000004</x:v>
      </x:c>
      <x:c r="AZ151" s="27" t="n">
        <x:v>65918768.13112119</x:v>
      </x:c>
    </x:row>
    <x:row r="152">
      <x:c r="A152" s="27" t="n">
        <x:v>45702</x:v>
      </x:c>
      <x:c r="B152" s="27" t="str">
        <x:v>IND_ASSET_MANAGER_001</x:v>
      </x:c>
      <x:c r="C152" s="27" t="n">
        <x:v>3050</x:v>
      </x:c>
      <x:c r="D152" s="27" t="str">
        <x:v>IND-000149</x:v>
      </x:c>
      <x:c r="E152" s="27" t="str">
        <x:v>Interest Rate FRA</x:v>
      </x:c>
      <x:c r="F152" s="27" t="str">
        <x:v>Interest Rate</x:v>
      </x:c>
      <x:c r="G152" s="27"/>
      <x:c r="H152" s="27" t="str">
        <x:v>CNY</x:v>
      </x:c>
      <x:c r="I152" s="27" t="str">
        <x:v>CNY</x:v>
      </x:c>
      <x:c r="J152" s="27" t="str">
        <x:v>CNY</x:v>
      </x:c>
      <x:c r="K152" s="27"/>
      <x:c r="L152" s="27"/>
      <x:c r="M152" s="27" t="str">
        <x:v>CNY</x:v>
      </x:c>
      <x:c r="N152" s="27"/>
      <x:c r="O152" s="27"/>
      <x:c r="P152" s="27" t="n">
        <x:v>45862</x:v>
      </x:c>
      <x:c r="Q152" s="27" t="n">
        <x:v>45163</x:v>
      </x:c>
      <x:c r="R152" s="27" t="n">
        <x:v>45862</x:v>
      </x:c>
      <x:c r="S152" s="27" t="n">
        <x:v>180714285.71</x:v>
      </x:c>
      <x:c r="T152" s="27" t="n">
        <x:v>180714285.71</x:v>
      </x:c>
      <x:c r="U152" s="27" t="n">
        <x:v>25300000</x:v>
      </x:c>
      <x:c r="V152" s="27" t="str">
        <x:v>M</x:v>
      </x:c>
      <x:c r="W152" s="27" t="str">
        <x:v>N</x:v>
      </x:c>
      <x:c r="X152" s="27" t="n">
        <x:v>10</x:v>
      </x:c>
      <x:c r="Y152" s="27" t="str">
        <x:v>B</x:v>
      </x:c>
      <x:c r="Z152" s="27"/>
      <x:c r="AA152" s="27"/>
      <x:c r="AB152" s="27" t="n">
        <x:v>0</x:v>
      </x:c>
      <x:c r="AC152" s="27" t="n">
        <x:v>0</x:v>
      </x:c>
      <x:c r="AD152" s="27" t="n">
        <x:v>101554.2</x:v>
      </x:c>
      <x:c r="AE152" s="27" t="str">
        <x:v>Public-safe anonymized industry-style SA-CCR sample</x:v>
      </x:c>
      <x:c r="AF152" s="27" t="str">
        <x:v>ANON-000149</x:v>
      </x:c>
      <x:c r="AG152" s="27" t="str">
        <x:v>Interest Rate FRA</x:v>
      </x:c>
      <x:c r="AH152" s="27"/>
      <x:c r="AI152" s="27" t="str">
        <x:v>CNY</x:v>
      </x:c>
      <x:c r="AJ152" s="27" t="n">
        <x:v>160</x:v>
      </x:c>
      <x:c r="AK152" s="27" t="n">
        <x:v>0.4383561643835616</x:v>
      </x:c>
      <x:c r="AL152" s="27" t="str">
        <x:v>&lt;1Y</x:v>
      </x:c>
      <x:c r="AM152" s="27"/>
      <x:c r="AN152" s="27" t="str">
        <x:v>Unknown</x:v>
      </x:c>
      <x:c r="AO152" s="27" t="str">
        <x:v>CNY</x:v>
      </x:c>
      <x:c r="AP152" s="27" t="str">
        <x:v>M</x:v>
      </x:c>
      <x:c r="AQ152" s="27" t="n">
        <x:v>0.005</x:v>
      </x:c>
      <x:c r="AR152" s="27" t="n">
        <x:v>1</x:v>
      </x:c>
      <x:c r="AS152" s="27" t="n">
        <x:v>0.005</x:v>
      </x:c>
      <x:c r="AT152" s="27"/>
      <x:c r="AU152" s="27" t="n">
        <x:v>0.43358716674926745</x:v>
      </x:c>
      <x:c r="AV152" s="27" t="n">
        <x:v>10969755.318756467</x:v>
      </x:c>
      <x:c r="AW152" s="27" t="n">
        <x:v>0.5</x:v>
      </x:c>
      <x:c r="AX152" s="27" t="n">
        <x:v>1</x:v>
      </x:c>
      <x:c r="AY152" s="27" t="n">
        <x:v>0.30000000000000004</x:v>
      </x:c>
      <x:c r="AZ152" s="27" t="n">
        <x:v>3290926.5956269405</x:v>
      </x:c>
    </x:row>
    <x:row r="153">
      <x:c r="A153" s="27" t="n">
        <x:v>45702</x:v>
      </x:c>
      <x:c r="B153" s="27" t="str">
        <x:v>IND_ASSET_MANAGER_001</x:v>
      </x:c>
      <x:c r="C153" s="27" t="n">
        <x:v>3222</x:v>
      </x:c>
      <x:c r="D153" s="27" t="str">
        <x:v>IND-000150</x:v>
      </x:c>
      <x:c r="E153" s="27" t="str">
        <x:v>Interest Rate FRA</x:v>
      </x:c>
      <x:c r="F153" s="27" t="str">
        <x:v>Interest Rate</x:v>
      </x:c>
      <x:c r="G153" s="27"/>
      <x:c r="H153" s="27" t="str">
        <x:v>CNY</x:v>
      </x:c>
      <x:c r="I153" s="27" t="str">
        <x:v>CNY</x:v>
      </x:c>
      <x:c r="J153" s="27" t="str">
        <x:v>CNY</x:v>
      </x:c>
      <x:c r="K153" s="27"/>
      <x:c r="L153" s="27"/>
      <x:c r="M153" s="27" t="str">
        <x:v>CNY</x:v>
      </x:c>
      <x:c r="N153" s="27"/>
      <x:c r="O153" s="27"/>
      <x:c r="P153" s="27" t="n">
        <x:v>45880</x:v>
      </x:c>
      <x:c r="Q153" s="27" t="n">
        <x:v>45292</x:v>
      </x:c>
      <x:c r="R153" s="27" t="n">
        <x:v>45880</x:v>
      </x:c>
      <x:c r="S153" s="27" t="n">
        <x:v>842857142.86</x:v>
      </x:c>
      <x:c r="T153" s="27" t="n">
        <x:v>842857142.86</x:v>
      </x:c>
      <x:c r="U153" s="27" t="n">
        <x:v>118000000</x:v>
      </x:c>
      <x:c r="V153" s="27" t="str">
        <x:v>U</x:v>
      </x:c>
      <x:c r="W153" s="27" t="str">
        <x:v>Y</x:v>
      </x:c>
      <x:c r="X153" s="27" t="n">
        <x:v>5</x:v>
      </x:c>
      <x:c r="Y153" s="27" t="str">
        <x:v>B</x:v>
      </x:c>
      <x:c r="Z153" s="27"/>
      <x:c r="AA153" s="27"/>
      <x:c r="AB153" s="27" t="n">
        <x:v>0</x:v>
      </x:c>
      <x:c r="AC153" s="27" t="n">
        <x:v>0</x:v>
      </x:c>
      <x:c r="AD153" s="27" t="n">
        <x:v>-454536</x:v>
      </x:c>
      <x:c r="AE153" s="27" t="str">
        <x:v>Public-safe anonymized industry-style SA-CCR sample</x:v>
      </x:c>
      <x:c r="AF153" s="27" t="str">
        <x:v>ANON-000150</x:v>
      </x:c>
      <x:c r="AG153" s="27" t="str">
        <x:v>Interest Rate FRA</x:v>
      </x:c>
      <x:c r="AH153" s="27"/>
      <x:c r="AI153" s="27" t="str">
        <x:v>CNY</x:v>
      </x:c>
      <x:c r="AJ153" s="27" t="n">
        <x:v>178</x:v>
      </x:c>
      <x:c r="AK153" s="27" t="n">
        <x:v>0.4876712328767123</x:v>
      </x:c>
      <x:c r="AL153" s="27" t="str">
        <x:v>&lt;1Y</x:v>
      </x:c>
      <x:c r="AM153" s="27"/>
      <x:c r="AN153" s="27" t="str">
        <x:v>Unknown</x:v>
      </x:c>
      <x:c r="AO153" s="27" t="str">
        <x:v>CNY</x:v>
      </x:c>
      <x:c r="AP153" s="27" t="str">
        <x:v>U</x:v>
      </x:c>
      <x:c r="AQ153" s="27" t="n">
        <x:v>0.005</x:v>
      </x:c>
      <x:c r="AR153" s="27" t="n">
        <x:v>1</x:v>
      </x:c>
      <x:c r="AS153" s="27" t="n">
        <x:v>0.005</x:v>
      </x:c>
      <x:c r="AT153" s="27"/>
      <x:c r="AU153" s="27" t="n">
        <x:v>0.4817736837522002</x:v>
      </x:c>
      <x:c r="AV153" s="27" t="n">
        <x:v>56849294.68275962</x:v>
      </x:c>
      <x:c r="AW153" s="27" t="n">
        <x:v>0.5</x:v>
      </x:c>
      <x:c r="AX153" s="27" t="n">
        <x:v>1</x:v>
      </x:c>
      <x:c r="AY153" s="27" t="n">
        <x:v>0.6983346138325898</x:v>
      </x:c>
      <x:c r="AZ153" s="27" t="n">
        <x:v>39699830.248940036</x:v>
      </x:c>
    </x:row>
    <x:row r="154">
      <x:c r="A154" s="27" t="n">
        <x:v>45702</x:v>
      </x:c>
      <x:c r="B154" s="27" t="str">
        <x:v>IND_CORPORATE_002</x:v>
      </x:c>
      <x:c r="C154" s="27" t="n">
        <x:v>3074</x:v>
      </x:c>
      <x:c r="D154" s="27" t="str">
        <x:v>IND-000151</x:v>
      </x:c>
      <x:c r="E154" s="27" t="str">
        <x:v>OIS</x:v>
      </x:c>
      <x:c r="F154" s="27" t="str">
        <x:v>Interest Rate</x:v>
      </x:c>
      <x:c r="G154" s="27"/>
      <x:c r="H154" s="27" t="str">
        <x:v>USD</x:v>
      </x:c>
      <x:c r="I154" s="27" t="str">
        <x:v>USD</x:v>
      </x:c>
      <x:c r="J154" s="27" t="str">
        <x:v>USD</x:v>
      </x:c>
      <x:c r="K154" s="27"/>
      <x:c r="L154" s="27"/>
      <x:c r="M154" s="27" t="str">
        <x:v>USD</x:v>
      </x:c>
      <x:c r="N154" s="27"/>
      <x:c r="O154" s="27"/>
      <x:c r="P154" s="27" t="n">
        <x:v>46541</x:v>
      </x:c>
      <x:c r="Q154" s="27" t="n">
        <x:v>45456</x:v>
      </x:c>
      <x:c r="R154" s="27" t="n">
        <x:v>46541</x:v>
      </x:c>
      <x:c r="S154" s="27" t="n">
        <x:v>530000000</x:v>
      </x:c>
      <x:c r="T154" s="27" t="n">
        <x:v>530000000</x:v>
      </x:c>
      <x:c r="U154" s="27" t="n">
        <x:v>530000000</x:v>
      </x:c>
      <x:c r="V154" s="27" t="str">
        <x:v>M</x:v>
      </x:c>
      <x:c r="W154" s="27" t="str">
        <x:v>N</x:v>
      </x:c>
      <x:c r="X154" s="27" t="n">
        <x:v>10</x:v>
      </x:c>
      <x:c r="Y154" s="27" t="str">
        <x:v>S</x:v>
      </x:c>
      <x:c r="Z154" s="27"/>
      <x:c r="AA154" s="27"/>
      <x:c r="AB154" s="27" t="n">
        <x:v>0</x:v>
      </x:c>
      <x:c r="AC154" s="27" t="n">
        <x:v>0</x:v>
      </x:c>
      <x:c r="AD154" s="27" t="n">
        <x:v>-337080</x:v>
      </x:c>
      <x:c r="AE154" s="27" t="str">
        <x:v>Public-safe anonymized industry-style SA-CCR sample</x:v>
      </x:c>
      <x:c r="AF154" s="27" t="str">
        <x:v>ANON-000151</x:v>
      </x:c>
      <x:c r="AG154" s="27" t="str">
        <x:v>OIS</x:v>
      </x:c>
      <x:c r="AH154" s="27"/>
      <x:c r="AI154" s="27" t="str">
        <x:v>USD</x:v>
      </x:c>
      <x:c r="AJ154" s="27" t="n">
        <x:v>839</x:v>
      </x:c>
      <x:c r="AK154" s="27" t="n">
        <x:v>2.2986301369863016</x:v>
      </x:c>
      <x:c r="AL154" s="27" t="str">
        <x:v>1Y-5Y</x:v>
      </x:c>
      <x:c r="AM154" s="27"/>
      <x:c r="AN154" s="27" t="str">
        <x:v>Unknown</x:v>
      </x:c>
      <x:c r="AO154" s="27" t="str">
        <x:v>USD</x:v>
      </x:c>
      <x:c r="AP154" s="27" t="str">
        <x:v>M</x:v>
      </x:c>
      <x:c r="AQ154" s="27" t="n">
        <x:v>0.005</x:v>
      </x:c>
      <x:c r="AR154" s="27" t="n">
        <x:v>1</x:v>
      </x:c>
      <x:c r="AS154" s="27" t="n">
        <x:v>0.005</x:v>
      </x:c>
      <x:c r="AT154" s="27"/>
      <x:c r="AU154" s="27" t="n">
        <x:v>2.171456030533452</x:v>
      </x:c>
      <x:c r="AV154" s="27" t="n">
        <x:v>1150871696.1827295</x:v>
      </x:c>
      <x:c r="AW154" s="27" t="n">
        <x:v>0.5</x:v>
      </x:c>
      <x:c r="AX154" s="27" t="n">
        <x:v>-1</x:v>
      </x:c>
      <x:c r="AY154" s="27" t="n">
        <x:v>0.30000000000000004</x:v>
      </x:c>
      <x:c r="AZ154" s="27" t="n">
        <x:v>-345261508.8548189</x:v>
      </x:c>
    </x:row>
    <x:row r="155">
      <x:c r="A155" s="27" t="n">
        <x:v>45702</x:v>
      </x:c>
      <x:c r="B155" s="27" t="str">
        <x:v>IND_BANK_002</x:v>
      </x:c>
      <x:c r="C155" s="27" t="n">
        <x:v>3049</x:v>
      </x:c>
      <x:c r="D155" s="27" t="str">
        <x:v>IND-000152</x:v>
      </x:c>
      <x:c r="E155" s="27" t="str">
        <x:v>OIS</x:v>
      </x:c>
      <x:c r="F155" s="27" t="str">
        <x:v>Interest Rate</x:v>
      </x:c>
      <x:c r="G155" s="27"/>
      <x:c r="H155" s="27" t="str">
        <x:v>EUR</x:v>
      </x:c>
      <x:c r="I155" s="27" t="str">
        <x:v>EUR</x:v>
      </x:c>
      <x:c r="J155" s="27" t="str">
        <x:v>EUR</x:v>
      </x:c>
      <x:c r="K155" s="27"/>
      <x:c r="L155" s="27"/>
      <x:c r="M155" s="27" t="str">
        <x:v>EUR</x:v>
      </x:c>
      <x:c r="N155" s="27"/>
      <x:c r="O155" s="27"/>
      <x:c r="P155" s="27" t="n">
        <x:v>46114</x:v>
      </x:c>
      <x:c r="Q155" s="27" t="n">
        <x:v>45207</x:v>
      </x:c>
      <x:c r="R155" s="27" t="n">
        <x:v>46114</x:v>
      </x:c>
      <x:c r="S155" s="27" t="n">
        <x:v>399047619.05</x:v>
      </x:c>
      <x:c r="T155" s="27" t="n">
        <x:v>399047619.05</x:v>
      </x:c>
      <x:c r="U155" s="27" t="n">
        <x:v>419000000</x:v>
      </x:c>
      <x:c r="V155" s="27" t="str">
        <x:v>M</x:v>
      </x:c>
      <x:c r="W155" s="27" t="str">
        <x:v>Y</x:v>
      </x:c>
      <x:c r="X155" s="27" t="n">
        <x:v>5</x:v>
      </x:c>
      <x:c r="Y155" s="27" t="str">
        <x:v>B</x:v>
      </x:c>
      <x:c r="Z155" s="27"/>
      <x:c r="AA155" s="27"/>
      <x:c r="AB155" s="27" t="n">
        <x:v>0</x:v>
      </x:c>
      <x:c r="AC155" s="27" t="n">
        <x:v>0</x:v>
      </x:c>
      <x:c r="AD155" s="27" t="n">
        <x:v>610902</x:v>
      </x:c>
      <x:c r="AE155" s="27" t="str">
        <x:v>Public-safe anonymized industry-style SA-CCR sample</x:v>
      </x:c>
      <x:c r="AF155" s="27" t="str">
        <x:v>ANON-000152</x:v>
      </x:c>
      <x:c r="AG155" s="27" t="str">
        <x:v>OIS</x:v>
      </x:c>
      <x:c r="AH155" s="27"/>
      <x:c r="AI155" s="27" t="str">
        <x:v>EUR</x:v>
      </x:c>
      <x:c r="AJ155" s="27" t="n">
        <x:v>412</x:v>
      </x:c>
      <x:c r="AK155" s="27" t="n">
        <x:v>1.1287671232876713</x:v>
      </x:c>
      <x:c r="AL155" s="27" t="str">
        <x:v>1Y-5Y</x:v>
      </x:c>
      <x:c r="AM155" s="27"/>
      <x:c r="AN155" s="27" t="str">
        <x:v>Unknown</x:v>
      </x:c>
      <x:c r="AO155" s="27" t="str">
        <x:v>EUR</x:v>
      </x:c>
      <x:c r="AP155" s="27" t="str">
        <x:v>M</x:v>
      </x:c>
      <x:c r="AQ155" s="27" t="n">
        <x:v>0.005</x:v>
      </x:c>
      <x:c r="AR155" s="27" t="n">
        <x:v>1</x:v>
      </x:c>
      <x:c r="AS155" s="27" t="n">
        <x:v>0.005</x:v>
      </x:c>
      <x:c r="AT155" s="27"/>
      <x:c r="AU155" s="27" t="n">
        <x:v>1.0975051237238187</x:v>
      </x:c>
      <x:c r="AV155" s="27" t="n">
        <x:v>459854646.84028006</x:v>
      </x:c>
      <x:c r="AW155" s="27" t="n">
        <x:v>0.5</x:v>
      </x:c>
      <x:c r="AX155" s="27" t="n">
        <x:v>1</x:v>
      </x:c>
      <x:c r="AY155" s="27" t="n">
        <x:v>0.21213203435596426</x:v>
      </x:c>
      <x:c r="AZ155" s="27" t="n">
        <x:v>97549901.7422721</x:v>
      </x:c>
    </x:row>
    <x:row r="156">
      <x:c r="A156" s="27" t="n">
        <x:v>45702</x:v>
      </x:c>
      <x:c r="B156" s="27" t="str">
        <x:v>IND_CLEARING_MEMBER_001</x:v>
      </x:c>
      <x:c r="C156" s="27" t="n">
        <x:v>3399</x:v>
      </x:c>
      <x:c r="D156" s="27" t="str">
        <x:v>IND-000153</x:v>
      </x:c>
      <x:c r="E156" s="27" t="str">
        <x:v>OIS</x:v>
      </x:c>
      <x:c r="F156" s="27" t="str">
        <x:v>Interest Rate</x:v>
      </x:c>
      <x:c r="G156" s="27"/>
      <x:c r="H156" s="27" t="str">
        <x:v>EUR</x:v>
      </x:c>
      <x:c r="I156" s="27" t="str">
        <x:v>EUR</x:v>
      </x:c>
      <x:c r="J156" s="27" t="str">
        <x:v>EUR</x:v>
      </x:c>
      <x:c r="K156" s="27"/>
      <x:c r="L156" s="27"/>
      <x:c r="M156" s="27" t="str">
        <x:v>EUR</x:v>
      </x:c>
      <x:c r="N156" s="27"/>
      <x:c r="O156" s="27"/>
      <x:c r="P156" s="27" t="n">
        <x:v>47407</x:v>
      </x:c>
      <x:c r="Q156" s="27" t="n">
        <x:v>45416</x:v>
      </x:c>
      <x:c r="R156" s="27" t="n">
        <x:v>47407</x:v>
      </x:c>
      <x:c r="S156" s="27" t="n">
        <x:v>931428571.43</x:v>
      </x:c>
      <x:c r="T156" s="27" t="n">
        <x:v>931428571.43</x:v>
      </x:c>
      <x:c r="U156" s="27" t="n">
        <x:v>978000000</x:v>
      </x:c>
      <x:c r="V156" s="27" t="str">
        <x:v>U</x:v>
      </x:c>
      <x:c r="W156" s="27" t="str">
        <x:v>Y</x:v>
      </x:c>
      <x:c r="X156" s="27" t="n">
        <x:v>5</x:v>
      </x:c>
      <x:c r="Y156" s="27" t="str">
        <x:v>B</x:v>
      </x:c>
      <x:c r="Z156" s="27"/>
      <x:c r="AA156" s="27"/>
      <x:c r="AB156" s="27" t="n">
        <x:v>0</x:v>
      </x:c>
      <x:c r="AC156" s="27" t="n">
        <x:v>0</x:v>
      </x:c>
      <x:c r="AD156" s="27" t="n">
        <x:v>1525680</x:v>
      </x:c>
      <x:c r="AE156" s="27" t="str">
        <x:v>Public-safe anonymized industry-style SA-CCR sample</x:v>
      </x:c>
      <x:c r="AF156" s="27" t="str">
        <x:v>ANON-000153</x:v>
      </x:c>
      <x:c r="AG156" s="27" t="str">
        <x:v>OIS</x:v>
      </x:c>
      <x:c r="AH156" s="27"/>
      <x:c r="AI156" s="27" t="str">
        <x:v>EUR</x:v>
      </x:c>
      <x:c r="AJ156" s="27" t="n">
        <x:v>1705</x:v>
      </x:c>
      <x:c r="AK156" s="27" t="n">
        <x:v>4.671232876712328</x:v>
      </x:c>
      <x:c r="AL156" s="27" t="str">
        <x:v>1Y-5Y</x:v>
      </x:c>
      <x:c r="AM156" s="27"/>
      <x:c r="AN156" s="27" t="str">
        <x:v>Unknown</x:v>
      </x:c>
      <x:c r="AO156" s="27" t="str">
        <x:v>EUR</x:v>
      </x:c>
      <x:c r="AP156" s="27" t="str">
        <x:v>U</x:v>
      </x:c>
      <x:c r="AQ156" s="27" t="n">
        <x:v>0.005</x:v>
      </x:c>
      <x:c r="AR156" s="27" t="n">
        <x:v>1</x:v>
      </x:c>
      <x:c r="AS156" s="27" t="n">
        <x:v>0.005</x:v>
      </x:c>
      <x:c r="AT156" s="27"/>
      <x:c r="AU156" s="27" t="n">
        <x:v>4.165824194610776</x:v>
      </x:c>
      <x:c r="AV156" s="27" t="n">
        <x:v>4074176062.329339</x:v>
      </x:c>
      <x:c r="AW156" s="27" t="n">
        <x:v>0.5</x:v>
      </x:c>
      <x:c r="AX156" s="27" t="n">
        <x:v>1</x:v>
      </x:c>
      <x:c r="AY156" s="27" t="n">
        <x:v>1</x:v>
      </x:c>
      <x:c r="AZ156" s="27" t="n">
        <x:v>4074176062.329339</x:v>
      </x:c>
    </x:row>
    <x:row r="157">
      <x:c r="A157" s="27" t="n">
        <x:v>45702</x:v>
      </x:c>
      <x:c r="B157" s="27" t="str">
        <x:v>IND_REGIONAL_BANK_001</x:v>
      </x:c>
      <x:c r="C157" s="27" t="n">
        <x:v>3315</x:v>
      </x:c>
      <x:c r="D157" s="27" t="str">
        <x:v>IND-000154</x:v>
      </x:c>
      <x:c r="E157" s="27" t="str">
        <x:v>OIS</x:v>
      </x:c>
      <x:c r="F157" s="27" t="str">
        <x:v>Interest Rate</x:v>
      </x:c>
      <x:c r="G157" s="27"/>
      <x:c r="H157" s="27" t="str">
        <x:v>CNY</x:v>
      </x:c>
      <x:c r="I157" s="27" t="str">
        <x:v>CNY</x:v>
      </x:c>
      <x:c r="J157" s="27" t="str">
        <x:v>CNY</x:v>
      </x:c>
      <x:c r="K157" s="27"/>
      <x:c r="L157" s="27"/>
      <x:c r="M157" s="27" t="str">
        <x:v>CNY</x:v>
      </x:c>
      <x:c r="N157" s="27"/>
      <x:c r="O157" s="27"/>
      <x:c r="P157" s="27" t="n">
        <x:v>48163</x:v>
      </x:c>
      <x:c r="Q157" s="27" t="n">
        <x:v>45345</x:v>
      </x:c>
      <x:c r="R157" s="27" t="n">
        <x:v>48163</x:v>
      </x:c>
      <x:c r="S157" s="27" t="n">
        <x:v>489285714.29</x:v>
      </x:c>
      <x:c r="T157" s="27" t="n">
        <x:v>489285714.29</x:v>
      </x:c>
      <x:c r="U157" s="27" t="n">
        <x:v>68500000</x:v>
      </x:c>
      <x:c r="V157" s="27" t="str">
        <x:v>M</x:v>
      </x:c>
      <x:c r="W157" s="27" t="str">
        <x:v>Y</x:v>
      </x:c>
      <x:c r="X157" s="27" t="n">
        <x:v>5</x:v>
      </x:c>
      <x:c r="Y157" s="27" t="str">
        <x:v>B</x:v>
      </x:c>
      <x:c r="Z157" s="27"/>
      <x:c r="AA157" s="27"/>
      <x:c r="AB157" s="27" t="n">
        <x:v>0</x:v>
      </x:c>
      <x:c r="AC157" s="27" t="n">
        <x:v>0</x:v>
      </x:c>
      <x:c r="AD157" s="27" t="n">
        <x:v>300852</x:v>
      </x:c>
      <x:c r="AE157" s="27" t="str">
        <x:v>Public-safe anonymized industry-style SA-CCR sample</x:v>
      </x:c>
      <x:c r="AF157" s="27" t="str">
        <x:v>ANON-000154</x:v>
      </x:c>
      <x:c r="AG157" s="27" t="str">
        <x:v>OIS</x:v>
      </x:c>
      <x:c r="AH157" s="27"/>
      <x:c r="AI157" s="27" t="str">
        <x:v>CNY</x:v>
      </x:c>
      <x:c r="AJ157" s="27" t="n">
        <x:v>2461</x:v>
      </x:c>
      <x:c r="AK157" s="27" t="n">
        <x:v>6.742465753424658</x:v>
      </x:c>
      <x:c r="AL157" s="27" t="str">
        <x:v>&gt;5Y</x:v>
      </x:c>
      <x:c r="AM157" s="27"/>
      <x:c r="AN157" s="27" t="str">
        <x:v>Unknown</x:v>
      </x:c>
      <x:c r="AO157" s="27" t="str">
        <x:v>CNY</x:v>
      </x:c>
      <x:c r="AP157" s="27" t="str">
        <x:v>M</x:v>
      </x:c>
      <x:c r="AQ157" s="27" t="n">
        <x:v>0.005</x:v>
      </x:c>
      <x:c r="AR157" s="27" t="n">
        <x:v>1</x:v>
      </x:c>
      <x:c r="AS157" s="27" t="n">
        <x:v>0.005</x:v>
      </x:c>
      <x:c r="AT157" s="27"/>
      <x:c r="AU157" s="27" t="n">
        <x:v>5.72358341660387</x:v>
      </x:c>
      <x:c r="AV157" s="27" t="n">
        <x:v>392065464.0373651</x:v>
      </x:c>
      <x:c r="AW157" s="27" t="n">
        <x:v>0.5</x:v>
      </x:c>
      <x:c r="AX157" s="27" t="n">
        <x:v>1</x:v>
      </x:c>
      <x:c r="AY157" s="27" t="n">
        <x:v>0.21213203435596426</x:v>
      </x:c>
      <x:c r="AZ157" s="27" t="n">
        <x:v>83169644.4869614</x:v>
      </x:c>
    </x:row>
    <x:row r="158">
      <x:c r="A158" s="27" t="n">
        <x:v>45702</x:v>
      </x:c>
      <x:c r="B158" s="27" t="str">
        <x:v>IND_CORPORATE_002</x:v>
      </x:c>
      <x:c r="C158" s="27" t="n">
        <x:v>3074</x:v>
      </x:c>
      <x:c r="D158" s="27" t="str">
        <x:v>IND-000155</x:v>
      </x:c>
      <x:c r="E158" s="27" t="str">
        <x:v>OIS</x:v>
      </x:c>
      <x:c r="F158" s="27" t="str">
        <x:v>Interest Rate</x:v>
      </x:c>
      <x:c r="G158" s="27"/>
      <x:c r="H158" s="27" t="str">
        <x:v>USD</x:v>
      </x:c>
      <x:c r="I158" s="27" t="str">
        <x:v>USD</x:v>
      </x:c>
      <x:c r="J158" s="27" t="str">
        <x:v>USD</x:v>
      </x:c>
      <x:c r="K158" s="27"/>
      <x:c r="L158" s="27"/>
      <x:c r="M158" s="27" t="str">
        <x:v>USD</x:v>
      </x:c>
      <x:c r="N158" s="27"/>
      <x:c r="O158" s="27"/>
      <x:c r="P158" s="27" t="n">
        <x:v>49582</x:v>
      </x:c>
      <x:c r="Q158" s="27" t="n">
        <x:v>45181</x:v>
      </x:c>
      <x:c r="R158" s="27" t="n">
        <x:v>49582</x:v>
      </x:c>
      <x:c r="S158" s="27" t="n">
        <x:v>949000000</x:v>
      </x:c>
      <x:c r="T158" s="27" t="n">
        <x:v>949000000</x:v>
      </x:c>
      <x:c r="U158" s="27" t="n">
        <x:v>949000000</x:v>
      </x:c>
      <x:c r="V158" s="27" t="str">
        <x:v>M</x:v>
      </x:c>
      <x:c r="W158" s="27" t="str">
        <x:v>N</x:v>
      </x:c>
      <x:c r="X158" s="27" t="n">
        <x:v>10</x:v>
      </x:c>
      <x:c r="Y158" s="27" t="str">
        <x:v>S</x:v>
      </x:c>
      <x:c r="Z158" s="27"/>
      <x:c r="AA158" s="27"/>
      <x:c r="AB158" s="27" t="n">
        <x:v>0</x:v>
      </x:c>
      <x:c r="AC158" s="27" t="n">
        <x:v>0</x:v>
      </x:c>
      <x:c r="AD158" s="27" t="n">
        <x:v>-3763734</x:v>
      </x:c>
      <x:c r="AE158" s="27" t="str">
        <x:v>Public-safe anonymized industry-style SA-CCR sample</x:v>
      </x:c>
      <x:c r="AF158" s="27" t="str">
        <x:v>ANON-000155</x:v>
      </x:c>
      <x:c r="AG158" s="27" t="str">
        <x:v>OIS</x:v>
      </x:c>
      <x:c r="AH158" s="27"/>
      <x:c r="AI158" s="27" t="str">
        <x:v>USD</x:v>
      </x:c>
      <x:c r="AJ158" s="27" t="n">
        <x:v>3880</x:v>
      </x:c>
      <x:c r="AK158" s="27" t="n">
        <x:v>10.63013698630137</x:v>
      </x:c>
      <x:c r="AL158" s="27" t="str">
        <x:v>&gt;5Y</x:v>
      </x:c>
      <x:c r="AM158" s="27"/>
      <x:c r="AN158" s="27" t="str">
        <x:v>Unknown</x:v>
      </x:c>
      <x:c r="AO158" s="27" t="str">
        <x:v>USD</x:v>
      </x:c>
      <x:c r="AP158" s="27" t="str">
        <x:v>M</x:v>
      </x:c>
      <x:c r="AQ158" s="27" t="n">
        <x:v>0.005</x:v>
      </x:c>
      <x:c r="AR158" s="27" t="n">
        <x:v>1</x:v>
      </x:c>
      <x:c r="AS158" s="27" t="n">
        <x:v>0.005</x:v>
      </x:c>
      <x:c r="AT158" s="27"/>
      <x:c r="AU158" s="27" t="n">
        <x:v>8.245626028217236</x:v>
      </x:c>
      <x:c r="AV158" s="27" t="n">
        <x:v>7825099100.778157</x:v>
      </x:c>
      <x:c r="AW158" s="27" t="n">
        <x:v>0.5</x:v>
      </x:c>
      <x:c r="AX158" s="27" t="n">
        <x:v>-1</x:v>
      </x:c>
      <x:c r="AY158" s="27" t="n">
        <x:v>0.30000000000000004</x:v>
      </x:c>
      <x:c r="AZ158" s="27" t="n">
        <x:v>-2347529730.2334476</x:v>
      </x:c>
    </x:row>
    <x:row r="159">
      <x:c r="A159" s="27" t="n">
        <x:v>45702</x:v>
      </x:c>
      <x:c r="B159" s="27" t="str">
        <x:v>IND_CORPORATE_002</x:v>
      </x:c>
      <x:c r="C159" s="27" t="n">
        <x:v>3074</x:v>
      </x:c>
      <x:c r="D159" s="27" t="str">
        <x:v>IND-000156</x:v>
      </x:c>
      <x:c r="E159" s="27" t="str">
        <x:v>OIS</x:v>
      </x:c>
      <x:c r="F159" s="27" t="str">
        <x:v>Interest Rate</x:v>
      </x:c>
      <x:c r="G159" s="27"/>
      <x:c r="H159" s="27" t="str">
        <x:v>USD</x:v>
      </x:c>
      <x:c r="I159" s="27" t="str">
        <x:v>USD</x:v>
      </x:c>
      <x:c r="J159" s="27" t="str">
        <x:v>USD</x:v>
      </x:c>
      <x:c r="K159" s="27"/>
      <x:c r="L159" s="27"/>
      <x:c r="M159" s="27" t="str">
        <x:v>USD</x:v>
      </x:c>
      <x:c r="N159" s="27"/>
      <x:c r="O159" s="27"/>
      <x:c r="P159" s="27" t="n">
        <x:v>46906</x:v>
      </x:c>
      <x:c r="Q159" s="27" t="n">
        <x:v>45649</x:v>
      </x:c>
      <x:c r="R159" s="27" t="n">
        <x:v>46906</x:v>
      </x:c>
      <x:c r="S159" s="27" t="n">
        <x:v>221000000</x:v>
      </x:c>
      <x:c r="T159" s="27" t="n">
        <x:v>221000000</x:v>
      </x:c>
      <x:c r="U159" s="27" t="n">
        <x:v>221000000</x:v>
      </x:c>
      <x:c r="V159" s="27" t="str">
        <x:v>M</x:v>
      </x:c>
      <x:c r="W159" s="27" t="str">
        <x:v>Y</x:v>
      </x:c>
      <x:c r="X159" s="27" t="n">
        <x:v>5</x:v>
      </x:c>
      <x:c r="Y159" s="27" t="str">
        <x:v>B</x:v>
      </x:c>
      <x:c r="Z159" s="27"/>
      <x:c r="AA159" s="27"/>
      <x:c r="AB159" s="27" t="n">
        <x:v>0</x:v>
      </x:c>
      <x:c r="AC159" s="27" t="n">
        <x:v>0</x:v>
      </x:c>
      <x:c r="AD159" s="27" t="n">
        <x:v>163098</x:v>
      </x:c>
      <x:c r="AE159" s="27" t="str">
        <x:v>Public-safe anonymized industry-style SA-CCR sample</x:v>
      </x:c>
      <x:c r="AF159" s="27" t="str">
        <x:v>ANON-000156</x:v>
      </x:c>
      <x:c r="AG159" s="27" t="str">
        <x:v>OIS</x:v>
      </x:c>
      <x:c r="AH159" s="27"/>
      <x:c r="AI159" s="27" t="str">
        <x:v>USD</x:v>
      </x:c>
      <x:c r="AJ159" s="27" t="n">
        <x:v>1204</x:v>
      </x:c>
      <x:c r="AK159" s="27" t="n">
        <x:v>3.2986301369863016</x:v>
      </x:c>
      <x:c r="AL159" s="27" t="str">
        <x:v>1Y-5Y</x:v>
      </x:c>
      <x:c r="AM159" s="27"/>
      <x:c r="AN159" s="27" t="str">
        <x:v>Unknown</x:v>
      </x:c>
      <x:c r="AO159" s="27" t="str">
        <x:v>USD</x:v>
      </x:c>
      <x:c r="AP159" s="27" t="str">
        <x:v>M</x:v>
      </x:c>
      <x:c r="AQ159" s="27" t="n">
        <x:v>0.005</x:v>
      </x:c>
      <x:c r="AR159" s="27" t="n">
        <x:v>1</x:v>
      </x:c>
      <x:c r="AS159" s="27" t="n">
        <x:v>0.005</x:v>
      </x:c>
      <x:c r="AT159" s="27"/>
      <x:c r="AU159" s="27" t="n">
        <x:v>3.040964380238662</x:v>
      </x:c>
      <x:c r="AV159" s="27" t="n">
        <x:v>672053128.0327443</x:v>
      </x:c>
      <x:c r="AW159" s="27" t="n">
        <x:v>0.5</x:v>
      </x:c>
      <x:c r="AX159" s="27" t="n">
        <x:v>1</x:v>
      </x:c>
      <x:c r="AY159" s="27" t="n">
        <x:v>0.21213203435596426</x:v>
      </x:c>
      <x:c r="AZ159" s="27" t="n">
        <x:v>142563997.24487534</x:v>
      </x:c>
    </x:row>
    <x:row r="160">
      <x:c r="A160" s="27" t="n">
        <x:v>45702</x:v>
      </x:c>
      <x:c r="B160" s="27" t="str">
        <x:v>IND_ASSET_MANAGER_001</x:v>
      </x:c>
      <x:c r="C160" s="27" t="n">
        <x:v>3050</x:v>
      </x:c>
      <x:c r="D160" s="27" t="str">
        <x:v>IND-000157</x:v>
      </x:c>
      <x:c r="E160" s="27" t="str">
        <x:v>OIS</x:v>
      </x:c>
      <x:c r="F160" s="27" t="str">
        <x:v>Interest Rate</x:v>
      </x:c>
      <x:c r="G160" s="27"/>
      <x:c r="H160" s="27" t="str">
        <x:v>USD</x:v>
      </x:c>
      <x:c r="I160" s="27" t="str">
        <x:v>USD</x:v>
      </x:c>
      <x:c r="J160" s="27" t="str">
        <x:v>USD</x:v>
      </x:c>
      <x:c r="K160" s="27"/>
      <x:c r="L160" s="27"/>
      <x:c r="M160" s="27" t="str">
        <x:v>USD</x:v>
      </x:c>
      <x:c r="N160" s="27"/>
      <x:c r="O160" s="27"/>
      <x:c r="P160" s="27" t="n">
        <x:v>47573</x:v>
      </x:c>
      <x:c r="Q160" s="27" t="n">
        <x:v>45465</x:v>
      </x:c>
      <x:c r="R160" s="27" t="n">
        <x:v>47573</x:v>
      </x:c>
      <x:c r="S160" s="27" t="n">
        <x:v>712000000</x:v>
      </x:c>
      <x:c r="T160" s="27" t="n">
        <x:v>712000000</x:v>
      </x:c>
      <x:c r="U160" s="27" t="n">
        <x:v>712000000</x:v>
      </x:c>
      <x:c r="V160" s="27" t="str">
        <x:v>M</x:v>
      </x:c>
      <x:c r="W160" s="27" t="str">
        <x:v>Y</x:v>
      </x:c>
      <x:c r="X160" s="27" t="n">
        <x:v>5</x:v>
      </x:c>
      <x:c r="Y160" s="27" t="str">
        <x:v>B</x:v>
      </x:c>
      <x:c r="Z160" s="27"/>
      <x:c r="AA160" s="27"/>
      <x:c r="AB160" s="27" t="n">
        <x:v>0</x:v>
      </x:c>
      <x:c r="AC160" s="27" t="n">
        <x:v>0</x:v>
      </x:c>
      <x:c r="AD160" s="27" t="n">
        <x:v>4058400</x:v>
      </x:c>
      <x:c r="AE160" s="27" t="str">
        <x:v>Public-safe anonymized industry-style SA-CCR sample</x:v>
      </x:c>
      <x:c r="AF160" s="27" t="str">
        <x:v>ANON-000157</x:v>
      </x:c>
      <x:c r="AG160" s="27" t="str">
        <x:v>OIS</x:v>
      </x:c>
      <x:c r="AH160" s="27"/>
      <x:c r="AI160" s="27" t="str">
        <x:v>USD</x:v>
      </x:c>
      <x:c r="AJ160" s="27" t="n">
        <x:v>1871</x:v>
      </x:c>
      <x:c r="AK160" s="27" t="n">
        <x:v>5.126027397260274</x:v>
      </x:c>
      <x:c r="AL160" s="27" t="str">
        <x:v>&gt;5Y</x:v>
      </x:c>
      <x:c r="AM160" s="27"/>
      <x:c r="AN160" s="27" t="str">
        <x:v>Unknown</x:v>
      </x:c>
      <x:c r="AO160" s="27" t="str">
        <x:v>USD</x:v>
      </x:c>
      <x:c r="AP160" s="27" t="str">
        <x:v>M</x:v>
      </x:c>
      <x:c r="AQ160" s="27" t="n">
        <x:v>0.005</x:v>
      </x:c>
      <x:c r="AR160" s="27" t="n">
        <x:v>1</x:v>
      </x:c>
      <x:c r="AS160" s="27" t="n">
        <x:v>0.005</x:v>
      </x:c>
      <x:c r="AT160" s="27"/>
      <x:c r="AU160" s="27" t="n">
        <x:v>4.521825982302312</x:v>
      </x:c>
      <x:c r="AV160" s="27" t="n">
        <x:v>3219540099.399246</x:v>
      </x:c>
      <x:c r="AW160" s="27" t="n">
        <x:v>0.5</x:v>
      </x:c>
      <x:c r="AX160" s="27" t="n">
        <x:v>1</x:v>
      </x:c>
      <x:c r="AY160" s="27" t="n">
        <x:v>0.21213203435596426</x:v>
      </x:c>
      <x:c r="AZ160" s="27" t="n">
        <x:v>682967590.9761654</x:v>
      </x:c>
    </x:row>
    <x:row r="161">
      <x:c r="A161" s="27" t="n">
        <x:v>45702</x:v>
      </x:c>
      <x:c r="B161" s="27" t="str">
        <x:v>IND_BANK_002</x:v>
      </x:c>
      <x:c r="C161" s="27" t="n">
        <x:v>3049</x:v>
      </x:c>
      <x:c r="D161" s="27" t="str">
        <x:v>IND-000158</x:v>
      </x:c>
      <x:c r="E161" s="27" t="str">
        <x:v>OIS</x:v>
      </x:c>
      <x:c r="F161" s="27" t="str">
        <x:v>Interest Rate</x:v>
      </x:c>
      <x:c r="G161" s="27"/>
      <x:c r="H161" s="27" t="str">
        <x:v>EUR</x:v>
      </x:c>
      <x:c r="I161" s="27" t="str">
        <x:v>EUR</x:v>
      </x:c>
      <x:c r="J161" s="27" t="str">
        <x:v>EUR</x:v>
      </x:c>
      <x:c r="K161" s="27"/>
      <x:c r="L161" s="27"/>
      <x:c r="M161" s="27" t="str">
        <x:v>EUR</x:v>
      </x:c>
      <x:c r="N161" s="27"/>
      <x:c r="O161" s="27"/>
      <x:c r="P161" s="27" t="n">
        <x:v>48855</x:v>
      </x:c>
      <x:c r="Q161" s="27" t="n">
        <x:v>45580</x:v>
      </x:c>
      <x:c r="R161" s="27" t="n">
        <x:v>48855</x:v>
      </x:c>
      <x:c r="S161" s="27" t="n">
        <x:v>549523809.52</x:v>
      </x:c>
      <x:c r="T161" s="27" t="n">
        <x:v>549523809.52</x:v>
      </x:c>
      <x:c r="U161" s="27" t="n">
        <x:v>577000000</x:v>
      </x:c>
      <x:c r="V161" s="27" t="str">
        <x:v>M</x:v>
      </x:c>
      <x:c r="W161" s="27" t="str">
        <x:v>Y</x:v>
      </x:c>
      <x:c r="X161" s="27" t="n">
        <x:v>5</x:v>
      </x:c>
      <x:c r="Y161" s="27" t="str">
        <x:v>B</x:v>
      </x:c>
      <x:c r="Z161" s="27"/>
      <x:c r="AA161" s="27"/>
      <x:c r="AB161" s="27" t="n">
        <x:v>0</x:v>
      </x:c>
      <x:c r="AC161" s="27" t="n">
        <x:v>0</x:v>
      </x:c>
      <x:c r="AD161" s="27" t="n">
        <x:v>-405054</x:v>
      </x:c>
      <x:c r="AE161" s="27" t="str">
        <x:v>Public-safe anonymized industry-style SA-CCR sample</x:v>
      </x:c>
      <x:c r="AF161" s="27" t="str">
        <x:v>ANON-000158</x:v>
      </x:c>
      <x:c r="AG161" s="27" t="str">
        <x:v>OIS</x:v>
      </x:c>
      <x:c r="AH161" s="27"/>
      <x:c r="AI161" s="27" t="str">
        <x:v>EUR</x:v>
      </x:c>
      <x:c r="AJ161" s="27" t="n">
        <x:v>3153</x:v>
      </x:c>
      <x:c r="AK161" s="27" t="n">
        <x:v>8.638356164383561</x:v>
      </x:c>
      <x:c r="AL161" s="27" t="str">
        <x:v>&gt;5Y</x:v>
      </x:c>
      <x:c r="AM161" s="27"/>
      <x:c r="AN161" s="27" t="str">
        <x:v>Unknown</x:v>
      </x:c>
      <x:c r="AO161" s="27" t="str">
        <x:v>EUR</x:v>
      </x:c>
      <x:c r="AP161" s="27" t="str">
        <x:v>M</x:v>
      </x:c>
      <x:c r="AQ161" s="27" t="n">
        <x:v>0.005</x:v>
      </x:c>
      <x:c r="AR161" s="27" t="n">
        <x:v>1</x:v>
      </x:c>
      <x:c r="AS161" s="27" t="n">
        <x:v>0.005</x:v>
      </x:c>
      <x:c r="AT161" s="27"/>
      <x:c r="AU161" s="27" t="n">
        <x:v>7.014745228942663</x:v>
      </x:c>
      <x:c r="AV161" s="27" t="n">
        <x:v>4047507997.0999165</x:v>
      </x:c>
      <x:c r="AW161" s="27" t="n">
        <x:v>0.5</x:v>
      </x:c>
      <x:c r="AX161" s="27" t="n">
        <x:v>1</x:v>
      </x:c>
      <x:c r="AY161" s="27" t="n">
        <x:v>0.21213203435596426</x:v>
      </x:c>
      <x:c r="AZ161" s="27" t="n">
        <x:v>858606105.4968395</x:v>
      </x:c>
    </x:row>
    <x:row r="162">
      <x:c r="A162" s="27" t="n">
        <x:v>45702</x:v>
      </x:c>
      <x:c r="B162" s="27" t="str">
        <x:v>IND_INSURER_001</x:v>
      </x:c>
      <x:c r="C162" s="27" t="n">
        <x:v>3297</x:v>
      </x:c>
      <x:c r="D162" s="27" t="str">
        <x:v>IND-000159</x:v>
      </x:c>
      <x:c r="E162" s="27" t="str">
        <x:v>OIS</x:v>
      </x:c>
      <x:c r="F162" s="27" t="str">
        <x:v>Interest Rate</x:v>
      </x:c>
      <x:c r="G162" s="27"/>
      <x:c r="H162" s="27" t="str">
        <x:v>EUR</x:v>
      </x:c>
      <x:c r="I162" s="27" t="str">
        <x:v>EUR</x:v>
      </x:c>
      <x:c r="J162" s="27" t="str">
        <x:v>EUR</x:v>
      </x:c>
      <x:c r="K162" s="27"/>
      <x:c r="L162" s="27"/>
      <x:c r="M162" s="27" t="str">
        <x:v>EUR</x:v>
      </x:c>
      <x:c r="N162" s="27"/>
      <x:c r="O162" s="27"/>
      <x:c r="P162" s="27" t="n">
        <x:v>47359</x:v>
      </x:c>
      <x:c r="Q162" s="27" t="n">
        <x:v>45168</x:v>
      </x:c>
      <x:c r="R162" s="27" t="n">
        <x:v>47359</x:v>
      </x:c>
      <x:c r="S162" s="27" t="n">
        <x:v>547619047.62</x:v>
      </x:c>
      <x:c r="T162" s="27" t="n">
        <x:v>547619047.62</x:v>
      </x:c>
      <x:c r="U162" s="27" t="n">
        <x:v>575000000</x:v>
      </x:c>
      <x:c r="V162" s="27" t="str">
        <x:v>M</x:v>
      </x:c>
      <x:c r="W162" s="27" t="str">
        <x:v>N</x:v>
      </x:c>
      <x:c r="X162" s="27" t="n">
        <x:v>10</x:v>
      </x:c>
      <x:c r="Y162" s="27" t="str">
        <x:v>S</x:v>
      </x:c>
      <x:c r="Z162" s="27"/>
      <x:c r="AA162" s="27"/>
      <x:c r="AB162" s="27" t="n">
        <x:v>0</x:v>
      </x:c>
      <x:c r="AC162" s="27" t="n">
        <x:v>0</x:v>
      </x:c>
      <x:c r="AD162" s="27" t="n">
        <x:v>-2904900</x:v>
      </x:c>
      <x:c r="AE162" s="27" t="str">
        <x:v>Public-safe anonymized industry-style SA-CCR sample</x:v>
      </x:c>
      <x:c r="AF162" s="27" t="str">
        <x:v>ANON-000159</x:v>
      </x:c>
      <x:c r="AG162" s="27" t="str">
        <x:v>OIS</x:v>
      </x:c>
      <x:c r="AH162" s="27"/>
      <x:c r="AI162" s="27" t="str">
        <x:v>EUR</x:v>
      </x:c>
      <x:c r="AJ162" s="27" t="n">
        <x:v>1657</x:v>
      </x:c>
      <x:c r="AK162" s="27" t="n">
        <x:v>4.53972602739726</x:v>
      </x:c>
      <x:c r="AL162" s="27" t="str">
        <x:v>1Y-5Y</x:v>
      </x:c>
      <x:c r="AM162" s="27"/>
      <x:c r="AN162" s="27" t="str">
        <x:v>Unknown</x:v>
      </x:c>
      <x:c r="AO162" s="27" t="str">
        <x:v>EUR</x:v>
      </x:c>
      <x:c r="AP162" s="27" t="str">
        <x:v>M</x:v>
      </x:c>
      <x:c r="AQ162" s="27" t="n">
        <x:v>0.005</x:v>
      </x:c>
      <x:c r="AR162" s="27" t="n">
        <x:v>1</x:v>
      </x:c>
      <x:c r="AS162" s="27" t="n">
        <x:v>0.005</x:v>
      </x:c>
      <x:c r="AT162" s="27"/>
      <x:c r="AU162" s="27" t="n">
        <x:v>4.061366018240857</x:v>
      </x:c>
      <x:c r="AV162" s="27" t="n">
        <x:v>2335285460.488493</x:v>
      </x:c>
      <x:c r="AW162" s="27" t="n">
        <x:v>0.5</x:v>
      </x:c>
      <x:c r="AX162" s="27" t="n">
        <x:v>-1</x:v>
      </x:c>
      <x:c r="AY162" s="27" t="n">
        <x:v>0.30000000000000004</x:v>
      </x:c>
      <x:c r="AZ162" s="27" t="n">
        <x:v>-700585638.146548</x:v>
      </x:c>
    </x:row>
    <x:row r="163">
      <x:c r="A163" s="27" t="n">
        <x:v>45702</x:v>
      </x:c>
      <x:c r="B163" s="27" t="str">
        <x:v>IND_REGIONAL_BANK_001</x:v>
      </x:c>
      <x:c r="C163" s="27" t="n">
        <x:v>3315</x:v>
      </x:c>
      <x:c r="D163" s="27" t="str">
        <x:v>IND-000160</x:v>
      </x:c>
      <x:c r="E163" s="27" t="str">
        <x:v>OIS</x:v>
      </x:c>
      <x:c r="F163" s="27" t="str">
        <x:v>Interest Rate</x:v>
      </x:c>
      <x:c r="G163" s="27"/>
      <x:c r="H163" s="27" t="str">
        <x:v>CNY</x:v>
      </x:c>
      <x:c r="I163" s="27" t="str">
        <x:v>CNY</x:v>
      </x:c>
      <x:c r="J163" s="27" t="str">
        <x:v>CNY</x:v>
      </x:c>
      <x:c r="K163" s="27"/>
      <x:c r="L163" s="27"/>
      <x:c r="M163" s="27" t="str">
        <x:v>CNY</x:v>
      </x:c>
      <x:c r="N163" s="27"/>
      <x:c r="O163" s="27"/>
      <x:c r="P163" s="27" t="n">
        <x:v>47245</x:v>
      </x:c>
      <x:c r="Q163" s="27" t="n">
        <x:v>45606</x:v>
      </x:c>
      <x:c r="R163" s="27" t="n">
        <x:v>47245</x:v>
      </x:c>
      <x:c r="S163" s="27" t="n">
        <x:v>2100000000</x:v>
      </x:c>
      <x:c r="T163" s="27" t="n">
        <x:v>2100000000</x:v>
      </x:c>
      <x:c r="U163" s="27" t="n">
        <x:v>294000000</x:v>
      </x:c>
      <x:c r="V163" s="27" t="str">
        <x:v>M</x:v>
      </x:c>
      <x:c r="W163" s="27" t="str">
        <x:v>Y</x:v>
      </x:c>
      <x:c r="X163" s="27" t="n">
        <x:v>5</x:v>
      </x:c>
      <x:c r="Y163" s="27" t="str">
        <x:v>S</x:v>
      </x:c>
      <x:c r="Z163" s="27"/>
      <x:c r="AA163" s="27"/>
      <x:c r="AB163" s="27" t="n">
        <x:v>0</x:v>
      </x:c>
      <x:c r="AC163" s="27" t="n">
        <x:v>0</x:v>
      </x:c>
      <x:c r="AD163" s="27" t="n">
        <x:v>1529388</x:v>
      </x:c>
      <x:c r="AE163" s="27" t="str">
        <x:v>Public-safe anonymized industry-style SA-CCR sample</x:v>
      </x:c>
      <x:c r="AF163" s="27" t="str">
        <x:v>ANON-000160</x:v>
      </x:c>
      <x:c r="AG163" s="27" t="str">
        <x:v>OIS</x:v>
      </x:c>
      <x:c r="AH163" s="27"/>
      <x:c r="AI163" s="27" t="str">
        <x:v>CNY</x:v>
      </x:c>
      <x:c r="AJ163" s="27" t="n">
        <x:v>1543</x:v>
      </x:c>
      <x:c r="AK163" s="27" t="n">
        <x:v>4.227397260273973</x:v>
      </x:c>
      <x:c r="AL163" s="27" t="str">
        <x:v>1Y-5Y</x:v>
      </x:c>
      <x:c r="AM163" s="27"/>
      <x:c r="AN163" s="27" t="str">
        <x:v>Unknown</x:v>
      </x:c>
      <x:c r="AO163" s="27" t="str">
        <x:v>CNY</x:v>
      </x:c>
      <x:c r="AP163" s="27" t="str">
        <x:v>M</x:v>
      </x:c>
      <x:c r="AQ163" s="27" t="n">
        <x:v>0.005</x:v>
      </x:c>
      <x:c r="AR163" s="27" t="n">
        <x:v>1</x:v>
      </x:c>
      <x:c r="AS163" s="27" t="n">
        <x:v>0.005</x:v>
      </x:c>
      <x:c r="AT163" s="27"/>
      <x:c r="AU163" s="27" t="n">
        <x:v>3.8105076642868863</x:v>
      </x:c>
      <x:c r="AV163" s="27" t="n">
        <x:v>1120289253.3003445</x:v>
      </x:c>
      <x:c r="AW163" s="27" t="n">
        <x:v>0.5</x:v>
      </x:c>
      <x:c r="AX163" s="27" t="n">
        <x:v>-1</x:v>
      </x:c>
      <x:c r="AY163" s="27" t="n">
        <x:v>0.21213203435596426</x:v>
      </x:c>
      <x:c r="AZ163" s="27" t="n">
        <x:v>-237649238.3697262</x:v>
      </x:c>
    </x:row>
    <x:row r="164">
      <x:c r="A164" s="27" t="n">
        <x:v>45702</x:v>
      </x:c>
      <x:c r="B164" s="27" t="str">
        <x:v>IND_ASSET_MANAGER_001</x:v>
      </x:c>
      <x:c r="C164" s="27" t="n">
        <x:v>3050</x:v>
      </x:c>
      <x:c r="D164" s="27" t="str">
        <x:v>IND-000161</x:v>
      </x:c>
      <x:c r="E164" s="27" t="str">
        <x:v>OIS</x:v>
      </x:c>
      <x:c r="F164" s="27" t="str">
        <x:v>Interest Rate</x:v>
      </x:c>
      <x:c r="G164" s="27"/>
      <x:c r="H164" s="27" t="str">
        <x:v>USD</x:v>
      </x:c>
      <x:c r="I164" s="27" t="str">
        <x:v>USD</x:v>
      </x:c>
      <x:c r="J164" s="27" t="str">
        <x:v>USD</x:v>
      </x:c>
      <x:c r="K164" s="27"/>
      <x:c r="L164" s="27"/>
      <x:c r="M164" s="27" t="str">
        <x:v>USD</x:v>
      </x:c>
      <x:c r="N164" s="27"/>
      <x:c r="O164" s="27"/>
      <x:c r="P164" s="27" t="n">
        <x:v>46769</x:v>
      </x:c>
      <x:c r="Q164" s="27" t="n">
        <x:v>44841</x:v>
      </x:c>
      <x:c r="R164" s="27" t="n">
        <x:v>46769</x:v>
      </x:c>
      <x:c r="S164" s="27" t="n">
        <x:v>671000000</x:v>
      </x:c>
      <x:c r="T164" s="27" t="n">
        <x:v>671000000</x:v>
      </x:c>
      <x:c r="U164" s="27" t="n">
        <x:v>671000000</x:v>
      </x:c>
      <x:c r="V164" s="27" t="str">
        <x:v>M</x:v>
      </x:c>
      <x:c r="W164" s="27" t="str">
        <x:v>Y</x:v>
      </x:c>
      <x:c r="X164" s="27" t="n">
        <x:v>5</x:v>
      </x:c>
      <x:c r="Y164" s="27" t="str">
        <x:v>S</x:v>
      </x:c>
      <x:c r="Z164" s="27"/>
      <x:c r="AA164" s="27"/>
      <x:c r="AB164" s="27" t="n">
        <x:v>0</x:v>
      </x:c>
      <x:c r="AC164" s="27" t="n">
        <x:v>0</x:v>
      </x:c>
      <x:c r="AD164" s="27" t="n">
        <x:v>1453386</x:v>
      </x:c>
      <x:c r="AE164" s="27" t="str">
        <x:v>Public-safe anonymized industry-style SA-CCR sample</x:v>
      </x:c>
      <x:c r="AF164" s="27" t="str">
        <x:v>ANON-000161</x:v>
      </x:c>
      <x:c r="AG164" s="27" t="str">
        <x:v>OIS</x:v>
      </x:c>
      <x:c r="AH164" s="27"/>
      <x:c r="AI164" s="27" t="str">
        <x:v>USD</x:v>
      </x:c>
      <x:c r="AJ164" s="27" t="n">
        <x:v>1067</x:v>
      </x:c>
      <x:c r="AK164" s="27" t="n">
        <x:v>2.9232876712328766</x:v>
      </x:c>
      <x:c r="AL164" s="27" t="str">
        <x:v>1Y-5Y</x:v>
      </x:c>
      <x:c r="AM164" s="27"/>
      <x:c r="AN164" s="27" t="str">
        <x:v>Unknown</x:v>
      </x:c>
      <x:c r="AO164" s="27" t="str">
        <x:v>USD</x:v>
      </x:c>
      <x:c r="AP164" s="27" t="str">
        <x:v>M</x:v>
      </x:c>
      <x:c r="AQ164" s="27" t="n">
        <x:v>0.005</x:v>
      </x:c>
      <x:c r="AR164" s="27" t="n">
        <x:v>1</x:v>
      </x:c>
      <x:c r="AS164" s="27" t="n">
        <x:v>0.005</x:v>
      </x:c>
      <x:c r="AT164" s="27"/>
      <x:c r="AU164" s="27" t="n">
        <x:v>2.7196867692290594</x:v>
      </x:c>
      <x:c r="AV164" s="27" t="n">
        <x:v>1824909822.1526988</x:v>
      </x:c>
      <x:c r="AW164" s="27" t="n">
        <x:v>0.5</x:v>
      </x:c>
      <x:c r="AX164" s="27" t="n">
        <x:v>-1</x:v>
      </x:c>
      <x:c r="AY164" s="27" t="n">
        <x:v>0.21213203435596426</x:v>
      </x:c>
      <x:c r="AZ164" s="27" t="n">
        <x:v>-387121833.0894329</x:v>
      </x:c>
    </x:row>
    <x:row r="165">
      <x:c r="A165" s="27" t="n">
        <x:v>45702</x:v>
      </x:c>
      <x:c r="B165" s="27" t="str">
        <x:v>IND_REGIONAL_BANK_001</x:v>
      </x:c>
      <x:c r="C165" s="27" t="n">
        <x:v>3315</x:v>
      </x:c>
      <x:c r="D165" s="27" t="str">
        <x:v>IND-000162</x:v>
      </x:c>
      <x:c r="E165" s="27" t="str">
        <x:v>OIS</x:v>
      </x:c>
      <x:c r="F165" s="27" t="str">
        <x:v>Interest Rate</x:v>
      </x:c>
      <x:c r="G165" s="27"/>
      <x:c r="H165" s="27" t="str">
        <x:v>CNY</x:v>
      </x:c>
      <x:c r="I165" s="27" t="str">
        <x:v>CNY</x:v>
      </x:c>
      <x:c r="J165" s="27" t="str">
        <x:v>CNY</x:v>
      </x:c>
      <x:c r="K165" s="27"/>
      <x:c r="L165" s="27"/>
      <x:c r="M165" s="27" t="str">
        <x:v>CNY</x:v>
      </x:c>
      <x:c r="N165" s="27"/>
      <x:c r="O165" s="27"/>
      <x:c r="P165" s="27" t="n">
        <x:v>48211</x:v>
      </x:c>
      <x:c r="Q165" s="27" t="n">
        <x:v>45290</x:v>
      </x:c>
      <x:c r="R165" s="27" t="n">
        <x:v>48211</x:v>
      </x:c>
      <x:c r="S165" s="27" t="n">
        <x:v>107857142.86</x:v>
      </x:c>
      <x:c r="T165" s="27" t="n">
        <x:v>107857142.86</x:v>
      </x:c>
      <x:c r="U165" s="27" t="n">
        <x:v>15100000</x:v>
      </x:c>
      <x:c r="V165" s="27" t="str">
        <x:v>M</x:v>
      </x:c>
      <x:c r="W165" s="27" t="str">
        <x:v>N</x:v>
      </x:c>
      <x:c r="X165" s="27" t="n">
        <x:v>10</x:v>
      </x:c>
      <x:c r="Y165" s="27" t="str">
        <x:v>S</x:v>
      </x:c>
      <x:c r="Z165" s="27"/>
      <x:c r="AA165" s="27"/>
      <x:c r="AB165" s="27" t="n">
        <x:v>0</x:v>
      </x:c>
      <x:c r="AC165" s="27" t="n">
        <x:v>0</x:v>
      </x:c>
      <x:c r="AD165" s="27" t="n">
        <x:v>53635.2</x:v>
      </x:c>
      <x:c r="AE165" s="27" t="str">
        <x:v>Public-safe anonymized industry-style SA-CCR sample</x:v>
      </x:c>
      <x:c r="AF165" s="27" t="str">
        <x:v>ANON-000162</x:v>
      </x:c>
      <x:c r="AG165" s="27" t="str">
        <x:v>OIS</x:v>
      </x:c>
      <x:c r="AH165" s="27"/>
      <x:c r="AI165" s="27" t="str">
        <x:v>CNY</x:v>
      </x:c>
      <x:c r="AJ165" s="27" t="n">
        <x:v>2509</x:v>
      </x:c>
      <x:c r="AK165" s="27" t="n">
        <x:v>6.873972602739726</x:v>
      </x:c>
      <x:c r="AL165" s="27" t="str">
        <x:v>&gt;5Y</x:v>
      </x:c>
      <x:c r="AM165" s="27"/>
      <x:c r="AN165" s="27" t="str">
        <x:v>Unknown</x:v>
      </x:c>
      <x:c r="AO165" s="27" t="str">
        <x:v>CNY</x:v>
      </x:c>
      <x:c r="AP165" s="27" t="str">
        <x:v>M</x:v>
      </x:c>
      <x:c r="AQ165" s="27" t="n">
        <x:v>0.005</x:v>
      </x:c>
      <x:c r="AR165" s="27" t="n">
        <x:v>1</x:v>
      </x:c>
      <x:c r="AS165" s="27" t="n">
        <x:v>0.005</x:v>
      </x:c>
      <x:c r="AT165" s="27"/>
      <x:c r="AU165" s="27" t="n">
        <x:v>5.817147798790292</x:v>
      </x:c>
      <x:c r="AV165" s="27" t="n">
        <x:v>87838931.76173341</x:v>
      </x:c>
      <x:c r="AW165" s="27" t="n">
        <x:v>0.5</x:v>
      </x:c>
      <x:c r="AX165" s="27" t="n">
        <x:v>-1</x:v>
      </x:c>
      <x:c r="AY165" s="27" t="n">
        <x:v>0.30000000000000004</x:v>
      </x:c>
      <x:c r="AZ165" s="27" t="n">
        <x:v>-26351679.52852003</x:v>
      </x:c>
    </x:row>
    <x:row r="166">
      <x:c r="A166" s="27" t="n">
        <x:v>45702</x:v>
      </x:c>
      <x:c r="B166" s="27" t="str">
        <x:v>IND_INSURER_001</x:v>
      </x:c>
      <x:c r="C166" s="27" t="n">
        <x:v>3297</x:v>
      </x:c>
      <x:c r="D166" s="27" t="str">
        <x:v>IND-000163</x:v>
      </x:c>
      <x:c r="E166" s="27" t="str">
        <x:v>OIS</x:v>
      </x:c>
      <x:c r="F166" s="27" t="str">
        <x:v>Interest Rate</x:v>
      </x:c>
      <x:c r="G166" s="27"/>
      <x:c r="H166" s="27" t="str">
        <x:v>EUR</x:v>
      </x:c>
      <x:c r="I166" s="27" t="str">
        <x:v>EUR</x:v>
      </x:c>
      <x:c r="J166" s="27" t="str">
        <x:v>EUR</x:v>
      </x:c>
      <x:c r="K166" s="27"/>
      <x:c r="L166" s="27"/>
      <x:c r="M166" s="27" t="str">
        <x:v>EUR</x:v>
      </x:c>
      <x:c r="N166" s="27"/>
      <x:c r="O166" s="27"/>
      <x:c r="P166" s="27" t="n">
        <x:v>47622</x:v>
      </x:c>
      <x:c r="Q166" s="27" t="n">
        <x:v>45160</x:v>
      </x:c>
      <x:c r="R166" s="27" t="n">
        <x:v>47622</x:v>
      </x:c>
      <x:c r="S166" s="27" t="n">
        <x:v>527619047.62</x:v>
      </x:c>
      <x:c r="T166" s="27" t="n">
        <x:v>527619047.62</x:v>
      </x:c>
      <x:c r="U166" s="27" t="n">
        <x:v>554000000</x:v>
      </x:c>
      <x:c r="V166" s="27" t="str">
        <x:v>M</x:v>
      </x:c>
      <x:c r="W166" s="27" t="str">
        <x:v>Y</x:v>
      </x:c>
      <x:c r="X166" s="27" t="n">
        <x:v>5</x:v>
      </x:c>
      <x:c r="Y166" s="27" t="str">
        <x:v>S</x:v>
      </x:c>
      <x:c r="Z166" s="27"/>
      <x:c r="AA166" s="27"/>
      <x:c r="AB166" s="27" t="n">
        <x:v>0</x:v>
      </x:c>
      <x:c r="AC166" s="27" t="n">
        <x:v>0</x:v>
      </x:c>
      <x:c r="AD166" s="27" t="n">
        <x:v>-1901328</x:v>
      </x:c>
      <x:c r="AE166" s="27" t="str">
        <x:v>Public-safe anonymized industry-style SA-CCR sample</x:v>
      </x:c>
      <x:c r="AF166" s="27" t="str">
        <x:v>ANON-000163</x:v>
      </x:c>
      <x:c r="AG166" s="27" t="str">
        <x:v>OIS</x:v>
      </x:c>
      <x:c r="AH166" s="27"/>
      <x:c r="AI166" s="27" t="str">
        <x:v>EUR</x:v>
      </x:c>
      <x:c r="AJ166" s="27" t="n">
        <x:v>1920</x:v>
      </x:c>
      <x:c r="AK166" s="27" t="n">
        <x:v>5.260273972602739</x:v>
      </x:c>
      <x:c r="AL166" s="27" t="str">
        <x:v>&gt;5Y</x:v>
      </x:c>
      <x:c r="AM166" s="27"/>
      <x:c r="AN166" s="27" t="str">
        <x:v>Unknown</x:v>
      </x:c>
      <x:c r="AO166" s="27" t="str">
        <x:v>EUR</x:v>
      </x:c>
      <x:c r="AP166" s="27" t="str">
        <x:v>M</x:v>
      </x:c>
      <x:c r="AQ166" s="27" t="n">
        <x:v>0.005</x:v>
      </x:c>
      <x:c r="AR166" s="27" t="n">
        <x:v>1</x:v>
      </x:c>
      <x:c r="AS166" s="27" t="n">
        <x:v>0.005</x:v>
      </x:c>
      <x:c r="AT166" s="27"/>
      <x:c r="AU166" s="27" t="n">
        <x:v>4.625372666552678</x:v>
      </x:c>
      <x:c r="AV166" s="27" t="n">
        <x:v>2562456457.270184</x:v>
      </x:c>
      <x:c r="AW166" s="27" t="n">
        <x:v>0.5</x:v>
      </x:c>
      <x:c r="AX166" s="27" t="n">
        <x:v>-1</x:v>
      </x:c>
      <x:c r="AY166" s="27" t="n">
        <x:v>0.21213203435596426</x:v>
      </x:c>
      <x:c r="AZ166" s="27" t="n">
        <x:v>-543579101.2293011</x:v>
      </x:c>
    </x:row>
    <x:row r="167">
      <x:c r="A167" s="27" t="n">
        <x:v>45702</x:v>
      </x:c>
      <x:c r="B167" s="27" t="str">
        <x:v>IND_BROKER_001</x:v>
      </x:c>
      <x:c r="C167" s="27" t="n">
        <x:v>3332</x:v>
      </x:c>
      <x:c r="D167" s="27" t="str">
        <x:v>IND-000164</x:v>
      </x:c>
      <x:c r="E167" s="27" t="str">
        <x:v>OIS</x:v>
      </x:c>
      <x:c r="F167" s="27" t="str">
        <x:v>Interest Rate</x:v>
      </x:c>
      <x:c r="G167" s="27"/>
      <x:c r="H167" s="27" t="str">
        <x:v>CNY</x:v>
      </x:c>
      <x:c r="I167" s="27" t="str">
        <x:v>CNY</x:v>
      </x:c>
      <x:c r="J167" s="27" t="str">
        <x:v>CNY</x:v>
      </x:c>
      <x:c r="K167" s="27"/>
      <x:c r="L167" s="27"/>
      <x:c r="M167" s="27" t="str">
        <x:v>CNY</x:v>
      </x:c>
      <x:c r="N167" s="27"/>
      <x:c r="O167" s="27"/>
      <x:c r="P167" s="27" t="n">
        <x:v>46236</x:v>
      </x:c>
      <x:c r="Q167" s="27" t="n">
        <x:v>45424</x:v>
      </x:c>
      <x:c r="R167" s="27" t="n">
        <x:v>46236</x:v>
      </x:c>
      <x:c r="S167" s="27" t="n">
        <x:v>121428571.43</x:v>
      </x:c>
      <x:c r="T167" s="27" t="n">
        <x:v>121428571.43</x:v>
      </x:c>
      <x:c r="U167" s="27" t="n">
        <x:v>17000000</x:v>
      </x:c>
      <x:c r="V167" s="27" t="str">
        <x:v>M</x:v>
      </x:c>
      <x:c r="W167" s="27" t="str">
        <x:v>N</x:v>
      </x:c>
      <x:c r="X167" s="27" t="n">
        <x:v>10</x:v>
      </x:c>
      <x:c r="Y167" s="27" t="str">
        <x:v>S</x:v>
      </x:c>
      <x:c r="Z167" s="27"/>
      <x:c r="AA167" s="27"/>
      <x:c r="AB167" s="27" t="n">
        <x:v>0</x:v>
      </x:c>
      <x:c r="AC167" s="27" t="n">
        <x:v>0</x:v>
      </x:c>
      <x:c r="AD167" s="27" t="n">
        <x:v>68238</x:v>
      </x:c>
      <x:c r="AE167" s="27" t="str">
        <x:v>Public-safe anonymized industry-style SA-CCR sample</x:v>
      </x:c>
      <x:c r="AF167" s="27" t="str">
        <x:v>ANON-000164</x:v>
      </x:c>
      <x:c r="AG167" s="27" t="str">
        <x:v>OIS</x:v>
      </x:c>
      <x:c r="AH167" s="27"/>
      <x:c r="AI167" s="27" t="str">
        <x:v>CNY</x:v>
      </x:c>
      <x:c r="AJ167" s="27" t="n">
        <x:v>534</x:v>
      </x:c>
      <x:c r="AK167" s="27" t="n">
        <x:v>1.463013698630137</x:v>
      </x:c>
      <x:c r="AL167" s="27" t="str">
        <x:v>1Y-5Y</x:v>
      </x:c>
      <x:c r="AM167" s="27"/>
      <x:c r="AN167" s="27" t="str">
        <x:v>Unknown</x:v>
      </x:c>
      <x:c r="AO167" s="27" t="str">
        <x:v>CNY</x:v>
      </x:c>
      <x:c r="AP167" s="27" t="str">
        <x:v>M</x:v>
      </x:c>
      <x:c r="AQ167" s="27" t="n">
        <x:v>0.005</x:v>
      </x:c>
      <x:c r="AR167" s="27" t="n">
        <x:v>1</x:v>
      </x:c>
      <x:c r="AS167" s="27" t="n">
        <x:v>0.005</x:v>
      </x:c>
      <x:c r="AT167" s="27"/>
      <x:c r="AU167" s="27" t="n">
        <x:v>1.4107847251680838</x:v>
      </x:c>
      <x:c r="AV167" s="27" t="n">
        <x:v>23983340.327857424</x:v>
      </x:c>
      <x:c r="AW167" s="27" t="n">
        <x:v>0.5</x:v>
      </x:c>
      <x:c r="AX167" s="27" t="n">
        <x:v>-1</x:v>
      </x:c>
      <x:c r="AY167" s="27" t="n">
        <x:v>0.30000000000000004</x:v>
      </x:c>
      <x:c r="AZ167" s="27" t="n">
        <x:v>-7195002.098357229</x:v>
      </x:c>
    </x:row>
    <x:row r="168">
      <x:c r="A168" s="27" t="n">
        <x:v>45702</x:v>
      </x:c>
      <x:c r="B168" s="27" t="str">
        <x:v>IND_HEDGE_FUND_001</x:v>
      </x:c>
      <x:c r="C168" s="27" t="n">
        <x:v>3345</x:v>
      </x:c>
      <x:c r="D168" s="27" t="str">
        <x:v>IND-000165</x:v>
      </x:c>
      <x:c r="E168" s="27" t="str">
        <x:v>Swaption</x:v>
      </x:c>
      <x:c r="F168" s="27" t="str">
        <x:v>Interest Rate</x:v>
      </x:c>
      <x:c r="G168" s="27"/>
      <x:c r="H168" s="27" t="str">
        <x:v>USD</x:v>
      </x:c>
      <x:c r="I168" s="27" t="str">
        <x:v>USD</x:v>
      </x:c>
      <x:c r="J168" s="27" t="str">
        <x:v>USD</x:v>
      </x:c>
      <x:c r="K168" s="27"/>
      <x:c r="L168" s="27"/>
      <x:c r="M168" s="27" t="str">
        <x:v>USD</x:v>
      </x:c>
      <x:c r="N168" s="27"/>
      <x:c r="O168" s="27"/>
      <x:c r="P168" s="27" t="n">
        <x:v>45949</x:v>
      </x:c>
      <x:c r="Q168" s="27" t="n">
        <x:v>45024</x:v>
      </x:c>
      <x:c r="R168" s="27" t="n">
        <x:v>45949</x:v>
      </x:c>
      <x:c r="S168" s="27" t="n">
        <x:v>13700000</x:v>
      </x:c>
      <x:c r="T168" s="27" t="n">
        <x:v>13700000</x:v>
      </x:c>
      <x:c r="U168" s="27" t="n">
        <x:v>13700000</x:v>
      </x:c>
      <x:c r="V168" s="27" t="str">
        <x:v>M</x:v>
      </x:c>
      <x:c r="W168" s="27" t="str">
        <x:v>N</x:v>
      </x:c>
      <x:c r="X168" s="27" t="n">
        <x:v>10</x:v>
      </x:c>
      <x:c r="Y168" s="27" t="str">
        <x:v>B</x:v>
      </x:c>
      <x:c r="Z168" s="27" t="n">
        <x:v>45887</x:v>
      </x:c>
      <x:c r="AA168" s="27" t="str">
        <x:v>C</x:v>
      </x:c>
      <x:c r="AB168" s="27" t="n">
        <x:v>0.014448</x:v>
      </x:c>
      <x:c r="AC168" s="27" t="n">
        <x:v>0.0168</x:v>
      </x:c>
      <x:c r="AD168" s="27" t="n">
        <x:v>-6904.8</x:v>
      </x:c>
      <x:c r="AE168" s="27" t="str">
        <x:v>Public-safe anonymized industry-style SA-CCR sample</x:v>
      </x:c>
      <x:c r="AF168" s="27" t="str">
        <x:v>ANON-000165</x:v>
      </x:c>
      <x:c r="AG168" s="27" t="str">
        <x:v>Swaption</x:v>
      </x:c>
      <x:c r="AH168" s="27"/>
      <x:c r="AI168" s="27" t="str">
        <x:v>USD</x:v>
      </x:c>
      <x:c r="AJ168" s="27" t="n">
        <x:v>247</x:v>
      </x:c>
      <x:c r="AK168" s="27" t="n">
        <x:v>0.6767123287671233</x:v>
      </x:c>
      <x:c r="AL168" s="27" t="str">
        <x:v>&lt;1Y</x:v>
      </x:c>
      <x:c r="AM168" s="27"/>
      <x:c r="AN168" s="27" t="str">
        <x:v>Unknown</x:v>
      </x:c>
      <x:c r="AO168" s="27" t="str">
        <x:v>USD</x:v>
      </x:c>
      <x:c r="AP168" s="27" t="str">
        <x:v>M</x:v>
      </x:c>
      <x:c r="AQ168" s="27" t="n">
        <x:v>0.005</x:v>
      </x:c>
      <x:c r="AR168" s="27" t="n">
        <x:v>1</x:v>
      </x:c>
      <x:c r="AS168" s="27" t="n">
        <x:v>0.005</x:v>
      </x:c>
      <x:c r="AT168" s="27"/>
      <x:c r="AU168" s="27" t="n">
        <x:v>0.6653918767187195</x:v>
      </x:c>
      <x:c r="AV168" s="27" t="n">
        <x:v>9115868.711046457</x:v>
      </x:c>
      <x:c r="AW168" s="27" t="n">
        <x:v>0.5</x:v>
      </x:c>
      <x:c r="AX168" s="27" t="n">
        <x:v>0.7263073323958941</x:v>
      </x:c>
      <x:c r="AY168" s="27" t="n">
        <x:v>0.30000000000000004</x:v>
      </x:c>
      <x:c r="AZ168" s="27" t="n">
        <x:v>1986276.685797405</x:v>
      </x:c>
    </x:row>
    <x:row r="169">
      <x:c r="A169" s="27" t="n">
        <x:v>45702</x:v>
      </x:c>
      <x:c r="B169" s="27" t="str">
        <x:v>IND_BANK_001</x:v>
      </x:c>
      <x:c r="C169" s="27" t="n">
        <x:v>3219</x:v>
      </x:c>
      <x:c r="D169" s="27" t="str">
        <x:v>IND-000166</x:v>
      </x:c>
      <x:c r="E169" s="27" t="str">
        <x:v>Swaption</x:v>
      </x:c>
      <x:c r="F169" s="27" t="str">
        <x:v>Interest Rate</x:v>
      </x:c>
      <x:c r="G169" s="27"/>
      <x:c r="H169" s="27" t="str">
        <x:v>CNY</x:v>
      </x:c>
      <x:c r="I169" s="27" t="str">
        <x:v>CNY</x:v>
      </x:c>
      <x:c r="J169" s="27" t="str">
        <x:v>CNY</x:v>
      </x:c>
      <x:c r="K169" s="27"/>
      <x:c r="L169" s="27"/>
      <x:c r="M169" s="27" t="str">
        <x:v>CNY</x:v>
      </x:c>
      <x:c r="N169" s="27"/>
      <x:c r="O169" s="27"/>
      <x:c r="P169" s="27" t="n">
        <x:v>46327</x:v>
      </x:c>
      <x:c r="Q169" s="27" t="n">
        <x:v>45041</x:v>
      </x:c>
      <x:c r="R169" s="27" t="n">
        <x:v>46327</x:v>
      </x:c>
      <x:c r="S169" s="27" t="n">
        <x:v>3542857142.86</x:v>
      </x:c>
      <x:c r="T169" s="27" t="n">
        <x:v>3542857142.86</x:v>
      </x:c>
      <x:c r="U169" s="27" t="n">
        <x:v>496000000</x:v>
      </x:c>
      <x:c r="V169" s="27" t="str">
        <x:v>M</x:v>
      </x:c>
      <x:c r="W169" s="27" t="str">
        <x:v>N</x:v>
      </x:c>
      <x:c r="X169" s="27" t="n">
        <x:v>10</x:v>
      </x:c>
      <x:c r="Y169" s="27" t="str">
        <x:v>S</x:v>
      </x:c>
      <x:c r="Z169" s="27" t="n">
        <x:v>46170</x:v>
      </x:c>
      <x:c r="AA169" s="27" t="str">
        <x:v>C</x:v>
      </x:c>
      <x:c r="AB169" s="27" t="n">
        <x:v>0.027425</x:v>
      </x:c>
      <x:c r="AC169" s="27" t="n">
        <x:v>0.025</x:v>
      </x:c>
      <x:c r="AD169" s="27" t="n">
        <x:v>-950832</x:v>
      </x:c>
      <x:c r="AE169" s="27" t="str">
        <x:v>Public-safe anonymized industry-style SA-CCR sample</x:v>
      </x:c>
      <x:c r="AF169" s="27" t="str">
        <x:v>ANON-000166</x:v>
      </x:c>
      <x:c r="AG169" s="27" t="str">
        <x:v>Swaption</x:v>
      </x:c>
      <x:c r="AH169" s="27"/>
      <x:c r="AI169" s="27" t="str">
        <x:v>CNY</x:v>
      </x:c>
      <x:c r="AJ169" s="27" t="n">
        <x:v>625</x:v>
      </x:c>
      <x:c r="AK169" s="27" t="n">
        <x:v>1.7123287671232876</x:v>
      </x:c>
      <x:c r="AL169" s="27" t="str">
        <x:v>1Y-5Y</x:v>
      </x:c>
      <x:c r="AM169" s="27"/>
      <x:c r="AN169" s="27" t="str">
        <x:v>Unknown</x:v>
      </x:c>
      <x:c r="AO169" s="27" t="str">
        <x:v>CNY</x:v>
      </x:c>
      <x:c r="AP169" s="27" t="str">
        <x:v>M</x:v>
      </x:c>
      <x:c r="AQ169" s="27" t="n">
        <x:v>0.005</x:v>
      </x:c>
      <x:c r="AR169" s="27" t="n">
        <x:v>1</x:v>
      </x:c>
      <x:c r="AS169" s="27" t="n">
        <x:v>0.005</x:v>
      </x:c>
      <x:c r="AT169" s="27"/>
      <x:c r="AU169" s="27" t="n">
        <x:v>1.6410749464299856</x:v>
      </x:c>
      <x:c r="AV169" s="27" t="n">
        <x:v>813973173.4292729</x:v>
      </x:c>
      <x:c r="AW169" s="27" t="n">
        <x:v>0.5</x:v>
      </x:c>
      <x:c r="AX169" s="27" t="n">
        <x:v>-0.5475866377457975</x:v>
      </x:c>
      <x:c r="AY169" s="27" t="n">
        <x:v>0.30000000000000004</x:v>
      </x:c>
      <x:c r="AZ169" s="27" t="n">
        <x:v>-133716249.97602376</x:v>
      </x:c>
    </x:row>
    <x:row r="170">
      <x:c r="A170" s="27" t="n">
        <x:v>45702</x:v>
      </x:c>
      <x:c r="B170" s="27" t="str">
        <x:v>IND_HEDGE_FUND_001</x:v>
      </x:c>
      <x:c r="C170" s="27" t="n">
        <x:v>3345</x:v>
      </x:c>
      <x:c r="D170" s="27" t="str">
        <x:v>IND-000167</x:v>
      </x:c>
      <x:c r="E170" s="27" t="str">
        <x:v>Swaption</x:v>
      </x:c>
      <x:c r="F170" s="27" t="str">
        <x:v>Interest Rate</x:v>
      </x:c>
      <x:c r="G170" s="27"/>
      <x:c r="H170" s="27" t="str">
        <x:v>USD</x:v>
      </x:c>
      <x:c r="I170" s="27" t="str">
        <x:v>USD</x:v>
      </x:c>
      <x:c r="J170" s="27" t="str">
        <x:v>USD</x:v>
      </x:c>
      <x:c r="K170" s="27"/>
      <x:c r="L170" s="27"/>
      <x:c r="M170" s="27" t="str">
        <x:v>USD</x:v>
      </x:c>
      <x:c r="N170" s="27"/>
      <x:c r="O170" s="27"/>
      <x:c r="P170" s="27" t="n">
        <x:v>46139</x:v>
      </x:c>
      <x:c r="Q170" s="27" t="n">
        <x:v>45612</x:v>
      </x:c>
      <x:c r="R170" s="27" t="n">
        <x:v>46139</x:v>
      </x:c>
      <x:c r="S170" s="27" t="n">
        <x:v>20200000</x:v>
      </x:c>
      <x:c r="T170" s="27" t="n">
        <x:v>20200000</x:v>
      </x:c>
      <x:c r="U170" s="27" t="n">
        <x:v>20200000</x:v>
      </x:c>
      <x:c r="V170" s="27" t="str">
        <x:v>M</x:v>
      </x:c>
      <x:c r="W170" s="27" t="str">
        <x:v>N</x:v>
      </x:c>
      <x:c r="X170" s="27" t="n">
        <x:v>10</x:v>
      </x:c>
      <x:c r="Y170" s="27" t="str">
        <x:v>B</x:v>
      </x:c>
      <x:c r="Z170" s="27" t="n">
        <x:v>46029</x:v>
      </x:c>
      <x:c r="AA170" s="27" t="str">
        <x:v>C</x:v>
      </x:c>
      <x:c r="AB170" s="27" t="n">
        <x:v>0.022885</x:v>
      </x:c>
      <x:c r="AC170" s="27" t="n">
        <x:v>0.0254</x:v>
      </x:c>
      <x:c r="AD170" s="27" t="n">
        <x:v>27451.8</x:v>
      </x:c>
      <x:c r="AE170" s="27" t="str">
        <x:v>Public-safe anonymized industry-style SA-CCR sample</x:v>
      </x:c>
      <x:c r="AF170" s="27" t="str">
        <x:v>ANON-000167</x:v>
      </x:c>
      <x:c r="AG170" s="27" t="str">
        <x:v>Swaption</x:v>
      </x:c>
      <x:c r="AH170" s="27"/>
      <x:c r="AI170" s="27" t="str">
        <x:v>USD</x:v>
      </x:c>
      <x:c r="AJ170" s="27" t="n">
        <x:v>437</x:v>
      </x:c>
      <x:c r="AK170" s="27" t="n">
        <x:v>1.1972602739726028</x:v>
      </x:c>
      <x:c r="AL170" s="27" t="str">
        <x:v>1Y-5Y</x:v>
      </x:c>
      <x:c r="AM170" s="27"/>
      <x:c r="AN170" s="27" t="str">
        <x:v>Unknown</x:v>
      </x:c>
      <x:c r="AO170" s="27" t="str">
        <x:v>USD</x:v>
      </x:c>
      <x:c r="AP170" s="27" t="str">
        <x:v>M</x:v>
      </x:c>
      <x:c r="AQ170" s="27" t="n">
        <x:v>0.005</x:v>
      </x:c>
      <x:c r="AR170" s="27" t="n">
        <x:v>1</x:v>
      </x:c>
      <x:c r="AS170" s="27" t="n">
        <x:v>0.005</x:v>
      </x:c>
      <x:c r="AT170" s="27"/>
      <x:c r="AU170" s="27" t="n">
        <x:v>1.162128974778176</x:v>
      </x:c>
      <x:c r="AV170" s="27" t="n">
        <x:v>23475005.290519156</x:v>
      </x:c>
      <x:c r="AW170" s="27" t="n">
        <x:v>0.5</x:v>
      </x:c>
      <x:c r="AX170" s="27" t="n">
        <x:v>0.6761456078903485</x:v>
      </x:c>
      <x:c r="AY170" s="27" t="n">
        <x:v>0.30000000000000004</x:v>
      </x:c>
      <x:c r="AZ170" s="27" t="n">
        <x:v>4761756.516716167</x:v>
      </x:c>
    </x:row>
    <x:row r="171">
      <x:c r="A171" s="27" t="n">
        <x:v>45702</x:v>
      </x:c>
      <x:c r="B171" s="27" t="str">
        <x:v>IND_REGIONAL_BANK_001</x:v>
      </x:c>
      <x:c r="C171" s="27" t="n">
        <x:v>3315</x:v>
      </x:c>
      <x:c r="D171" s="27" t="str">
        <x:v>IND-000168</x:v>
      </x:c>
      <x:c r="E171" s="27" t="str">
        <x:v>Swaption</x:v>
      </x:c>
      <x:c r="F171" s="27" t="str">
        <x:v>Interest Rate</x:v>
      </x:c>
      <x:c r="G171" s="27"/>
      <x:c r="H171" s="27" t="str">
        <x:v>EUR</x:v>
      </x:c>
      <x:c r="I171" s="27" t="str">
        <x:v>EUR</x:v>
      </x:c>
      <x:c r="J171" s="27" t="str">
        <x:v>EUR</x:v>
      </x:c>
      <x:c r="K171" s="27"/>
      <x:c r="L171" s="27"/>
      <x:c r="M171" s="27" t="str">
        <x:v>EUR</x:v>
      </x:c>
      <x:c r="N171" s="27"/>
      <x:c r="O171" s="27"/>
      <x:c r="P171" s="27" t="n">
        <x:v>46559</x:v>
      </x:c>
      <x:c r="Q171" s="27" t="n">
        <x:v>44826</x:v>
      </x:c>
      <x:c r="R171" s="27" t="n">
        <x:v>46559</x:v>
      </x:c>
      <x:c r="S171" s="27" t="n">
        <x:v>163809523.81</x:v>
      </x:c>
      <x:c r="T171" s="27" t="n">
        <x:v>163809523.81</x:v>
      </x:c>
      <x:c r="U171" s="27" t="n">
        <x:v>172000000</x:v>
      </x:c>
      <x:c r="V171" s="27" t="str">
        <x:v>M</x:v>
      </x:c>
      <x:c r="W171" s="27" t="str">
        <x:v>N</x:v>
      </x:c>
      <x:c r="X171" s="27" t="n">
        <x:v>10</x:v>
      </x:c>
      <x:c r="Y171" s="27" t="str">
        <x:v>S</x:v>
      </x:c>
      <x:c r="Z171" s="27" t="n">
        <x:v>46344</x:v>
      </x:c>
      <x:c r="AA171" s="27" t="str">
        <x:v>C</x:v>
      </x:c>
      <x:c r="AB171" s="27" t="n">
        <x:v>0.03689</x:v>
      </x:c>
      <x:c r="AC171" s="27" t="n">
        <x:v>0.0351</x:v>
      </x:c>
      <x:c r="AD171" s="27" t="n">
        <x:v>1301868</x:v>
      </x:c>
      <x:c r="AE171" s="27" t="str">
        <x:v>Public-safe anonymized industry-style SA-CCR sample</x:v>
      </x:c>
      <x:c r="AF171" s="27" t="str">
        <x:v>ANON-000168</x:v>
      </x:c>
      <x:c r="AG171" s="27" t="str">
        <x:v>Swaption</x:v>
      </x:c>
      <x:c r="AH171" s="27"/>
      <x:c r="AI171" s="27" t="str">
        <x:v>EUR</x:v>
      </x:c>
      <x:c r="AJ171" s="27" t="n">
        <x:v>857</x:v>
      </x:c>
      <x:c r="AK171" s="27" t="n">
        <x:v>2.347945205479452</x:v>
      </x:c>
      <x:c r="AL171" s="27" t="str">
        <x:v>1Y-5Y</x:v>
      </x:c>
      <x:c r="AM171" s="27"/>
      <x:c r="AN171" s="27" t="str">
        <x:v>Unknown</x:v>
      </x:c>
      <x:c r="AO171" s="27" t="str">
        <x:v>EUR</x:v>
      </x:c>
      <x:c r="AP171" s="27" t="str">
        <x:v>M</x:v>
      </x:c>
      <x:c r="AQ171" s="27" t="n">
        <x:v>0.005</x:v>
      </x:c>
      <x:c r="AR171" s="27" t="n">
        <x:v>1</x:v>
      </x:c>
      <x:c r="AS171" s="27" t="n">
        <x:v>0.005</x:v>
      </x:c>
      <x:c r="AT171" s="27"/>
      <x:c r="AU171" s="27" t="n">
        <x:v>2.2153626701634965</x:v>
      </x:c>
      <x:c r="AV171" s="27" t="n">
        <x:v>381042379.2681214</x:v>
      </x:c>
      <x:c r="AW171" s="27" t="n">
        <x:v>0.5</x:v>
      </x:c>
      <x:c r="AX171" s="27" t="n">
        <x:v>-0.6012372629594549</x:v>
      </x:c>
      <x:c r="AY171" s="27" t="n">
        <x:v>0.30000000000000004</x:v>
      </x:c>
      <x:c r="AZ171" s="27" t="n">
        <x:v>-68729063.15481716</x:v>
      </x:c>
    </x:row>
    <x:row r="172">
      <x:c r="A172" s="27" t="n">
        <x:v>45702</x:v>
      </x:c>
      <x:c r="B172" s="27" t="str">
        <x:v>IND_SOVEREIGN_001</x:v>
      </x:c>
      <x:c r="C172" s="27" t="n">
        <x:v>3246</x:v>
      </x:c>
      <x:c r="D172" s="27" t="str">
        <x:v>IND-000169</x:v>
      </x:c>
      <x:c r="E172" s="27" t="str">
        <x:v>Swaption</x:v>
      </x:c>
      <x:c r="F172" s="27" t="str">
        <x:v>Interest Rate</x:v>
      </x:c>
      <x:c r="G172" s="27"/>
      <x:c r="H172" s="27" t="str">
        <x:v>EUR</x:v>
      </x:c>
      <x:c r="I172" s="27" t="str">
        <x:v>EUR</x:v>
      </x:c>
      <x:c r="J172" s="27" t="str">
        <x:v>EUR</x:v>
      </x:c>
      <x:c r="K172" s="27"/>
      <x:c r="L172" s="27"/>
      <x:c r="M172" s="27" t="str">
        <x:v>EUR</x:v>
      </x:c>
      <x:c r="N172" s="27"/>
      <x:c r="O172" s="27"/>
      <x:c r="P172" s="27" t="n">
        <x:v>47154</x:v>
      </x:c>
      <x:c r="Q172" s="27" t="n">
        <x:v>45072</x:v>
      </x:c>
      <x:c r="R172" s="27" t="n">
        <x:v>47154</x:v>
      </x:c>
      <x:c r="S172" s="27" t="n">
        <x:v>57142857.14</x:v>
      </x:c>
      <x:c r="T172" s="27" t="n">
        <x:v>57142857.14</x:v>
      </x:c>
      <x:c r="U172" s="27" t="n">
        <x:v>60000000</x:v>
      </x:c>
      <x:c r="V172" s="27" t="str">
        <x:v>M</x:v>
      </x:c>
      <x:c r="W172" s="27" t="str">
        <x:v>N</x:v>
      </x:c>
      <x:c r="X172" s="27" t="n">
        <x:v>10</x:v>
      </x:c>
      <x:c r="Y172" s="27" t="str">
        <x:v>S</x:v>
      </x:c>
      <x:c r="Z172" s="27" t="n">
        <x:v>46791</x:v>
      </x:c>
      <x:c r="AA172" s="27" t="str">
        <x:v>P</x:v>
      </x:c>
      <x:c r="AB172" s="27" t="n">
        <x:v>0.01573</x:v>
      </x:c>
      <x:c r="AC172" s="27" t="n">
        <x:v>0.0161</x:v>
      </x:c>
      <x:c r="AD172" s="27" t="n">
        <x:v>296460</x:v>
      </x:c>
      <x:c r="AE172" s="27" t="str">
        <x:v>Public-safe anonymized industry-style SA-CCR sample</x:v>
      </x:c>
      <x:c r="AF172" s="27" t="str">
        <x:v>ANON-000169</x:v>
      </x:c>
      <x:c r="AG172" s="27" t="str">
        <x:v>Swaption</x:v>
      </x:c>
      <x:c r="AH172" s="27"/>
      <x:c r="AI172" s="27" t="str">
        <x:v>EUR</x:v>
      </x:c>
      <x:c r="AJ172" s="27" t="n">
        <x:v>1452</x:v>
      </x:c>
      <x:c r="AK172" s="27" t="n">
        <x:v>3.978082191780822</x:v>
      </x:c>
      <x:c r="AL172" s="27" t="str">
        <x:v>1Y-5Y</x:v>
      </x:c>
      <x:c r="AM172" s="27"/>
      <x:c r="AN172" s="27" t="str">
        <x:v>Unknown</x:v>
      </x:c>
      <x:c r="AO172" s="27" t="str">
        <x:v>EUR</x:v>
      </x:c>
      <x:c r="AP172" s="27" t="str">
        <x:v>M</x:v>
      </x:c>
      <x:c r="AQ172" s="27" t="n">
        <x:v>0.005</x:v>
      </x:c>
      <x:c r="AR172" s="27" t="n">
        <x:v>1</x:v>
      </x:c>
      <x:c r="AS172" s="27" t="n">
        <x:v>0.005</x:v>
      </x:c>
      <x:c r="AT172" s="27"/>
      <x:c r="AU172" s="27" t="n">
        <x:v>3.607430318460245</x:v>
      </x:c>
      <x:c r="AV172" s="27" t="n">
        <x:v>216445819.10761473</x:v>
      </x:c>
      <x:c r="AW172" s="27" t="n">
        <x:v>0.5</x:v>
      </x:c>
      <x:c r="AX172" s="27" t="n">
        <x:v>0.32320869602951685</x:v>
      </x:c>
      <x:c r="AY172" s="27" t="n">
        <x:v>0.30000000000000004</x:v>
      </x:c>
      <x:c r="AZ172" s="27" t="n">
        <x:v>20987151.286443856</x:v>
      </x:c>
    </x:row>
    <x:row r="173">
      <x:c r="A173" s="27" t="n">
        <x:v>45702</x:v>
      </x:c>
      <x:c r="B173" s="27" t="str">
        <x:v>IND_BANK_001</x:v>
      </x:c>
      <x:c r="C173" s="27" t="n">
        <x:v>3219</x:v>
      </x:c>
      <x:c r="D173" s="27" t="str">
        <x:v>IND-000170</x:v>
      </x:c>
      <x:c r="E173" s="27" t="str">
        <x:v>Swaption</x:v>
      </x:c>
      <x:c r="F173" s="27" t="str">
        <x:v>Interest Rate</x:v>
      </x:c>
      <x:c r="G173" s="27"/>
      <x:c r="H173" s="27" t="str">
        <x:v>CNY</x:v>
      </x:c>
      <x:c r="I173" s="27" t="str">
        <x:v>CNY</x:v>
      </x:c>
      <x:c r="J173" s="27" t="str">
        <x:v>CNY</x:v>
      </x:c>
      <x:c r="K173" s="27"/>
      <x:c r="L173" s="27"/>
      <x:c r="M173" s="27" t="str">
        <x:v>CNY</x:v>
      </x:c>
      <x:c r="N173" s="27"/>
      <x:c r="O173" s="27"/>
      <x:c r="P173" s="27" t="n">
        <x:v>46006</x:v>
      </x:c>
      <x:c r="Q173" s="27" t="n">
        <x:v>45407</x:v>
      </x:c>
      <x:c r="R173" s="27" t="n">
        <x:v>46006</x:v>
      </x:c>
      <x:c r="S173" s="27" t="n">
        <x:v>821428571.43</x:v>
      </x:c>
      <x:c r="T173" s="27" t="n">
        <x:v>821428571.43</x:v>
      </x:c>
      <x:c r="U173" s="27" t="n">
        <x:v>115000000</x:v>
      </x:c>
      <x:c r="V173" s="27" t="str">
        <x:v>M</x:v>
      </x:c>
      <x:c r="W173" s="27" t="str">
        <x:v>Y</x:v>
      </x:c>
      <x:c r="X173" s="27" t="n">
        <x:v>5</x:v>
      </x:c>
      <x:c r="Y173" s="27" t="str">
        <x:v>B</x:v>
      </x:c>
      <x:c r="Z173" s="27" t="n">
        <x:v>45930</x:v>
      </x:c>
      <x:c r="AA173" s="27" t="str">
        <x:v>P</x:v>
      </x:c>
      <x:c r="AB173" s="27" t="n">
        <x:v>0.026866</x:v>
      </x:c>
      <x:c r="AC173" s="27" t="n">
        <x:v>0.0284</x:v>
      </x:c>
      <x:c r="AD173" s="27" t="n">
        <x:v>-542340</x:v>
      </x:c>
      <x:c r="AE173" s="27" t="str">
        <x:v>Public-safe anonymized industry-style SA-CCR sample</x:v>
      </x:c>
      <x:c r="AF173" s="27" t="str">
        <x:v>ANON-000170</x:v>
      </x:c>
      <x:c r="AG173" s="27" t="str">
        <x:v>Swaption</x:v>
      </x:c>
      <x:c r="AH173" s="27"/>
      <x:c r="AI173" s="27" t="str">
        <x:v>CNY</x:v>
      </x:c>
      <x:c r="AJ173" s="27" t="n">
        <x:v>304</x:v>
      </x:c>
      <x:c r="AK173" s="27" t="n">
        <x:v>0.8328767123287671</x:v>
      </x:c>
      <x:c r="AL173" s="27" t="str">
        <x:v>&lt;1Y</x:v>
      </x:c>
      <x:c r="AM173" s="27"/>
      <x:c r="AN173" s="27" t="str">
        <x:v>Unknown</x:v>
      </x:c>
      <x:c r="AO173" s="27" t="str">
        <x:v>CNY</x:v>
      </x:c>
      <x:c r="AP173" s="27" t="str">
        <x:v>M</x:v>
      </x:c>
      <x:c r="AQ173" s="27" t="n">
        <x:v>0.005</x:v>
      </x:c>
      <x:c r="AR173" s="27" t="n">
        <x:v>1</x:v>
      </x:c>
      <x:c r="AS173" s="27" t="n">
        <x:v>0.005</x:v>
      </x:c>
      <x:c r="AT173" s="27"/>
      <x:c r="AU173" s="27" t="n">
        <x:v>0.8157728667638819</x:v>
      </x:c>
      <x:c r="AV173" s="27" t="n">
        <x:v>93813879.67784642</x:v>
      </x:c>
      <x:c r="AW173" s="27" t="n">
        <x:v>0.5</x:v>
      </x:c>
      <x:c r="AX173" s="27" t="n">
        <x:v>-0.36764329458888917</x:v>
      </x:c>
      <x:c r="AY173" s="27" t="n">
        <x:v>0.21213203435596426</x:v>
      </x:c>
      <x:c r="AZ173" s="27" t="n">
        <x:v>-7316443.156941667</x:v>
      </x:c>
    </x:row>
    <x:row r="174">
      <x:c r="A174" s="27" t="n">
        <x:v>45702</x:v>
      </x:c>
      <x:c r="B174" s="27" t="str">
        <x:v>IND_BROKER_001</x:v>
      </x:c>
      <x:c r="C174" s="27" t="n">
        <x:v>3220</x:v>
      </x:c>
      <x:c r="D174" s="27" t="str">
        <x:v>IND-000171</x:v>
      </x:c>
      <x:c r="E174" s="27" t="str">
        <x:v>Swaption</x:v>
      </x:c>
      <x:c r="F174" s="27" t="str">
        <x:v>Interest Rate</x:v>
      </x:c>
      <x:c r="G174" s="27"/>
      <x:c r="H174" s="27" t="str">
        <x:v>EUR</x:v>
      </x:c>
      <x:c r="I174" s="27" t="str">
        <x:v>EUR</x:v>
      </x:c>
      <x:c r="J174" s="27" t="str">
        <x:v>EUR</x:v>
      </x:c>
      <x:c r="K174" s="27"/>
      <x:c r="L174" s="27"/>
      <x:c r="M174" s="27" t="str">
        <x:v>EUR</x:v>
      </x:c>
      <x:c r="N174" s="27"/>
      <x:c r="O174" s="27"/>
      <x:c r="P174" s="27" t="n">
        <x:v>46416</x:v>
      </x:c>
      <x:c r="Q174" s="27" t="n">
        <x:v>45394</x:v>
      </x:c>
      <x:c r="R174" s="27" t="n">
        <x:v>46416</x:v>
      </x:c>
      <x:c r="S174" s="27" t="n">
        <x:v>292380952.38</x:v>
      </x:c>
      <x:c r="T174" s="27" t="n">
        <x:v>292380952.38</x:v>
      </x:c>
      <x:c r="U174" s="27" t="n">
        <x:v>307000000</x:v>
      </x:c>
      <x:c r="V174" s="27" t="str">
        <x:v>U</x:v>
      </x:c>
      <x:c r="W174" s="27" t="str">
        <x:v>N</x:v>
      </x:c>
      <x:c r="X174" s="27"/>
      <x:c r="Y174" s="27" t="str">
        <x:v>B</x:v>
      </x:c>
      <x:c r="Z174" s="27" t="n">
        <x:v>46237</x:v>
      </x:c>
      <x:c r="AA174" s="27" t="str">
        <x:v>P</x:v>
      </x:c>
      <x:c r="AB174" s="27" t="n">
        <x:v>0.041656</x:v>
      </x:c>
      <x:c r="AC174" s="27" t="n">
        <x:v>0.0446</x:v>
      </x:c>
      <x:c r="AD174" s="27" t="n">
        <x:v>-1425708</x:v>
      </x:c>
      <x:c r="AE174" s="27" t="str">
        <x:v>Public-safe anonymized industry-style SA-CCR sample</x:v>
      </x:c>
      <x:c r="AF174" s="27" t="str">
        <x:v>ANON-000171</x:v>
      </x:c>
      <x:c r="AG174" s="27" t="str">
        <x:v>Swaption</x:v>
      </x:c>
      <x:c r="AH174" s="27"/>
      <x:c r="AI174" s="27" t="str">
        <x:v>EUR</x:v>
      </x:c>
      <x:c r="AJ174" s="27" t="n">
        <x:v>714</x:v>
      </x:c>
      <x:c r="AK174" s="27" t="n">
        <x:v>1.9561643835616438</x:v>
      </x:c>
      <x:c r="AL174" s="27" t="str">
        <x:v>1Y-5Y</x:v>
      </x:c>
      <x:c r="AM174" s="27"/>
      <x:c r="AN174" s="27" t="str">
        <x:v>Unknown</x:v>
      </x:c>
      <x:c r="AO174" s="27" t="str">
        <x:v>EUR</x:v>
      </x:c>
      <x:c r="AP174" s="27" t="str">
        <x:v>U</x:v>
      </x:c>
      <x:c r="AQ174" s="27" t="n">
        <x:v>0.005</x:v>
      </x:c>
      <x:c r="AR174" s="27" t="n">
        <x:v>1</x:v>
      </x:c>
      <x:c r="AS174" s="27" t="n">
        <x:v>0.005</x:v>
      </x:c>
      <x:c r="AT174" s="27"/>
      <x:c r="AU174" s="27" t="n">
        <x:v>1.8635440339967957</x:v>
      </x:c>
      <x:c r="AV174" s="27" t="n">
        <x:v>572108018.4370162</x:v>
      </x:c>
      <x:c r="AW174" s="27" t="n">
        <x:v>0.5</x:v>
      </x:c>
      <x:c r="AX174" s="27" t="n">
        <x:v>-0.3388950792831091</x:v>
      </x:c>
      <x:c r="AY174" s="27" t="n">
        <x:v>1</x:v>
      </x:c>
      <x:c r="AZ174" s="27" t="n">
        <x:v>-193884592.26671505</x:v>
      </x:c>
    </x:row>
    <x:row r="175">
      <x:c r="A175" s="27" t="n">
        <x:v>45702</x:v>
      </x:c>
      <x:c r="B175" s="27" t="str">
        <x:v>IND_HEDGE_FUND_001</x:v>
      </x:c>
      <x:c r="C175" s="27" t="n">
        <x:v>3345</x:v>
      </x:c>
      <x:c r="D175" s="27" t="str">
        <x:v>IND-000172</x:v>
      </x:c>
      <x:c r="E175" s="27" t="str">
        <x:v>Swaption</x:v>
      </x:c>
      <x:c r="F175" s="27" t="str">
        <x:v>Interest Rate</x:v>
      </x:c>
      <x:c r="G175" s="27"/>
      <x:c r="H175" s="27" t="str">
        <x:v>USD</x:v>
      </x:c>
      <x:c r="I175" s="27" t="str">
        <x:v>USD</x:v>
      </x:c>
      <x:c r="J175" s="27" t="str">
        <x:v>USD</x:v>
      </x:c>
      <x:c r="K175" s="27"/>
      <x:c r="L175" s="27"/>
      <x:c r="M175" s="27" t="str">
        <x:v>USD</x:v>
      </x:c>
      <x:c r="N175" s="27"/>
      <x:c r="O175" s="27"/>
      <x:c r="P175" s="27" t="n">
        <x:v>46624</x:v>
      </x:c>
      <x:c r="Q175" s="27" t="n">
        <x:v>45073</x:v>
      </x:c>
      <x:c r="R175" s="27" t="n">
        <x:v>46624</x:v>
      </x:c>
      <x:c r="S175" s="27" t="n">
        <x:v>233000000</x:v>
      </x:c>
      <x:c r="T175" s="27" t="n">
        <x:v>233000000</x:v>
      </x:c>
      <x:c r="U175" s="27" t="n">
        <x:v>233000000</x:v>
      </x:c>
      <x:c r="V175" s="27" t="str">
        <x:v>M</x:v>
      </x:c>
      <x:c r="W175" s="27" t="str">
        <x:v>N</x:v>
      </x:c>
      <x:c r="X175" s="27" t="n">
        <x:v>10</x:v>
      </x:c>
      <x:c r="Y175" s="27" t="str">
        <x:v>S</x:v>
      </x:c>
      <x:c r="Z175" s="27" t="n">
        <x:v>46393</x:v>
      </x:c>
      <x:c r="AA175" s="27" t="str">
        <x:v>C</x:v>
      </x:c>
      <x:c r="AB175" s="27" t="n">
        <x:v>0.03219</x:v>
      </x:c>
      <x:c r="AC175" s="27" t="n">
        <x:v>0.03</x:v>
      </x:c>
      <x:c r="AD175" s="27" t="n">
        <x:v>710883</x:v>
      </x:c>
      <x:c r="AE175" s="27" t="str">
        <x:v>Public-safe anonymized industry-style SA-CCR sample</x:v>
      </x:c>
      <x:c r="AF175" s="27" t="str">
        <x:v>ANON-000172</x:v>
      </x:c>
      <x:c r="AG175" s="27" t="str">
        <x:v>Swaption</x:v>
      </x:c>
      <x:c r="AH175" s="27"/>
      <x:c r="AI175" s="27" t="str">
        <x:v>USD</x:v>
      </x:c>
      <x:c r="AJ175" s="27" t="n">
        <x:v>922</x:v>
      </x:c>
      <x:c r="AK175" s="27" t="n">
        <x:v>2.526027397260274</x:v>
      </x:c>
      <x:c r="AL175" s="27" t="str">
        <x:v>1Y-5Y</x:v>
      </x:c>
      <x:c r="AM175" s="27"/>
      <x:c r="AN175" s="27" t="str">
        <x:v>Unknown</x:v>
      </x:c>
      <x:c r="AO175" s="27" t="str">
        <x:v>USD</x:v>
      </x:c>
      <x:c r="AP175" s="27" t="str">
        <x:v>M</x:v>
      </x:c>
      <x:c r="AQ175" s="27" t="n">
        <x:v>0.005</x:v>
      </x:c>
      <x:c r="AR175" s="27" t="n">
        <x:v>1</x:v>
      </x:c>
      <x:c r="AS175" s="27" t="n">
        <x:v>0.005</x:v>
      </x:c>
      <x:c r="AT175" s="27"/>
      <x:c r="AU175" s="27" t="n">
        <x:v>2.3730161066081745</x:v>
      </x:c>
      <x:c r="AV175" s="27" t="n">
        <x:v>552912752.8397046</x:v>
      </x:c>
      <x:c r="AW175" s="27" t="n">
        <x:v>0.5</x:v>
      </x:c>
      <x:c r="AX175" s="27" t="n">
        <x:v>-0.5954405558729561</x:v>
      </x:c>
      <x:c r="AY175" s="27" t="n">
        <x:v>0.30000000000000004</x:v>
      </x:c>
      <x:c r="AZ175" s="27" t="n">
        <x:v>-98768003.07003604</x:v>
      </x:c>
    </x:row>
    <x:row r="176">
      <x:c r="A176" s="27" t="n">
        <x:v>45702</x:v>
      </x:c>
      <x:c r="B176" s="27" t="str">
        <x:v>IND_CORPORATE_002</x:v>
      </x:c>
      <x:c r="C176" s="27" t="n">
        <x:v>3074</x:v>
      </x:c>
      <x:c r="D176" s="27" t="str">
        <x:v>IND-000173</x:v>
      </x:c>
      <x:c r="E176" s="27" t="str">
        <x:v>Swaption</x:v>
      </x:c>
      <x:c r="F176" s="27" t="str">
        <x:v>Interest Rate</x:v>
      </x:c>
      <x:c r="G176" s="27"/>
      <x:c r="H176" s="27" t="str">
        <x:v>CNY</x:v>
      </x:c>
      <x:c r="I176" s="27" t="str">
        <x:v>CNY</x:v>
      </x:c>
      <x:c r="J176" s="27" t="str">
        <x:v>CNY</x:v>
      </x:c>
      <x:c r="K176" s="27"/>
      <x:c r="L176" s="27"/>
      <x:c r="M176" s="27" t="str">
        <x:v>CNY</x:v>
      </x:c>
      <x:c r="N176" s="27"/>
      <x:c r="O176" s="27"/>
      <x:c r="P176" s="27" t="n">
        <x:v>46042</x:v>
      </x:c>
      <x:c r="Q176" s="27" t="n">
        <x:v>45589</x:v>
      </x:c>
      <x:c r="R176" s="27" t="n">
        <x:v>46042</x:v>
      </x:c>
      <x:c r="S176" s="27" t="n">
        <x:v>2242857142.86</x:v>
      </x:c>
      <x:c r="T176" s="27" t="n">
        <x:v>2242857142.86</x:v>
      </x:c>
      <x:c r="U176" s="27" t="n">
        <x:v>314000000</x:v>
      </x:c>
      <x:c r="V176" s="27" t="str">
        <x:v>M</x:v>
      </x:c>
      <x:c r="W176" s="27" t="str">
        <x:v>Y</x:v>
      </x:c>
      <x:c r="X176" s="27" t="n">
        <x:v>5</x:v>
      </x:c>
      <x:c r="Y176" s="27" t="str">
        <x:v>S</x:v>
      </x:c>
      <x:c r="Z176" s="27" t="n">
        <x:v>45957</x:v>
      </x:c>
      <x:c r="AA176" s="27" t="str">
        <x:v>C</x:v>
      </x:c>
      <x:c r="AB176" s="27" t="n">
        <x:v>0.044822</x:v>
      </x:c>
      <x:c r="AC176" s="27" t="n">
        <x:v>0.0439</x:v>
      </x:c>
      <x:c r="AD176" s="27" t="n">
        <x:v>-2291886</x:v>
      </x:c>
      <x:c r="AE176" s="27" t="str">
        <x:v>Public-safe anonymized industry-style SA-CCR sample</x:v>
      </x:c>
      <x:c r="AF176" s="27" t="str">
        <x:v>ANON-000173</x:v>
      </x:c>
      <x:c r="AG176" s="27" t="str">
        <x:v>Swaption</x:v>
      </x:c>
      <x:c r="AH176" s="27"/>
      <x:c r="AI176" s="27" t="str">
        <x:v>CNY</x:v>
      </x:c>
      <x:c r="AJ176" s="27" t="n">
        <x:v>340</x:v>
      </x:c>
      <x:c r="AK176" s="27" t="n">
        <x:v>0.9315068493150684</x:v>
      </x:c>
      <x:c r="AL176" s="27" t="str">
        <x:v>&lt;1Y</x:v>
      </x:c>
      <x:c r="AM176" s="27"/>
      <x:c r="AN176" s="27" t="str">
        <x:v>Unknown</x:v>
      </x:c>
      <x:c r="AO176" s="27" t="str">
        <x:v>CNY</x:v>
      </x:c>
      <x:c r="AP176" s="27" t="str">
        <x:v>M</x:v>
      </x:c>
      <x:c r="AQ176" s="27" t="n">
        <x:v>0.005</x:v>
      </x:c>
      <x:c r="AR176" s="27" t="n">
        <x:v>1</x:v>
      </x:c>
      <x:c r="AS176" s="27" t="n">
        <x:v>0.005</x:v>
      </x:c>
      <x:c r="AT176" s="27"/>
      <x:c r="AU176" s="27" t="n">
        <x:v>0.9101471193705035</x:v>
      </x:c>
      <x:c r="AV176" s="27" t="n">
        <x:v>285786195.48233813</x:v>
      </x:c>
      <x:c r="AW176" s="27" t="n">
        <x:v>0.5</x:v>
      </x:c>
      <x:c r="AX176" s="27" t="n">
        <x:v>-0.5632547683384814</x:v>
      </x:c>
      <x:c r="AY176" s="27" t="n">
        <x:v>0.21213203435596426</x:v>
      </x:c>
      <x:c r="AZ176" s="27" t="n">
        <x:v>-34146986.3421392</x:v>
      </x:c>
    </x:row>
    <x:row r="177">
      <x:c r="A177" s="27" t="n">
        <x:v>45702</x:v>
      </x:c>
      <x:c r="B177" s="27" t="str">
        <x:v>IND_ASSET_MANAGER_001</x:v>
      </x:c>
      <x:c r="C177" s="27" t="n">
        <x:v>3050</x:v>
      </x:c>
      <x:c r="D177" s="27" t="str">
        <x:v>IND-000174</x:v>
      </x:c>
      <x:c r="E177" s="27" t="str">
        <x:v>Swaption</x:v>
      </x:c>
      <x:c r="F177" s="27" t="str">
        <x:v>Interest Rate</x:v>
      </x:c>
      <x:c r="G177" s="27"/>
      <x:c r="H177" s="27" t="str">
        <x:v>CNY</x:v>
      </x:c>
      <x:c r="I177" s="27" t="str">
        <x:v>CNY</x:v>
      </x:c>
      <x:c r="J177" s="27" t="str">
        <x:v>CNY</x:v>
      </x:c>
      <x:c r="K177" s="27"/>
      <x:c r="L177" s="27"/>
      <x:c r="M177" s="27" t="str">
        <x:v>CNY</x:v>
      </x:c>
      <x:c r="N177" s="27"/>
      <x:c r="O177" s="27"/>
      <x:c r="P177" s="27" t="n">
        <x:v>46329</x:v>
      </x:c>
      <x:c r="Q177" s="27" t="n">
        <x:v>45183</x:v>
      </x:c>
      <x:c r="R177" s="27" t="n">
        <x:v>46329</x:v>
      </x:c>
      <x:c r="S177" s="27" t="n">
        <x:v>322142857.14</x:v>
      </x:c>
      <x:c r="T177" s="27" t="n">
        <x:v>322142857.14</x:v>
      </x:c>
      <x:c r="U177" s="27" t="n">
        <x:v>45100000</x:v>
      </x:c>
      <x:c r="V177" s="27" t="str">
        <x:v>M</x:v>
      </x:c>
      <x:c r="W177" s="27" t="str">
        <x:v>N</x:v>
      </x:c>
      <x:c r="X177" s="27" t="n">
        <x:v>10</x:v>
      </x:c>
      <x:c r="Y177" s="27" t="str">
        <x:v>S</x:v>
      </x:c>
      <x:c r="Z177" s="27" t="n">
        <x:v>46172</x:v>
      </x:c>
      <x:c r="AA177" s="27" t="str">
        <x:v>C</x:v>
      </x:c>
      <x:c r="AB177" s="27" t="n">
        <x:v>0.048639</x:v>
      </x:c>
      <x:c r="AC177" s="27" t="n">
        <x:v>0.0523</x:v>
      </x:c>
      <x:c r="AD177" s="27" t="n">
        <x:v>205791.3</x:v>
      </x:c>
      <x:c r="AE177" s="27" t="str">
        <x:v>Public-safe anonymized industry-style SA-CCR sample</x:v>
      </x:c>
      <x:c r="AF177" s="27" t="str">
        <x:v>ANON-000174</x:v>
      </x:c>
      <x:c r="AG177" s="27" t="str">
        <x:v>Swaption</x:v>
      </x:c>
      <x:c r="AH177" s="27"/>
      <x:c r="AI177" s="27" t="str">
        <x:v>CNY</x:v>
      </x:c>
      <x:c r="AJ177" s="27" t="n">
        <x:v>627</x:v>
      </x:c>
      <x:c r="AK177" s="27" t="n">
        <x:v>1.7178082191780821</x:v>
      </x:c>
      <x:c r="AL177" s="27" t="str">
        <x:v>1Y-5Y</x:v>
      </x:c>
      <x:c r="AM177" s="27"/>
      <x:c r="AN177" s="27" t="str">
        <x:v>Unknown</x:v>
      </x:c>
      <x:c r="AO177" s="27" t="str">
        <x:v>CNY</x:v>
      </x:c>
      <x:c r="AP177" s="27" t="str">
        <x:v>M</x:v>
      </x:c>
      <x:c r="AQ177" s="27" t="n">
        <x:v>0.005</x:v>
      </x:c>
      <x:c r="AR177" s="27" t="n">
        <x:v>1</x:v>
      </x:c>
      <x:c r="AS177" s="27" t="n">
        <x:v>0.005</x:v>
      </x:c>
      <x:c r="AT177" s="27"/>
      <x:c r="AU177" s="27" t="n">
        <x:v>1.646104099953818</x:v>
      </x:c>
      <x:c r="AV177" s="27" t="n">
        <x:v>74239294.90791719</x:v>
      </x:c>
      <x:c r="AW177" s="27" t="n">
        <x:v>0.5</x:v>
      </x:c>
      <x:c r="AX177" s="27" t="n">
        <x:v>-0.6596816216292054</x:v>
      </x:c>
      <x:c r="AY177" s="27" t="n">
        <x:v>0.30000000000000004</x:v>
      </x:c>
      <x:c r="AZ177" s="27" t="n">
        <x:v>-14692289.536039088</x:v>
      </x:c>
    </x:row>
    <x:row r="178">
      <x:c r="A178" s="27" t="n">
        <x:v>45702</x:v>
      </x:c>
      <x:c r="B178" s="27" t="str">
        <x:v>IND_BANK_002</x:v>
      </x:c>
      <x:c r="C178" s="27" t="n">
        <x:v>3132</x:v>
      </x:c>
      <x:c r="D178" s="27" t="str">
        <x:v>IND-000175</x:v>
      </x:c>
      <x:c r="E178" s="27" t="str">
        <x:v>Cap/Floor</x:v>
      </x:c>
      <x:c r="F178" s="27" t="str">
        <x:v>Interest Rate</x:v>
      </x:c>
      <x:c r="G178" s="27"/>
      <x:c r="H178" s="27" t="str">
        <x:v>USD</x:v>
      </x:c>
      <x:c r="I178" s="27" t="str">
        <x:v>USD</x:v>
      </x:c>
      <x:c r="J178" s="27" t="str">
        <x:v>USD</x:v>
      </x:c>
      <x:c r="K178" s="27"/>
      <x:c r="L178" s="27"/>
      <x:c r="M178" s="27" t="str">
        <x:v>USD</x:v>
      </x:c>
      <x:c r="N178" s="27"/>
      <x:c r="O178" s="27"/>
      <x:c r="P178" s="27" t="n">
        <x:v>46094</x:v>
      </x:c>
      <x:c r="Q178" s="27" t="n">
        <x:v>45572</x:v>
      </x:c>
      <x:c r="R178" s="27" t="n">
        <x:v>46094</x:v>
      </x:c>
      <x:c r="S178" s="27" t="n">
        <x:v>373000000</x:v>
      </x:c>
      <x:c r="T178" s="27" t="n">
        <x:v>373000000</x:v>
      </x:c>
      <x:c r="U178" s="27" t="n">
        <x:v>373000000</x:v>
      </x:c>
      <x:c r="V178" s="27" t="str">
        <x:v>U</x:v>
      </x:c>
      <x:c r="W178" s="27" t="str">
        <x:v>Y</x:v>
      </x:c>
      <x:c r="X178" s="27" t="n">
        <x:v>5</x:v>
      </x:c>
      <x:c r="Y178" s="27" t="str">
        <x:v>B</x:v>
      </x:c>
      <x:c r="Z178" s="27" t="n">
        <x:v>45996</x:v>
      </x:c>
      <x:c r="AA178" s="27" t="str">
        <x:v>P</x:v>
      </x:c>
      <x:c r="AB178" s="27" t="n">
        <x:v>0.044689</x:v>
      </x:c>
      <x:c r="AC178" s="27" t="n">
        <x:v>0.0407</x:v>
      </x:c>
      <x:c r="AD178" s="27" t="n">
        <x:v>-218205</x:v>
      </x:c>
      <x:c r="AE178" s="27" t="str">
        <x:v>Public-safe anonymized industry-style SA-CCR sample</x:v>
      </x:c>
      <x:c r="AF178" s="27" t="str">
        <x:v>ANON-000175</x:v>
      </x:c>
      <x:c r="AG178" s="27" t="str">
        <x:v>Cap/Floor</x:v>
      </x:c>
      <x:c r="AH178" s="27"/>
      <x:c r="AI178" s="27" t="str">
        <x:v>USD</x:v>
      </x:c>
      <x:c r="AJ178" s="27" t="n">
        <x:v>392</x:v>
      </x:c>
      <x:c r="AK178" s="27" t="n">
        <x:v>1.073972602739726</x:v>
      </x:c>
      <x:c r="AL178" s="27" t="str">
        <x:v>1Y-5Y</x:v>
      </x:c>
      <x:c r="AM178" s="27"/>
      <x:c r="AN178" s="27" t="str">
        <x:v>Unknown</x:v>
      </x:c>
      <x:c r="AO178" s="27" t="str">
        <x:v>USD</x:v>
      </x:c>
      <x:c r="AP178" s="27" t="str">
        <x:v>U</x:v>
      </x:c>
      <x:c r="AQ178" s="27" t="n">
        <x:v>0.005</x:v>
      </x:c>
      <x:c r="AR178" s="27" t="n">
        <x:v>1</x:v>
      </x:c>
      <x:c r="AS178" s="27" t="n">
        <x:v>0.005</x:v>
      </x:c>
      <x:c r="AT178" s="27"/>
      <x:c r="AU178" s="27" t="n">
        <x:v>1.045646459700773</x:v>
      </x:c>
      <x:c r="AV178" s="27" t="n">
        <x:v>390026129.4683884</x:v>
      </x:c>
      <x:c r="AW178" s="27" t="n">
        <x:v>0.5</x:v>
      </x:c>
      <x:c r="AX178" s="27" t="n">
        <x:v>-0.49361207834150694</x:v>
      </x:c>
      <x:c r="AY178" s="27" t="n">
        <x:v>1</x:v>
      </x:c>
      <x:c r="AZ178" s="27" t="n">
        <x:v>-192521608.37438485</x:v>
      </x:c>
    </x:row>
    <x:row r="179">
      <x:c r="A179" s="27" t="n">
        <x:v>45702</x:v>
      </x:c>
      <x:c r="B179" s="27" t="str">
        <x:v>IND_SOVEREIGN_001</x:v>
      </x:c>
      <x:c r="C179" s="27" t="n">
        <x:v>3065</x:v>
      </x:c>
      <x:c r="D179" s="27" t="str">
        <x:v>IND-000176</x:v>
      </x:c>
      <x:c r="E179" s="27" t="str">
        <x:v>Cap/Floor</x:v>
      </x:c>
      <x:c r="F179" s="27" t="str">
        <x:v>Interest Rate</x:v>
      </x:c>
      <x:c r="G179" s="27"/>
      <x:c r="H179" s="27" t="str">
        <x:v>EUR</x:v>
      </x:c>
      <x:c r="I179" s="27" t="str">
        <x:v>EUR</x:v>
      </x:c>
      <x:c r="J179" s="27" t="str">
        <x:v>EUR</x:v>
      </x:c>
      <x:c r="K179" s="27"/>
      <x:c r="L179" s="27"/>
      <x:c r="M179" s="27" t="str">
        <x:v>EUR</x:v>
      </x:c>
      <x:c r="N179" s="27"/>
      <x:c r="O179" s="27"/>
      <x:c r="P179" s="27" t="n">
        <x:v>46498</x:v>
      </x:c>
      <x:c r="Q179" s="27" t="n">
        <x:v>44926</x:v>
      </x:c>
      <x:c r="R179" s="27" t="n">
        <x:v>46498</x:v>
      </x:c>
      <x:c r="S179" s="27" t="n">
        <x:v>71904761.9</x:v>
      </x:c>
      <x:c r="T179" s="27" t="n">
        <x:v>71904761.9</x:v>
      </x:c>
      <x:c r="U179" s="27" t="n">
        <x:v>75500000</x:v>
      </x:c>
      <x:c r="V179" s="27" t="str">
        <x:v>U</x:v>
      </x:c>
      <x:c r="W179" s="27" t="str">
        <x:v>Y</x:v>
      </x:c>
      <x:c r="X179" s="27" t="n">
        <x:v>5</x:v>
      </x:c>
      <x:c r="Y179" s="27" t="str">
        <x:v>B</x:v>
      </x:c>
      <x:c r="Z179" s="27" t="n">
        <x:v>46299</x:v>
      </x:c>
      <x:c r="AA179" s="27" t="str">
        <x:v>C</x:v>
      </x:c>
      <x:c r="AB179" s="27" t="n">
        <x:v>0.04114</x:v>
      </x:c>
      <x:c r="AC179" s="27" t="n">
        <x:v>0.0484</x:v>
      </x:c>
      <x:c r="AD179" s="27" t="n">
        <x:v>107361</x:v>
      </x:c>
      <x:c r="AE179" s="27" t="str">
        <x:v>Public-safe anonymized industry-style SA-CCR sample</x:v>
      </x:c>
      <x:c r="AF179" s="27" t="str">
        <x:v>ANON-000176</x:v>
      </x:c>
      <x:c r="AG179" s="27" t="str">
        <x:v>Cap/Floor</x:v>
      </x:c>
      <x:c r="AH179" s="27"/>
      <x:c r="AI179" s="27" t="str">
        <x:v>EUR</x:v>
      </x:c>
      <x:c r="AJ179" s="27" t="n">
        <x:v>796</x:v>
      </x:c>
      <x:c r="AK179" s="27" t="n">
        <x:v>2.180821917808219</x:v>
      </x:c>
      <x:c r="AL179" s="27" t="str">
        <x:v>1Y-5Y</x:v>
      </x:c>
      <x:c r="AM179" s="27"/>
      <x:c r="AN179" s="27" t="str">
        <x:v>Unknown</x:v>
      </x:c>
      <x:c r="AO179" s="27" t="str">
        <x:v>EUR</x:v>
      </x:c>
      <x:c r="AP179" s="27" t="str">
        <x:v>U</x:v>
      </x:c>
      <x:c r="AQ179" s="27" t="n">
        <x:v>0.005</x:v>
      </x:c>
      <x:c r="AR179" s="27" t="n">
        <x:v>1</x:v>
      </x:c>
      <x:c r="AS179" s="27" t="n">
        <x:v>0.005</x:v>
      </x:c>
      <x:c r="AT179" s="27"/>
      <x:c r="AU179" s="27" t="n">
        <x:v>2.066128673590182</x:v>
      </x:c>
      <x:c r="AV179" s="27" t="n">
        <x:v>155992714.85605872</x:v>
      </x:c>
      <x:c r="AW179" s="27" t="n">
        <x:v>0.5</x:v>
      </x:c>
      <x:c r="AX179" s="27" t="n">
        <x:v>0.7169754510929774</x:v>
      </x:c>
      <x:c r="AY179" s="27" t="n">
        <x:v>1</x:v>
      </x:c>
      <x:c r="AZ179" s="27" t="n">
        <x:v>111842947.1011409</x:v>
      </x:c>
    </x:row>
    <x:row r="180">
      <x:c r="A180" s="27" t="n">
        <x:v>45702</x:v>
      </x:c>
      <x:c r="B180" s="27" t="str">
        <x:v>IND_INSURER_001</x:v>
      </x:c>
      <x:c r="C180" s="27" t="n">
        <x:v>3297</x:v>
      </x:c>
      <x:c r="D180" s="27" t="str">
        <x:v>IND-000177</x:v>
      </x:c>
      <x:c r="E180" s="27" t="str">
        <x:v>Cap/Floor</x:v>
      </x:c>
      <x:c r="F180" s="27" t="str">
        <x:v>Interest Rate</x:v>
      </x:c>
      <x:c r="G180" s="27"/>
      <x:c r="H180" s="27" t="str">
        <x:v>USD</x:v>
      </x:c>
      <x:c r="I180" s="27" t="str">
        <x:v>USD</x:v>
      </x:c>
      <x:c r="J180" s="27" t="str">
        <x:v>USD</x:v>
      </x:c>
      <x:c r="K180" s="27"/>
      <x:c r="L180" s="27"/>
      <x:c r="M180" s="27" t="str">
        <x:v>USD</x:v>
      </x:c>
      <x:c r="N180" s="27"/>
      <x:c r="O180" s="27"/>
      <x:c r="P180" s="27" t="n">
        <x:v>47447</x:v>
      </x:c>
      <x:c r="Q180" s="27" t="n">
        <x:v>45482</x:v>
      </x:c>
      <x:c r="R180" s="27" t="n">
        <x:v>47447</x:v>
      </x:c>
      <x:c r="S180" s="27" t="n">
        <x:v>336000000</x:v>
      </x:c>
      <x:c r="T180" s="27" t="n">
        <x:v>336000000</x:v>
      </x:c>
      <x:c r="U180" s="27" t="n">
        <x:v>336000000</x:v>
      </x:c>
      <x:c r="V180" s="27" t="str">
        <x:v>M</x:v>
      </x:c>
      <x:c r="W180" s="27" t="str">
        <x:v>Y</x:v>
      </x:c>
      <x:c r="X180" s="27" t="n">
        <x:v>5</x:v>
      </x:c>
      <x:c r="Y180" s="27" t="str">
        <x:v>S</x:v>
      </x:c>
      <x:c r="Z180" s="27" t="n">
        <x:v>47010</x:v>
      </x:c>
      <x:c r="AA180" s="27" t="str">
        <x:v>C</x:v>
      </x:c>
      <x:c r="AB180" s="27" t="n">
        <x:v>0.056368</x:v>
      </x:c>
      <x:c r="AC180" s="27" t="n">
        <x:v>0.0506</x:v>
      </x:c>
      <x:c r="AD180" s="27" t="n">
        <x:v>1013040</x:v>
      </x:c>
      <x:c r="AE180" s="27" t="str">
        <x:v>Public-safe anonymized industry-style SA-CCR sample</x:v>
      </x:c>
      <x:c r="AF180" s="27" t="str">
        <x:v>ANON-000177</x:v>
      </x:c>
      <x:c r="AG180" s="27" t="str">
        <x:v>Cap/Floor</x:v>
      </x:c>
      <x:c r="AH180" s="27"/>
      <x:c r="AI180" s="27" t="str">
        <x:v>USD</x:v>
      </x:c>
      <x:c r="AJ180" s="27" t="n">
        <x:v>1745</x:v>
      </x:c>
      <x:c r="AK180" s="27" t="n">
        <x:v>4.780821917808219</x:v>
      </x:c>
      <x:c r="AL180" s="27" t="str">
        <x:v>1Y-5Y</x:v>
      </x:c>
      <x:c r="AM180" s="27"/>
      <x:c r="AN180" s="27" t="str">
        <x:v>Unknown</x:v>
      </x:c>
      <x:c r="AO180" s="27" t="str">
        <x:v>USD</x:v>
      </x:c>
      <x:c r="AP180" s="27" t="str">
        <x:v>M</x:v>
      </x:c>
      <x:c r="AQ180" s="27" t="n">
        <x:v>0.005</x:v>
      </x:c>
      <x:c r="AR180" s="27" t="n">
        <x:v>1</x:v>
      </x:c>
      <x:c r="AS180" s="27" t="n">
        <x:v>0.005</x:v>
      </x:c>
      <x:c r="AT180" s="27"/>
      <x:c r="AU180" s="27" t="n">
        <x:v>4.252349529562271</x:v>
      </x:c>
      <x:c r="AV180" s="27" t="n">
        <x:v>1428789441.932923</x:v>
      </x:c>
      <x:c r="AW180" s="27" t="n">
        <x:v>0.5</x:v>
      </x:c>
      <x:c r="AX180" s="27" t="n">
        <x:v>-0.6402800343239259</x:v>
      </x:c>
      <x:c r="AY180" s="27" t="n">
        <x:v>0.21213203435596426</x:v>
      </x:c>
      <x:c r="AZ180" s="27" t="n">
        <x:v>-194063763.19585755</x:v>
      </x:c>
    </x:row>
    <x:row r="181">
      <x:c r="A181" s="27" t="n">
        <x:v>45702</x:v>
      </x:c>
      <x:c r="B181" s="27" t="str">
        <x:v>IND_BANK_002</x:v>
      </x:c>
      <x:c r="C181" s="27" t="n">
        <x:v>3132</x:v>
      </x:c>
      <x:c r="D181" s="27" t="str">
        <x:v>IND-000178</x:v>
      </x:c>
      <x:c r="E181" s="27" t="str">
        <x:v>Cap/Floor</x:v>
      </x:c>
      <x:c r="F181" s="27" t="str">
        <x:v>Interest Rate</x:v>
      </x:c>
      <x:c r="G181" s="27"/>
      <x:c r="H181" s="27" t="str">
        <x:v>USD</x:v>
      </x:c>
      <x:c r="I181" s="27" t="str">
        <x:v>USD</x:v>
      </x:c>
      <x:c r="J181" s="27" t="str">
        <x:v>USD</x:v>
      </x:c>
      <x:c r="K181" s="27"/>
      <x:c r="L181" s="27"/>
      <x:c r="M181" s="27" t="str">
        <x:v>USD</x:v>
      </x:c>
      <x:c r="N181" s="27"/>
      <x:c r="O181" s="27"/>
      <x:c r="P181" s="27" t="n">
        <x:v>47441</x:v>
      </x:c>
      <x:c r="Q181" s="27" t="n">
        <x:v>44810</x:v>
      </x:c>
      <x:c r="R181" s="27" t="n">
        <x:v>47441</x:v>
      </x:c>
      <x:c r="S181" s="27" t="n">
        <x:v>25100000</x:v>
      </x:c>
      <x:c r="T181" s="27" t="n">
        <x:v>25100000</x:v>
      </x:c>
      <x:c r="U181" s="27" t="n">
        <x:v>25100000</x:v>
      </x:c>
      <x:c r="V181" s="27" t="str">
        <x:v>U</x:v>
      </x:c>
      <x:c r="W181" s="27" t="str">
        <x:v>N</x:v>
      </x:c>
      <x:c r="X181" s="27"/>
      <x:c r="Y181" s="27" t="str">
        <x:v>S</x:v>
      </x:c>
      <x:c r="Z181" s="27" t="n">
        <x:v>47006</x:v>
      </x:c>
      <x:c r="AA181" s="27" t="str">
        <x:v>P</x:v>
      </x:c>
      <x:c r="AB181" s="27" t="n">
        <x:v>0.034679</x:v>
      </x:c>
      <x:c r="AC181" s="27" t="n">
        <x:v>0.0338</x:v>
      </x:c>
      <x:c r="AD181" s="27" t="n">
        <x:v>117693.9</x:v>
      </x:c>
      <x:c r="AE181" s="27" t="str">
        <x:v>Public-safe anonymized industry-style SA-CCR sample</x:v>
      </x:c>
      <x:c r="AF181" s="27" t="str">
        <x:v>ANON-000178</x:v>
      </x:c>
      <x:c r="AG181" s="27" t="str">
        <x:v>Cap/Floor</x:v>
      </x:c>
      <x:c r="AH181" s="27"/>
      <x:c r="AI181" s="27" t="str">
        <x:v>USD</x:v>
      </x:c>
      <x:c r="AJ181" s="27" t="n">
        <x:v>1739</x:v>
      </x:c>
      <x:c r="AK181" s="27" t="n">
        <x:v>4.764383561643836</x:v>
      </x:c>
      <x:c r="AL181" s="27" t="str">
        <x:v>1Y-5Y</x:v>
      </x:c>
      <x:c r="AM181" s="27"/>
      <x:c r="AN181" s="27" t="str">
        <x:v>Unknown</x:v>
      </x:c>
      <x:c r="AO181" s="27" t="str">
        <x:v>USD</x:v>
      </x:c>
      <x:c r="AP181" s="27" t="str">
        <x:v>U</x:v>
      </x:c>
      <x:c r="AQ181" s="27" t="n">
        <x:v>0.005</x:v>
      </x:c>
      <x:c r="AR181" s="27" t="n">
        <x:v>1</x:v>
      </x:c>
      <x:c r="AS181" s="27" t="n">
        <x:v>0.005</x:v>
      </x:c>
      <x:c r="AT181" s="27"/>
      <x:c r="AU181" s="27" t="n">
        <x:v>4.2394009345915595</x:v>
      </x:c>
      <x:c r="AV181" s="27" t="n">
        <x:v>106408963.45824814</x:v>
      </x:c>
      <x:c r="AW181" s="27" t="n">
        <x:v>0.5</x:v>
      </x:c>
      <x:c r="AX181" s="27" t="n">
        <x:v>0.3280271260946716</x:v>
      </x:c>
      <x:c r="AY181" s="27" t="n">
        <x:v>1</x:v>
      </x:c>
      <x:c r="AZ181" s="27" t="n">
        <x:v>34905026.47392207</x:v>
      </x:c>
    </x:row>
    <x:row r="182">
      <x:c r="A182" s="27" t="n">
        <x:v>45702</x:v>
      </x:c>
      <x:c r="B182" s="27" t="str">
        <x:v>IND_INSURER_001</x:v>
      </x:c>
      <x:c r="C182" s="27" t="n">
        <x:v>3297</x:v>
      </x:c>
      <x:c r="D182" s="27" t="str">
        <x:v>IND-000179</x:v>
      </x:c>
      <x:c r="E182" s="27" t="str">
        <x:v>Cap/Floor</x:v>
      </x:c>
      <x:c r="F182" s="27" t="str">
        <x:v>Interest Rate</x:v>
      </x:c>
      <x:c r="G182" s="27"/>
      <x:c r="H182" s="27" t="str">
        <x:v>USD</x:v>
      </x:c>
      <x:c r="I182" s="27" t="str">
        <x:v>USD</x:v>
      </x:c>
      <x:c r="J182" s="27" t="str">
        <x:v>USD</x:v>
      </x:c>
      <x:c r="K182" s="27"/>
      <x:c r="L182" s="27"/>
      <x:c r="M182" s="27" t="str">
        <x:v>USD</x:v>
      </x:c>
      <x:c r="N182" s="27"/>
      <x:c r="O182" s="27"/>
      <x:c r="P182" s="27" t="n">
        <x:v>47126</x:v>
      </x:c>
      <x:c r="Q182" s="27" t="n">
        <x:v>44882</x:v>
      </x:c>
      <x:c r="R182" s="27" t="n">
        <x:v>47126</x:v>
      </x:c>
      <x:c r="S182" s="27" t="n">
        <x:v>328000000</x:v>
      </x:c>
      <x:c r="T182" s="27" t="n">
        <x:v>328000000</x:v>
      </x:c>
      <x:c r="U182" s="27" t="n">
        <x:v>328000000</x:v>
      </x:c>
      <x:c r="V182" s="27" t="str">
        <x:v>M</x:v>
      </x:c>
      <x:c r="W182" s="27" t="str">
        <x:v>N</x:v>
      </x:c>
      <x:c r="X182" s="27" t="n">
        <x:v>10</x:v>
      </x:c>
      <x:c r="Y182" s="27" t="str">
        <x:v>B</x:v>
      </x:c>
      <x:c r="Z182" s="27" t="n">
        <x:v>46770</x:v>
      </x:c>
      <x:c r="AA182" s="27" t="str">
        <x:v>C</x:v>
      </x:c>
      <x:c r="AB182" s="27" t="n">
        <x:v>0.042059</x:v>
      </x:c>
      <x:c r="AC182" s="27" t="n">
        <x:v>0.0388</x:v>
      </x:c>
      <x:c r="AD182" s="27" t="n">
        <x:v>-1198512</x:v>
      </x:c>
      <x:c r="AE182" s="27" t="str">
        <x:v>Public-safe anonymized industry-style SA-CCR sample</x:v>
      </x:c>
      <x:c r="AF182" s="27" t="str">
        <x:v>ANON-000179</x:v>
      </x:c>
      <x:c r="AG182" s="27" t="str">
        <x:v>Cap/Floor</x:v>
      </x:c>
      <x:c r="AH182" s="27"/>
      <x:c r="AI182" s="27" t="str">
        <x:v>USD</x:v>
      </x:c>
      <x:c r="AJ182" s="27" t="n">
        <x:v>1424</x:v>
      </x:c>
      <x:c r="AK182" s="27" t="n">
        <x:v>3.9013698630136986</x:v>
      </x:c>
      <x:c r="AL182" s="27" t="str">
        <x:v>1Y-5Y</x:v>
      </x:c>
      <x:c r="AM182" s="27"/>
      <x:c r="AN182" s="27" t="str">
        <x:v>Unknown</x:v>
      </x:c>
      <x:c r="AO182" s="27" t="str">
        <x:v>USD</x:v>
      </x:c>
      <x:c r="AP182" s="27" t="str">
        <x:v>M</x:v>
      </x:c>
      <x:c r="AQ182" s="27" t="n">
        <x:v>0.005</x:v>
      </x:c>
      <x:c r="AR182" s="27" t="n">
        <x:v>1</x:v>
      </x:c>
      <x:c r="AS182" s="27" t="n">
        <x:v>0.005</x:v>
      </x:c>
      <x:c r="AT182" s="27"/>
      <x:c r="AU182" s="27" t="n">
        <x:v>3.544433971043235</x:v>
      </x:c>
      <x:c r="AV182" s="27" t="n">
        <x:v>1162574342.502181</x:v>
      </x:c>
      <x:c r="AW182" s="27" t="n">
        <x:v>0.5</x:v>
      </x:c>
      <x:c r="AX182" s="27" t="n">
        <x:v>0.630561468114529</x:v>
      </x:c>
      <x:c r="AY182" s="27" t="n">
        <x:v>0.30000000000000004</x:v>
      </x:c>
      <x:c r="AZ182" s="27" t="n">
        <x:v>219922375.2601376</x:v>
      </x:c>
    </x:row>
    <x:row r="183">
      <x:c r="A183" s="27" t="n">
        <x:v>45702</x:v>
      </x:c>
      <x:c r="B183" s="27" t="str">
        <x:v>IND_CORPORATE_001</x:v>
      </x:c>
      <x:c r="C183" s="27" t="n">
        <x:v>3004</x:v>
      </x:c>
      <x:c r="D183" s="27" t="str">
        <x:v>IND-000180</x:v>
      </x:c>
      <x:c r="E183" s="27" t="str">
        <x:v>Cap/Floor</x:v>
      </x:c>
      <x:c r="F183" s="27" t="str">
        <x:v>Interest Rate</x:v>
      </x:c>
      <x:c r="G183" s="27"/>
      <x:c r="H183" s="27" t="str">
        <x:v>EUR</x:v>
      </x:c>
      <x:c r="I183" s="27" t="str">
        <x:v>EUR</x:v>
      </x:c>
      <x:c r="J183" s="27" t="str">
        <x:v>EUR</x:v>
      </x:c>
      <x:c r="K183" s="27"/>
      <x:c r="L183" s="27"/>
      <x:c r="M183" s="27" t="str">
        <x:v>EUR</x:v>
      </x:c>
      <x:c r="N183" s="27"/>
      <x:c r="O183" s="27"/>
      <x:c r="P183" s="27" t="n">
        <x:v>46792</x:v>
      </x:c>
      <x:c r="Q183" s="27" t="n">
        <x:v>45216</x:v>
      </x:c>
      <x:c r="R183" s="27" t="n">
        <x:v>46792</x:v>
      </x:c>
      <x:c r="S183" s="27" t="n">
        <x:v>192380952.38</x:v>
      </x:c>
      <x:c r="T183" s="27" t="n">
        <x:v>192380952.38</x:v>
      </x:c>
      <x:c r="U183" s="27" t="n">
        <x:v>202000000</x:v>
      </x:c>
      <x:c r="V183" s="27" t="str">
        <x:v>M</x:v>
      </x:c>
      <x:c r="W183" s="27" t="str">
        <x:v>Y</x:v>
      </x:c>
      <x:c r="X183" s="27" t="n">
        <x:v>5</x:v>
      </x:c>
      <x:c r="Y183" s="27" t="str">
        <x:v>S</x:v>
      </x:c>
      <x:c r="Z183" s="27" t="n">
        <x:v>46519</x:v>
      </x:c>
      <x:c r="AA183" s="27" t="str">
        <x:v>C</x:v>
      </x:c>
      <x:c r="AB183" s="27" t="n">
        <x:v>0.030956</x:v>
      </x:c>
      <x:c r="AC183" s="27" t="n">
        <x:v>0.0349</x:v>
      </x:c>
      <x:c r="AD183" s="27" t="n">
        <x:v>-123624</x:v>
      </x:c>
      <x:c r="AE183" s="27" t="str">
        <x:v>Public-safe anonymized industry-style SA-CCR sample</x:v>
      </x:c>
      <x:c r="AF183" s="27" t="str">
        <x:v>ANON-000180</x:v>
      </x:c>
      <x:c r="AG183" s="27" t="str">
        <x:v>Cap/Floor</x:v>
      </x:c>
      <x:c r="AH183" s="27"/>
      <x:c r="AI183" s="27" t="str">
        <x:v>EUR</x:v>
      </x:c>
      <x:c r="AJ183" s="27" t="n">
        <x:v>1090</x:v>
      </x:c>
      <x:c r="AK183" s="27" t="n">
        <x:v>2.9863013698630136</x:v>
      </x:c>
      <x:c r="AL183" s="27" t="str">
        <x:v>1Y-5Y</x:v>
      </x:c>
      <x:c r="AM183" s="27"/>
      <x:c r="AN183" s="27" t="str">
        <x:v>Unknown</x:v>
      </x:c>
      <x:c r="AO183" s="27" t="str">
        <x:v>EUR</x:v>
      </x:c>
      <x:c r="AP183" s="27" t="str">
        <x:v>M</x:v>
      </x:c>
      <x:c r="AQ183" s="27" t="n">
        <x:v>0.005</x:v>
      </x:c>
      <x:c r="AR183" s="27" t="n">
        <x:v>1</x:v>
      </x:c>
      <x:c r="AS183" s="27" t="n">
        <x:v>0.005</x:v>
      </x:c>
      <x:c r="AT183" s="27"/>
      <x:c r="AU183" s="27" t="n">
        <x:v>2.7740459125024097</x:v>
      </x:c>
      <x:c r="AV183" s="27" t="n">
        <x:v>560357274.3254868</x:v>
      </x:c>
      <x:c r="AW183" s="27" t="n">
        <x:v>0.5</x:v>
      </x:c>
      <x:c r="AX183" s="27" t="n">
        <x:v>-0.7034458283241092</x:v>
      </x:c>
      <x:c r="AY183" s="27" t="n">
        <x:v>0.21213203435596426</x:v>
      </x:c>
      <x:c r="AZ183" s="27" t="n">
        <x:v>-83618414.6757617</x:v>
      </x:c>
    </x:row>
    <x:row r="184">
      <x:c r="A184" s="27" t="n">
        <x:v>45702</x:v>
      </x:c>
      <x:c r="B184" s="27" t="str">
        <x:v>IND_HEDGE_FUND_001</x:v>
      </x:c>
      <x:c r="C184" s="27" t="n">
        <x:v>3345</x:v>
      </x:c>
      <x:c r="D184" s="27" t="str">
        <x:v>IND-000181</x:v>
      </x:c>
      <x:c r="E184" s="27" t="str">
        <x:v>Cap/Floor</x:v>
      </x:c>
      <x:c r="F184" s="27" t="str">
        <x:v>Interest Rate</x:v>
      </x:c>
      <x:c r="G184" s="27"/>
      <x:c r="H184" s="27" t="str">
        <x:v>USD</x:v>
      </x:c>
      <x:c r="I184" s="27" t="str">
        <x:v>USD</x:v>
      </x:c>
      <x:c r="J184" s="27" t="str">
        <x:v>USD</x:v>
      </x:c>
      <x:c r="K184" s="27"/>
      <x:c r="L184" s="27"/>
      <x:c r="M184" s="27" t="str">
        <x:v>USD</x:v>
      </x:c>
      <x:c r="N184" s="27"/>
      <x:c r="O184" s="27"/>
      <x:c r="P184" s="27" t="n">
        <x:v>45994</x:v>
      </x:c>
      <x:c r="Q184" s="27" t="n">
        <x:v>45592</x:v>
      </x:c>
      <x:c r="R184" s="27" t="n">
        <x:v>45994</x:v>
      </x:c>
      <x:c r="S184" s="27" t="n">
        <x:v>304000000</x:v>
      </x:c>
      <x:c r="T184" s="27" t="n">
        <x:v>304000000</x:v>
      </x:c>
      <x:c r="U184" s="27" t="n">
        <x:v>304000000</x:v>
      </x:c>
      <x:c r="V184" s="27" t="str">
        <x:v>M</x:v>
      </x:c>
      <x:c r="W184" s="27" t="str">
        <x:v>N</x:v>
      </x:c>
      <x:c r="X184" s="27" t="n">
        <x:v>10</x:v>
      </x:c>
      <x:c r="Y184" s="27" t="str">
        <x:v>B</x:v>
      </x:c>
      <x:c r="Z184" s="27" t="n">
        <x:v>45921</x:v>
      </x:c>
      <x:c r="AA184" s="27" t="str">
        <x:v>C</x:v>
      </x:c>
      <x:c r="AB184" s="27" t="n">
        <x:v>0.015272</x:v>
      </x:c>
      <x:c r="AC184" s="27" t="n">
        <x:v>0.0156</x:v>
      </x:c>
      <x:c r="AD184" s="27" t="n">
        <x:v>588240</x:v>
      </x:c>
      <x:c r="AE184" s="27" t="str">
        <x:v>Public-safe anonymized industry-style SA-CCR sample</x:v>
      </x:c>
      <x:c r="AF184" s="27" t="str">
        <x:v>ANON-000181</x:v>
      </x:c>
      <x:c r="AG184" s="27" t="str">
        <x:v>Cap/Floor</x:v>
      </x:c>
      <x:c r="AH184" s="27"/>
      <x:c r="AI184" s="27" t="str">
        <x:v>USD</x:v>
      </x:c>
      <x:c r="AJ184" s="27" t="n">
        <x:v>292</x:v>
      </x:c>
      <x:c r="AK184" s="27" t="n">
        <x:v>0.8</x:v>
      </x:c>
      <x:c r="AL184" s="27" t="str">
        <x:v>&lt;1Y</x:v>
      </x:c>
      <x:c r="AM184" s="27"/>
      <x:c r="AN184" s="27" t="str">
        <x:v>Unknown</x:v>
      </x:c>
      <x:c r="AO184" s="27" t="str">
        <x:v>USD</x:v>
      </x:c>
      <x:c r="AP184" s="27" t="str">
        <x:v>M</x:v>
      </x:c>
      <x:c r="AQ184" s="27" t="n">
        <x:v>0.005</x:v>
      </x:c>
      <x:c r="AR184" s="27" t="n">
        <x:v>1</x:v>
      </x:c>
      <x:c r="AS184" s="27" t="n">
        <x:v>0.005</x:v>
      </x:c>
      <x:c r="AT184" s="27"/>
      <x:c r="AU184" s="27" t="n">
        <x:v>0.7842112169535365</x:v>
      </x:c>
      <x:c r="AV184" s="27" t="n">
        <x:v>238400209.9538751</x:v>
      </x:c>
      <x:c r="AW184" s="27" t="n">
        <x:v>0.5</x:v>
      </x:c>
      <x:c r="AX184" s="27" t="n">
        <x:v>0.5981323988641691</x:v>
      </x:c>
      <x:c r="AY184" s="27" t="n">
        <x:v>0.30000000000000004</x:v>
      </x:c>
      <x:c r="AZ184" s="27" t="n">
        <x:v>42778466.84082987</x:v>
      </x:c>
    </x:row>
    <x:row r="185">
      <x:c r="A185" s="27" t="n">
        <x:v>45702</x:v>
      </x:c>
      <x:c r="B185" s="27" t="str">
        <x:v>IND_SOVEREIGN_001</x:v>
      </x:c>
      <x:c r="C185" s="27" t="n">
        <x:v>3246</x:v>
      </x:c>
      <x:c r="D185" s="27" t="str">
        <x:v>IND-000182</x:v>
      </x:c>
      <x:c r="E185" s="27" t="str">
        <x:v>Cap/Floor</x:v>
      </x:c>
      <x:c r="F185" s="27" t="str">
        <x:v>Interest Rate</x:v>
      </x:c>
      <x:c r="G185" s="27"/>
      <x:c r="H185" s="27" t="str">
        <x:v>EUR</x:v>
      </x:c>
      <x:c r="I185" s="27" t="str">
        <x:v>EUR</x:v>
      </x:c>
      <x:c r="J185" s="27" t="str">
        <x:v>EUR</x:v>
      </x:c>
      <x:c r="K185" s="27"/>
      <x:c r="L185" s="27"/>
      <x:c r="M185" s="27" t="str">
        <x:v>EUR</x:v>
      </x:c>
      <x:c r="N185" s="27"/>
      <x:c r="O185" s="27"/>
      <x:c r="P185" s="27" t="n">
        <x:v>45967</x:v>
      </x:c>
      <x:c r="Q185" s="27" t="n">
        <x:v>45055</x:v>
      </x:c>
      <x:c r="R185" s="27" t="n">
        <x:v>45967</x:v>
      </x:c>
      <x:c r="S185" s="27" t="n">
        <x:v>103809523.81</x:v>
      </x:c>
      <x:c r="T185" s="27" t="n">
        <x:v>103809523.81</x:v>
      </x:c>
      <x:c r="U185" s="27" t="n">
        <x:v>109000000</x:v>
      </x:c>
      <x:c r="V185" s="27" t="str">
        <x:v>M</x:v>
      </x:c>
      <x:c r="W185" s="27" t="str">
        <x:v>Y</x:v>
      </x:c>
      <x:c r="X185" s="27" t="n">
        <x:v>5</x:v>
      </x:c>
      <x:c r="Y185" s="27" t="str">
        <x:v>B</x:v>
      </x:c>
      <x:c r="Z185" s="27" t="n">
        <x:v>45900</x:v>
      </x:c>
      <x:c r="AA185" s="27" t="str">
        <x:v>C</x:v>
      </x:c>
      <x:c r="AB185" s="27" t="n">
        <x:v>0.051283</x:v>
      </x:c>
      <x:c r="AC185" s="27" t="n">
        <x:v>0.0537</x:v>
      </x:c>
      <x:c r="AD185" s="27" t="n">
        <x:v>930969</x:v>
      </x:c>
      <x:c r="AE185" s="27" t="str">
        <x:v>Public-safe anonymized industry-style SA-CCR sample</x:v>
      </x:c>
      <x:c r="AF185" s="27" t="str">
        <x:v>ANON-000182</x:v>
      </x:c>
      <x:c r="AG185" s="27" t="str">
        <x:v>Cap/Floor</x:v>
      </x:c>
      <x:c r="AH185" s="27"/>
      <x:c r="AI185" s="27" t="str">
        <x:v>EUR</x:v>
      </x:c>
      <x:c r="AJ185" s="27" t="n">
        <x:v>265</x:v>
      </x:c>
      <x:c r="AK185" s="27" t="n">
        <x:v>0.726027397260274</x:v>
      </x:c>
      <x:c r="AL185" s="27" t="str">
        <x:v>&lt;1Y</x:v>
      </x:c>
      <x:c r="AM185" s="27"/>
      <x:c r="AN185" s="27" t="str">
        <x:v>Unknown</x:v>
      </x:c>
      <x:c r="AO185" s="27" t="str">
        <x:v>EUR</x:v>
      </x:c>
      <x:c r="AP185" s="27" t="str">
        <x:v>M</x:v>
      </x:c>
      <x:c r="AQ185" s="27" t="n">
        <x:v>0.005</x:v>
      </x:c>
      <x:c r="AR185" s="27" t="n">
        <x:v>1</x:v>
      </x:c>
      <x:c r="AS185" s="27" t="n">
        <x:v>0.005</x:v>
      </x:c>
      <x:c r="AT185" s="27"/>
      <x:c r="AU185" s="27" t="n">
        <x:v>0.7130075245647194</x:v>
      </x:c>
      <x:c r="AV185" s="27" t="n">
        <x:v>77717820.17755441</x:v>
      </x:c>
      <x:c r="AW185" s="27" t="n">
        <x:v>0.5</x:v>
      </x:c>
      <x:c r="AX185" s="27" t="n">
        <x:v>0.6214106465163756</x:v>
      </x:c>
      <x:c r="AY185" s="27" t="n">
        <x:v>0.21213203435596426</x:v>
      </x:c>
      <x:c r="AZ185" s="27" t="n">
        <x:v>10244848.904150834</x:v>
      </x:c>
    </x:row>
    <x:row r="186">
      <x:c r="A186" s="27" t="n">
        <x:v>45702</x:v>
      </x:c>
      <x:c r="B186" s="27" t="str">
        <x:v>IND_PENSION_001</x:v>
      </x:c>
      <x:c r="C186" s="27" t="n">
        <x:v>3174</x:v>
      </x:c>
      <x:c r="D186" s="27" t="str">
        <x:v>IND-000183</x:v>
      </x:c>
      <x:c r="E186" s="27" t="str">
        <x:v>Cap/Floor</x:v>
      </x:c>
      <x:c r="F186" s="27" t="str">
        <x:v>Interest Rate</x:v>
      </x:c>
      <x:c r="G186" s="27"/>
      <x:c r="H186" s="27" t="str">
        <x:v>CNY</x:v>
      </x:c>
      <x:c r="I186" s="27" t="str">
        <x:v>CNY</x:v>
      </x:c>
      <x:c r="J186" s="27" t="str">
        <x:v>CNY</x:v>
      </x:c>
      <x:c r="K186" s="27"/>
      <x:c r="L186" s="27"/>
      <x:c r="M186" s="27" t="str">
        <x:v>CNY</x:v>
      </x:c>
      <x:c r="N186" s="27"/>
      <x:c r="O186" s="27"/>
      <x:c r="P186" s="27" t="n">
        <x:v>45882</x:v>
      </x:c>
      <x:c r="Q186" s="27" t="n">
        <x:v>45498</x:v>
      </x:c>
      <x:c r="R186" s="27" t="n">
        <x:v>45882</x:v>
      </x:c>
      <x:c r="S186" s="27" t="n">
        <x:v>1992857142.86</x:v>
      </x:c>
      <x:c r="T186" s="27" t="n">
        <x:v>1992857142.86</x:v>
      </x:c>
      <x:c r="U186" s="27" t="n">
        <x:v>279000000</x:v>
      </x:c>
      <x:c r="V186" s="27" t="str">
        <x:v>U</x:v>
      </x:c>
      <x:c r="W186" s="27" t="str">
        <x:v>N</x:v>
      </x:c>
      <x:c r="X186" s="27"/>
      <x:c r="Y186" s="27" t="str">
        <x:v>S</x:v>
      </x:c>
      <x:c r="Z186" s="27" t="n">
        <x:v>45837</x:v>
      </x:c>
      <x:c r="AA186" s="27" t="str">
        <x:v>C</x:v>
      </x:c>
      <x:c r="AB186" s="27" t="n">
        <x:v>0.017075</x:v>
      </x:c>
      <x:c r="AC186" s="27" t="n">
        <x:v>0.0185</x:v>
      </x:c>
      <x:c r="AD186" s="27" t="n">
        <x:v>150660</x:v>
      </x:c>
      <x:c r="AE186" s="27" t="str">
        <x:v>Public-safe anonymized industry-style SA-CCR sample</x:v>
      </x:c>
      <x:c r="AF186" s="27" t="str">
        <x:v>ANON-000183</x:v>
      </x:c>
      <x:c r="AG186" s="27" t="str">
        <x:v>Cap/Floor</x:v>
      </x:c>
      <x:c r="AH186" s="27"/>
      <x:c r="AI186" s="27" t="str">
        <x:v>CNY</x:v>
      </x:c>
      <x:c r="AJ186" s="27" t="n">
        <x:v>180</x:v>
      </x:c>
      <x:c r="AK186" s="27" t="n">
        <x:v>0.4931506849315068</x:v>
      </x:c>
      <x:c r="AL186" s="27" t="str">
        <x:v>&lt;1Y</x:v>
      </x:c>
      <x:c r="AM186" s="27"/>
      <x:c r="AN186" s="27" t="str">
        <x:v>Unknown</x:v>
      </x:c>
      <x:c r="AO186" s="27" t="str">
        <x:v>CNY</x:v>
      </x:c>
      <x:c r="AP186" s="27" t="str">
        <x:v>U</x:v>
      </x:c>
      <x:c r="AQ186" s="27" t="n">
        <x:v>0.005</x:v>
      </x:c>
      <x:c r="AR186" s="27" t="n">
        <x:v>1</x:v>
      </x:c>
      <x:c r="AS186" s="27" t="n">
        <x:v>0.005</x:v>
      </x:c>
      <x:c r="AT186" s="27"/>
      <x:c r="AU186" s="27" t="n">
        <x:v>0.487120410555153</x:v>
      </x:c>
      <x:c r="AV186" s="27" t="n">
        <x:v>135906594.5448877</x:v>
      </x:c>
      <x:c r="AW186" s="27" t="n">
        <x:v>0.5</x:v>
      </x:c>
      <x:c r="AX186" s="27" t="n">
        <x:v>-0.6611628353620139</x:v>
      </x:c>
      <x:c r="AY186" s="27" t="n">
        <x:v>0.7022468831767834</x:v>
      </x:c>
      <x:c r="AZ186" s="27" t="n">
        <x:v>-63101369.38524069</x:v>
      </x:c>
    </x:row>
    <x:row r="187">
      <x:c r="A187" s="27" t="n">
        <x:v>45702</x:v>
      </x:c>
      <x:c r="B187" s="27" t="str">
        <x:v>IND_HEDGE_FUND_001</x:v>
      </x:c>
      <x:c r="C187" s="27" t="n">
        <x:v>3345</x:v>
      </x:c>
      <x:c r="D187" s="27" t="str">
        <x:v>IND-000184</x:v>
      </x:c>
      <x:c r="E187" s="27" t="str">
        <x:v>Cap/Floor</x:v>
      </x:c>
      <x:c r="F187" s="27" t="str">
        <x:v>Interest Rate</x:v>
      </x:c>
      <x:c r="G187" s="27"/>
      <x:c r="H187" s="27" t="str">
        <x:v>USD</x:v>
      </x:c>
      <x:c r="I187" s="27" t="str">
        <x:v>USD</x:v>
      </x:c>
      <x:c r="J187" s="27" t="str">
        <x:v>USD</x:v>
      </x:c>
      <x:c r="K187" s="27"/>
      <x:c r="L187" s="27"/>
      <x:c r="M187" s="27" t="str">
        <x:v>USD</x:v>
      </x:c>
      <x:c r="N187" s="27"/>
      <x:c r="O187" s="27"/>
      <x:c r="P187" s="27" t="n">
        <x:v>45945</x:v>
      </x:c>
      <x:c r="Q187" s="27" t="n">
        <x:v>45225</x:v>
      </x:c>
      <x:c r="R187" s="27" t="n">
        <x:v>45945</x:v>
      </x:c>
      <x:c r="S187" s="27" t="n">
        <x:v>233000000</x:v>
      </x:c>
      <x:c r="T187" s="27" t="n">
        <x:v>233000000</x:v>
      </x:c>
      <x:c r="U187" s="27" t="n">
        <x:v>233000000</x:v>
      </x:c>
      <x:c r="V187" s="27" t="str">
        <x:v>M</x:v>
      </x:c>
      <x:c r="W187" s="27" t="str">
        <x:v>N</x:v>
      </x:c>
      <x:c r="X187" s="27" t="n">
        <x:v>10</x:v>
      </x:c>
      <x:c r="Y187" s="27" t="str">
        <x:v>S</x:v>
      </x:c>
      <x:c r="Z187" s="27" t="n">
        <x:v>45884</x:v>
      </x:c>
      <x:c r="AA187" s="27" t="str">
        <x:v>C</x:v>
      </x:c>
      <x:c r="AB187" s="27" t="n">
        <x:v>0.023358</x:v>
      </x:c>
      <x:c r="AC187" s="27" t="n">
        <x:v>0.0208</x:v>
      </x:c>
      <x:c r="AD187" s="27" t="n">
        <x:v>543123</x:v>
      </x:c>
      <x:c r="AE187" s="27" t="str">
        <x:v>Public-safe anonymized industry-style SA-CCR sample</x:v>
      </x:c>
      <x:c r="AF187" s="27" t="str">
        <x:v>ANON-000184</x:v>
      </x:c>
      <x:c r="AG187" s="27" t="str">
        <x:v>Cap/Floor</x:v>
      </x:c>
      <x:c r="AH187" s="27"/>
      <x:c r="AI187" s="27" t="str">
        <x:v>USD</x:v>
      </x:c>
      <x:c r="AJ187" s="27" t="n">
        <x:v>243</x:v>
      </x:c>
      <x:c r="AK187" s="27" t="n">
        <x:v>0.6657534246575343</x:v>
      </x:c>
      <x:c r="AL187" s="27" t="str">
        <x:v>&lt;1Y</x:v>
      </x:c>
      <x:c r="AM187" s="27"/>
      <x:c r="AN187" s="27" t="str">
        <x:v>Unknown</x:v>
      </x:c>
      <x:c r="AO187" s="27" t="str">
        <x:v>USD</x:v>
      </x:c>
      <x:c r="AP187" s="27" t="str">
        <x:v>M</x:v>
      </x:c>
      <x:c r="AQ187" s="27" t="n">
        <x:v>0.005</x:v>
      </x:c>
      <x:c r="AR187" s="27" t="n">
        <x:v>1</x:v>
      </x:c>
      <x:c r="AS187" s="27" t="n">
        <x:v>0.005</x:v>
      </x:c>
      <x:c r="AT187" s="27"/>
      <x:c r="AU187" s="27" t="n">
        <x:v>0.6547946678179839</x:v>
      </x:c>
      <x:c r="AV187" s="27" t="n">
        <x:v>152567157.60159025</x:v>
      </x:c>
      <x:c r="AW187" s="27" t="n">
        <x:v>0.5</x:v>
      </x:c>
      <x:c r="AX187" s="27" t="n">
        <x:v>-0.4396031453872214</x:v>
      </x:c>
      <x:c r="AY187" s="27" t="n">
        <x:v>0.30000000000000004</x:v>
      </x:c>
      <x:c r="AZ187" s="27" t="n">
        <x:v>-20120700.7093341</x:v>
      </x:c>
    </x:row>
    <x:row r="188">
      <x:c r="A188" s="27" t="n">
        <x:v>45702</x:v>
      </x:c>
      <x:c r="B188" s="27" t="str">
        <x:v>IND_CLEARING_MEMBER_001</x:v>
      </x:c>
      <x:c r="C188" s="27" t="n">
        <x:v>3399</x:v>
      </x:c>
      <x:c r="D188" s="27" t="str">
        <x:v>IND-000185</x:v>
      </x:c>
      <x:c r="E188" s="27" t="str">
        <x:v>Cap/Floor</x:v>
      </x:c>
      <x:c r="F188" s="27" t="str">
        <x:v>Interest Rate</x:v>
      </x:c>
      <x:c r="G188" s="27"/>
      <x:c r="H188" s="27" t="str">
        <x:v>USD</x:v>
      </x:c>
      <x:c r="I188" s="27" t="str">
        <x:v>USD</x:v>
      </x:c>
      <x:c r="J188" s="27" t="str">
        <x:v>USD</x:v>
      </x:c>
      <x:c r="K188" s="27"/>
      <x:c r="L188" s="27"/>
      <x:c r="M188" s="27" t="str">
        <x:v>USD</x:v>
      </x:c>
      <x:c r="N188" s="27"/>
      <x:c r="O188" s="27"/>
      <x:c r="P188" s="27" t="n">
        <x:v>46562</x:v>
      </x:c>
      <x:c r="Q188" s="27" t="n">
        <x:v>45521</x:v>
      </x:c>
      <x:c r="R188" s="27" t="n">
        <x:v>46562</x:v>
      </x:c>
      <x:c r="S188" s="27" t="n">
        <x:v>397000000</x:v>
      </x:c>
      <x:c r="T188" s="27" t="n">
        <x:v>397000000</x:v>
      </x:c>
      <x:c r="U188" s="27" t="n">
        <x:v>397000000</x:v>
      </x:c>
      <x:c r="V188" s="27" t="str">
        <x:v>U</x:v>
      </x:c>
      <x:c r="W188" s="27" t="str">
        <x:v>N</x:v>
      </x:c>
      <x:c r="X188" s="27"/>
      <x:c r="Y188" s="27" t="str">
        <x:v>S</x:v>
      </x:c>
      <x:c r="Z188" s="27" t="n">
        <x:v>46347</x:v>
      </x:c>
      <x:c r="AA188" s="27" t="str">
        <x:v>C</x:v>
      </x:c>
      <x:c r="AB188" s="27" t="n">
        <x:v>0.042792</x:v>
      </x:c>
      <x:c r="AC188" s="27" t="n">
        <x:v>0.0493</x:v>
      </x:c>
      <x:c r="AD188" s="27" t="n">
        <x:v>1168371</x:v>
      </x:c>
      <x:c r="AE188" s="27" t="str">
        <x:v>Public-safe anonymized industry-style SA-CCR sample</x:v>
      </x:c>
      <x:c r="AF188" s="27" t="str">
        <x:v>ANON-000185</x:v>
      </x:c>
      <x:c r="AG188" s="27" t="str">
        <x:v>Cap/Floor</x:v>
      </x:c>
      <x:c r="AH188" s="27"/>
      <x:c r="AI188" s="27" t="str">
        <x:v>USD</x:v>
      </x:c>
      <x:c r="AJ188" s="27" t="n">
        <x:v>860</x:v>
      </x:c>
      <x:c r="AK188" s="27" t="n">
        <x:v>2.356164383561644</x:v>
      </x:c>
      <x:c r="AL188" s="27" t="str">
        <x:v>1Y-5Y</x:v>
      </x:c>
      <x:c r="AM188" s="27"/>
      <x:c r="AN188" s="27" t="str">
        <x:v>Unknown</x:v>
      </x:c>
      <x:c r="AO188" s="27" t="str">
        <x:v>USD</x:v>
      </x:c>
      <x:c r="AP188" s="27" t="str">
        <x:v>U</x:v>
      </x:c>
      <x:c r="AQ188" s="27" t="n">
        <x:v>0.005</x:v>
      </x:c>
      <x:c r="AR188" s="27" t="n">
        <x:v>1</x:v>
      </x:c>
      <x:c r="AS188" s="27" t="n">
        <x:v>0.005</x:v>
      </x:c>
      <x:c r="AT188" s="27"/>
      <x:c r="AU188" s="27" t="n">
        <x:v>2.2226699236372727</x:v>
      </x:c>
      <x:c r="AV188" s="27" t="n">
        <x:v>882399959.6839973</x:v>
      </x:c>
      <x:c r="AW188" s="27" t="n">
        <x:v>0.5</x:v>
      </x:c>
      <x:c r="AX188" s="27" t="n">
        <x:v>-0.7072372514783035</x:v>
      </x:c>
      <x:c r="AY188" s="27" t="n">
        <x:v>1</x:v>
      </x:c>
      <x:c r="AZ188" s="27" t="n">
        <x:v>-624066122.1914761</x:v>
      </x:c>
    </x:row>
    <x:row r="189">
      <x:c r="A189" s="27" t="n">
        <x:v>45702</x:v>
      </x:c>
      <x:c r="B189" s="27" t="str">
        <x:v>IND_CORPORATE_001</x:v>
      </x:c>
      <x:c r="C189" s="27" t="n">
        <x:v>3004</x:v>
      </x:c>
      <x:c r="D189" s="27" t="str">
        <x:v>IND-000186</x:v>
      </x:c>
      <x:c r="E189" s="27" t="str">
        <x:v>Cap/Floor</x:v>
      </x:c>
      <x:c r="F189" s="27" t="str">
        <x:v>Interest Rate</x:v>
      </x:c>
      <x:c r="G189" s="27"/>
      <x:c r="H189" s="27" t="str">
        <x:v>EUR</x:v>
      </x:c>
      <x:c r="I189" s="27" t="str">
        <x:v>EUR</x:v>
      </x:c>
      <x:c r="J189" s="27" t="str">
        <x:v>EUR</x:v>
      </x:c>
      <x:c r="K189" s="27"/>
      <x:c r="L189" s="27"/>
      <x:c r="M189" s="27" t="str">
        <x:v>EUR</x:v>
      </x:c>
      <x:c r="N189" s="27"/>
      <x:c r="O189" s="27"/>
      <x:c r="P189" s="27" t="n">
        <x:v>46893</x:v>
      </x:c>
      <x:c r="Q189" s="27" t="n">
        <x:v>44894</x:v>
      </x:c>
      <x:c r="R189" s="27" t="n">
        <x:v>46893</x:v>
      </x:c>
      <x:c r="S189" s="27" t="n">
        <x:v>202857142.86</x:v>
      </x:c>
      <x:c r="T189" s="27" t="n">
        <x:v>202857142.86</x:v>
      </x:c>
      <x:c r="U189" s="27" t="n">
        <x:v>213000000</x:v>
      </x:c>
      <x:c r="V189" s="27" t="str">
        <x:v>M</x:v>
      </x:c>
      <x:c r="W189" s="27" t="str">
        <x:v>N</x:v>
      </x:c>
      <x:c r="X189" s="27" t="n">
        <x:v>10</x:v>
      </x:c>
      <x:c r="Y189" s="27" t="str">
        <x:v>S</x:v>
      </x:c>
      <x:c r="Z189" s="27" t="n">
        <x:v>46595</x:v>
      </x:c>
      <x:c r="AA189" s="27" t="str">
        <x:v>C</x:v>
      </x:c>
      <x:c r="AB189" s="27" t="n">
        <x:v>0.017691</x:v>
      </x:c>
      <x:c r="AC189" s="27" t="n">
        <x:v>0.0188</x:v>
      </x:c>
      <x:c r="AD189" s="27" t="n">
        <x:v>-17253</x:v>
      </x:c>
      <x:c r="AE189" s="27" t="str">
        <x:v>Public-safe anonymized industry-style SA-CCR sample</x:v>
      </x:c>
      <x:c r="AF189" s="27" t="str">
        <x:v>ANON-000186</x:v>
      </x:c>
      <x:c r="AG189" s="27" t="str">
        <x:v>Cap/Floor</x:v>
      </x:c>
      <x:c r="AH189" s="27"/>
      <x:c r="AI189" s="27" t="str">
        <x:v>EUR</x:v>
      </x:c>
      <x:c r="AJ189" s="27" t="n">
        <x:v>1191</x:v>
      </x:c>
      <x:c r="AK189" s="27" t="n">
        <x:v>3.263013698630137</x:v>
      </x:c>
      <x:c r="AL189" s="27" t="str">
        <x:v>1Y-5Y</x:v>
      </x:c>
      <x:c r="AM189" s="27"/>
      <x:c r="AN189" s="27" t="str">
        <x:v>Unknown</x:v>
      </x:c>
      <x:c r="AO189" s="27" t="str">
        <x:v>EUR</x:v>
      </x:c>
      <x:c r="AP189" s="27" t="str">
        <x:v>M</x:v>
      </x:c>
      <x:c r="AQ189" s="27" t="n">
        <x:v>0.005</x:v>
      </x:c>
      <x:c r="AR189" s="27" t="n">
        <x:v>1</x:v>
      </x:c>
      <x:c r="AS189" s="27" t="n">
        <x:v>0.005</x:v>
      </x:c>
      <x:c r="AT189" s="27"/>
      <x:c r="AU189" s="27" t="n">
        <x:v>3.010736450610847</x:v>
      </x:c>
      <x:c r="AV189" s="27" t="n">
        <x:v>641286863.9801104</x:v>
      </x:c>
      <x:c r="AW189" s="27" t="n">
        <x:v>0.5</x:v>
      </x:c>
      <x:c r="AX189" s="27" t="n">
        <x:v>-0.6803869514525357</x:v>
      </x:c>
      <x:c r="AY189" s="27" t="n">
        <x:v>0.30000000000000004</x:v>
      </x:c>
      <x:c r="AZ189" s="27" t="n">
        <x:v>-130896964.3169953</x:v>
      </x:c>
    </x:row>
    <x:row r="190">
      <x:c r="A190" s="27" t="n">
        <x:v>45702</x:v>
      </x:c>
      <x:c r="B190" s="27" t="str">
        <x:v>IND_BANK_002</x:v>
      </x:c>
      <x:c r="C190" s="27" t="n">
        <x:v>3049</x:v>
      </x:c>
      <x:c r="D190" s="27" t="str">
        <x:v>IND-000187</x:v>
      </x:c>
      <x:c r="E190" s="27" t="str">
        <x:v>Cap/Floor</x:v>
      </x:c>
      <x:c r="F190" s="27" t="str">
        <x:v>Interest Rate</x:v>
      </x:c>
      <x:c r="G190" s="27"/>
      <x:c r="H190" s="27" t="str">
        <x:v>USD</x:v>
      </x:c>
      <x:c r="I190" s="27" t="str">
        <x:v>USD</x:v>
      </x:c>
      <x:c r="J190" s="27" t="str">
        <x:v>USD</x:v>
      </x:c>
      <x:c r="K190" s="27"/>
      <x:c r="L190" s="27"/>
      <x:c r="M190" s="27" t="str">
        <x:v>USD</x:v>
      </x:c>
      <x:c r="N190" s="27"/>
      <x:c r="O190" s="27"/>
      <x:c r="P190" s="27" t="n">
        <x:v>46452</x:v>
      </x:c>
      <x:c r="Q190" s="27" t="n">
        <x:v>45595</x:v>
      </x:c>
      <x:c r="R190" s="27" t="n">
        <x:v>46452</x:v>
      </x:c>
      <x:c r="S190" s="27" t="n">
        <x:v>175000000</x:v>
      </x:c>
      <x:c r="T190" s="27" t="n">
        <x:v>175000000</x:v>
      </x:c>
      <x:c r="U190" s="27" t="n">
        <x:v>175000000</x:v>
      </x:c>
      <x:c r="V190" s="27" t="str">
        <x:v>M</x:v>
      </x:c>
      <x:c r="W190" s="27" t="str">
        <x:v>N</x:v>
      </x:c>
      <x:c r="X190" s="27" t="n">
        <x:v>10</x:v>
      </x:c>
      <x:c r="Y190" s="27" t="str">
        <x:v>S</x:v>
      </x:c>
      <x:c r="Z190" s="27" t="n">
        <x:v>46264</x:v>
      </x:c>
      <x:c r="AA190" s="27" t="str">
        <x:v>C</x:v>
      </x:c>
      <x:c r="AB190" s="27" t="n">
        <x:v>0.050251</x:v>
      </x:c>
      <x:c r="AC190" s="27" t="n">
        <x:v>0.0464</x:v>
      </x:c>
      <x:c r="AD190" s="27" t="n">
        <x:v>1168650</x:v>
      </x:c>
      <x:c r="AE190" s="27" t="str">
        <x:v>Public-safe anonymized industry-style SA-CCR sample</x:v>
      </x:c>
      <x:c r="AF190" s="27" t="str">
        <x:v>ANON-000187</x:v>
      </x:c>
      <x:c r="AG190" s="27" t="str">
        <x:v>Cap/Floor</x:v>
      </x:c>
      <x:c r="AH190" s="27"/>
      <x:c r="AI190" s="27" t="str">
        <x:v>USD</x:v>
      </x:c>
      <x:c r="AJ190" s="27" t="n">
        <x:v>750</x:v>
      </x:c>
      <x:c r="AK190" s="27" t="n">
        <x:v>2.0547945205479454</x:v>
      </x:c>
      <x:c r="AL190" s="27" t="str">
        <x:v>1Y-5Y</x:v>
      </x:c>
      <x:c r="AM190" s="27"/>
      <x:c r="AN190" s="27" t="str">
        <x:v>Unknown</x:v>
      </x:c>
      <x:c r="AO190" s="27" t="str">
        <x:v>USD</x:v>
      </x:c>
      <x:c r="AP190" s="27" t="str">
        <x:v>M</x:v>
      </x:c>
      <x:c r="AQ190" s="27" t="n">
        <x:v>0.005</x:v>
      </x:c>
      <x:c r="AR190" s="27" t="n">
        <x:v>1</x:v>
      </x:c>
      <x:c r="AS190" s="27" t="n">
        <x:v>0.005</x:v>
      </x:c>
      <x:c r="AT190" s="27"/>
      <x:c r="AU190" s="27" t="n">
        <x:v>1.952763915769311</x:v>
      </x:c>
      <x:c r="AV190" s="27" t="n">
        <x:v>341733685.2596294</x:v>
      </x:c>
      <x:c r="AW190" s="27" t="n">
        <x:v>0.5</x:v>
      </x:c>
      <x:c r="AX190" s="27" t="n">
        <x:v>-0.5720927571751487</x:v>
      </x:c>
      <x:c r="AY190" s="27" t="n">
        <x:v>0.30000000000000004</x:v>
      </x:c>
      <x:c r="AZ190" s="27" t="n">
        <x:v>-58651009.86594178</x:v>
      </x:c>
    </x:row>
    <x:row r="191">
      <x:c r="A191" s="27" t="n">
        <x:v>45702</x:v>
      </x:c>
      <x:c r="B191" s="27" t="str">
        <x:v>IND_BROKER_001</x:v>
      </x:c>
      <x:c r="C191" s="27" t="n">
        <x:v>3332</x:v>
      </x:c>
      <x:c r="D191" s="27" t="str">
        <x:v>IND-000188</x:v>
      </x:c>
      <x:c r="E191" s="27" t="str">
        <x:v>Cap/Floor</x:v>
      </x:c>
      <x:c r="F191" s="27" t="str">
        <x:v>Interest Rate</x:v>
      </x:c>
      <x:c r="G191" s="27"/>
      <x:c r="H191" s="27" t="str">
        <x:v>EUR</x:v>
      </x:c>
      <x:c r="I191" s="27" t="str">
        <x:v>EUR</x:v>
      </x:c>
      <x:c r="J191" s="27" t="str">
        <x:v>EUR</x:v>
      </x:c>
      <x:c r="K191" s="27"/>
      <x:c r="L191" s="27"/>
      <x:c r="M191" s="27" t="str">
        <x:v>EUR</x:v>
      </x:c>
      <x:c r="N191" s="27"/>
      <x:c r="O191" s="27"/>
      <x:c r="P191" s="27" t="n">
        <x:v>47398</x:v>
      </x:c>
      <x:c r="Q191" s="27" t="n">
        <x:v>45238</x:v>
      </x:c>
      <x:c r="R191" s="27" t="n">
        <x:v>47398</x:v>
      </x:c>
      <x:c r="S191" s="27" t="n">
        <x:v>235238095.24</x:v>
      </x:c>
      <x:c r="T191" s="27" t="n">
        <x:v>235238095.24</x:v>
      </x:c>
      <x:c r="U191" s="27" t="n">
        <x:v>247000000</x:v>
      </x:c>
      <x:c r="V191" s="27" t="str">
        <x:v>M</x:v>
      </x:c>
      <x:c r="W191" s="27" t="str">
        <x:v>Y</x:v>
      </x:c>
      <x:c r="X191" s="27" t="n">
        <x:v>5</x:v>
      </x:c>
      <x:c r="Y191" s="27" t="str">
        <x:v>S</x:v>
      </x:c>
      <x:c r="Z191" s="27" t="n">
        <x:v>46974</x:v>
      </x:c>
      <x:c r="AA191" s="27" t="str">
        <x:v>P</x:v>
      </x:c>
      <x:c r="AB191" s="27" t="n">
        <x:v>0.026705</x:v>
      </x:c>
      <x:c r="AC191" s="27" t="n">
        <x:v>0.0245</x:v>
      </x:c>
      <x:c r="AD191" s="27" t="n">
        <x:v>-2205216</x:v>
      </x:c>
      <x:c r="AE191" s="27" t="str">
        <x:v>Public-safe anonymized industry-style SA-CCR sample</x:v>
      </x:c>
      <x:c r="AF191" s="27" t="str">
        <x:v>ANON-000188</x:v>
      </x:c>
      <x:c r="AG191" s="27" t="str">
        <x:v>Cap/Floor</x:v>
      </x:c>
      <x:c r="AH191" s="27"/>
      <x:c r="AI191" s="27" t="str">
        <x:v>EUR</x:v>
      </x:c>
      <x:c r="AJ191" s="27" t="n">
        <x:v>1696</x:v>
      </x:c>
      <x:c r="AK191" s="27" t="n">
        <x:v>4.646575342465753</x:v>
      </x:c>
      <x:c r="AL191" s="27" t="str">
        <x:v>1Y-5Y</x:v>
      </x:c>
      <x:c r="AM191" s="27"/>
      <x:c r="AN191" s="27" t="str">
        <x:v>Unknown</x:v>
      </x:c>
      <x:c r="AO191" s="27" t="str">
        <x:v>EUR</x:v>
      </x:c>
      <x:c r="AP191" s="27" t="str">
        <x:v>M</x:v>
      </x:c>
      <x:c r="AQ191" s="27" t="n">
        <x:v>0.005</x:v>
      </x:c>
      <x:c r="AR191" s="27" t="n">
        <x:v>1</x:v>
      </x:c>
      <x:c r="AS191" s="27" t="n">
        <x:v>0.005</x:v>
      </x:c>
      <x:c r="AT191" s="27"/>
      <x:c r="AU191" s="27" t="n">
        <x:v>4.146290569199689</x:v>
      </x:c>
      <x:c r="AV191" s="27" t="n">
        <x:v>1024133770.5923231</x:v>
      </x:c>
      <x:c r="AW191" s="27" t="n">
        <x:v>0.5</x:v>
      </x:c>
      <x:c r="AX191" s="27" t="n">
        <x:v>0.3540636043308468</x:v>
      </x:c>
      <x:c r="AY191" s="27" t="n">
        <x:v>0.21213203435596426</x:v>
      </x:c>
      <x:c r="AZ191" s="27" t="n">
        <x:v>76920877.53515601</x:v>
      </x:c>
    </x:row>
    <x:row r="192">
      <x:c r="A192" s="27" t="n">
        <x:v>45702</x:v>
      </x:c>
      <x:c r="B192" s="27" t="str">
        <x:v>IND_CORPORATE_001</x:v>
      </x:c>
      <x:c r="C192" s="27" t="n">
        <x:v>3100</x:v>
      </x:c>
      <x:c r="D192" s="27" t="str">
        <x:v>IND-000189</x:v>
      </x:c>
      <x:c r="E192" s="27" t="str">
        <x:v>Precious Metal Forward</x:v>
      </x:c>
      <x:c r="F192" s="27" t="str">
        <x:v>Commodity</x:v>
      </x:c>
      <x:c r="G192" s="27" t="str">
        <x:v>Gold</x:v>
      </x:c>
      <x:c r="H192" s="27" t="str">
        <x:v>XAU</x:v>
      </x:c>
      <x:c r="I192" s="27" t="str">
        <x:v>CNY</x:v>
      </x:c>
      <x:c r="J192" s="27" t="str">
        <x:v>CNY</x:v>
      </x:c>
      <x:c r="K192" s="27"/>
      <x:c r="L192" s="27"/>
      <x:c r="M192" s="27" t="str">
        <x:v>XAU/CNY</x:v>
      </x:c>
      <x:c r="N192" s="27"/>
      <x:c r="O192" s="27"/>
      <x:c r="P192" s="27" t="n">
        <x:v>45952</x:v>
      </x:c>
      <x:c r="Q192" s="27" t="n">
        <x:v>44968</x:v>
      </x:c>
      <x:c r="R192" s="27" t="n">
        <x:v>45952</x:v>
      </x:c>
      <x:c r="S192" s="27" t="n">
        <x:v>700</x:v>
      </x:c>
      <x:c r="T192" s="27" t="n">
        <x:v>10000000</x:v>
      </x:c>
      <x:c r="U192" s="27" t="n">
        <x:v>1400000</x:v>
      </x:c>
      <x:c r="V192" s="27" t="str">
        <x:v>M</x:v>
      </x:c>
      <x:c r="W192" s="27" t="str">
        <x:v>N</x:v>
      </x:c>
      <x:c r="X192" s="27" t="n">
        <x:v>10</x:v>
      </x:c>
      <x:c r="Y192" s="27" t="str">
        <x:v>B</x:v>
      </x:c>
      <x:c r="Z192" s="27"/>
      <x:c r="AA192" s="27"/>
      <x:c r="AB192" s="27" t="n">
        <x:v>0</x:v>
      </x:c>
      <x:c r="AC192" s="27" t="n">
        <x:v>0</x:v>
      </x:c>
      <x:c r="AD192" s="27" t="n">
        <x:v>34524</x:v>
      </x:c>
      <x:c r="AE192" s="27" t="str">
        <x:v>Public-safe anonymized industry-style SA-CCR sample</x:v>
      </x:c>
      <x:c r="AF192" s="27" t="str">
        <x:v>ANON-000189</x:v>
      </x:c>
      <x:c r="AG192" s="27" t="str">
        <x:v>Precious Metal Forward</x:v>
      </x:c>
      <x:c r="AH192" s="27"/>
      <x:c r="AI192" s="27" t="str">
        <x:v>XAU/CNY</x:v>
      </x:c>
      <x:c r="AJ192" s="27" t="n">
        <x:v>250</x:v>
      </x:c>
      <x:c r="AK192" s="27" t="n">
        <x:v>0.684931506849315</x:v>
      </x:c>
      <x:c r="AL192" s="27" t="str">
        <x:v>&lt;1Y</x:v>
      </x:c>
      <x:c r="AM192" s="27" t="str">
        <x:v>Metals</x:v>
      </x:c>
      <x:c r="AN192" s="27" t="str">
        <x:v>Gold</x:v>
      </x:c>
      <x:c r="AO192" s="27" t="str">
        <x:v>Metals</x:v>
      </x:c>
      <x:c r="AP192" s="27" t="str">
        <x:v>M</x:v>
      </x:c>
      <x:c r="AQ192" s="27" t="n">
        <x:v>0.18</x:v>
      </x:c>
      <x:c r="AR192" s="27" t="n">
        <x:v>1</x:v>
      </x:c>
      <x:c r="AS192" s="27" t="n">
        <x:v>0.18</x:v>
      </x:c>
      <x:c r="AT192" s="27" t="n">
        <x:v>0.4</x:v>
      </x:c>
      <x:c r="AU192" s="27" t="n">
        <x:v>1</x:v>
      </x:c>
      <x:c r="AV192" s="27" t="n">
        <x:v>1400000</x:v>
      </x:c>
      <x:c r="AW192" s="27" t="n">
        <x:v>0.7</x:v>
      </x:c>
      <x:c r="AX192" s="27" t="n">
        <x:v>1</x:v>
      </x:c>
      <x:c r="AY192" s="27" t="n">
        <x:v>0.30000000000000004</x:v>
      </x:c>
      <x:c r="AZ192" s="27" t="n">
        <x:v>420000.00000000006</x:v>
      </x:c>
    </x:row>
    <x:row r="193">
      <x:c r="A193" s="27" t="n">
        <x:v>45702</x:v>
      </x:c>
      <x:c r="B193" s="27" t="str">
        <x:v>IND_PENSION_001</x:v>
      </x:c>
      <x:c r="C193" s="27" t="n">
        <x:v>3113</x:v>
      </x:c>
      <x:c r="D193" s="27" t="str">
        <x:v>IND-000190</x:v>
      </x:c>
      <x:c r="E193" s="27" t="str">
        <x:v>Precious Metal Forward</x:v>
      </x:c>
      <x:c r="F193" s="27" t="str">
        <x:v>Commodity</x:v>
      </x:c>
      <x:c r="G193" s="27" t="str">
        <x:v>Gold</x:v>
      </x:c>
      <x:c r="H193" s="27" t="str">
        <x:v>XAU</x:v>
      </x:c>
      <x:c r="I193" s="27" t="str">
        <x:v>CNY</x:v>
      </x:c>
      <x:c r="J193" s="27" t="str">
        <x:v>CNY</x:v>
      </x:c>
      <x:c r="K193" s="27"/>
      <x:c r="L193" s="27"/>
      <x:c r="M193" s="27" t="str">
        <x:v>XAU/CNY</x:v>
      </x:c>
      <x:c r="N193" s="27"/>
      <x:c r="O193" s="27"/>
      <x:c r="P193" s="27" t="n">
        <x:v>45761</x:v>
      </x:c>
      <x:c r="Q193" s="27" t="n">
        <x:v>44856</x:v>
      </x:c>
      <x:c r="R193" s="27" t="n">
        <x:v>45761</x:v>
      </x:c>
      <x:c r="S193" s="27" t="n">
        <x:v>37300</x:v>
      </x:c>
      <x:c r="T193" s="27" t="n">
        <x:v>532857142.86</x:v>
      </x:c>
      <x:c r="U193" s="27" t="n">
        <x:v>74600000</x:v>
      </x:c>
      <x:c r="V193" s="27" t="str">
        <x:v>M</x:v>
      </x:c>
      <x:c r="W193" s="27" t="str">
        <x:v>N</x:v>
      </x:c>
      <x:c r="X193" s="27" t="n">
        <x:v>10</x:v>
      </x:c>
      <x:c r="Y193" s="27" t="str">
        <x:v>B</x:v>
      </x:c>
      <x:c r="Z193" s="27"/>
      <x:c r="AA193" s="27"/>
      <x:c r="AB193" s="27" t="n">
        <x:v>0</x:v>
      </x:c>
      <x:c r="AC193" s="27" t="n">
        <x:v>0</x:v>
      </x:c>
      <x:c r="AD193" s="27" t="n">
        <x:v>1685214</x:v>
      </x:c>
      <x:c r="AE193" s="27" t="str">
        <x:v>Public-safe anonymized industry-style SA-CCR sample</x:v>
      </x:c>
      <x:c r="AF193" s="27" t="str">
        <x:v>ANON-000190</x:v>
      </x:c>
      <x:c r="AG193" s="27" t="str">
        <x:v>Precious Metal Forward</x:v>
      </x:c>
      <x:c r="AH193" s="27"/>
      <x:c r="AI193" s="27" t="str">
        <x:v>XAU/CNY</x:v>
      </x:c>
      <x:c r="AJ193" s="27" t="n">
        <x:v>59</x:v>
      </x:c>
      <x:c r="AK193" s="27" t="n">
        <x:v>0.16164383561643836</x:v>
      </x:c>
      <x:c r="AL193" s="27" t="str">
        <x:v>&lt;1Y</x:v>
      </x:c>
      <x:c r="AM193" s="27" t="str">
        <x:v>Metals</x:v>
      </x:c>
      <x:c r="AN193" s="27" t="str">
        <x:v>Gold</x:v>
      </x:c>
      <x:c r="AO193" s="27" t="str">
        <x:v>Metals</x:v>
      </x:c>
      <x:c r="AP193" s="27" t="str">
        <x:v>M</x:v>
      </x:c>
      <x:c r="AQ193" s="27" t="n">
        <x:v>0.18</x:v>
      </x:c>
      <x:c r="AR193" s="27" t="n">
        <x:v>1</x:v>
      </x:c>
      <x:c r="AS193" s="27" t="n">
        <x:v>0.18</x:v>
      </x:c>
      <x:c r="AT193" s="27" t="n">
        <x:v>0.4</x:v>
      </x:c>
      <x:c r="AU193" s="27" t="n">
        <x:v>1</x:v>
      </x:c>
      <x:c r="AV193" s="27" t="n">
        <x:v>74600000</x:v>
      </x:c>
      <x:c r="AW193" s="27" t="n">
        <x:v>0.7</x:v>
      </x:c>
      <x:c r="AX193" s="27" t="n">
        <x:v>1</x:v>
      </x:c>
      <x:c r="AY193" s="27" t="n">
        <x:v>0.30000000000000004</x:v>
      </x:c>
      <x:c r="AZ193" s="27" t="n">
        <x:v>22380000.000000004</x:v>
      </x:c>
    </x:row>
    <x:row r="194">
      <x:c r="A194" s="27" t="n">
        <x:v>45702</x:v>
      </x:c>
      <x:c r="B194" s="27" t="str">
        <x:v>IND_CORPORATE_001</x:v>
      </x:c>
      <x:c r="C194" s="27" t="n">
        <x:v>3358</x:v>
      </x:c>
      <x:c r="D194" s="27" t="str">
        <x:v>IND-000191</x:v>
      </x:c>
      <x:c r="E194" s="27" t="str">
        <x:v>Precious Metal Forward</x:v>
      </x:c>
      <x:c r="F194" s="27" t="str">
        <x:v>Commodity</x:v>
      </x:c>
      <x:c r="G194" s="27" t="str">
        <x:v>Gold</x:v>
      </x:c>
      <x:c r="H194" s="27" t="str">
        <x:v>XAU</x:v>
      </x:c>
      <x:c r="I194" s="27" t="str">
        <x:v>CNY</x:v>
      </x:c>
      <x:c r="J194" s="27" t="str">
        <x:v>CNY</x:v>
      </x:c>
      <x:c r="K194" s="27"/>
      <x:c r="L194" s="27"/>
      <x:c r="M194" s="27" t="str">
        <x:v>XAU/CNY</x:v>
      </x:c>
      <x:c r="N194" s="27"/>
      <x:c r="O194" s="27"/>
      <x:c r="P194" s="27" t="n">
        <x:v>46563</x:v>
      </x:c>
      <x:c r="Q194" s="27" t="n">
        <x:v>45637</x:v>
      </x:c>
      <x:c r="R194" s="27" t="n">
        <x:v>46563</x:v>
      </x:c>
      <x:c r="S194" s="27" t="n">
        <x:v>5100</x:v>
      </x:c>
      <x:c r="T194" s="27" t="n">
        <x:v>72857142.86</x:v>
      </x:c>
      <x:c r="U194" s="27" t="n">
        <x:v>10200000</x:v>
      </x:c>
      <x:c r="V194" s="27" t="str">
        <x:v>U</x:v>
      </x:c>
      <x:c r="W194" s="27" t="str">
        <x:v>N</x:v>
      </x:c>
      <x:c r="X194" s="27"/>
      <x:c r="Y194" s="27" t="str">
        <x:v>S</x:v>
      </x:c>
      <x:c r="Z194" s="27"/>
      <x:c r="AA194" s="27"/>
      <x:c r="AB194" s="27" t="n">
        <x:v>0</x:v>
      </x:c>
      <x:c r="AC194" s="27" t="n">
        <x:v>0</x:v>
      </x:c>
      <x:c r="AD194" s="27" t="n">
        <x:v>300186</x:v>
      </x:c>
      <x:c r="AE194" s="27" t="str">
        <x:v>Public-safe anonymized industry-style SA-CCR sample</x:v>
      </x:c>
      <x:c r="AF194" s="27" t="str">
        <x:v>ANON-000191</x:v>
      </x:c>
      <x:c r="AG194" s="27" t="str">
        <x:v>Precious Metal Forward</x:v>
      </x:c>
      <x:c r="AH194" s="27"/>
      <x:c r="AI194" s="27" t="str">
        <x:v>XAU/CNY</x:v>
      </x:c>
      <x:c r="AJ194" s="27" t="n">
        <x:v>861</x:v>
      </x:c>
      <x:c r="AK194" s="27" t="n">
        <x:v>2.3589041095890413</x:v>
      </x:c>
      <x:c r="AL194" s="27" t="str">
        <x:v>1Y-5Y</x:v>
      </x:c>
      <x:c r="AM194" s="27" t="str">
        <x:v>Metals</x:v>
      </x:c>
      <x:c r="AN194" s="27" t="str">
        <x:v>Gold</x:v>
      </x:c>
      <x:c r="AO194" s="27" t="str">
        <x:v>Metals</x:v>
      </x:c>
      <x:c r="AP194" s="27" t="str">
        <x:v>U</x:v>
      </x:c>
      <x:c r="AQ194" s="27" t="n">
        <x:v>0.18</x:v>
      </x:c>
      <x:c r="AR194" s="27" t="n">
        <x:v>1</x:v>
      </x:c>
      <x:c r="AS194" s="27" t="n">
        <x:v>0.18</x:v>
      </x:c>
      <x:c r="AT194" s="27" t="n">
        <x:v>0.4</x:v>
      </x:c>
      <x:c r="AU194" s="27" t="n">
        <x:v>1</x:v>
      </x:c>
      <x:c r="AV194" s="27" t="n">
        <x:v>10200000</x:v>
      </x:c>
      <x:c r="AW194" s="27" t="n">
        <x:v>0.7</x:v>
      </x:c>
      <x:c r="AX194" s="27" t="n">
        <x:v>-1</x:v>
      </x:c>
      <x:c r="AY194" s="27" t="n">
        <x:v>1</x:v>
      </x:c>
      <x:c r="AZ194" s="27" t="n">
        <x:v>-10200000</x:v>
      </x:c>
    </x:row>
    <x:row r="195">
      <x:c r="A195" s="27" t="n">
        <x:v>45702</x:v>
      </x:c>
      <x:c r="B195" s="27" t="str">
        <x:v>IND_CORPORATE_001</x:v>
      </x:c>
      <x:c r="C195" s="27" t="n">
        <x:v>3100</x:v>
      </x:c>
      <x:c r="D195" s="27" t="str">
        <x:v>IND-000192</x:v>
      </x:c>
      <x:c r="E195" s="27" t="str">
        <x:v>Precious Metal Forward</x:v>
      </x:c>
      <x:c r="F195" s="27" t="str">
        <x:v>Commodity</x:v>
      </x:c>
      <x:c r="G195" s="27" t="str">
        <x:v>Gold</x:v>
      </x:c>
      <x:c r="H195" s="27" t="str">
        <x:v>XAU</x:v>
      </x:c>
      <x:c r="I195" s="27" t="str">
        <x:v>CNY</x:v>
      </x:c>
      <x:c r="J195" s="27" t="str">
        <x:v>CNY</x:v>
      </x:c>
      <x:c r="K195" s="27"/>
      <x:c r="L195" s="27"/>
      <x:c r="M195" s="27" t="str">
        <x:v>XAU/CNY</x:v>
      </x:c>
      <x:c r="N195" s="27"/>
      <x:c r="O195" s="27"/>
      <x:c r="P195" s="27" t="n">
        <x:v>45807</x:v>
      </x:c>
      <x:c r="Q195" s="27" t="n">
        <x:v>44845</x:v>
      </x:c>
      <x:c r="R195" s="27" t="n">
        <x:v>45807</x:v>
      </x:c>
      <x:c r="S195" s="27" t="n">
        <x:v>55000</x:v>
      </x:c>
      <x:c r="T195" s="27" t="n">
        <x:v>785714285.71</x:v>
      </x:c>
      <x:c r="U195" s="27" t="n">
        <x:v>110000000</x:v>
      </x:c>
      <x:c r="V195" s="27" t="str">
        <x:v>M</x:v>
      </x:c>
      <x:c r="W195" s="27" t="str">
        <x:v>N</x:v>
      </x:c>
      <x:c r="X195" s="27" t="n">
        <x:v>10</x:v>
      </x:c>
      <x:c r="Y195" s="27" t="str">
        <x:v>S</x:v>
      </x:c>
      <x:c r="Z195" s="27"/>
      <x:c r="AA195" s="27"/>
      <x:c r="AB195" s="27" t="n">
        <x:v>0</x:v>
      </x:c>
      <x:c r="AC195" s="27" t="n">
        <x:v>0</x:v>
      </x:c>
      <x:c r="AD195" s="27" t="n">
        <x:v>211200</x:v>
      </x:c>
      <x:c r="AE195" s="27" t="str">
        <x:v>Public-safe anonymized industry-style SA-CCR sample</x:v>
      </x:c>
      <x:c r="AF195" s="27" t="str">
        <x:v>ANON-000192</x:v>
      </x:c>
      <x:c r="AG195" s="27" t="str">
        <x:v>Precious Metal Forward</x:v>
      </x:c>
      <x:c r="AH195" s="27"/>
      <x:c r="AI195" s="27" t="str">
        <x:v>XAU/CNY</x:v>
      </x:c>
      <x:c r="AJ195" s="27" t="n">
        <x:v>105</x:v>
      </x:c>
      <x:c r="AK195" s="27" t="n">
        <x:v>0.2876712328767123</x:v>
      </x:c>
      <x:c r="AL195" s="27" t="str">
        <x:v>&lt;1Y</x:v>
      </x:c>
      <x:c r="AM195" s="27" t="str">
        <x:v>Metals</x:v>
      </x:c>
      <x:c r="AN195" s="27" t="str">
        <x:v>Gold</x:v>
      </x:c>
      <x:c r="AO195" s="27" t="str">
        <x:v>Metals</x:v>
      </x:c>
      <x:c r="AP195" s="27" t="str">
        <x:v>M</x:v>
      </x:c>
      <x:c r="AQ195" s="27" t="n">
        <x:v>0.18</x:v>
      </x:c>
      <x:c r="AR195" s="27" t="n">
        <x:v>1</x:v>
      </x:c>
      <x:c r="AS195" s="27" t="n">
        <x:v>0.18</x:v>
      </x:c>
      <x:c r="AT195" s="27" t="n">
        <x:v>0.4</x:v>
      </x:c>
      <x:c r="AU195" s="27" t="n">
        <x:v>1</x:v>
      </x:c>
      <x:c r="AV195" s="27" t="n">
        <x:v>110000000</x:v>
      </x:c>
      <x:c r="AW195" s="27" t="n">
        <x:v>0.7</x:v>
      </x:c>
      <x:c r="AX195" s="27" t="n">
        <x:v>-1</x:v>
      </x:c>
      <x:c r="AY195" s="27" t="n">
        <x:v>0.30000000000000004</x:v>
      </x:c>
      <x:c r="AZ195" s="27" t="n">
        <x:v>-33000000.000000004</x:v>
      </x:c>
    </x:row>
    <x:row r="196">
      <x:c r="A196" s="27" t="n">
        <x:v>45702</x:v>
      </x:c>
      <x:c r="B196" s="27" t="str">
        <x:v>IND_PENSION_001</x:v>
      </x:c>
      <x:c r="C196" s="27" t="n">
        <x:v>3060</x:v>
      </x:c>
      <x:c r="D196" s="27" t="str">
        <x:v>IND-000193</x:v>
      </x:c>
      <x:c r="E196" s="27" t="str">
        <x:v>Precious Metal Forward</x:v>
      </x:c>
      <x:c r="F196" s="27" t="str">
        <x:v>Commodity</x:v>
      </x:c>
      <x:c r="G196" s="27" t="str">
        <x:v>Gold</x:v>
      </x:c>
      <x:c r="H196" s="27" t="str">
        <x:v>XAU</x:v>
      </x:c>
      <x:c r="I196" s="27" t="str">
        <x:v>CNY</x:v>
      </x:c>
      <x:c r="J196" s="27" t="str">
        <x:v>CNY</x:v>
      </x:c>
      <x:c r="K196" s="27"/>
      <x:c r="L196" s="27"/>
      <x:c r="M196" s="27" t="str">
        <x:v>XAU/CNY</x:v>
      </x:c>
      <x:c r="N196" s="27"/>
      <x:c r="O196" s="27"/>
      <x:c r="P196" s="27" t="n">
        <x:v>46913</x:v>
      </x:c>
      <x:c r="Q196" s="27" t="n">
        <x:v>45685</x:v>
      </x:c>
      <x:c r="R196" s="27" t="n">
        <x:v>46913</x:v>
      </x:c>
      <x:c r="S196" s="27" t="n">
        <x:v>35000</x:v>
      </x:c>
      <x:c r="T196" s="27" t="n">
        <x:v>500000000</x:v>
      </x:c>
      <x:c r="U196" s="27" t="n">
        <x:v>70000000</x:v>
      </x:c>
      <x:c r="V196" s="27" t="str">
        <x:v>U</x:v>
      </x:c>
      <x:c r="W196" s="27" t="str">
        <x:v>N</x:v>
      </x:c>
      <x:c r="X196" s="27"/>
      <x:c r="Y196" s="27" t="str">
        <x:v>S</x:v>
      </x:c>
      <x:c r="Z196" s="27"/>
      <x:c r="AA196" s="27"/>
      <x:c r="AB196" s="27" t="n">
        <x:v>0</x:v>
      </x:c>
      <x:c r="AC196" s="27" t="n">
        <x:v>0</x:v>
      </x:c>
      <x:c r="AD196" s="27" t="n">
        <x:v>417900</x:v>
      </x:c>
      <x:c r="AE196" s="27" t="str">
        <x:v>Public-safe anonymized industry-style SA-CCR sample</x:v>
      </x:c>
      <x:c r="AF196" s="27" t="str">
        <x:v>ANON-000193</x:v>
      </x:c>
      <x:c r="AG196" s="27" t="str">
        <x:v>Precious Metal Forward</x:v>
      </x:c>
      <x:c r="AH196" s="27"/>
      <x:c r="AI196" s="27" t="str">
        <x:v>XAU/CNY</x:v>
      </x:c>
      <x:c r="AJ196" s="27" t="n">
        <x:v>1211</x:v>
      </x:c>
      <x:c r="AK196" s="27" t="n">
        <x:v>3.317808219178082</x:v>
      </x:c>
      <x:c r="AL196" s="27" t="str">
        <x:v>1Y-5Y</x:v>
      </x:c>
      <x:c r="AM196" s="27" t="str">
        <x:v>Metals</x:v>
      </x:c>
      <x:c r="AN196" s="27" t="str">
        <x:v>Gold</x:v>
      </x:c>
      <x:c r="AO196" s="27" t="str">
        <x:v>Metals</x:v>
      </x:c>
      <x:c r="AP196" s="27" t="str">
        <x:v>U</x:v>
      </x:c>
      <x:c r="AQ196" s="27" t="n">
        <x:v>0.18</x:v>
      </x:c>
      <x:c r="AR196" s="27" t="n">
        <x:v>1</x:v>
      </x:c>
      <x:c r="AS196" s="27" t="n">
        <x:v>0.18</x:v>
      </x:c>
      <x:c r="AT196" s="27" t="n">
        <x:v>0.4</x:v>
      </x:c>
      <x:c r="AU196" s="27" t="n">
        <x:v>1</x:v>
      </x:c>
      <x:c r="AV196" s="27" t="n">
        <x:v>70000000</x:v>
      </x:c>
      <x:c r="AW196" s="27" t="n">
        <x:v>0.7</x:v>
      </x:c>
      <x:c r="AX196" s="27" t="n">
        <x:v>-1</x:v>
      </x:c>
      <x:c r="AY196" s="27" t="n">
        <x:v>1</x:v>
      </x:c>
      <x:c r="AZ196" s="27" t="n">
        <x:v>-70000000</x:v>
      </x:c>
    </x:row>
    <x:row r="197">
      <x:c r="A197" s="27" t="n">
        <x:v>45702</x:v>
      </x:c>
      <x:c r="B197" s="27" t="str">
        <x:v>IND_CORPORATE_001</x:v>
      </x:c>
      <x:c r="C197" s="27" t="n">
        <x:v>3100</x:v>
      </x:c>
      <x:c r="D197" s="27" t="str">
        <x:v>IND-000194</x:v>
      </x:c>
      <x:c r="E197" s="27" t="str">
        <x:v>Precious Metal Forward</x:v>
      </x:c>
      <x:c r="F197" s="27" t="str">
        <x:v>Commodity</x:v>
      </x:c>
      <x:c r="G197" s="27" t="str">
        <x:v>Gold</x:v>
      </x:c>
      <x:c r="H197" s="27" t="str">
        <x:v>XAU</x:v>
      </x:c>
      <x:c r="I197" s="27" t="str">
        <x:v>CNY</x:v>
      </x:c>
      <x:c r="J197" s="27" t="str">
        <x:v>CNY</x:v>
      </x:c>
      <x:c r="K197" s="27"/>
      <x:c r="L197" s="27"/>
      <x:c r="M197" s="27" t="str">
        <x:v>XAU/CNY</x:v>
      </x:c>
      <x:c r="N197" s="27"/>
      <x:c r="O197" s="27"/>
      <x:c r="P197" s="27" t="n">
        <x:v>46875</x:v>
      </x:c>
      <x:c r="Q197" s="27" t="n">
        <x:v>45062</x:v>
      </x:c>
      <x:c r="R197" s="27" t="n">
        <x:v>46875</x:v>
      </x:c>
      <x:c r="S197" s="27" t="n">
        <x:v>8650</x:v>
      </x:c>
      <x:c r="T197" s="27" t="n">
        <x:v>123571428.57</x:v>
      </x:c>
      <x:c r="U197" s="27" t="n">
        <x:v>17300000</x:v>
      </x:c>
      <x:c r="V197" s="27" t="str">
        <x:v>M</x:v>
      </x:c>
      <x:c r="W197" s="27" t="str">
        <x:v>N</x:v>
      </x:c>
      <x:c r="X197" s="27" t="n">
        <x:v>10</x:v>
      </x:c>
      <x:c r="Y197" s="27" t="str">
        <x:v>B</x:v>
      </x:c>
      <x:c r="Z197" s="27"/>
      <x:c r="AA197" s="27"/>
      <x:c r="AB197" s="27" t="n">
        <x:v>0</x:v>
      </x:c>
      <x:c r="AC197" s="27" t="n">
        <x:v>0</x:v>
      </x:c>
      <x:c r="AD197" s="27" t="n">
        <x:v>-242892</x:v>
      </x:c>
      <x:c r="AE197" s="27" t="str">
        <x:v>Public-safe anonymized industry-style SA-CCR sample</x:v>
      </x:c>
      <x:c r="AF197" s="27" t="str">
        <x:v>ANON-000194</x:v>
      </x:c>
      <x:c r="AG197" s="27" t="str">
        <x:v>Precious Metal Forward</x:v>
      </x:c>
      <x:c r="AH197" s="27"/>
      <x:c r="AI197" s="27" t="str">
        <x:v>XAU/CNY</x:v>
      </x:c>
      <x:c r="AJ197" s="27" t="n">
        <x:v>1173</x:v>
      </x:c>
      <x:c r="AK197" s="27" t="n">
        <x:v>3.213698630136986</x:v>
      </x:c>
      <x:c r="AL197" s="27" t="str">
        <x:v>1Y-5Y</x:v>
      </x:c>
      <x:c r="AM197" s="27" t="str">
        <x:v>Metals</x:v>
      </x:c>
      <x:c r="AN197" s="27" t="str">
        <x:v>Gold</x:v>
      </x:c>
      <x:c r="AO197" s="27" t="str">
        <x:v>Metals</x:v>
      </x:c>
      <x:c r="AP197" s="27" t="str">
        <x:v>M</x:v>
      </x:c>
      <x:c r="AQ197" s="27" t="n">
        <x:v>0.18</x:v>
      </x:c>
      <x:c r="AR197" s="27" t="n">
        <x:v>1</x:v>
      </x:c>
      <x:c r="AS197" s="27" t="n">
        <x:v>0.18</x:v>
      </x:c>
      <x:c r="AT197" s="27" t="n">
        <x:v>0.4</x:v>
      </x:c>
      <x:c r="AU197" s="27" t="n">
        <x:v>1</x:v>
      </x:c>
      <x:c r="AV197" s="27" t="n">
        <x:v>17300000</x:v>
      </x:c>
      <x:c r="AW197" s="27" t="n">
        <x:v>0.7</x:v>
      </x:c>
      <x:c r="AX197" s="27" t="n">
        <x:v>1</x:v>
      </x:c>
      <x:c r="AY197" s="27" t="n">
        <x:v>0.30000000000000004</x:v>
      </x:c>
      <x:c r="AZ197" s="27" t="n">
        <x:v>5190000.000000001</x:v>
      </x:c>
    </x:row>
    <x:row r="198">
      <x:c r="A198" s="27" t="n">
        <x:v>45702</x:v>
      </x:c>
      <x:c r="B198" s="27" t="str">
        <x:v>IND_PENSION_001</x:v>
      </x:c>
      <x:c r="C198" s="27" t="n">
        <x:v>3113</x:v>
      </x:c>
      <x:c r="D198" s="27" t="str">
        <x:v>IND-000195</x:v>
      </x:c>
      <x:c r="E198" s="27" t="str">
        <x:v>Precious Metal Forward</x:v>
      </x:c>
      <x:c r="F198" s="27" t="str">
        <x:v>Commodity</x:v>
      </x:c>
      <x:c r="G198" s="27" t="str">
        <x:v>Gold</x:v>
      </x:c>
      <x:c r="H198" s="27" t="str">
        <x:v>XAU</x:v>
      </x:c>
      <x:c r="I198" s="27" t="str">
        <x:v>CNY</x:v>
      </x:c>
      <x:c r="J198" s="27" t="str">
        <x:v>CNY</x:v>
      </x:c>
      <x:c r="K198" s="27"/>
      <x:c r="L198" s="27"/>
      <x:c r="M198" s="27" t="str">
        <x:v>XAU/CNY</x:v>
      </x:c>
      <x:c r="N198" s="27"/>
      <x:c r="O198" s="27"/>
      <x:c r="P198" s="27" t="n">
        <x:v>46758</x:v>
      </x:c>
      <x:c r="Q198" s="27" t="n">
        <x:v>45195</x:v>
      </x:c>
      <x:c r="R198" s="27" t="n">
        <x:v>46758</x:v>
      </x:c>
      <x:c r="S198" s="27" t="n">
        <x:v>52000</x:v>
      </x:c>
      <x:c r="T198" s="27" t="n">
        <x:v>742857142.86</x:v>
      </x:c>
      <x:c r="U198" s="27" t="n">
        <x:v>104000000</x:v>
      </x:c>
      <x:c r="V198" s="27" t="str">
        <x:v>M</x:v>
      </x:c>
      <x:c r="W198" s="27" t="str">
        <x:v>N</x:v>
      </x:c>
      <x:c r="X198" s="27" t="n">
        <x:v>10</x:v>
      </x:c>
      <x:c r="Y198" s="27" t="str">
        <x:v>B</x:v>
      </x:c>
      <x:c r="Z198" s="27"/>
      <x:c r="AA198" s="27"/>
      <x:c r="AB198" s="27" t="n">
        <x:v>0</x:v>
      </x:c>
      <x:c r="AC198" s="27" t="n">
        <x:v>0</x:v>
      </x:c>
      <x:c r="AD198" s="27" t="n">
        <x:v>-705120</x:v>
      </x:c>
      <x:c r="AE198" s="27" t="str">
        <x:v>Public-safe anonymized industry-style SA-CCR sample</x:v>
      </x:c>
      <x:c r="AF198" s="27" t="str">
        <x:v>ANON-000195</x:v>
      </x:c>
      <x:c r="AG198" s="27" t="str">
        <x:v>Precious Metal Forward</x:v>
      </x:c>
      <x:c r="AH198" s="27"/>
      <x:c r="AI198" s="27" t="str">
        <x:v>XAU/CNY</x:v>
      </x:c>
      <x:c r="AJ198" s="27" t="n">
        <x:v>1056</x:v>
      </x:c>
      <x:c r="AK198" s="27" t="n">
        <x:v>2.893150684931507</x:v>
      </x:c>
      <x:c r="AL198" s="27" t="str">
        <x:v>1Y-5Y</x:v>
      </x:c>
      <x:c r="AM198" s="27" t="str">
        <x:v>Metals</x:v>
      </x:c>
      <x:c r="AN198" s="27" t="str">
        <x:v>Gold</x:v>
      </x:c>
      <x:c r="AO198" s="27" t="str">
        <x:v>Metals</x:v>
      </x:c>
      <x:c r="AP198" s="27" t="str">
        <x:v>M</x:v>
      </x:c>
      <x:c r="AQ198" s="27" t="n">
        <x:v>0.18</x:v>
      </x:c>
      <x:c r="AR198" s="27" t="n">
        <x:v>1</x:v>
      </x:c>
      <x:c r="AS198" s="27" t="n">
        <x:v>0.18</x:v>
      </x:c>
      <x:c r="AT198" s="27" t="n">
        <x:v>0.4</x:v>
      </x:c>
      <x:c r="AU198" s="27" t="n">
        <x:v>1</x:v>
      </x:c>
      <x:c r="AV198" s="27" t="n">
        <x:v>104000000</x:v>
      </x:c>
      <x:c r="AW198" s="27" t="n">
        <x:v>0.7</x:v>
      </x:c>
      <x:c r="AX198" s="27" t="n">
        <x:v>1</x:v>
      </x:c>
      <x:c r="AY198" s="27" t="n">
        <x:v>0.30000000000000004</x:v>
      </x:c>
      <x:c r="AZ198" s="27" t="n">
        <x:v>31200000.000000004</x:v>
      </x:c>
    </x:row>
    <x:row r="199">
      <x:c r="A199" s="27" t="n">
        <x:v>45702</x:v>
      </x:c>
      <x:c r="B199" s="27" t="str">
        <x:v>IND_ASSET_MANAGER_001</x:v>
      </x:c>
      <x:c r="C199" s="27" t="n">
        <x:v>3205</x:v>
      </x:c>
      <x:c r="D199" s="27" t="str">
        <x:v>IND-000196</x:v>
      </x:c>
      <x:c r="E199" s="27" t="str">
        <x:v>Precious Metal Forward</x:v>
      </x:c>
      <x:c r="F199" s="27" t="str">
        <x:v>Commodity</x:v>
      </x:c>
      <x:c r="G199" s="27" t="str">
        <x:v>Gold</x:v>
      </x:c>
      <x:c r="H199" s="27" t="str">
        <x:v>XAU</x:v>
      </x:c>
      <x:c r="I199" s="27" t="str">
        <x:v>CNY</x:v>
      </x:c>
      <x:c r="J199" s="27" t="str">
        <x:v>CNY</x:v>
      </x:c>
      <x:c r="K199" s="27"/>
      <x:c r="L199" s="27"/>
      <x:c r="M199" s="27" t="str">
        <x:v>XAU/CNY</x:v>
      </x:c>
      <x:c r="N199" s="27"/>
      <x:c r="O199" s="27"/>
      <x:c r="P199" s="27" t="n">
        <x:v>46508</x:v>
      </x:c>
      <x:c r="Q199" s="27" t="n">
        <x:v>45259</x:v>
      </x:c>
      <x:c r="R199" s="27" t="n">
        <x:v>46508</x:v>
      </x:c>
      <x:c r="S199" s="27" t="n">
        <x:v>44950</x:v>
      </x:c>
      <x:c r="T199" s="27" t="n">
        <x:v>642142857.14</x:v>
      </x:c>
      <x:c r="U199" s="27" t="n">
        <x:v>89900000</x:v>
      </x:c>
      <x:c r="V199" s="27" t="str">
        <x:v>U</x:v>
      </x:c>
      <x:c r="W199" s="27" t="str">
        <x:v>N</x:v>
      </x:c>
      <x:c r="X199" s="27"/>
      <x:c r="Y199" s="27" t="str">
        <x:v>S</x:v>
      </x:c>
      <x:c r="Z199" s="27"/>
      <x:c r="AA199" s="27"/>
      <x:c r="AB199" s="27" t="n">
        <x:v>0</x:v>
      </x:c>
      <x:c r="AC199" s="27" t="n">
        <x:v>0</x:v>
      </x:c>
      <x:c r="AD199" s="27" t="n">
        <x:v>-2691606</x:v>
      </x:c>
      <x:c r="AE199" s="27" t="str">
        <x:v>Public-safe anonymized industry-style SA-CCR sample</x:v>
      </x:c>
      <x:c r="AF199" s="27" t="str">
        <x:v>ANON-000196</x:v>
      </x:c>
      <x:c r="AG199" s="27" t="str">
        <x:v>Precious Metal Forward</x:v>
      </x:c>
      <x:c r="AH199" s="27"/>
      <x:c r="AI199" s="27" t="str">
        <x:v>XAU/CNY</x:v>
      </x:c>
      <x:c r="AJ199" s="27" t="n">
        <x:v>806</x:v>
      </x:c>
      <x:c r="AK199" s="27" t="n">
        <x:v>2.208219178082192</x:v>
      </x:c>
      <x:c r="AL199" s="27" t="str">
        <x:v>1Y-5Y</x:v>
      </x:c>
      <x:c r="AM199" s="27" t="str">
        <x:v>Metals</x:v>
      </x:c>
      <x:c r="AN199" s="27" t="str">
        <x:v>Gold</x:v>
      </x:c>
      <x:c r="AO199" s="27" t="str">
        <x:v>Metals</x:v>
      </x:c>
      <x:c r="AP199" s="27" t="str">
        <x:v>U</x:v>
      </x:c>
      <x:c r="AQ199" s="27" t="n">
        <x:v>0.18</x:v>
      </x:c>
      <x:c r="AR199" s="27" t="n">
        <x:v>1</x:v>
      </x:c>
      <x:c r="AS199" s="27" t="n">
        <x:v>0.18</x:v>
      </x:c>
      <x:c r="AT199" s="27" t="n">
        <x:v>0.4</x:v>
      </x:c>
      <x:c r="AU199" s="27" t="n">
        <x:v>1</x:v>
      </x:c>
      <x:c r="AV199" s="27" t="n">
        <x:v>89900000</x:v>
      </x:c>
      <x:c r="AW199" s="27" t="n">
        <x:v>0.7</x:v>
      </x:c>
      <x:c r="AX199" s="27" t="n">
        <x:v>-1</x:v>
      </x:c>
      <x:c r="AY199" s="27" t="n">
        <x:v>1</x:v>
      </x:c>
      <x:c r="AZ199" s="27" t="n">
        <x:v>-89900000</x:v>
      </x:c>
    </x:row>
    <x:row r="200">
      <x:c r="A200" s="27" t="n">
        <x:v>45702</x:v>
      </x:c>
      <x:c r="B200" s="27" t="str">
        <x:v>IND_BANK_001</x:v>
      </x:c>
      <x:c r="C200" s="27" t="n">
        <x:v>3172</x:v>
      </x:c>
      <x:c r="D200" s="27" t="str">
        <x:v>IND-000197</x:v>
      </x:c>
      <x:c r="E200" s="27" t="str">
        <x:v>Precious Metal Forward</x:v>
      </x:c>
      <x:c r="F200" s="27" t="str">
        <x:v>Commodity</x:v>
      </x:c>
      <x:c r="G200" s="27" t="str">
        <x:v>Gold</x:v>
      </x:c>
      <x:c r="H200" s="27" t="str">
        <x:v>XAU</x:v>
      </x:c>
      <x:c r="I200" s="27" t="str">
        <x:v>USD</x:v>
      </x:c>
      <x:c r="J200" s="27" t="str">
        <x:v>USD</x:v>
      </x:c>
      <x:c r="K200" s="27"/>
      <x:c r="L200" s="27"/>
      <x:c r="M200" s="27" t="str">
        <x:v>XAU/USD</x:v>
      </x:c>
      <x:c r="N200" s="27"/>
      <x:c r="O200" s="27"/>
      <x:c r="P200" s="27" t="n">
        <x:v>47463</x:v>
      </x:c>
      <x:c r="Q200" s="27" t="n">
        <x:v>45451</x:v>
      </x:c>
      <x:c r="R200" s="27" t="n">
        <x:v>47463</x:v>
      </x:c>
      <x:c r="S200" s="27" t="n">
        <x:v>12350</x:v>
      </x:c>
      <x:c r="T200" s="27" t="n">
        <x:v>24700000</x:v>
      </x:c>
      <x:c r="U200" s="27" t="n">
        <x:v>24700000</x:v>
      </x:c>
      <x:c r="V200" s="27" t="str">
        <x:v>M</x:v>
      </x:c>
      <x:c r="W200" s="27" t="str">
        <x:v>N</x:v>
      </x:c>
      <x:c r="X200" s="27" t="n">
        <x:v>10</x:v>
      </x:c>
      <x:c r="Y200" s="27" t="str">
        <x:v>B</x:v>
      </x:c>
      <x:c r="Z200" s="27"/>
      <x:c r="AA200" s="27"/>
      <x:c r="AB200" s="27" t="n">
        <x:v>0</x:v>
      </x:c>
      <x:c r="AC200" s="27" t="n">
        <x:v>0</x:v>
      </x:c>
      <x:c r="AD200" s="27" t="n">
        <x:v>172653</x:v>
      </x:c>
      <x:c r="AE200" s="27" t="str">
        <x:v>Public-safe anonymized industry-style SA-CCR sample</x:v>
      </x:c>
      <x:c r="AF200" s="27" t="str">
        <x:v>ANON-000197</x:v>
      </x:c>
      <x:c r="AG200" s="27" t="str">
        <x:v>Precious Metal Forward</x:v>
      </x:c>
      <x:c r="AH200" s="27"/>
      <x:c r="AI200" s="27" t="str">
        <x:v>XAU/USD</x:v>
      </x:c>
      <x:c r="AJ200" s="27" t="n">
        <x:v>1761</x:v>
      </x:c>
      <x:c r="AK200" s="27" t="n">
        <x:v>4.824657534246575</x:v>
      </x:c>
      <x:c r="AL200" s="27" t="str">
        <x:v>1Y-5Y</x:v>
      </x:c>
      <x:c r="AM200" s="27" t="str">
        <x:v>Metals</x:v>
      </x:c>
      <x:c r="AN200" s="27" t="str">
        <x:v>Gold</x:v>
      </x:c>
      <x:c r="AO200" s="27" t="str">
        <x:v>Metals</x:v>
      </x:c>
      <x:c r="AP200" s="27" t="str">
        <x:v>M</x:v>
      </x:c>
      <x:c r="AQ200" s="27" t="n">
        <x:v>0.18</x:v>
      </x:c>
      <x:c r="AR200" s="27" t="n">
        <x:v>1</x:v>
      </x:c>
      <x:c r="AS200" s="27" t="n">
        <x:v>0.18</x:v>
      </x:c>
      <x:c r="AT200" s="27" t="n">
        <x:v>0.4</x:v>
      </x:c>
      <x:c r="AU200" s="27" t="n">
        <x:v>1</x:v>
      </x:c>
      <x:c r="AV200" s="27" t="n">
        <x:v>24700000</x:v>
      </x:c>
      <x:c r="AW200" s="27" t="n">
        <x:v>0.7</x:v>
      </x:c>
      <x:c r="AX200" s="27" t="n">
        <x:v>1</x:v>
      </x:c>
      <x:c r="AY200" s="27" t="n">
        <x:v>0.30000000000000004</x:v>
      </x:c>
      <x:c r="AZ200" s="27" t="n">
        <x:v>7410000.000000001</x:v>
      </x:c>
    </x:row>
    <x:row r="201">
      <x:c r="A201" s="27" t="n">
        <x:v>45702</x:v>
      </x:c>
      <x:c r="B201" s="27" t="str">
        <x:v>IND_BANK_002</x:v>
      </x:c>
      <x:c r="C201" s="27" t="n">
        <x:v>3323</x:v>
      </x:c>
      <x:c r="D201" s="27" t="str">
        <x:v>IND-000198</x:v>
      </x:c>
      <x:c r="E201" s="27" t="str">
        <x:v>Precious Metal Forward</x:v>
      </x:c>
      <x:c r="F201" s="27" t="str">
        <x:v>Commodity</x:v>
      </x:c>
      <x:c r="G201" s="27" t="str">
        <x:v>Gold</x:v>
      </x:c>
      <x:c r="H201" s="27" t="str">
        <x:v>XAU</x:v>
      </x:c>
      <x:c r="I201" s="27" t="str">
        <x:v>CNY</x:v>
      </x:c>
      <x:c r="J201" s="27" t="str">
        <x:v>CNY</x:v>
      </x:c>
      <x:c r="K201" s="27"/>
      <x:c r="L201" s="27"/>
      <x:c r="M201" s="27" t="str">
        <x:v>XAU/CNY</x:v>
      </x:c>
      <x:c r="N201" s="27"/>
      <x:c r="O201" s="27"/>
      <x:c r="P201" s="27" t="n">
        <x:v>46968</x:v>
      </x:c>
      <x:c r="Q201" s="27" t="n">
        <x:v>45438</x:v>
      </x:c>
      <x:c r="R201" s="27" t="n">
        <x:v>46968</x:v>
      </x:c>
      <x:c r="S201" s="27" t="n">
        <x:v>3100</x:v>
      </x:c>
      <x:c r="T201" s="27" t="n">
        <x:v>44285714.29</x:v>
      </x:c>
      <x:c r="U201" s="27" t="n">
        <x:v>6200000</x:v>
      </x:c>
      <x:c r="V201" s="27" t="str">
        <x:v>U</x:v>
      </x:c>
      <x:c r="W201" s="27" t="str">
        <x:v>N</x:v>
      </x:c>
      <x:c r="X201" s="27"/>
      <x:c r="Y201" s="27" t="str">
        <x:v>B</x:v>
      </x:c>
      <x:c r="Z201" s="27"/>
      <x:c r="AA201" s="27"/>
      <x:c r="AB201" s="27" t="n">
        <x:v>0</x:v>
      </x:c>
      <x:c r="AC201" s="27" t="n">
        <x:v>0</x:v>
      </x:c>
      <x:c r="AD201" s="27" t="n">
        <x:v>158100</x:v>
      </x:c>
      <x:c r="AE201" s="27" t="str">
        <x:v>Public-safe anonymized industry-style SA-CCR sample</x:v>
      </x:c>
      <x:c r="AF201" s="27" t="str">
        <x:v>ANON-000198</x:v>
      </x:c>
      <x:c r="AG201" s="27" t="str">
        <x:v>Precious Metal Forward</x:v>
      </x:c>
      <x:c r="AH201" s="27"/>
      <x:c r="AI201" s="27" t="str">
        <x:v>XAU/CNY</x:v>
      </x:c>
      <x:c r="AJ201" s="27" t="n">
        <x:v>1266</x:v>
      </x:c>
      <x:c r="AK201" s="27" t="n">
        <x:v>3.4684931506849317</x:v>
      </x:c>
      <x:c r="AL201" s="27" t="str">
        <x:v>1Y-5Y</x:v>
      </x:c>
      <x:c r="AM201" s="27" t="str">
        <x:v>Metals</x:v>
      </x:c>
      <x:c r="AN201" s="27" t="str">
        <x:v>Gold</x:v>
      </x:c>
      <x:c r="AO201" s="27" t="str">
        <x:v>Metals</x:v>
      </x:c>
      <x:c r="AP201" s="27" t="str">
        <x:v>U</x:v>
      </x:c>
      <x:c r="AQ201" s="27" t="n">
        <x:v>0.18</x:v>
      </x:c>
      <x:c r="AR201" s="27" t="n">
        <x:v>1</x:v>
      </x:c>
      <x:c r="AS201" s="27" t="n">
        <x:v>0.18</x:v>
      </x:c>
      <x:c r="AT201" s="27" t="n">
        <x:v>0.4</x:v>
      </x:c>
      <x:c r="AU201" s="27" t="n">
        <x:v>1</x:v>
      </x:c>
      <x:c r="AV201" s="27" t="n">
        <x:v>6200000</x:v>
      </x:c>
      <x:c r="AW201" s="27" t="n">
        <x:v>0.7</x:v>
      </x:c>
      <x:c r="AX201" s="27" t="n">
        <x:v>1</x:v>
      </x:c>
      <x:c r="AY201" s="27" t="n">
        <x:v>1</x:v>
      </x:c>
      <x:c r="AZ201" s="27" t="n">
        <x:v>6200000</x:v>
      </x:c>
    </x:row>
    <x:row r="202">
      <x:c r="A202" s="27" t="n">
        <x:v>45702</x:v>
      </x:c>
      <x:c r="B202" s="27" t="str">
        <x:v>IND_CORPORATE_001</x:v>
      </x:c>
      <x:c r="C202" s="27" t="n">
        <x:v>3100</x:v>
      </x:c>
      <x:c r="D202" s="27" t="str">
        <x:v>IND-000199</x:v>
      </x:c>
      <x:c r="E202" s="27" t="str">
        <x:v>Precious Metal Forward</x:v>
      </x:c>
      <x:c r="F202" s="27" t="str">
        <x:v>Commodity</x:v>
      </x:c>
      <x:c r="G202" s="27" t="str">
        <x:v>Gold</x:v>
      </x:c>
      <x:c r="H202" s="27" t="str">
        <x:v>XAU</x:v>
      </x:c>
      <x:c r="I202" s="27" t="str">
        <x:v>CNY</x:v>
      </x:c>
      <x:c r="J202" s="27" t="str">
        <x:v>CNY</x:v>
      </x:c>
      <x:c r="K202" s="27"/>
      <x:c r="L202" s="27"/>
      <x:c r="M202" s="27" t="str">
        <x:v>XAU/CNY</x:v>
      </x:c>
      <x:c r="N202" s="27"/>
      <x:c r="O202" s="27"/>
      <x:c r="P202" s="27" t="n">
        <x:v>46417</x:v>
      </x:c>
      <x:c r="Q202" s="27" t="n">
        <x:v>45333</x:v>
      </x:c>
      <x:c r="R202" s="27" t="n">
        <x:v>46417</x:v>
      </x:c>
      <x:c r="S202" s="27" t="n">
        <x:v>4150</x:v>
      </x:c>
      <x:c r="T202" s="27" t="n">
        <x:v>59285714.29</x:v>
      </x:c>
      <x:c r="U202" s="27" t="n">
        <x:v>8300000</x:v>
      </x:c>
      <x:c r="V202" s="27" t="str">
        <x:v>M</x:v>
      </x:c>
      <x:c r="W202" s="27" t="str">
        <x:v>N</x:v>
      </x:c>
      <x:c r="X202" s="27" t="n">
        <x:v>10</x:v>
      </x:c>
      <x:c r="Y202" s="27" t="str">
        <x:v>B</x:v>
      </x:c>
      <x:c r="Z202" s="27"/>
      <x:c r="AA202" s="27"/>
      <x:c r="AB202" s="27" t="n">
        <x:v>0</x:v>
      </x:c>
      <x:c r="AC202" s="27" t="n">
        <x:v>0</x:v>
      </x:c>
      <x:c r="AD202" s="27" t="n">
        <x:v>183264</x:v>
      </x:c>
      <x:c r="AE202" s="27" t="str">
        <x:v>Public-safe anonymized industry-style SA-CCR sample</x:v>
      </x:c>
      <x:c r="AF202" s="27" t="str">
        <x:v>ANON-000199</x:v>
      </x:c>
      <x:c r="AG202" s="27" t="str">
        <x:v>Precious Metal Forward</x:v>
      </x:c>
      <x:c r="AH202" s="27"/>
      <x:c r="AI202" s="27" t="str">
        <x:v>XAU/CNY</x:v>
      </x:c>
      <x:c r="AJ202" s="27" t="n">
        <x:v>715</x:v>
      </x:c>
      <x:c r="AK202" s="27" t="n">
        <x:v>1.9589041095890412</x:v>
      </x:c>
      <x:c r="AL202" s="27" t="str">
        <x:v>1Y-5Y</x:v>
      </x:c>
      <x:c r="AM202" s="27" t="str">
        <x:v>Metals</x:v>
      </x:c>
      <x:c r="AN202" s="27" t="str">
        <x:v>Gold</x:v>
      </x:c>
      <x:c r="AO202" s="27" t="str">
        <x:v>Metals</x:v>
      </x:c>
      <x:c r="AP202" s="27" t="str">
        <x:v>M</x:v>
      </x:c>
      <x:c r="AQ202" s="27" t="n">
        <x:v>0.18</x:v>
      </x:c>
      <x:c r="AR202" s="27" t="n">
        <x:v>1</x:v>
      </x:c>
      <x:c r="AS202" s="27" t="n">
        <x:v>0.18</x:v>
      </x:c>
      <x:c r="AT202" s="27" t="n">
        <x:v>0.4</x:v>
      </x:c>
      <x:c r="AU202" s="27" t="n">
        <x:v>1</x:v>
      </x:c>
      <x:c r="AV202" s="27" t="n">
        <x:v>8300000</x:v>
      </x:c>
      <x:c r="AW202" s="27" t="n">
        <x:v>0.7</x:v>
      </x:c>
      <x:c r="AX202" s="27" t="n">
        <x:v>1</x:v>
      </x:c>
      <x:c r="AY202" s="27" t="n">
        <x:v>0.30000000000000004</x:v>
      </x:c>
      <x:c r="AZ202" s="27" t="n">
        <x:v>2490000.0000000005</x:v>
      </x:c>
    </x:row>
    <x:row r="203">
      <x:c r="A203" s="27" t="n">
        <x:v>45702</x:v>
      </x:c>
      <x:c r="B203" s="27" t="str">
        <x:v>IND_REGIONAL_BANK_001</x:v>
      </x:c>
      <x:c r="C203" s="27" t="n">
        <x:v>3082</x:v>
      </x:c>
      <x:c r="D203" s="27" t="str">
        <x:v>IND-000200</x:v>
      </x:c>
      <x:c r="E203" s="27" t="str">
        <x:v>Precious Metal Forward</x:v>
      </x:c>
      <x:c r="F203" s="27" t="str">
        <x:v>Commodity</x:v>
      </x:c>
      <x:c r="G203" s="27" t="str">
        <x:v>Gold</x:v>
      </x:c>
      <x:c r="H203" s="27" t="str">
        <x:v>XAU</x:v>
      </x:c>
      <x:c r="I203" s="27" t="str">
        <x:v>CNY</x:v>
      </x:c>
      <x:c r="J203" s="27" t="str">
        <x:v>CNY</x:v>
      </x:c>
      <x:c r="K203" s="27"/>
      <x:c r="L203" s="27"/>
      <x:c r="M203" s="27" t="str">
        <x:v>XAU/CNY</x:v>
      </x:c>
      <x:c r="N203" s="27"/>
      <x:c r="O203" s="27"/>
      <x:c r="P203" s="27" t="n">
        <x:v>46051</x:v>
      </x:c>
      <x:c r="Q203" s="27" t="n">
        <x:v>45638</x:v>
      </x:c>
      <x:c r="R203" s="27" t="n">
        <x:v>46051</x:v>
      </x:c>
      <x:c r="S203" s="27" t="n">
        <x:v>6300</x:v>
      </x:c>
      <x:c r="T203" s="27" t="n">
        <x:v>90000000</x:v>
      </x:c>
      <x:c r="U203" s="27" t="n">
        <x:v>12600000</x:v>
      </x:c>
      <x:c r="V203" s="27" t="str">
        <x:v>M</x:v>
      </x:c>
      <x:c r="W203" s="27" t="str">
        <x:v>N</x:v>
      </x:c>
      <x:c r="X203" s="27" t="n">
        <x:v>10</x:v>
      </x:c>
      <x:c r="Y203" s="27" t="str">
        <x:v>S</x:v>
      </x:c>
      <x:c r="Z203" s="27"/>
      <x:c r="AA203" s="27"/>
      <x:c r="AB203" s="27" t="n">
        <x:v>0</x:v>
      </x:c>
      <x:c r="AC203" s="27" t="n">
        <x:v>0</x:v>
      </x:c>
      <x:c r="AD203" s="27" t="n">
        <x:v>346626</x:v>
      </x:c>
      <x:c r="AE203" s="27" t="str">
        <x:v>Public-safe anonymized industry-style SA-CCR sample</x:v>
      </x:c>
      <x:c r="AF203" s="27" t="str">
        <x:v>ANON-000200</x:v>
      </x:c>
      <x:c r="AG203" s="27" t="str">
        <x:v>Precious Metal Forward</x:v>
      </x:c>
      <x:c r="AH203" s="27"/>
      <x:c r="AI203" s="27" t="str">
        <x:v>XAU/CNY</x:v>
      </x:c>
      <x:c r="AJ203" s="27" t="n">
        <x:v>349</x:v>
      </x:c>
      <x:c r="AK203" s="27" t="n">
        <x:v>0.9561643835616438</x:v>
      </x:c>
      <x:c r="AL203" s="27" t="str">
        <x:v>&lt;1Y</x:v>
      </x:c>
      <x:c r="AM203" s="27" t="str">
        <x:v>Metals</x:v>
      </x:c>
      <x:c r="AN203" s="27" t="str">
        <x:v>Gold</x:v>
      </x:c>
      <x:c r="AO203" s="27" t="str">
        <x:v>Metals</x:v>
      </x:c>
      <x:c r="AP203" s="27" t="str">
        <x:v>M</x:v>
      </x:c>
      <x:c r="AQ203" s="27" t="n">
        <x:v>0.18</x:v>
      </x:c>
      <x:c r="AR203" s="27" t="n">
        <x:v>1</x:v>
      </x:c>
      <x:c r="AS203" s="27" t="n">
        <x:v>0.18</x:v>
      </x:c>
      <x:c r="AT203" s="27" t="n">
        <x:v>0.4</x:v>
      </x:c>
      <x:c r="AU203" s="27" t="n">
        <x:v>1</x:v>
      </x:c>
      <x:c r="AV203" s="27" t="n">
        <x:v>12600000</x:v>
      </x:c>
      <x:c r="AW203" s="27" t="n">
        <x:v>0.7</x:v>
      </x:c>
      <x:c r="AX203" s="27" t="n">
        <x:v>-1</x:v>
      </x:c>
      <x:c r="AY203" s="27" t="n">
        <x:v>0.30000000000000004</x:v>
      </x:c>
      <x:c r="AZ203" s="27" t="n">
        <x:v>-3780000.0000000005</x:v>
      </x:c>
    </x:row>
    <x:row r="204">
      <x:c r="A204" s="27" t="n">
        <x:v>45702</x:v>
      </x:c>
      <x:c r="B204" s="27" t="str">
        <x:v>IND_BANK_002</x:v>
      </x:c>
      <x:c r="C204" s="27" t="n">
        <x:v>3259</x:v>
      </x:c>
      <x:c r="D204" s="27" t="str">
        <x:v>IND-000201</x:v>
      </x:c>
      <x:c r="E204" s="27" t="str">
        <x:v>Precious Metal Forward</x:v>
      </x:c>
      <x:c r="F204" s="27" t="str">
        <x:v>Commodity</x:v>
      </x:c>
      <x:c r="G204" s="27" t="str">
        <x:v>Gold</x:v>
      </x:c>
      <x:c r="H204" s="27" t="str">
        <x:v>XAU</x:v>
      </x:c>
      <x:c r="I204" s="27" t="str">
        <x:v>CNY</x:v>
      </x:c>
      <x:c r="J204" s="27" t="str">
        <x:v>CNY</x:v>
      </x:c>
      <x:c r="K204" s="27"/>
      <x:c r="L204" s="27"/>
      <x:c r="M204" s="27" t="str">
        <x:v>XAU/CNY</x:v>
      </x:c>
      <x:c r="N204" s="27"/>
      <x:c r="O204" s="27"/>
      <x:c r="P204" s="27" t="n">
        <x:v>45997</x:v>
      </x:c>
      <x:c r="Q204" s="27" t="n">
        <x:v>45189</x:v>
      </x:c>
      <x:c r="R204" s="27" t="n">
        <x:v>45997</x:v>
      </x:c>
      <x:c r="S204" s="27" t="n">
        <x:v>29950</x:v>
      </x:c>
      <x:c r="T204" s="27" t="n">
        <x:v>427857142.86</x:v>
      </x:c>
      <x:c r="U204" s="27" t="n">
        <x:v>59900000</x:v>
      </x:c>
      <x:c r="V204" s="27" t="str">
        <x:v>M</x:v>
      </x:c>
      <x:c r="W204" s="27" t="str">
        <x:v>N</x:v>
      </x:c>
      <x:c r="X204" s="27" t="n">
        <x:v>10</x:v>
      </x:c>
      <x:c r="Y204" s="27" t="str">
        <x:v>B</x:v>
      </x:c>
      <x:c r="Z204" s="27"/>
      <x:c r="AA204" s="27"/>
      <x:c r="AB204" s="27" t="n">
        <x:v>0</x:v>
      </x:c>
      <x:c r="AC204" s="27" t="n">
        <x:v>0</x:v>
      </x:c>
      <x:c r="AD204" s="27" t="n">
        <x:v>-1522059</x:v>
      </x:c>
      <x:c r="AE204" s="27" t="str">
        <x:v>Public-safe anonymized industry-style SA-CCR sample</x:v>
      </x:c>
      <x:c r="AF204" s="27" t="str">
        <x:v>ANON-000201</x:v>
      </x:c>
      <x:c r="AG204" s="27" t="str">
        <x:v>Precious Metal Forward</x:v>
      </x:c>
      <x:c r="AH204" s="27"/>
      <x:c r="AI204" s="27" t="str">
        <x:v>XAU/CNY</x:v>
      </x:c>
      <x:c r="AJ204" s="27" t="n">
        <x:v>295</x:v>
      </x:c>
      <x:c r="AK204" s="27" t="n">
        <x:v>0.8082191780821918</x:v>
      </x:c>
      <x:c r="AL204" s="27" t="str">
        <x:v>&lt;1Y</x:v>
      </x:c>
      <x:c r="AM204" s="27" t="str">
        <x:v>Metals</x:v>
      </x:c>
      <x:c r="AN204" s="27" t="str">
        <x:v>Gold</x:v>
      </x:c>
      <x:c r="AO204" s="27" t="str">
        <x:v>Metals</x:v>
      </x:c>
      <x:c r="AP204" s="27" t="str">
        <x:v>M</x:v>
      </x:c>
      <x:c r="AQ204" s="27" t="n">
        <x:v>0.18</x:v>
      </x:c>
      <x:c r="AR204" s="27" t="n">
        <x:v>1</x:v>
      </x:c>
      <x:c r="AS204" s="27" t="n">
        <x:v>0.18</x:v>
      </x:c>
      <x:c r="AT204" s="27" t="n">
        <x:v>0.4</x:v>
      </x:c>
      <x:c r="AU204" s="27" t="n">
        <x:v>1</x:v>
      </x:c>
      <x:c r="AV204" s="27" t="n">
        <x:v>59900000</x:v>
      </x:c>
      <x:c r="AW204" s="27" t="n">
        <x:v>0.7</x:v>
      </x:c>
      <x:c r="AX204" s="27" t="n">
        <x:v>1</x:v>
      </x:c>
      <x:c r="AY204" s="27" t="n">
        <x:v>0.30000000000000004</x:v>
      </x:c>
      <x:c r="AZ204" s="27" t="n">
        <x:v>17970000.000000004</x:v>
      </x:c>
    </x:row>
    <x:row r="205">
      <x:c r="A205" s="27" t="n">
        <x:v>45702</x:v>
      </x:c>
      <x:c r="B205" s="27" t="str">
        <x:v>IND_BANK_002</x:v>
      </x:c>
      <x:c r="C205" s="27" t="n">
        <x:v>3259</x:v>
      </x:c>
      <x:c r="D205" s="27" t="str">
        <x:v>IND-000202</x:v>
      </x:c>
      <x:c r="E205" s="27" t="str">
        <x:v>Precious Metal Forward</x:v>
      </x:c>
      <x:c r="F205" s="27" t="str">
        <x:v>Commodity</x:v>
      </x:c>
      <x:c r="G205" s="27" t="str">
        <x:v>Gold</x:v>
      </x:c>
      <x:c r="H205" s="27" t="str">
        <x:v>XAU</x:v>
      </x:c>
      <x:c r="I205" s="27" t="str">
        <x:v>CNY</x:v>
      </x:c>
      <x:c r="J205" s="27" t="str">
        <x:v>CNY</x:v>
      </x:c>
      <x:c r="K205" s="27"/>
      <x:c r="L205" s="27"/>
      <x:c r="M205" s="27" t="str">
        <x:v>XAU/CNY</x:v>
      </x:c>
      <x:c r="N205" s="27"/>
      <x:c r="O205" s="27"/>
      <x:c r="P205" s="27" t="n">
        <x:v>46327</x:v>
      </x:c>
      <x:c r="Q205" s="27" t="n">
        <x:v>45131</x:v>
      </x:c>
      <x:c r="R205" s="27" t="n">
        <x:v>46327</x:v>
      </x:c>
      <x:c r="S205" s="27" t="n">
        <x:v>2550</x:v>
      </x:c>
      <x:c r="T205" s="27" t="n">
        <x:v>36428571.43</x:v>
      </x:c>
      <x:c r="U205" s="27" t="n">
        <x:v>5100000</x:v>
      </x:c>
      <x:c r="V205" s="27" t="str">
        <x:v>M</x:v>
      </x:c>
      <x:c r="W205" s="27" t="str">
        <x:v>N</x:v>
      </x:c>
      <x:c r="X205" s="27" t="n">
        <x:v>10</x:v>
      </x:c>
      <x:c r="Y205" s="27" t="str">
        <x:v>S</x:v>
      </x:c>
      <x:c r="Z205" s="27"/>
      <x:c r="AA205" s="27"/>
      <x:c r="AB205" s="27" t="n">
        <x:v>0</x:v>
      </x:c>
      <x:c r="AC205" s="27" t="n">
        <x:v>0</x:v>
      </x:c>
      <x:c r="AD205" s="27" t="n">
        <x:v>-151623</x:v>
      </x:c>
      <x:c r="AE205" s="27" t="str">
        <x:v>Public-safe anonymized industry-style SA-CCR sample</x:v>
      </x:c>
      <x:c r="AF205" s="27" t="str">
        <x:v>ANON-000202</x:v>
      </x:c>
      <x:c r="AG205" s="27" t="str">
        <x:v>Precious Metal Forward</x:v>
      </x:c>
      <x:c r="AH205" s="27"/>
      <x:c r="AI205" s="27" t="str">
        <x:v>XAU/CNY</x:v>
      </x:c>
      <x:c r="AJ205" s="27" t="n">
        <x:v>625</x:v>
      </x:c>
      <x:c r="AK205" s="27" t="n">
        <x:v>1.7123287671232876</x:v>
      </x:c>
      <x:c r="AL205" s="27" t="str">
        <x:v>1Y-5Y</x:v>
      </x:c>
      <x:c r="AM205" s="27" t="str">
        <x:v>Metals</x:v>
      </x:c>
      <x:c r="AN205" s="27" t="str">
        <x:v>Gold</x:v>
      </x:c>
      <x:c r="AO205" s="27" t="str">
        <x:v>Metals</x:v>
      </x:c>
      <x:c r="AP205" s="27" t="str">
        <x:v>M</x:v>
      </x:c>
      <x:c r="AQ205" s="27" t="n">
        <x:v>0.18</x:v>
      </x:c>
      <x:c r="AR205" s="27" t="n">
        <x:v>1</x:v>
      </x:c>
      <x:c r="AS205" s="27" t="n">
        <x:v>0.18</x:v>
      </x:c>
      <x:c r="AT205" s="27" t="n">
        <x:v>0.4</x:v>
      </x:c>
      <x:c r="AU205" s="27" t="n">
        <x:v>1</x:v>
      </x:c>
      <x:c r="AV205" s="27" t="n">
        <x:v>5100000</x:v>
      </x:c>
      <x:c r="AW205" s="27" t="n">
        <x:v>0.7</x:v>
      </x:c>
      <x:c r="AX205" s="27" t="n">
        <x:v>-1</x:v>
      </x:c>
      <x:c r="AY205" s="27" t="n">
        <x:v>0.30000000000000004</x:v>
      </x:c>
      <x:c r="AZ205" s="27" t="n">
        <x:v>-1530000.0000000002</x:v>
      </x:c>
    </x:row>
    <x:row r="206">
      <x:c r="A206" s="27" t="n">
        <x:v>45702</x:v>
      </x:c>
      <x:c r="B206" s="27" t="str">
        <x:v>IND_INSURER_001</x:v>
      </x:c>
      <x:c r="C206" s="27" t="n">
        <x:v>3257</x:v>
      </x:c>
      <x:c r="D206" s="27" t="str">
        <x:v>IND-000203</x:v>
      </x:c>
      <x:c r="E206" s="27" t="str">
        <x:v>Precious Metal Swap</x:v>
      </x:c>
      <x:c r="F206" s="27" t="str">
        <x:v>Commodity</x:v>
      </x:c>
      <x:c r="G206" s="27" t="str">
        <x:v>Gold</x:v>
      </x:c>
      <x:c r="H206" s="27" t="str">
        <x:v>XAU</x:v>
      </x:c>
      <x:c r="I206" s="27" t="str">
        <x:v>CNY</x:v>
      </x:c>
      <x:c r="J206" s="27" t="str">
        <x:v>CNY</x:v>
      </x:c>
      <x:c r="K206" s="27"/>
      <x:c r="L206" s="27"/>
      <x:c r="M206" s="27" t="str">
        <x:v>XAU/CNY</x:v>
      </x:c>
      <x:c r="N206" s="27"/>
      <x:c r="O206" s="27"/>
      <x:c r="P206" s="27" t="n">
        <x:v>46035</x:v>
      </x:c>
      <x:c r="Q206" s="27" t="n">
        <x:v>45200</x:v>
      </x:c>
      <x:c r="R206" s="27" t="n">
        <x:v>46035</x:v>
      </x:c>
      <x:c r="S206" s="27" t="n">
        <x:v>35000</x:v>
      </x:c>
      <x:c r="T206" s="27" t="n">
        <x:v>500000000</x:v>
      </x:c>
      <x:c r="U206" s="27" t="n">
        <x:v>70000000</x:v>
      </x:c>
      <x:c r="V206" s="27" t="str">
        <x:v>M</x:v>
      </x:c>
      <x:c r="W206" s="27" t="str">
        <x:v>N</x:v>
      </x:c>
      <x:c r="X206" s="27" t="n">
        <x:v>10</x:v>
      </x:c>
      <x:c r="Y206" s="27" t="str">
        <x:v>B</x:v>
      </x:c>
      <x:c r="Z206" s="27"/>
      <x:c r="AA206" s="27"/>
      <x:c r="AB206" s="27" t="n">
        <x:v>0</x:v>
      </x:c>
      <x:c r="AC206" s="27" t="n">
        <x:v>0</x:v>
      </x:c>
      <x:c r="AD206" s="27" t="n">
        <x:v>1497300</x:v>
      </x:c>
      <x:c r="AE206" s="27" t="str">
        <x:v>Public-safe anonymized industry-style SA-CCR sample</x:v>
      </x:c>
      <x:c r="AF206" s="27" t="str">
        <x:v>ANON-000203</x:v>
      </x:c>
      <x:c r="AG206" s="27" t="str">
        <x:v>Precious Metal Swap</x:v>
      </x:c>
      <x:c r="AH206" s="27"/>
      <x:c r="AI206" s="27" t="str">
        <x:v>XAU/CNY</x:v>
      </x:c>
      <x:c r="AJ206" s="27" t="n">
        <x:v>333</x:v>
      </x:c>
      <x:c r="AK206" s="27" t="n">
        <x:v>0.9123287671232877</x:v>
      </x:c>
      <x:c r="AL206" s="27" t="str">
        <x:v>&lt;1Y</x:v>
      </x:c>
      <x:c r="AM206" s="27" t="str">
        <x:v>Metals</x:v>
      </x:c>
      <x:c r="AN206" s="27" t="str">
        <x:v>Gold</x:v>
      </x:c>
      <x:c r="AO206" s="27" t="str">
        <x:v>Metals</x:v>
      </x:c>
      <x:c r="AP206" s="27" t="str">
        <x:v>M</x:v>
      </x:c>
      <x:c r="AQ206" s="27" t="n">
        <x:v>0.18</x:v>
      </x:c>
      <x:c r="AR206" s="27" t="n">
        <x:v>1</x:v>
      </x:c>
      <x:c r="AS206" s="27" t="n">
        <x:v>0.18</x:v>
      </x:c>
      <x:c r="AT206" s="27" t="n">
        <x:v>0.4</x:v>
      </x:c>
      <x:c r="AU206" s="27" t="n">
        <x:v>1</x:v>
      </x:c>
      <x:c r="AV206" s="27" t="n">
        <x:v>70000000</x:v>
      </x:c>
      <x:c r="AW206" s="27" t="n">
        <x:v>0.7</x:v>
      </x:c>
      <x:c r="AX206" s="27" t="n">
        <x:v>1</x:v>
      </x:c>
      <x:c r="AY206" s="27" t="n">
        <x:v>0.30000000000000004</x:v>
      </x:c>
      <x:c r="AZ206" s="27" t="n">
        <x:v>21000000.000000004</x:v>
      </x:c>
    </x:row>
    <x:row r="207">
      <x:c r="A207" s="27" t="n">
        <x:v>45702</x:v>
      </x:c>
      <x:c r="B207" s="27" t="str">
        <x:v>IND_BANK_001</x:v>
      </x:c>
      <x:c r="C207" s="27" t="n">
        <x:v>3172</x:v>
      </x:c>
      <x:c r="D207" s="27" t="str">
        <x:v>IND-000204</x:v>
      </x:c>
      <x:c r="E207" s="27" t="str">
        <x:v>Precious Metal Swap</x:v>
      </x:c>
      <x:c r="F207" s="27" t="str">
        <x:v>Commodity</x:v>
      </x:c>
      <x:c r="G207" s="27" t="str">
        <x:v>Gold</x:v>
      </x:c>
      <x:c r="H207" s="27" t="str">
        <x:v>XAU</x:v>
      </x:c>
      <x:c r="I207" s="27" t="str">
        <x:v>USD</x:v>
      </x:c>
      <x:c r="J207" s="27" t="str">
        <x:v>USD</x:v>
      </x:c>
      <x:c r="K207" s="27"/>
      <x:c r="L207" s="27"/>
      <x:c r="M207" s="27" t="str">
        <x:v>XAU/USD</x:v>
      </x:c>
      <x:c r="N207" s="27"/>
      <x:c r="O207" s="27"/>
      <x:c r="P207" s="27" t="n">
        <x:v>45999</x:v>
      </x:c>
      <x:c r="Q207" s="27" t="n">
        <x:v>44899</x:v>
      </x:c>
      <x:c r="R207" s="27" t="n">
        <x:v>45999</x:v>
      </x:c>
      <x:c r="S207" s="27" t="n">
        <x:v>2900</x:v>
      </x:c>
      <x:c r="T207" s="27" t="n">
        <x:v>5800000</x:v>
      </x:c>
      <x:c r="U207" s="27" t="n">
        <x:v>5800000</x:v>
      </x:c>
      <x:c r="V207" s="27" t="str">
        <x:v>M</x:v>
      </x:c>
      <x:c r="W207" s="27" t="str">
        <x:v>N</x:v>
      </x:c>
      <x:c r="X207" s="27" t="n">
        <x:v>10</x:v>
      </x:c>
      <x:c r="Y207" s="27" t="str">
        <x:v>S</x:v>
      </x:c>
      <x:c r="Z207" s="27"/>
      <x:c r="AA207" s="27"/>
      <x:c r="AB207" s="27" t="n">
        <x:v>0</x:v>
      </x:c>
      <x:c r="AC207" s="27" t="n">
        <x:v>0</x:v>
      </x:c>
      <x:c r="AD207" s="27" t="n">
        <x:v>-91350</x:v>
      </x:c>
      <x:c r="AE207" s="27" t="str">
        <x:v>Public-safe anonymized industry-style SA-CCR sample</x:v>
      </x:c>
      <x:c r="AF207" s="27" t="str">
        <x:v>ANON-000204</x:v>
      </x:c>
      <x:c r="AG207" s="27" t="str">
        <x:v>Precious Metal Swap</x:v>
      </x:c>
      <x:c r="AH207" s="27"/>
      <x:c r="AI207" s="27" t="str">
        <x:v>XAU/USD</x:v>
      </x:c>
      <x:c r="AJ207" s="27" t="n">
        <x:v>297</x:v>
      </x:c>
      <x:c r="AK207" s="27" t="n">
        <x:v>0.8136986301369863</x:v>
      </x:c>
      <x:c r="AL207" s="27" t="str">
        <x:v>&lt;1Y</x:v>
      </x:c>
      <x:c r="AM207" s="27" t="str">
        <x:v>Metals</x:v>
      </x:c>
      <x:c r="AN207" s="27" t="str">
        <x:v>Gold</x:v>
      </x:c>
      <x:c r="AO207" s="27" t="str">
        <x:v>Metals</x:v>
      </x:c>
      <x:c r="AP207" s="27" t="str">
        <x:v>M</x:v>
      </x:c>
      <x:c r="AQ207" s="27" t="n">
        <x:v>0.18</x:v>
      </x:c>
      <x:c r="AR207" s="27" t="n">
        <x:v>1</x:v>
      </x:c>
      <x:c r="AS207" s="27" t="n">
        <x:v>0.18</x:v>
      </x:c>
      <x:c r="AT207" s="27" t="n">
        <x:v>0.4</x:v>
      </x:c>
      <x:c r="AU207" s="27" t="n">
        <x:v>1</x:v>
      </x:c>
      <x:c r="AV207" s="27" t="n">
        <x:v>5800000</x:v>
      </x:c>
      <x:c r="AW207" s="27" t="n">
        <x:v>0.7</x:v>
      </x:c>
      <x:c r="AX207" s="27" t="n">
        <x:v>-1</x:v>
      </x:c>
      <x:c r="AY207" s="27" t="n">
        <x:v>0.30000000000000004</x:v>
      </x:c>
      <x:c r="AZ207" s="27" t="n">
        <x:v>-1740000.0000000002</x:v>
      </x:c>
    </x:row>
    <x:row r="208">
      <x:c r="A208" s="27" t="n">
        <x:v>45702</x:v>
      </x:c>
      <x:c r="B208" s="27" t="str">
        <x:v>IND_REGIONAL_BANK_001</x:v>
      </x:c>
      <x:c r="C208" s="27" t="n">
        <x:v>3082</x:v>
      </x:c>
      <x:c r="D208" s="27" t="str">
        <x:v>IND-000205</x:v>
      </x:c>
      <x:c r="E208" s="27" t="str">
        <x:v>Precious Metal Swap</x:v>
      </x:c>
      <x:c r="F208" s="27" t="str">
        <x:v>Commodity</x:v>
      </x:c>
      <x:c r="G208" s="27" t="str">
        <x:v>Gold</x:v>
      </x:c>
      <x:c r="H208" s="27" t="str">
        <x:v>XAU</x:v>
      </x:c>
      <x:c r="I208" s="27" t="str">
        <x:v>CNY</x:v>
      </x:c>
      <x:c r="J208" s="27" t="str">
        <x:v>CNY</x:v>
      </x:c>
      <x:c r="K208" s="27"/>
      <x:c r="L208" s="27"/>
      <x:c r="M208" s="27" t="str">
        <x:v>XAU/CNY</x:v>
      </x:c>
      <x:c r="N208" s="27"/>
      <x:c r="O208" s="27"/>
      <x:c r="P208" s="27" t="n">
        <x:v>47351</x:v>
      </x:c>
      <x:c r="Q208" s="27" t="n">
        <x:v>45650</x:v>
      </x:c>
      <x:c r="R208" s="27" t="n">
        <x:v>47351</x:v>
      </x:c>
      <x:c r="S208" s="27" t="n">
        <x:v>43250</x:v>
      </x:c>
      <x:c r="T208" s="27" t="n">
        <x:v>617857142.86</x:v>
      </x:c>
      <x:c r="U208" s="27" t="n">
        <x:v>86500000</x:v>
      </x:c>
      <x:c r="V208" s="27" t="str">
        <x:v>M</x:v>
      </x:c>
      <x:c r="W208" s="27" t="str">
        <x:v>N</x:v>
      </x:c>
      <x:c r="X208" s="27" t="n">
        <x:v>10</x:v>
      </x:c>
      <x:c r="Y208" s="27" t="str">
        <x:v>S</x:v>
      </x:c>
      <x:c r="Z208" s="27"/>
      <x:c r="AA208" s="27"/>
      <x:c r="AB208" s="27" t="n">
        <x:v>0</x:v>
      </x:c>
      <x:c r="AC208" s="27" t="n">
        <x:v>0</x:v>
      </x:c>
      <x:c r="AD208" s="27" t="n">
        <x:v>-1204080</x:v>
      </x:c>
      <x:c r="AE208" s="27" t="str">
        <x:v>Public-safe anonymized industry-style SA-CCR sample</x:v>
      </x:c>
      <x:c r="AF208" s="27" t="str">
        <x:v>ANON-000205</x:v>
      </x:c>
      <x:c r="AG208" s="27" t="str">
        <x:v>Precious Metal Swap</x:v>
      </x:c>
      <x:c r="AH208" s="27"/>
      <x:c r="AI208" s="27" t="str">
        <x:v>XAU/CNY</x:v>
      </x:c>
      <x:c r="AJ208" s="27" t="n">
        <x:v>1649</x:v>
      </x:c>
      <x:c r="AK208" s="27" t="n">
        <x:v>4.517808219178082</x:v>
      </x:c>
      <x:c r="AL208" s="27" t="str">
        <x:v>1Y-5Y</x:v>
      </x:c>
      <x:c r="AM208" s="27" t="str">
        <x:v>Metals</x:v>
      </x:c>
      <x:c r="AN208" s="27" t="str">
        <x:v>Gold</x:v>
      </x:c>
      <x:c r="AO208" s="27" t="str">
        <x:v>Metals</x:v>
      </x:c>
      <x:c r="AP208" s="27" t="str">
        <x:v>M</x:v>
      </x:c>
      <x:c r="AQ208" s="27" t="n">
        <x:v>0.18</x:v>
      </x:c>
      <x:c r="AR208" s="27" t="n">
        <x:v>1</x:v>
      </x:c>
      <x:c r="AS208" s="27" t="n">
        <x:v>0.18</x:v>
      </x:c>
      <x:c r="AT208" s="27" t="n">
        <x:v>0.4</x:v>
      </x:c>
      <x:c r="AU208" s="27" t="n">
        <x:v>1</x:v>
      </x:c>
      <x:c r="AV208" s="27" t="n">
        <x:v>86500000</x:v>
      </x:c>
      <x:c r="AW208" s="27" t="n">
        <x:v>0.7</x:v>
      </x:c>
      <x:c r="AX208" s="27" t="n">
        <x:v>-1</x:v>
      </x:c>
      <x:c r="AY208" s="27" t="n">
        <x:v>0.30000000000000004</x:v>
      </x:c>
      <x:c r="AZ208" s="27" t="n">
        <x:v>-25950000.000000004</x:v>
      </x:c>
    </x:row>
    <x:row r="209">
      <x:c r="A209" s="27" t="n">
        <x:v>45702</x:v>
      </x:c>
      <x:c r="B209" s="27" t="str">
        <x:v>IND_CORPORATE_001</x:v>
      </x:c>
      <x:c r="C209" s="27" t="n">
        <x:v>3100</x:v>
      </x:c>
      <x:c r="D209" s="27" t="str">
        <x:v>IND-000206</x:v>
      </x:c>
      <x:c r="E209" s="27" t="str">
        <x:v>Precious Metal Swap</x:v>
      </x:c>
      <x:c r="F209" s="27" t="str">
        <x:v>Commodity</x:v>
      </x:c>
      <x:c r="G209" s="27" t="str">
        <x:v>Gold</x:v>
      </x:c>
      <x:c r="H209" s="27" t="str">
        <x:v>XAU</x:v>
      </x:c>
      <x:c r="I209" s="27" t="str">
        <x:v>CNY</x:v>
      </x:c>
      <x:c r="J209" s="27" t="str">
        <x:v>CNY</x:v>
      </x:c>
      <x:c r="K209" s="27"/>
      <x:c r="L209" s="27"/>
      <x:c r="M209" s="27" t="str">
        <x:v>XAU/CNY</x:v>
      </x:c>
      <x:c r="N209" s="27"/>
      <x:c r="O209" s="27"/>
      <x:c r="P209" s="27" t="n">
        <x:v>47330</x:v>
      </x:c>
      <x:c r="Q209" s="27" t="n">
        <x:v>45225</x:v>
      </x:c>
      <x:c r="R209" s="27" t="n">
        <x:v>47330</x:v>
      </x:c>
      <x:c r="S209" s="27" t="n">
        <x:v>35250</x:v>
      </x:c>
      <x:c r="T209" s="27" t="n">
        <x:v>503571428.57</x:v>
      </x:c>
      <x:c r="U209" s="27" t="n">
        <x:v>70500000</x:v>
      </x:c>
      <x:c r="V209" s="27" t="str">
        <x:v>M</x:v>
      </x:c>
      <x:c r="W209" s="27" t="str">
        <x:v>N</x:v>
      </x:c>
      <x:c r="X209" s="27" t="n">
        <x:v>10</x:v>
      </x:c>
      <x:c r="Y209" s="27" t="str">
        <x:v>B</x:v>
      </x:c>
      <x:c r="Z209" s="27"/>
      <x:c r="AA209" s="27"/>
      <x:c r="AB209" s="27" t="n">
        <x:v>0</x:v>
      </x:c>
      <x:c r="AC209" s="27" t="n">
        <x:v>0</x:v>
      </x:c>
      <x:c r="AD209" s="27" t="n">
        <x:v>738135</x:v>
      </x:c>
      <x:c r="AE209" s="27" t="str">
        <x:v>Public-safe anonymized industry-style SA-CCR sample</x:v>
      </x:c>
      <x:c r="AF209" s="27" t="str">
        <x:v>ANON-000206</x:v>
      </x:c>
      <x:c r="AG209" s="27" t="str">
        <x:v>Precious Metal Swap</x:v>
      </x:c>
      <x:c r="AH209" s="27"/>
      <x:c r="AI209" s="27" t="str">
        <x:v>XAU/CNY</x:v>
      </x:c>
      <x:c r="AJ209" s="27" t="n">
        <x:v>1628</x:v>
      </x:c>
      <x:c r="AK209" s="27" t="n">
        <x:v>4.46027397260274</x:v>
      </x:c>
      <x:c r="AL209" s="27" t="str">
        <x:v>1Y-5Y</x:v>
      </x:c>
      <x:c r="AM209" s="27" t="str">
        <x:v>Metals</x:v>
      </x:c>
      <x:c r="AN209" s="27" t="str">
        <x:v>Gold</x:v>
      </x:c>
      <x:c r="AO209" s="27" t="str">
        <x:v>Metals</x:v>
      </x:c>
      <x:c r="AP209" s="27" t="str">
        <x:v>M</x:v>
      </x:c>
      <x:c r="AQ209" s="27" t="n">
        <x:v>0.18</x:v>
      </x:c>
      <x:c r="AR209" s="27" t="n">
        <x:v>1</x:v>
      </x:c>
      <x:c r="AS209" s="27" t="n">
        <x:v>0.18</x:v>
      </x:c>
      <x:c r="AT209" s="27" t="n">
        <x:v>0.4</x:v>
      </x:c>
      <x:c r="AU209" s="27" t="n">
        <x:v>1</x:v>
      </x:c>
      <x:c r="AV209" s="27" t="n">
        <x:v>70500000</x:v>
      </x:c>
      <x:c r="AW209" s="27" t="n">
        <x:v>0.7</x:v>
      </x:c>
      <x:c r="AX209" s="27" t="n">
        <x:v>1</x:v>
      </x:c>
      <x:c r="AY209" s="27" t="n">
        <x:v>0.30000000000000004</x:v>
      </x:c>
      <x:c r="AZ209" s="27" t="n">
        <x:v>21150000.000000004</x:v>
      </x:c>
    </x:row>
    <x:row r="210">
      <x:c r="A210" s="27" t="n">
        <x:v>45702</x:v>
      </x:c>
      <x:c r="B210" s="27" t="str">
        <x:v>IND_CORPORATE_002</x:v>
      </x:c>
      <x:c r="C210" s="27" t="n">
        <x:v>3130</x:v>
      </x:c>
      <x:c r="D210" s="27" t="str">
        <x:v>IND-000207</x:v>
      </x:c>
      <x:c r="E210" s="27" t="str">
        <x:v>Precious Metal Swap</x:v>
      </x:c>
      <x:c r="F210" s="27" t="str">
        <x:v>Commodity</x:v>
      </x:c>
      <x:c r="G210" s="27" t="str">
        <x:v>Gold</x:v>
      </x:c>
      <x:c r="H210" s="27" t="str">
        <x:v>XAU</x:v>
      </x:c>
      <x:c r="I210" s="27" t="str">
        <x:v>USD</x:v>
      </x:c>
      <x:c r="J210" s="27" t="str">
        <x:v>USD</x:v>
      </x:c>
      <x:c r="K210" s="27"/>
      <x:c r="L210" s="27"/>
      <x:c r="M210" s="27" t="str">
        <x:v>XAU/USD</x:v>
      </x:c>
      <x:c r="N210" s="27"/>
      <x:c r="O210" s="27"/>
      <x:c r="P210" s="27" t="n">
        <x:v>45794</x:v>
      </x:c>
      <x:c r="Q210" s="27" t="n">
        <x:v>45277</x:v>
      </x:c>
      <x:c r="R210" s="27" t="n">
        <x:v>45794</x:v>
      </x:c>
      <x:c r="S210" s="27" t="n">
        <x:v>21050</x:v>
      </x:c>
      <x:c r="T210" s="27" t="n">
        <x:v>42100000</x:v>
      </x:c>
      <x:c r="U210" s="27" t="n">
        <x:v>42100000</x:v>
      </x:c>
      <x:c r="V210" s="27" t="str">
        <x:v>U</x:v>
      </x:c>
      <x:c r="W210" s="27" t="str">
        <x:v>N</x:v>
      </x:c>
      <x:c r="X210" s="27"/>
      <x:c r="Y210" s="27" t="str">
        <x:v>S</x:v>
      </x:c>
      <x:c r="Z210" s="27"/>
      <x:c r="AA210" s="27"/>
      <x:c r="AB210" s="27" t="n">
        <x:v>0</x:v>
      </x:c>
      <x:c r="AC210" s="27" t="n">
        <x:v>0</x:v>
      </x:c>
      <x:c r="AD210" s="27" t="n">
        <x:v>1213743</x:v>
      </x:c>
      <x:c r="AE210" s="27" t="str">
        <x:v>Public-safe anonymized industry-style SA-CCR sample</x:v>
      </x:c>
      <x:c r="AF210" s="27" t="str">
        <x:v>ANON-000207</x:v>
      </x:c>
      <x:c r="AG210" s="27" t="str">
        <x:v>Precious Metal Swap</x:v>
      </x:c>
      <x:c r="AH210" s="27"/>
      <x:c r="AI210" s="27" t="str">
        <x:v>XAU/USD</x:v>
      </x:c>
      <x:c r="AJ210" s="27" t="n">
        <x:v>92</x:v>
      </x:c>
      <x:c r="AK210" s="27" t="n">
        <x:v>0.25205479452054796</x:v>
      </x:c>
      <x:c r="AL210" s="27" t="str">
        <x:v>&lt;1Y</x:v>
      </x:c>
      <x:c r="AM210" s="27" t="str">
        <x:v>Metals</x:v>
      </x:c>
      <x:c r="AN210" s="27" t="str">
        <x:v>Gold</x:v>
      </x:c>
      <x:c r="AO210" s="27" t="str">
        <x:v>Metals</x:v>
      </x:c>
      <x:c r="AP210" s="27" t="str">
        <x:v>U</x:v>
      </x:c>
      <x:c r="AQ210" s="27" t="n">
        <x:v>0.18</x:v>
      </x:c>
      <x:c r="AR210" s="27" t="n">
        <x:v>1</x:v>
      </x:c>
      <x:c r="AS210" s="27" t="n">
        <x:v>0.18</x:v>
      </x:c>
      <x:c r="AT210" s="27" t="n">
        <x:v>0.4</x:v>
      </x:c>
      <x:c r="AU210" s="27" t="n">
        <x:v>1</x:v>
      </x:c>
      <x:c r="AV210" s="27" t="n">
        <x:v>42100000</x:v>
      </x:c>
      <x:c r="AW210" s="27" t="n">
        <x:v>0.7</x:v>
      </x:c>
      <x:c r="AX210" s="27" t="n">
        <x:v>-1</x:v>
      </x:c>
      <x:c r="AY210" s="27" t="n">
        <x:v>0.5020505896028288</x:v>
      </x:c>
      <x:c r="AZ210" s="27" t="n">
        <x:v>-21136329.822279092</x:v>
      </x:c>
    </x:row>
    <x:row r="211">
      <x:c r="A211" s="27" t="n">
        <x:v>45702</x:v>
      </x:c>
      <x:c r="B211" s="27" t="str">
        <x:v>IND_BANK_001</x:v>
      </x:c>
      <x:c r="C211" s="27" t="n">
        <x:v>3348</x:v>
      </x:c>
      <x:c r="D211" s="27" t="str">
        <x:v>IND-000208</x:v>
      </x:c>
      <x:c r="E211" s="27" t="str">
        <x:v>Precious Metal Swap</x:v>
      </x:c>
      <x:c r="F211" s="27" t="str">
        <x:v>Commodity</x:v>
      </x:c>
      <x:c r="G211" s="27" t="str">
        <x:v>Gold</x:v>
      </x:c>
      <x:c r="H211" s="27" t="str">
        <x:v>XAU</x:v>
      </x:c>
      <x:c r="I211" s="27" t="str">
        <x:v>USD</x:v>
      </x:c>
      <x:c r="J211" s="27" t="str">
        <x:v>USD</x:v>
      </x:c>
      <x:c r="K211" s="27"/>
      <x:c r="L211" s="27"/>
      <x:c r="M211" s="27" t="str">
        <x:v>XAU/USD</x:v>
      </x:c>
      <x:c r="N211" s="27"/>
      <x:c r="O211" s="27"/>
      <x:c r="P211" s="27" t="n">
        <x:v>46418</x:v>
      </x:c>
      <x:c r="Q211" s="27" t="n">
        <x:v>45337</x:v>
      </x:c>
      <x:c r="R211" s="27" t="n">
        <x:v>46418</x:v>
      </x:c>
      <x:c r="S211" s="27" t="n">
        <x:v>25800</x:v>
      </x:c>
      <x:c r="T211" s="27" t="n">
        <x:v>51600000</x:v>
      </x:c>
      <x:c r="U211" s="27" t="n">
        <x:v>51600000</x:v>
      </x:c>
      <x:c r="V211" s="27" t="str">
        <x:v>U</x:v>
      </x:c>
      <x:c r="W211" s="27" t="str">
        <x:v>N</x:v>
      </x:c>
      <x:c r="X211" s="27"/>
      <x:c r="Y211" s="27" t="str">
        <x:v>B</x:v>
      </x:c>
      <x:c r="Z211" s="27"/>
      <x:c r="AA211" s="27"/>
      <x:c r="AB211" s="27" t="n">
        <x:v>0</x:v>
      </x:c>
      <x:c r="AC211" s="27" t="n">
        <x:v>0</x:v>
      </x:c>
      <x:c r="AD211" s="27" t="n">
        <x:v>-958212</x:v>
      </x:c>
      <x:c r="AE211" s="27" t="str">
        <x:v>Public-safe anonymized industry-style SA-CCR sample</x:v>
      </x:c>
      <x:c r="AF211" s="27" t="str">
        <x:v>ANON-000208</x:v>
      </x:c>
      <x:c r="AG211" s="27" t="str">
        <x:v>Precious Metal Swap</x:v>
      </x:c>
      <x:c r="AH211" s="27"/>
      <x:c r="AI211" s="27" t="str">
        <x:v>XAU/USD</x:v>
      </x:c>
      <x:c r="AJ211" s="27" t="n">
        <x:v>716</x:v>
      </x:c>
      <x:c r="AK211" s="27" t="n">
        <x:v>1.9616438356164383</x:v>
      </x:c>
      <x:c r="AL211" s="27" t="str">
        <x:v>1Y-5Y</x:v>
      </x:c>
      <x:c r="AM211" s="27" t="str">
        <x:v>Metals</x:v>
      </x:c>
      <x:c r="AN211" s="27" t="str">
        <x:v>Gold</x:v>
      </x:c>
      <x:c r="AO211" s="27" t="str">
        <x:v>Metals</x:v>
      </x:c>
      <x:c r="AP211" s="27" t="str">
        <x:v>U</x:v>
      </x:c>
      <x:c r="AQ211" s="27" t="n">
        <x:v>0.18</x:v>
      </x:c>
      <x:c r="AR211" s="27" t="n">
        <x:v>1</x:v>
      </x:c>
      <x:c r="AS211" s="27" t="n">
        <x:v>0.18</x:v>
      </x:c>
      <x:c r="AT211" s="27" t="n">
        <x:v>0.4</x:v>
      </x:c>
      <x:c r="AU211" s="27" t="n">
        <x:v>1</x:v>
      </x:c>
      <x:c r="AV211" s="27" t="n">
        <x:v>51600000</x:v>
      </x:c>
      <x:c r="AW211" s="27" t="n">
        <x:v>0.7</x:v>
      </x:c>
      <x:c r="AX211" s="27" t="n">
        <x:v>1</x:v>
      </x:c>
      <x:c r="AY211" s="27" t="n">
        <x:v>1</x:v>
      </x:c>
      <x:c r="AZ211" s="27" t="n">
        <x:v>51600000</x:v>
      </x:c>
    </x:row>
    <x:row r="212">
      <x:c r="A212" s="27" t="n">
        <x:v>45702</x:v>
      </x:c>
      <x:c r="B212" s="27" t="str">
        <x:v>IND_BANK_002</x:v>
      </x:c>
      <x:c r="C212" s="27" t="n">
        <x:v>3259</x:v>
      </x:c>
      <x:c r="D212" s="27" t="str">
        <x:v>IND-000209</x:v>
      </x:c>
      <x:c r="E212" s="27" t="str">
        <x:v>Precious Metal Swap</x:v>
      </x:c>
      <x:c r="F212" s="27" t="str">
        <x:v>Commodity</x:v>
      </x:c>
      <x:c r="G212" s="27" t="str">
        <x:v>Gold</x:v>
      </x:c>
      <x:c r="H212" s="27" t="str">
        <x:v>XAU</x:v>
      </x:c>
      <x:c r="I212" s="27" t="str">
        <x:v>CNY</x:v>
      </x:c>
      <x:c r="J212" s="27" t="str">
        <x:v>CNY</x:v>
      </x:c>
      <x:c r="K212" s="27"/>
      <x:c r="L212" s="27"/>
      <x:c r="M212" s="27" t="str">
        <x:v>XAU/CNY</x:v>
      </x:c>
      <x:c r="N212" s="27"/>
      <x:c r="O212" s="27"/>
      <x:c r="P212" s="27" t="n">
        <x:v>47457</x:v>
      </x:c>
      <x:c r="Q212" s="27" t="n">
        <x:v>45247</x:v>
      </x:c>
      <x:c r="R212" s="27" t="n">
        <x:v>47457</x:v>
      </x:c>
      <x:c r="S212" s="27" t="n">
        <x:v>11900</x:v>
      </x:c>
      <x:c r="T212" s="27" t="n">
        <x:v>170000000</x:v>
      </x:c>
      <x:c r="U212" s="27" t="n">
        <x:v>23800000</x:v>
      </x:c>
      <x:c r="V212" s="27" t="str">
        <x:v>M</x:v>
      </x:c>
      <x:c r="W212" s="27" t="str">
        <x:v>N</x:v>
      </x:c>
      <x:c r="X212" s="27" t="n">
        <x:v>10</x:v>
      </x:c>
      <x:c r="Y212" s="27" t="str">
        <x:v>B</x:v>
      </x:c>
      <x:c r="Z212" s="27"/>
      <x:c r="AA212" s="27"/>
      <x:c r="AB212" s="27" t="n">
        <x:v>0</x:v>
      </x:c>
      <x:c r="AC212" s="27" t="n">
        <x:v>0</x:v>
      </x:c>
      <x:c r="AD212" s="27" t="n">
        <x:v>127092</x:v>
      </x:c>
      <x:c r="AE212" s="27" t="str">
        <x:v>Public-safe anonymized industry-style SA-CCR sample</x:v>
      </x:c>
      <x:c r="AF212" s="27" t="str">
        <x:v>ANON-000209</x:v>
      </x:c>
      <x:c r="AG212" s="27" t="str">
        <x:v>Precious Metal Swap</x:v>
      </x:c>
      <x:c r="AH212" s="27"/>
      <x:c r="AI212" s="27" t="str">
        <x:v>XAU/CNY</x:v>
      </x:c>
      <x:c r="AJ212" s="27" t="n">
        <x:v>1755</x:v>
      </x:c>
      <x:c r="AK212" s="27" t="n">
        <x:v>4.808219178082192</x:v>
      </x:c>
      <x:c r="AL212" s="27" t="str">
        <x:v>1Y-5Y</x:v>
      </x:c>
      <x:c r="AM212" s="27" t="str">
        <x:v>Metals</x:v>
      </x:c>
      <x:c r="AN212" s="27" t="str">
        <x:v>Gold</x:v>
      </x:c>
      <x:c r="AO212" s="27" t="str">
        <x:v>Metals</x:v>
      </x:c>
      <x:c r="AP212" s="27" t="str">
        <x:v>M</x:v>
      </x:c>
      <x:c r="AQ212" s="27" t="n">
        <x:v>0.18</x:v>
      </x:c>
      <x:c r="AR212" s="27" t="n">
        <x:v>1</x:v>
      </x:c>
      <x:c r="AS212" s="27" t="n">
        <x:v>0.18</x:v>
      </x:c>
      <x:c r="AT212" s="27" t="n">
        <x:v>0.4</x:v>
      </x:c>
      <x:c r="AU212" s="27" t="n">
        <x:v>1</x:v>
      </x:c>
      <x:c r="AV212" s="27" t="n">
        <x:v>23800000</x:v>
      </x:c>
      <x:c r="AW212" s="27" t="n">
        <x:v>0.7</x:v>
      </x:c>
      <x:c r="AX212" s="27" t="n">
        <x:v>1</x:v>
      </x:c>
      <x:c r="AY212" s="27" t="n">
        <x:v>0.30000000000000004</x:v>
      </x:c>
      <x:c r="AZ212" s="27" t="n">
        <x:v>7140000.000000001</x:v>
      </x:c>
    </x:row>
    <x:row r="213">
      <x:c r="A213" s="27" t="n">
        <x:v>45702</x:v>
      </x:c>
      <x:c r="B213" s="27" t="str">
        <x:v>IND_CORPORATE_002</x:v>
      </x:c>
      <x:c r="C213" s="27" t="n">
        <x:v>3126</x:v>
      </x:c>
      <x:c r="D213" s="27" t="str">
        <x:v>IND-000210</x:v>
      </x:c>
      <x:c r="E213" s="27" t="str">
        <x:v>Precious Metal Swap</x:v>
      </x:c>
      <x:c r="F213" s="27" t="str">
        <x:v>Commodity</x:v>
      </x:c>
      <x:c r="G213" s="27" t="str">
        <x:v>Gold</x:v>
      </x:c>
      <x:c r="H213" s="27" t="str">
        <x:v>XAU</x:v>
      </x:c>
      <x:c r="I213" s="27" t="str">
        <x:v>USD</x:v>
      </x:c>
      <x:c r="J213" s="27" t="str">
        <x:v>USD</x:v>
      </x:c>
      <x:c r="K213" s="27"/>
      <x:c r="L213" s="27"/>
      <x:c r="M213" s="27" t="str">
        <x:v>XAU/USD</x:v>
      </x:c>
      <x:c r="N213" s="27"/>
      <x:c r="O213" s="27"/>
      <x:c r="P213" s="27" t="n">
        <x:v>47152</x:v>
      </x:c>
      <x:c r="Q213" s="27" t="n">
        <x:v>45255</x:v>
      </x:c>
      <x:c r="R213" s="27" t="n">
        <x:v>47152</x:v>
      </x:c>
      <x:c r="S213" s="27" t="n">
        <x:v>3650</x:v>
      </x:c>
      <x:c r="T213" s="27" t="n">
        <x:v>7300000</x:v>
      </x:c>
      <x:c r="U213" s="27" t="n">
        <x:v>7300000</x:v>
      </x:c>
      <x:c r="V213" s="27" t="str">
        <x:v>M</x:v>
      </x:c>
      <x:c r="W213" s="27" t="str">
        <x:v>N</x:v>
      </x:c>
      <x:c r="X213" s="27" t="n">
        <x:v>10</x:v>
      </x:c>
      <x:c r="Y213" s="27" t="str">
        <x:v>B</x:v>
      </x:c>
      <x:c r="Z213" s="27"/>
      <x:c r="AA213" s="27"/>
      <x:c r="AB213" s="27" t="n">
        <x:v>0</x:v>
      </x:c>
      <x:c r="AC213" s="27" t="n">
        <x:v>0</x:v>
      </x:c>
      <x:c r="AD213" s="27" t="n">
        <x:v>-55626</x:v>
      </x:c>
      <x:c r="AE213" s="27" t="str">
        <x:v>Public-safe anonymized industry-style SA-CCR sample</x:v>
      </x:c>
      <x:c r="AF213" s="27" t="str">
        <x:v>ANON-000210</x:v>
      </x:c>
      <x:c r="AG213" s="27" t="str">
        <x:v>Precious Metal Swap</x:v>
      </x:c>
      <x:c r="AH213" s="27"/>
      <x:c r="AI213" s="27" t="str">
        <x:v>XAU/USD</x:v>
      </x:c>
      <x:c r="AJ213" s="27" t="n">
        <x:v>1450</x:v>
      </x:c>
      <x:c r="AK213" s="27" t="n">
        <x:v>3.9726027397260273</x:v>
      </x:c>
      <x:c r="AL213" s="27" t="str">
        <x:v>1Y-5Y</x:v>
      </x:c>
      <x:c r="AM213" s="27" t="str">
        <x:v>Metals</x:v>
      </x:c>
      <x:c r="AN213" s="27" t="str">
        <x:v>Gold</x:v>
      </x:c>
      <x:c r="AO213" s="27" t="str">
        <x:v>Metals</x:v>
      </x:c>
      <x:c r="AP213" s="27" t="str">
        <x:v>M</x:v>
      </x:c>
      <x:c r="AQ213" s="27" t="n">
        <x:v>0.18</x:v>
      </x:c>
      <x:c r="AR213" s="27" t="n">
        <x:v>1</x:v>
      </x:c>
      <x:c r="AS213" s="27" t="n">
        <x:v>0.18</x:v>
      </x:c>
      <x:c r="AT213" s="27" t="n">
        <x:v>0.4</x:v>
      </x:c>
      <x:c r="AU213" s="27" t="n">
        <x:v>1</x:v>
      </x:c>
      <x:c r="AV213" s="27" t="n">
        <x:v>7300000</x:v>
      </x:c>
      <x:c r="AW213" s="27" t="n">
        <x:v>0.7</x:v>
      </x:c>
      <x:c r="AX213" s="27" t="n">
        <x:v>1</x:v>
      </x:c>
      <x:c r="AY213" s="27" t="n">
        <x:v>0.30000000000000004</x:v>
      </x:c>
      <x:c r="AZ213" s="27" t="n">
        <x:v>2190000.0000000005</x:v>
      </x:c>
    </x:row>
    <x:row r="214">
      <x:c r="A214" s="27" t="n">
        <x:v>45702</x:v>
      </x:c>
      <x:c r="B214" s="27" t="str">
        <x:v>IND_CORPORATE_002</x:v>
      </x:c>
      <x:c r="C214" s="27" t="n">
        <x:v>3130</x:v>
      </x:c>
      <x:c r="D214" s="27" t="str">
        <x:v>IND-000211</x:v>
      </x:c>
      <x:c r="E214" s="27" t="str">
        <x:v>Precious Metal Swap</x:v>
      </x:c>
      <x:c r="F214" s="27" t="str">
        <x:v>Commodity</x:v>
      </x:c>
      <x:c r="G214" s="27" t="str">
        <x:v>Gold</x:v>
      </x:c>
      <x:c r="H214" s="27" t="str">
        <x:v>XAU</x:v>
      </x:c>
      <x:c r="I214" s="27" t="str">
        <x:v>USD</x:v>
      </x:c>
      <x:c r="J214" s="27" t="str">
        <x:v>USD</x:v>
      </x:c>
      <x:c r="K214" s="27"/>
      <x:c r="L214" s="27"/>
      <x:c r="M214" s="27" t="str">
        <x:v>XAU/USD</x:v>
      </x:c>
      <x:c r="N214" s="27"/>
      <x:c r="O214" s="27"/>
      <x:c r="P214" s="27" t="n">
        <x:v>46591</x:v>
      </x:c>
      <x:c r="Q214" s="27" t="n">
        <x:v>45165</x:v>
      </x:c>
      <x:c r="R214" s="27" t="n">
        <x:v>46591</x:v>
      </x:c>
      <x:c r="S214" s="27" t="n">
        <x:v>4500</x:v>
      </x:c>
      <x:c r="T214" s="27" t="n">
        <x:v>9000000</x:v>
      </x:c>
      <x:c r="U214" s="27" t="n">
        <x:v>9000000</x:v>
      </x:c>
      <x:c r="V214" s="27" t="str">
        <x:v>U</x:v>
      </x:c>
      <x:c r="W214" s="27" t="str">
        <x:v>N</x:v>
      </x:c>
      <x:c r="X214" s="27"/>
      <x:c r="Y214" s="27" t="str">
        <x:v>B</x:v>
      </x:c>
      <x:c r="Z214" s="27"/>
      <x:c r="AA214" s="27"/>
      <x:c r="AB214" s="27" t="n">
        <x:v>0</x:v>
      </x:c>
      <x:c r="AC214" s="27" t="n">
        <x:v>0</x:v>
      </x:c>
      <x:c r="AD214" s="27" t="n">
        <x:v>140400</x:v>
      </x:c>
      <x:c r="AE214" s="27" t="str">
        <x:v>Public-safe anonymized industry-style SA-CCR sample</x:v>
      </x:c>
      <x:c r="AF214" s="27" t="str">
        <x:v>ANON-000211</x:v>
      </x:c>
      <x:c r="AG214" s="27" t="str">
        <x:v>Precious Metal Swap</x:v>
      </x:c>
      <x:c r="AH214" s="27"/>
      <x:c r="AI214" s="27" t="str">
        <x:v>XAU/USD</x:v>
      </x:c>
      <x:c r="AJ214" s="27" t="n">
        <x:v>889</x:v>
      </x:c>
      <x:c r="AK214" s="27" t="n">
        <x:v>2.4356164383561643</x:v>
      </x:c>
      <x:c r="AL214" s="27" t="str">
        <x:v>1Y-5Y</x:v>
      </x:c>
      <x:c r="AM214" s="27" t="str">
        <x:v>Metals</x:v>
      </x:c>
      <x:c r="AN214" s="27" t="str">
        <x:v>Gold</x:v>
      </x:c>
      <x:c r="AO214" s="27" t="str">
        <x:v>Metals</x:v>
      </x:c>
      <x:c r="AP214" s="27" t="str">
        <x:v>U</x:v>
      </x:c>
      <x:c r="AQ214" s="27" t="n">
        <x:v>0.18</x:v>
      </x:c>
      <x:c r="AR214" s="27" t="n">
        <x:v>1</x:v>
      </x:c>
      <x:c r="AS214" s="27" t="n">
        <x:v>0.18</x:v>
      </x:c>
      <x:c r="AT214" s="27" t="n">
        <x:v>0.4</x:v>
      </x:c>
      <x:c r="AU214" s="27" t="n">
        <x:v>1</x:v>
      </x:c>
      <x:c r="AV214" s="27" t="n">
        <x:v>9000000</x:v>
      </x:c>
      <x:c r="AW214" s="27" t="n">
        <x:v>0.7</x:v>
      </x:c>
      <x:c r="AX214" s="27" t="n">
        <x:v>1</x:v>
      </x:c>
      <x:c r="AY214" s="27" t="n">
        <x:v>1</x:v>
      </x:c>
      <x:c r="AZ214" s="27" t="n">
        <x:v>9000000</x:v>
      </x:c>
    </x:row>
    <x:row r="215">
      <x:c r="A215" s="27" t="n">
        <x:v>45702</x:v>
      </x:c>
      <x:c r="B215" s="27" t="str">
        <x:v>IND_CLEARING_MEMBER_001</x:v>
      </x:c>
      <x:c r="C215" s="27" t="n">
        <x:v>3340</x:v>
      </x:c>
      <x:c r="D215" s="27" t="str">
        <x:v>IND-000212</x:v>
      </x:c>
      <x:c r="E215" s="27" t="str">
        <x:v>Precious Metal Swap</x:v>
      </x:c>
      <x:c r="F215" s="27" t="str">
        <x:v>Commodity</x:v>
      </x:c>
      <x:c r="G215" s="27" t="str">
        <x:v>Gold</x:v>
      </x:c>
      <x:c r="H215" s="27" t="str">
        <x:v>XAU</x:v>
      </x:c>
      <x:c r="I215" s="27" t="str">
        <x:v>USD</x:v>
      </x:c>
      <x:c r="J215" s="27" t="str">
        <x:v>USD</x:v>
      </x:c>
      <x:c r="K215" s="27"/>
      <x:c r="L215" s="27"/>
      <x:c r="M215" s="27" t="str">
        <x:v>XAU/USD</x:v>
      </x:c>
      <x:c r="N215" s="27"/>
      <x:c r="O215" s="27"/>
      <x:c r="P215" s="27" t="n">
        <x:v>46779</x:v>
      </x:c>
      <x:c r="Q215" s="27" t="n">
        <x:v>45479</x:v>
      </x:c>
      <x:c r="R215" s="27" t="n">
        <x:v>46779</x:v>
      </x:c>
      <x:c r="S215" s="27" t="n">
        <x:v>1500</x:v>
      </x:c>
      <x:c r="T215" s="27" t="n">
        <x:v>3000000</x:v>
      </x:c>
      <x:c r="U215" s="27" t="n">
        <x:v>3000000</x:v>
      </x:c>
      <x:c r="V215" s="27" t="str">
        <x:v>M</x:v>
      </x:c>
      <x:c r="W215" s="27" t="str">
        <x:v>N</x:v>
      </x:c>
      <x:c r="X215" s="27" t="n">
        <x:v>10</x:v>
      </x:c>
      <x:c r="Y215" s="27" t="str">
        <x:v>S</x:v>
      </x:c>
      <x:c r="Z215" s="27"/>
      <x:c r="AA215" s="27"/>
      <x:c r="AB215" s="27" t="n">
        <x:v>0</x:v>
      </x:c>
      <x:c r="AC215" s="27" t="n">
        <x:v>0</x:v>
      </x:c>
      <x:c r="AD215" s="27" t="n">
        <x:v>44190</x:v>
      </x:c>
      <x:c r="AE215" s="27" t="str">
        <x:v>Public-safe anonymized industry-style SA-CCR sample</x:v>
      </x:c>
      <x:c r="AF215" s="27" t="str">
        <x:v>ANON-000212</x:v>
      </x:c>
      <x:c r="AG215" s="27" t="str">
        <x:v>Precious Metal Swap</x:v>
      </x:c>
      <x:c r="AH215" s="27"/>
      <x:c r="AI215" s="27" t="str">
        <x:v>XAU/USD</x:v>
      </x:c>
      <x:c r="AJ215" s="27" t="n">
        <x:v>1077</x:v>
      </x:c>
      <x:c r="AK215" s="27" t="n">
        <x:v>2.9506849315068493</x:v>
      </x:c>
      <x:c r="AL215" s="27" t="str">
        <x:v>1Y-5Y</x:v>
      </x:c>
      <x:c r="AM215" s="27" t="str">
        <x:v>Metals</x:v>
      </x:c>
      <x:c r="AN215" s="27" t="str">
        <x:v>Gold</x:v>
      </x:c>
      <x:c r="AO215" s="27" t="str">
        <x:v>Metals</x:v>
      </x:c>
      <x:c r="AP215" s="27" t="str">
        <x:v>M</x:v>
      </x:c>
      <x:c r="AQ215" s="27" t="n">
        <x:v>0.18</x:v>
      </x:c>
      <x:c r="AR215" s="27" t="n">
        <x:v>1</x:v>
      </x:c>
      <x:c r="AS215" s="27" t="n">
        <x:v>0.18</x:v>
      </x:c>
      <x:c r="AT215" s="27" t="n">
        <x:v>0.4</x:v>
      </x:c>
      <x:c r="AU215" s="27" t="n">
        <x:v>1</x:v>
      </x:c>
      <x:c r="AV215" s="27" t="n">
        <x:v>3000000</x:v>
      </x:c>
      <x:c r="AW215" s="27" t="n">
        <x:v>0.7</x:v>
      </x:c>
      <x:c r="AX215" s="27" t="n">
        <x:v>-1</x:v>
      </x:c>
      <x:c r="AY215" s="27" t="n">
        <x:v>0.30000000000000004</x:v>
      </x:c>
      <x:c r="AZ215" s="27" t="n">
        <x:v>-900000.0000000001</x:v>
      </x:c>
    </x:row>
    <x:row r="216">
      <x:c r="A216" s="27" t="n">
        <x:v>45702</x:v>
      </x:c>
      <x:c r="B216" s="27" t="str">
        <x:v>IND_HEDGE_FUND_001</x:v>
      </x:c>
      <x:c r="C216" s="27" t="n">
        <x:v>3109</x:v>
      </x:c>
      <x:c r="D216" s="27" t="str">
        <x:v>IND-000213</x:v>
      </x:c>
      <x:c r="E216" s="27" t="str">
        <x:v>Commodity Option</x:v>
      </x:c>
      <x:c r="F216" s="27" t="str">
        <x:v>Commodity</x:v>
      </x:c>
      <x:c r="G216" s="27" t="str">
        <x:v>Gold</x:v>
      </x:c>
      <x:c r="H216" s="27" t="str">
        <x:v>XAU</x:v>
      </x:c>
      <x:c r="I216" s="27" t="str">
        <x:v>CNY</x:v>
      </x:c>
      <x:c r="J216" s="27" t="str">
        <x:v>CNY</x:v>
      </x:c>
      <x:c r="K216" s="27"/>
      <x:c r="L216" s="27"/>
      <x:c r="M216" s="27" t="str">
        <x:v>XAU/CNY</x:v>
      </x:c>
      <x:c r="N216" s="27"/>
      <x:c r="O216" s="27"/>
      <x:c r="P216" s="27" t="n">
        <x:v>47401</x:v>
      </x:c>
      <x:c r="Q216" s="27" t="n">
        <x:v>44986</x:v>
      </x:c>
      <x:c r="R216" s="27" t="n">
        <x:v>47401</x:v>
      </x:c>
      <x:c r="S216" s="27" t="n">
        <x:v>25500</x:v>
      </x:c>
      <x:c r="T216" s="27" t="n">
        <x:v>364285714.29</x:v>
      </x:c>
      <x:c r="U216" s="27" t="n">
        <x:v>51000000</x:v>
      </x:c>
      <x:c r="V216" s="27" t="str">
        <x:v>M</x:v>
      </x:c>
      <x:c r="W216" s="27" t="str">
        <x:v>N</x:v>
      </x:c>
      <x:c r="X216" s="27" t="n">
        <x:v>10</x:v>
      </x:c>
      <x:c r="Y216" s="27" t="str">
        <x:v>B</x:v>
      </x:c>
      <x:c r="Z216" s="27" t="n">
        <x:v>46976</x:v>
      </x:c>
      <x:c r="AA216" s="27" t="str">
        <x:v>P</x:v>
      </x:c>
      <x:c r="AB216" s="27" t="n">
        <x:v>2041.8</x:v>
      </x:c>
      <x:c r="AC216" s="27" t="n">
        <x:v>2050</x:v>
      </x:c>
      <x:c r="AD216" s="27" t="n">
        <x:v>2047140</x:v>
      </x:c>
      <x:c r="AE216" s="27" t="str">
        <x:v>Public-safe anonymized industry-style SA-CCR sample</x:v>
      </x:c>
      <x:c r="AF216" s="27" t="str">
        <x:v>ANON-000213</x:v>
      </x:c>
      <x:c r="AG216" s="27" t="str">
        <x:v>Commodity Option</x:v>
      </x:c>
      <x:c r="AH216" s="27"/>
      <x:c r="AI216" s="27" t="str">
        <x:v>XAU/CNY</x:v>
      </x:c>
      <x:c r="AJ216" s="27" t="n">
        <x:v>1699</x:v>
      </x:c>
      <x:c r="AK216" s="27" t="n">
        <x:v>4.654794520547945</x:v>
      </x:c>
      <x:c r="AL216" s="27" t="str">
        <x:v>1Y-5Y</x:v>
      </x:c>
      <x:c r="AM216" s="27" t="str">
        <x:v>Metals</x:v>
      </x:c>
      <x:c r="AN216" s="27" t="str">
        <x:v>Gold</x:v>
      </x:c>
      <x:c r="AO216" s="27" t="str">
        <x:v>Metals</x:v>
      </x:c>
      <x:c r="AP216" s="27" t="str">
        <x:v>M</x:v>
      </x:c>
      <x:c r="AQ216" s="27" t="n">
        <x:v>0.18</x:v>
      </x:c>
      <x:c r="AR216" s="27" t="n">
        <x:v>1</x:v>
      </x:c>
      <x:c r="AS216" s="27" t="n">
        <x:v>0.18</x:v>
      </x:c>
      <x:c r="AT216" s="27" t="n">
        <x:v>0.4</x:v>
      </x:c>
      <x:c r="AU216" s="27" t="n">
        <x:v>1</x:v>
      </x:c>
      <x:c r="AV216" s="27" t="n">
        <x:v>51000000</x:v>
      </x:c>
      <x:c r="AW216" s="27" t="n">
        <x:v>0.7</x:v>
      </x:c>
      <x:c r="AX216" s="27" t="n">
        <x:v>-0.2556042200529316</x:v>
      </x:c>
      <x:c r="AY216" s="27" t="n">
        <x:v>0.30000000000000004</x:v>
      </x:c>
      <x:c r="AZ216" s="27" t="n">
        <x:v>-3910744.566809854</x:v>
      </x:c>
    </x:row>
    <x:row r="217">
      <x:c r="A217" s="27" t="n">
        <x:v>45702</x:v>
      </x:c>
      <x:c r="B217" s="27" t="str">
        <x:v>IND_ASSET_MANAGER_001</x:v>
      </x:c>
      <x:c r="C217" s="27" t="n">
        <x:v>3331</x:v>
      </x:c>
      <x:c r="D217" s="27" t="str">
        <x:v>IND-000214</x:v>
      </x:c>
      <x:c r="E217" s="27" t="str">
        <x:v>Commodity Option</x:v>
      </x:c>
      <x:c r="F217" s="27" t="str">
        <x:v>Commodity</x:v>
      </x:c>
      <x:c r="G217" s="27" t="str">
        <x:v>Gold</x:v>
      </x:c>
      <x:c r="H217" s="27" t="str">
        <x:v>XAU</x:v>
      </x:c>
      <x:c r="I217" s="27" t="str">
        <x:v>USD</x:v>
      </x:c>
      <x:c r="J217" s="27" t="str">
        <x:v>USD</x:v>
      </x:c>
      <x:c r="K217" s="27"/>
      <x:c r="L217" s="27"/>
      <x:c r="M217" s="27" t="str">
        <x:v>XAU/USD</x:v>
      </x:c>
      <x:c r="N217" s="27"/>
      <x:c r="O217" s="27"/>
      <x:c r="P217" s="27" t="n">
        <x:v>47446</x:v>
      </x:c>
      <x:c r="Q217" s="27" t="n">
        <x:v>45565</x:v>
      </x:c>
      <x:c r="R217" s="27" t="n">
        <x:v>47446</x:v>
      </x:c>
      <x:c r="S217" s="27" t="n">
        <x:v>5250</x:v>
      </x:c>
      <x:c r="T217" s="27" t="n">
        <x:v>10500000</x:v>
      </x:c>
      <x:c r="U217" s="27" t="n">
        <x:v>10500000</x:v>
      </x:c>
      <x:c r="V217" s="27" t="str">
        <x:v>M</x:v>
      </x:c>
      <x:c r="W217" s="27" t="str">
        <x:v>N</x:v>
      </x:c>
      <x:c r="X217" s="27" t="n">
        <x:v>10</x:v>
      </x:c>
      <x:c r="Y217" s="27" t="str">
        <x:v>B</x:v>
      </x:c>
      <x:c r="Z217" s="27" t="n">
        <x:v>47010</x:v>
      </x:c>
      <x:c r="AA217" s="27" t="str">
        <x:v>P</x:v>
      </x:c>
      <x:c r="AB217" s="27" t="n">
        <x:v>1777.35</x:v>
      </x:c>
      <x:c r="AC217" s="27" t="n">
        <x:v>2050</x:v>
      </x:c>
      <x:c r="AD217" s="27" t="n">
        <x:v>432810</x:v>
      </x:c>
      <x:c r="AE217" s="27" t="str">
        <x:v>Public-safe anonymized industry-style SA-CCR sample</x:v>
      </x:c>
      <x:c r="AF217" s="27" t="str">
        <x:v>ANON-000214</x:v>
      </x:c>
      <x:c r="AG217" s="27" t="str">
        <x:v>Commodity Option</x:v>
      </x:c>
      <x:c r="AH217" s="27"/>
      <x:c r="AI217" s="27" t="str">
        <x:v>XAU/USD</x:v>
      </x:c>
      <x:c r="AJ217" s="27" t="n">
        <x:v>1744</x:v>
      </x:c>
      <x:c r="AK217" s="27" t="n">
        <x:v>4.778082191780822</x:v>
      </x:c>
      <x:c r="AL217" s="27" t="str">
        <x:v>1Y-5Y</x:v>
      </x:c>
      <x:c r="AM217" s="27" t="str">
        <x:v>Metals</x:v>
      </x:c>
      <x:c r="AN217" s="27" t="str">
        <x:v>Gold</x:v>
      </x:c>
      <x:c r="AO217" s="27" t="str">
        <x:v>Metals</x:v>
      </x:c>
      <x:c r="AP217" s="27" t="str">
        <x:v>M</x:v>
      </x:c>
      <x:c r="AQ217" s="27" t="n">
        <x:v>0.18</x:v>
      </x:c>
      <x:c r="AR217" s="27" t="n">
        <x:v>1</x:v>
      </x:c>
      <x:c r="AS217" s="27" t="n">
        <x:v>0.18</x:v>
      </x:c>
      <x:c r="AT217" s="27" t="n">
        <x:v>0.4</x:v>
      </x:c>
      <x:c r="AU217" s="27" t="n">
        <x:v>1</x:v>
      </x:c>
      <x:c r="AV217" s="27" t="n">
        <x:v>10500000</x:v>
      </x:c>
      <x:c r="AW217" s="27" t="n">
        <x:v>0.7</x:v>
      </x:c>
      <x:c r="AX217" s="27" t="n">
        <x:v>-0.22057254024775674</x:v>
      </x:c>
      <x:c r="AY217" s="27" t="n">
        <x:v>0.30000000000000004</x:v>
      </x:c>
      <x:c r="AZ217" s="27" t="n">
        <x:v>-694803.5017804338</x:v>
      </x:c>
    </x:row>
    <x:row r="218">
      <x:c r="A218" s="27" t="n">
        <x:v>45702</x:v>
      </x:c>
      <x:c r="B218" s="27" t="str">
        <x:v>IND_SOVEREIGN_001</x:v>
      </x:c>
      <x:c r="C218" s="27" t="n">
        <x:v>3357</x:v>
      </x:c>
      <x:c r="D218" s="27" t="str">
        <x:v>IND-000215</x:v>
      </x:c>
      <x:c r="E218" s="27" t="str">
        <x:v>Commodity Option</x:v>
      </x:c>
      <x:c r="F218" s="27" t="str">
        <x:v>Commodity</x:v>
      </x:c>
      <x:c r="G218" s="27" t="str">
        <x:v>Gold</x:v>
      </x:c>
      <x:c r="H218" s="27" t="str">
        <x:v>Oil</x:v>
      </x:c>
      <x:c r="I218" s="27" t="str">
        <x:v>USD</x:v>
      </x:c>
      <x:c r="J218" s="27" t="str">
        <x:v>USD</x:v>
      </x:c>
      <x:c r="K218" s="27"/>
      <x:c r="L218" s="27"/>
      <x:c r="M218" s="27" t="str">
        <x:v>Oil/USD</x:v>
      </x:c>
      <x:c r="N218" s="27"/>
      <x:c r="O218" s="27"/>
      <x:c r="P218" s="27" t="n">
        <x:v>46530</x:v>
      </x:c>
      <x:c r="Q218" s="27" t="n">
        <x:v>45178</x:v>
      </x:c>
      <x:c r="R218" s="27" t="n">
        <x:v>46530</x:v>
      </x:c>
      <x:c r="S218" s="27" t="n">
        <x:v>7300000</x:v>
      </x:c>
      <x:c r="T218" s="27" t="n">
        <x:v>7300000</x:v>
      </x:c>
      <x:c r="U218" s="27" t="n">
        <x:v>7300000</x:v>
      </x:c>
      <x:c r="V218" s="27" t="str">
        <x:v>M</x:v>
      </x:c>
      <x:c r="W218" s="27" t="str">
        <x:v>N</x:v>
      </x:c>
      <x:c r="X218" s="27" t="n">
        <x:v>10</x:v>
      </x:c>
      <x:c r="Y218" s="27" t="str">
        <x:v>S</x:v>
      </x:c>
      <x:c r="Z218" s="27" t="n">
        <x:v>46323</x:v>
      </x:c>
      <x:c r="AA218" s="27" t="str">
        <x:v>C</x:v>
      </x:c>
      <x:c r="AB218" s="27" t="n">
        <x:v>69.186</x:v>
      </x:c>
      <x:c r="AC218" s="27" t="n">
        <x:v>78</x:v>
      </x:c>
      <x:c r="AD218" s="27" t="n">
        <x:v>139612.5</x:v>
      </x:c>
      <x:c r="AE218" s="27" t="str">
        <x:v>Public-safe anonymized industry-style SA-CCR sample</x:v>
      </x:c>
      <x:c r="AF218" s="27" t="str">
        <x:v>ANON-000215</x:v>
      </x:c>
      <x:c r="AG218" s="27" t="str">
        <x:v>Commodity Option</x:v>
      </x:c>
      <x:c r="AH218" s="27"/>
      <x:c r="AI218" s="27" t="str">
        <x:v>Oil/USD</x:v>
      </x:c>
      <x:c r="AJ218" s="27" t="n">
        <x:v>828</x:v>
      </x:c>
      <x:c r="AK218" s="27" t="n">
        <x:v>2.2684931506849315</x:v>
      </x:c>
      <x:c r="AL218" s="27" t="str">
        <x:v>1Y-5Y</x:v>
      </x:c>
      <x:c r="AM218" s="27" t="str">
        <x:v>Metals</x:v>
      </x:c>
      <x:c r="AN218" s="27" t="str">
        <x:v>Gold</x:v>
      </x:c>
      <x:c r="AO218" s="27" t="str">
        <x:v>Metals</x:v>
      </x:c>
      <x:c r="AP218" s="27" t="str">
        <x:v>M</x:v>
      </x:c>
      <x:c r="AQ218" s="27" t="n">
        <x:v>0.18</x:v>
      </x:c>
      <x:c r="AR218" s="27" t="n">
        <x:v>1</x:v>
      </x:c>
      <x:c r="AS218" s="27" t="n">
        <x:v>0.18</x:v>
      </x:c>
      <x:c r="AT218" s="27" t="n">
        <x:v>0.4</x:v>
      </x:c>
      <x:c r="AU218" s="27" t="n">
        <x:v>1</x:v>
      </x:c>
      <x:c r="AV218" s="27" t="n">
        <x:v>7300000</x:v>
      </x:c>
      <x:c r="AW218" s="27" t="n">
        <x:v>0.7</x:v>
      </x:c>
      <x:c r="AX218" s="27" t="n">
        <x:v>-0.7216856980490278</x:v>
      </x:c>
      <x:c r="AY218" s="27" t="n">
        <x:v>0.30000000000000004</x:v>
      </x:c>
      <x:c r="AZ218" s="27" t="n">
        <x:v>-1580491.6787273714</x:v>
      </x:c>
    </x:row>
    <x:row r="219">
      <x:c r="A219" s="27" t="n">
        <x:v>45702</x:v>
      </x:c>
      <x:c r="B219" s="27" t="str">
        <x:v>IND_CLEARING_MEMBER_001</x:v>
      </x:c>
      <x:c r="C219" s="27" t="n">
        <x:v>3186</x:v>
      </x:c>
      <x:c r="D219" s="27" t="str">
        <x:v>IND-000216</x:v>
      </x:c>
      <x:c r="E219" s="27" t="str">
        <x:v>Commodity Option</x:v>
      </x:c>
      <x:c r="F219" s="27" t="str">
        <x:v>Commodity</x:v>
      </x:c>
      <x:c r="G219" s="27" t="str">
        <x:v>Gold</x:v>
      </x:c>
      <x:c r="H219" s="27" t="str">
        <x:v>XAU</x:v>
      </x:c>
      <x:c r="I219" s="27" t="str">
        <x:v>CNY</x:v>
      </x:c>
      <x:c r="J219" s="27" t="str">
        <x:v>CNY</x:v>
      </x:c>
      <x:c r="K219" s="27"/>
      <x:c r="L219" s="27"/>
      <x:c r="M219" s="27" t="str">
        <x:v>XAU/CNY</x:v>
      </x:c>
      <x:c r="N219" s="27"/>
      <x:c r="O219" s="27"/>
      <x:c r="P219" s="27" t="n">
        <x:v>46511</x:v>
      </x:c>
      <x:c r="Q219" s="27" t="n">
        <x:v>45653</x:v>
      </x:c>
      <x:c r="R219" s="27" t="n">
        <x:v>46511</x:v>
      </x:c>
      <x:c r="S219" s="27" t="n">
        <x:v>10750</x:v>
      </x:c>
      <x:c r="T219" s="27" t="n">
        <x:v>153571428.57</x:v>
      </x:c>
      <x:c r="U219" s="27" t="n">
        <x:v>21500000</x:v>
      </x:c>
      <x:c r="V219" s="27" t="str">
        <x:v>U</x:v>
      </x:c>
      <x:c r="W219" s="27" t="str">
        <x:v>N</x:v>
      </x:c>
      <x:c r="X219" s="27"/>
      <x:c r="Y219" s="27" t="str">
        <x:v>B</x:v>
      </x:c>
      <x:c r="Z219" s="27" t="n">
        <x:v>46308</x:v>
      </x:c>
      <x:c r="AA219" s="27" t="str">
        <x:v>C</x:v>
      </x:c>
      <x:c r="AB219" s="27" t="n">
        <x:v>2380.05</x:v>
      </x:c>
      <x:c r="AC219" s="27" t="n">
        <x:v>2050</x:v>
      </x:c>
      <x:c r="AD219" s="27" t="n">
        <x:v>78367.5</x:v>
      </x:c>
      <x:c r="AE219" s="27" t="str">
        <x:v>Public-safe anonymized industry-style SA-CCR sample</x:v>
      </x:c>
      <x:c r="AF219" s="27" t="str">
        <x:v>ANON-000216</x:v>
      </x:c>
      <x:c r="AG219" s="27" t="str">
        <x:v>Commodity Option</x:v>
      </x:c>
      <x:c r="AH219" s="27"/>
      <x:c r="AI219" s="27" t="str">
        <x:v>XAU/CNY</x:v>
      </x:c>
      <x:c r="AJ219" s="27" t="n">
        <x:v>809</x:v>
      </x:c>
      <x:c r="AK219" s="27" t="n">
        <x:v>2.2164383561643834</x:v>
      </x:c>
      <x:c r="AL219" s="27" t="str">
        <x:v>1Y-5Y</x:v>
      </x:c>
      <x:c r="AM219" s="27" t="str">
        <x:v>Metals</x:v>
      </x:c>
      <x:c r="AN219" s="27" t="str">
        <x:v>Gold</x:v>
      </x:c>
      <x:c r="AO219" s="27" t="str">
        <x:v>Metals</x:v>
      </x:c>
      <x:c r="AP219" s="27" t="str">
        <x:v>U</x:v>
      </x:c>
      <x:c r="AQ219" s="27" t="n">
        <x:v>0.18</x:v>
      </x:c>
      <x:c r="AR219" s="27" t="n">
        <x:v>1</x:v>
      </x:c>
      <x:c r="AS219" s="27" t="n">
        <x:v>0.18</x:v>
      </x:c>
      <x:c r="AT219" s="27" t="n">
        <x:v>0.4</x:v>
      </x:c>
      <x:c r="AU219" s="27" t="n">
        <x:v>1</x:v>
      </x:c>
      <x:c r="AV219" s="27" t="n">
        <x:v>21500000</x:v>
      </x:c>
      <x:c r="AW219" s="27" t="n">
        <x:v>0.7</x:v>
      </x:c>
      <x:c r="AX219" s="27" t="n">
        <x:v>0.6123590270331233</x:v>
      </x:c>
      <x:c r="AY219" s="27" t="n">
        <x:v>1</x:v>
      </x:c>
      <x:c r="AZ219" s="27" t="n">
        <x:v>13165719.08121215</x:v>
      </x:c>
    </x:row>
    <x:row r="220">
      <x:c r="A220" s="27" t="n">
        <x:v>45702</x:v>
      </x:c>
      <x:c r="B220" s="27" t="str">
        <x:v>IND_PENSION_001</x:v>
      </x:c>
      <x:c r="C220" s="27" t="n">
        <x:v>3060</x:v>
      </x:c>
      <x:c r="D220" s="27" t="str">
        <x:v>IND-000217</x:v>
      </x:c>
      <x:c r="E220" s="27" t="str">
        <x:v>Commodity Option</x:v>
      </x:c>
      <x:c r="F220" s="27" t="str">
        <x:v>Commodity</x:v>
      </x:c>
      <x:c r="G220" s="27" t="str">
        <x:v>Gold</x:v>
      </x:c>
      <x:c r="H220" s="27" t="str">
        <x:v>XAU</x:v>
      </x:c>
      <x:c r="I220" s="27" t="str">
        <x:v>USD</x:v>
      </x:c>
      <x:c r="J220" s="27" t="str">
        <x:v>USD</x:v>
      </x:c>
      <x:c r="K220" s="27"/>
      <x:c r="L220" s="27"/>
      <x:c r="M220" s="27" t="str">
        <x:v>XAU/USD</x:v>
      </x:c>
      <x:c r="N220" s="27"/>
      <x:c r="O220" s="27"/>
      <x:c r="P220" s="27" t="n">
        <x:v>46035</x:v>
      </x:c>
      <x:c r="Q220" s="27" t="n">
        <x:v>45329</x:v>
      </x:c>
      <x:c r="R220" s="27" t="n">
        <x:v>46035</x:v>
      </x:c>
      <x:c r="S220" s="27" t="n">
        <x:v>2850</x:v>
      </x:c>
      <x:c r="T220" s="27" t="n">
        <x:v>5700000</x:v>
      </x:c>
      <x:c r="U220" s="27" t="n">
        <x:v>5700000</x:v>
      </x:c>
      <x:c r="V220" s="27" t="str">
        <x:v>U</x:v>
      </x:c>
      <x:c r="W220" s="27" t="str">
        <x:v>N</x:v>
      </x:c>
      <x:c r="X220" s="27"/>
      <x:c r="Y220" s="27" t="str">
        <x:v>B</x:v>
      </x:c>
      <x:c r="Z220" s="27" t="n">
        <x:v>45951</x:v>
      </x:c>
      <x:c r="AA220" s="27" t="str">
        <x:v>P</x:v>
      </x:c>
      <x:c r="AB220" s="27" t="n">
        <x:v>1890.1</x:v>
      </x:c>
      <x:c r="AC220" s="27" t="n">
        <x:v>2050</x:v>
      </x:c>
      <x:c r="AD220" s="27" t="n">
        <x:v>-150565.5</x:v>
      </x:c>
      <x:c r="AE220" s="27" t="str">
        <x:v>Public-safe anonymized industry-style SA-CCR sample</x:v>
      </x:c>
      <x:c r="AF220" s="27" t="str">
        <x:v>ANON-000217</x:v>
      </x:c>
      <x:c r="AG220" s="27" t="str">
        <x:v>Commodity Option</x:v>
      </x:c>
      <x:c r="AH220" s="27"/>
      <x:c r="AI220" s="27" t="str">
        <x:v>XAU/USD</x:v>
      </x:c>
      <x:c r="AJ220" s="27" t="n">
        <x:v>333</x:v>
      </x:c>
      <x:c r="AK220" s="27" t="n">
        <x:v>0.9123287671232877</x:v>
      </x:c>
      <x:c r="AL220" s="27" t="str">
        <x:v>&lt;1Y</x:v>
      </x:c>
      <x:c r="AM220" s="27" t="str">
        <x:v>Metals</x:v>
      </x:c>
      <x:c r="AN220" s="27" t="str">
        <x:v>Gold</x:v>
      </x:c>
      <x:c r="AO220" s="27" t="str">
        <x:v>Metals</x:v>
      </x:c>
      <x:c r="AP220" s="27" t="str">
        <x:v>U</x:v>
      </x:c>
      <x:c r="AQ220" s="27" t="n">
        <x:v>0.18</x:v>
      </x:c>
      <x:c r="AR220" s="27" t="n">
        <x:v>1</x:v>
      </x:c>
      <x:c r="AS220" s="27" t="n">
        <x:v>0.18</x:v>
      </x:c>
      <x:c r="AT220" s="27" t="n">
        <x:v>0.4</x:v>
      </x:c>
      <x:c r="AU220" s="27" t="n">
        <x:v>1</x:v>
      </x:c>
      <x:c r="AV220" s="27" t="n">
        <x:v>5700000</x:v>
      </x:c>
      <x:c r="AW220" s="27" t="n">
        <x:v>0.7</x:v>
      </x:c>
      <x:c r="AX220" s="27" t="n">
        <x:v>-0.3337636712842028</x:v>
      </x:c>
      <x:c r="AY220" s="27" t="n">
        <x:v>0.9551590271380404</x:v>
      </x:c>
      <x:c r="AZ220" s="27" t="n">
        <x:v>-1817145.0862796872</x:v>
      </x:c>
    </x:row>
    <x:row r="221">
      <x:c r="A221" s="27" t="n">
        <x:v>45702</x:v>
      </x:c>
      <x:c r="B221" s="27" t="str">
        <x:v>IND_PENSION_001</x:v>
      </x:c>
      <x:c r="C221" s="27" t="n">
        <x:v>3060</x:v>
      </x:c>
      <x:c r="D221" s="27" t="str">
        <x:v>IND-000218</x:v>
      </x:c>
      <x:c r="E221" s="27" t="str">
        <x:v>Commodity Option</x:v>
      </x:c>
      <x:c r="F221" s="27" t="str">
        <x:v>Commodity</x:v>
      </x:c>
      <x:c r="G221" s="27" t="str">
        <x:v>Gold</x:v>
      </x:c>
      <x:c r="H221" s="27" t="str">
        <x:v>XAU</x:v>
      </x:c>
      <x:c r="I221" s="27" t="str">
        <x:v>USD</x:v>
      </x:c>
      <x:c r="J221" s="27" t="str">
        <x:v>USD</x:v>
      </x:c>
      <x:c r="K221" s="27"/>
      <x:c r="L221" s="27"/>
      <x:c r="M221" s="27" t="str">
        <x:v>XAU/USD</x:v>
      </x:c>
      <x:c r="N221" s="27"/>
      <x:c r="O221" s="27"/>
      <x:c r="P221" s="27" t="n">
        <x:v>47056</x:v>
      </x:c>
      <x:c r="Q221" s="27" t="n">
        <x:v>45610</x:v>
      </x:c>
      <x:c r="R221" s="27" t="n">
        <x:v>47056</x:v>
      </x:c>
      <x:c r="S221" s="27" t="n">
        <x:v>25150</x:v>
      </x:c>
      <x:c r="T221" s="27" t="n">
        <x:v>50300000</x:v>
      </x:c>
      <x:c r="U221" s="27" t="n">
        <x:v>50300000</x:v>
      </x:c>
      <x:c r="V221" s="27" t="str">
        <x:v>U</x:v>
      </x:c>
      <x:c r="W221" s="27" t="str">
        <x:v>N</x:v>
      </x:c>
      <x:c r="X221" s="27"/>
      <x:c r="Y221" s="27" t="str">
        <x:v>S</x:v>
      </x:c>
      <x:c r="Z221" s="27" t="n">
        <x:v>46717</x:v>
      </x:c>
      <x:c r="AA221" s="27" t="str">
        <x:v>C</x:v>
      </x:c>
      <x:c r="AB221" s="27" t="n">
        <x:v>1812.2</x:v>
      </x:c>
      <x:c r="AC221" s="27" t="n">
        <x:v>2050</x:v>
      </x:c>
      <x:c r="AD221" s="27" t="n">
        <x:v>-1170229.5</x:v>
      </x:c>
      <x:c r="AE221" s="27" t="str">
        <x:v>Public-safe anonymized industry-style SA-CCR sample</x:v>
      </x:c>
      <x:c r="AF221" s="27" t="str">
        <x:v>ANON-000218</x:v>
      </x:c>
      <x:c r="AG221" s="27" t="str">
        <x:v>Commodity Option</x:v>
      </x:c>
      <x:c r="AH221" s="27"/>
      <x:c r="AI221" s="27" t="str">
        <x:v>XAU/USD</x:v>
      </x:c>
      <x:c r="AJ221" s="27" t="n">
        <x:v>1354</x:v>
      </x:c>
      <x:c r="AK221" s="27" t="n">
        <x:v>3.7095890410958905</x:v>
      </x:c>
      <x:c r="AL221" s="27" t="str">
        <x:v>1Y-5Y</x:v>
      </x:c>
      <x:c r="AM221" s="27" t="str">
        <x:v>Metals</x:v>
      </x:c>
      <x:c r="AN221" s="27" t="str">
        <x:v>Gold</x:v>
      </x:c>
      <x:c r="AO221" s="27" t="str">
        <x:v>Metals</x:v>
      </x:c>
      <x:c r="AP221" s="27" t="str">
        <x:v>U</x:v>
      </x:c>
      <x:c r="AQ221" s="27" t="n">
        <x:v>0.18</x:v>
      </x:c>
      <x:c r="AR221" s="27" t="n">
        <x:v>1</x:v>
      </x:c>
      <x:c r="AS221" s="27" t="n">
        <x:v>0.18</x:v>
      </x:c>
      <x:c r="AT221" s="27" t="n">
        <x:v>0.4</x:v>
      </x:c>
      <x:c r="AU221" s="27" t="n">
        <x:v>1</x:v>
      </x:c>
      <x:c r="AV221" s="27" t="n">
        <x:v>50300000</x:v>
      </x:c>
      <x:c r="AW221" s="27" t="n">
        <x:v>0.7</x:v>
      </x:c>
      <x:c r="AX221" s="27" t="n">
        <x:v>-0.7546762090092813</x:v>
      </x:c>
      <x:c r="AY221" s="27" t="n">
        <x:v>1</x:v>
      </x:c>
      <x:c r="AZ221" s="27" t="n">
        <x:v>-37960213.31316685</x:v>
      </x:c>
    </x:row>
    <x:row r="222">
      <x:c r="A222" s="27" t="n">
        <x:v>45702</x:v>
      </x:c>
      <x:c r="B222" s="27" t="str">
        <x:v>IND_ASSET_MANAGER_001</x:v>
      </x:c>
      <x:c r="C222" s="27" t="n">
        <x:v>3331</x:v>
      </x:c>
      <x:c r="D222" s="27" t="str">
        <x:v>IND-000219</x:v>
      </x:c>
      <x:c r="E222" s="27" t="str">
        <x:v>Commodity Option</x:v>
      </x:c>
      <x:c r="F222" s="27" t="str">
        <x:v>Commodity</x:v>
      </x:c>
      <x:c r="G222" s="27" t="str">
        <x:v>Gold</x:v>
      </x:c>
      <x:c r="H222" s="27" t="str">
        <x:v>XAU</x:v>
      </x:c>
      <x:c r="I222" s="27" t="str">
        <x:v>USD</x:v>
      </x:c>
      <x:c r="J222" s="27" t="str">
        <x:v>USD</x:v>
      </x:c>
      <x:c r="K222" s="27"/>
      <x:c r="L222" s="27"/>
      <x:c r="M222" s="27" t="str">
        <x:v>XAU/USD</x:v>
      </x:c>
      <x:c r="N222" s="27"/>
      <x:c r="O222" s="27"/>
      <x:c r="P222" s="27" t="n">
        <x:v>47268</x:v>
      </x:c>
      <x:c r="Q222" s="27" t="n">
        <x:v>45546</x:v>
      </x:c>
      <x:c r="R222" s="27" t="n">
        <x:v>47268</x:v>
      </x:c>
      <x:c r="S222" s="27" t="n">
        <x:v>30950</x:v>
      </x:c>
      <x:c r="T222" s="27" t="n">
        <x:v>61900000</x:v>
      </x:c>
      <x:c r="U222" s="27" t="n">
        <x:v>61900000</x:v>
      </x:c>
      <x:c r="V222" s="27" t="str">
        <x:v>M</x:v>
      </x:c>
      <x:c r="W222" s="27" t="str">
        <x:v>N</x:v>
      </x:c>
      <x:c r="X222" s="27" t="n">
        <x:v>10</x:v>
      </x:c>
      <x:c r="Y222" s="27" t="str">
        <x:v>B</x:v>
      </x:c>
      <x:c r="Z222" s="27" t="n">
        <x:v>46876</x:v>
      </x:c>
      <x:c r="AA222" s="27" t="str">
        <x:v>P</x:v>
      </x:c>
      <x:c r="AB222" s="27" t="n">
        <x:v>2004.9</x:v>
      </x:c>
      <x:c r="AC222" s="27" t="n">
        <x:v>2050</x:v>
      </x:c>
      <x:c r="AD222" s="27" t="n">
        <x:v>-1339825.5</x:v>
      </x:c>
      <x:c r="AE222" s="27" t="str">
        <x:v>Public-safe anonymized industry-style SA-CCR sample</x:v>
      </x:c>
      <x:c r="AF222" s="27" t="str">
        <x:v>ANON-000219</x:v>
      </x:c>
      <x:c r="AG222" s="27" t="str">
        <x:v>Commodity Option</x:v>
      </x:c>
      <x:c r="AH222" s="27"/>
      <x:c r="AI222" s="27" t="str">
        <x:v>XAU/USD</x:v>
      </x:c>
      <x:c r="AJ222" s="27" t="n">
        <x:v>1566</x:v>
      </x:c>
      <x:c r="AK222" s="27" t="n">
        <x:v>4.2904109589041095</x:v>
      </x:c>
      <x:c r="AL222" s="27" t="str">
        <x:v>1Y-5Y</x:v>
      </x:c>
      <x:c r="AM222" s="27" t="str">
        <x:v>Metals</x:v>
      </x:c>
      <x:c r="AN222" s="27" t="str">
        <x:v>Gold</x:v>
      </x:c>
      <x:c r="AO222" s="27" t="str">
        <x:v>Metals</x:v>
      </x:c>
      <x:c r="AP222" s="27" t="str">
        <x:v>M</x:v>
      </x:c>
      <x:c r="AQ222" s="27" t="n">
        <x:v>0.18</x:v>
      </x:c>
      <x:c r="AR222" s="27" t="n">
        <x:v>1</x:v>
      </x:c>
      <x:c r="AS222" s="27" t="n">
        <x:v>0.18</x:v>
      </x:c>
      <x:c r="AT222" s="27" t="n">
        <x:v>0.4</x:v>
      </x:c>
      <x:c r="AU222" s="27" t="n">
        <x:v>1</x:v>
      </x:c>
      <x:c r="AV222" s="27" t="n">
        <x:v>61900000</x:v>
      </x:c>
      <x:c r="AW222" s="27" t="n">
        <x:v>0.7</x:v>
      </x:c>
      <x:c r="AX222" s="27" t="n">
        <x:v>-0.25932593649024194</x:v>
      </x:c>
      <x:c r="AY222" s="27" t="n">
        <x:v>0.30000000000000004</x:v>
      </x:c>
      <x:c r="AZ222" s="27" t="n">
        <x:v>-4815682.640623794</x:v>
      </x:c>
    </x:row>
    <x:row r="223">
      <x:c r="A223" s="27" t="n">
        <x:v>45702</x:v>
      </x:c>
      <x:c r="B223" s="27" t="str">
        <x:v>IND_ASSET_MANAGER_001</x:v>
      </x:c>
      <x:c r="C223" s="27" t="n">
        <x:v>3331</x:v>
      </x:c>
      <x:c r="D223" s="27" t="str">
        <x:v>IND-000220</x:v>
      </x:c>
      <x:c r="E223" s="27" t="str">
        <x:v>Commodity Option</x:v>
      </x:c>
      <x:c r="F223" s="27" t="str">
        <x:v>Commodity</x:v>
      </x:c>
      <x:c r="G223" s="27" t="str">
        <x:v>Gold</x:v>
      </x:c>
      <x:c r="H223" s="27" t="str">
        <x:v>XAU</x:v>
      </x:c>
      <x:c r="I223" s="27" t="str">
        <x:v>USD</x:v>
      </x:c>
      <x:c r="J223" s="27" t="str">
        <x:v>USD</x:v>
      </x:c>
      <x:c r="K223" s="27"/>
      <x:c r="L223" s="27"/>
      <x:c r="M223" s="27" t="str">
        <x:v>XAU/USD</x:v>
      </x:c>
      <x:c r="N223" s="27"/>
      <x:c r="O223" s="27"/>
      <x:c r="P223" s="27" t="n">
        <x:v>47561</x:v>
      </x:c>
      <x:c r="Q223" s="27" t="n">
        <x:v>45343</x:v>
      </x:c>
      <x:c r="R223" s="27" t="n">
        <x:v>47561</x:v>
      </x:c>
      <x:c r="S223" s="27" t="n">
        <x:v>9800</x:v>
      </x:c>
      <x:c r="T223" s="27" t="n">
        <x:v>19600000</x:v>
      </x:c>
      <x:c r="U223" s="27" t="n">
        <x:v>19600000</x:v>
      </x:c>
      <x:c r="V223" s="27" t="str">
        <x:v>M</x:v>
      </x:c>
      <x:c r="W223" s="27" t="str">
        <x:v>N</x:v>
      </x:c>
      <x:c r="X223" s="27" t="n">
        <x:v>10</x:v>
      </x:c>
      <x:c r="Y223" s="27" t="str">
        <x:v>S</x:v>
      </x:c>
      <x:c r="Z223" s="27" t="n">
        <x:v>47096</x:v>
      </x:c>
      <x:c r="AA223" s="27" t="str">
        <x:v>C</x:v>
      </x:c>
      <x:c r="AB223" s="27" t="n">
        <x:v>2240.65</x:v>
      </x:c>
      <x:c r="AC223" s="27" t="n">
        <x:v>2050</x:v>
      </x:c>
      <x:c r="AD223" s="27" t="n">
        <x:v>150822</x:v>
      </x:c>
      <x:c r="AE223" s="27" t="str">
        <x:v>Public-safe anonymized industry-style SA-CCR sample</x:v>
      </x:c>
      <x:c r="AF223" s="27" t="str">
        <x:v>ANON-000220</x:v>
      </x:c>
      <x:c r="AG223" s="27" t="str">
        <x:v>Commodity Option</x:v>
      </x:c>
      <x:c r="AH223" s="27"/>
      <x:c r="AI223" s="27" t="str">
        <x:v>XAU/USD</x:v>
      </x:c>
      <x:c r="AJ223" s="27" t="n">
        <x:v>1859</x:v>
      </x:c>
      <x:c r="AK223" s="27" t="n">
        <x:v>5.093150684931507</x:v>
      </x:c>
      <x:c r="AL223" s="27" t="str">
        <x:v>&gt;5Y</x:v>
      </x:c>
      <x:c r="AM223" s="27" t="str">
        <x:v>Metals</x:v>
      </x:c>
      <x:c r="AN223" s="27" t="str">
        <x:v>Gold</x:v>
      </x:c>
      <x:c r="AO223" s="27" t="str">
        <x:v>Metals</x:v>
      </x:c>
      <x:c r="AP223" s="27" t="str">
        <x:v>M</x:v>
      </x:c>
      <x:c r="AQ223" s="27" t="n">
        <x:v>0.18</x:v>
      </x:c>
      <x:c r="AR223" s="27" t="n">
        <x:v>1</x:v>
      </x:c>
      <x:c r="AS223" s="27" t="n">
        <x:v>0.18</x:v>
      </x:c>
      <x:c r="AT223" s="27" t="n">
        <x:v>0.4</x:v>
      </x:c>
      <x:c r="AU223" s="27" t="n">
        <x:v>1</x:v>
      </x:c>
      <x:c r="AV223" s="27" t="n">
        <x:v>19600000</x:v>
      </x:c>
      <x:c r="AW223" s="27" t="n">
        <x:v>0.7</x:v>
      </x:c>
      <x:c r="AX223" s="27" t="n">
        <x:v>-0.7320385629134476</x:v>
      </x:c>
      <x:c r="AY223" s="27" t="n">
        <x:v>0.30000000000000004</x:v>
      </x:c>
      <x:c r="AZ223" s="27" t="n">
        <x:v>-4304386.749931073</x:v>
      </x:c>
    </x:row>
    <x:row r="224">
      <x:c r="A224" s="27" t="n">
        <x:v>45702</x:v>
      </x:c>
      <x:c r="B224" s="27" t="str">
        <x:v>IND_HEDGE_FUND_001</x:v>
      </x:c>
      <x:c r="C224" s="27" t="n">
        <x:v>3109</x:v>
      </x:c>
      <x:c r="D224" s="27" t="str">
        <x:v>IND-000221</x:v>
      </x:c>
      <x:c r="E224" s="27" t="str">
        <x:v>Commodity Option</x:v>
      </x:c>
      <x:c r="F224" s="27" t="str">
        <x:v>Commodity</x:v>
      </x:c>
      <x:c r="G224" s="27" t="str">
        <x:v>Gold</x:v>
      </x:c>
      <x:c r="H224" s="27" t="str">
        <x:v>XAU</x:v>
      </x:c>
      <x:c r="I224" s="27" t="str">
        <x:v>CNY</x:v>
      </x:c>
      <x:c r="J224" s="27" t="str">
        <x:v>CNY</x:v>
      </x:c>
      <x:c r="K224" s="27"/>
      <x:c r="L224" s="27"/>
      <x:c r="M224" s="27" t="str">
        <x:v>XAU/CNY</x:v>
      </x:c>
      <x:c r="N224" s="27"/>
      <x:c r="O224" s="27"/>
      <x:c r="P224" s="27" t="n">
        <x:v>46351</x:v>
      </x:c>
      <x:c r="Q224" s="27" t="n">
        <x:v>45538</x:v>
      </x:c>
      <x:c r="R224" s="27" t="n">
        <x:v>46351</x:v>
      </x:c>
      <x:c r="S224" s="27" t="n">
        <x:v>29050</x:v>
      </x:c>
      <x:c r="T224" s="27" t="n">
        <x:v>415000000</x:v>
      </x:c>
      <x:c r="U224" s="27" t="n">
        <x:v>58100000</x:v>
      </x:c>
      <x:c r="V224" s="27" t="str">
        <x:v>M</x:v>
      </x:c>
      <x:c r="W224" s="27" t="str">
        <x:v>N</x:v>
      </x:c>
      <x:c r="X224" s="27" t="n">
        <x:v>10</x:v>
      </x:c>
      <x:c r="Y224" s="27" t="str">
        <x:v>B</x:v>
      </x:c>
      <x:c r="Z224" s="27" t="n">
        <x:v>46188</x:v>
      </x:c>
      <x:c r="AA224" s="27" t="str">
        <x:v>C</x:v>
      </x:c>
      <x:c r="AB224" s="27" t="n">
        <x:v>1822.45</x:v>
      </x:c>
      <x:c r="AC224" s="27" t="n">
        <x:v>2050</x:v>
      </x:c>
      <x:c r="AD224" s="27" t="n">
        <x:v>2567439</x:v>
      </x:c>
      <x:c r="AE224" s="27" t="str">
        <x:v>Public-safe anonymized industry-style SA-CCR sample</x:v>
      </x:c>
      <x:c r="AF224" s="27" t="str">
        <x:v>ANON-000221</x:v>
      </x:c>
      <x:c r="AG224" s="27" t="str">
        <x:v>Commodity Option</x:v>
      </x:c>
      <x:c r="AH224" s="27"/>
      <x:c r="AI224" s="27" t="str">
        <x:v>XAU/CNY</x:v>
      </x:c>
      <x:c r="AJ224" s="27" t="n">
        <x:v>649</x:v>
      </x:c>
      <x:c r="AK224" s="27" t="n">
        <x:v>1.7780821917808218</x:v>
      </x:c>
      <x:c r="AL224" s="27" t="str">
        <x:v>1Y-5Y</x:v>
      </x:c>
      <x:c r="AM224" s="27" t="str">
        <x:v>Metals</x:v>
      </x:c>
      <x:c r="AN224" s="27" t="str">
        <x:v>Gold</x:v>
      </x:c>
      <x:c r="AO224" s="27" t="str">
        <x:v>Metals</x:v>
      </x:c>
      <x:c r="AP224" s="27" t="str">
        <x:v>M</x:v>
      </x:c>
      <x:c r="AQ224" s="27" t="n">
        <x:v>0.18</x:v>
      </x:c>
      <x:c r="AR224" s="27" t="n">
        <x:v>1</x:v>
      </x:c>
      <x:c r="AS224" s="27" t="n">
        <x:v>0.18</x:v>
      </x:c>
      <x:c r="AT224" s="27" t="n">
        <x:v>0.4</x:v>
      </x:c>
      <x:c r="AU224" s="27" t="n">
        <x:v>1</x:v>
      </x:c>
      <x:c r="AV224" s="27" t="n">
        <x:v>58100000</x:v>
      </x:c>
      <x:c r="AW224" s="27" t="n">
        <x:v>0.7</x:v>
      </x:c>
      <x:c r="AX224" s="27" t="n">
        <x:v>0.7086798510152751</x:v>
      </x:c>
      <x:c r="AY224" s="27" t="n">
        <x:v>0.30000000000000004</x:v>
      </x:c>
      <x:c r="AZ224" s="27" t="n">
        <x:v>12352289.803196246</x:v>
      </x:c>
    </x:row>
    <x:row r="225">
      <x:c r="A225" s="27" t="n">
        <x:v>45702</x:v>
      </x:c>
      <x:c r="B225" s="27" t="str">
        <x:v>IND_SOVEREIGN_001</x:v>
      </x:c>
      <x:c r="C225" s="27" t="n">
        <x:v>3126</x:v>
      </x:c>
      <x:c r="D225" s="27" t="str">
        <x:v>IND-000222</x:v>
      </x:c>
      <x:c r="E225" s="27" t="str">
        <x:v>Commodity Option</x:v>
      </x:c>
      <x:c r="F225" s="27" t="str">
        <x:v>Commodity</x:v>
      </x:c>
      <x:c r="G225" s="27" t="str">
        <x:v>Gold</x:v>
      </x:c>
      <x:c r="H225" s="27" t="str">
        <x:v>Oil</x:v>
      </x:c>
      <x:c r="I225" s="27" t="str">
        <x:v>USD</x:v>
      </x:c>
      <x:c r="J225" s="27" t="str">
        <x:v>USD</x:v>
      </x:c>
      <x:c r="K225" s="27"/>
      <x:c r="L225" s="27"/>
      <x:c r="M225" s="27" t="str">
        <x:v>Oil/USD</x:v>
      </x:c>
      <x:c r="N225" s="27"/>
      <x:c r="O225" s="27"/>
      <x:c r="P225" s="27" t="n">
        <x:v>46228</x:v>
      </x:c>
      <x:c r="Q225" s="27" t="n">
        <x:v>45615</x:v>
      </x:c>
      <x:c r="R225" s="27" t="n">
        <x:v>46228</x:v>
      </x:c>
      <x:c r="S225" s="27" t="n">
        <x:v>29200000</x:v>
      </x:c>
      <x:c r="T225" s="27" t="n">
        <x:v>29200000</x:v>
      </x:c>
      <x:c r="U225" s="27" t="n">
        <x:v>29200000</x:v>
      </x:c>
      <x:c r="V225" s="27" t="str">
        <x:v>U</x:v>
      </x:c>
      <x:c r="W225" s="27" t="str">
        <x:v>N</x:v>
      </x:c>
      <x:c r="X225" s="27"/>
      <x:c r="Y225" s="27" t="str">
        <x:v>S</x:v>
      </x:c>
      <x:c r="Z225" s="27" t="n">
        <x:v>46096</x:v>
      </x:c>
      <x:c r="AA225" s="27" t="str">
        <x:v>C</x:v>
      </x:c>
      <x:c r="AB225" s="27" t="n">
        <x:v>88.998</x:v>
      </x:c>
      <x:c r="AC225" s="27" t="n">
        <x:v>78</x:v>
      </x:c>
      <x:c r="AD225" s="27" t="n">
        <x:v>45990</x:v>
      </x:c>
      <x:c r="AE225" s="27" t="str">
        <x:v>Public-safe anonymized industry-style SA-CCR sample</x:v>
      </x:c>
      <x:c r="AF225" s="27" t="str">
        <x:v>ANON-000222</x:v>
      </x:c>
      <x:c r="AG225" s="27" t="str">
        <x:v>Commodity Option</x:v>
      </x:c>
      <x:c r="AH225" s="27"/>
      <x:c r="AI225" s="27" t="str">
        <x:v>Oil/USD</x:v>
      </x:c>
      <x:c r="AJ225" s="27" t="n">
        <x:v>526</x:v>
      </x:c>
      <x:c r="AK225" s="27" t="n">
        <x:v>1.441095890410959</x:v>
      </x:c>
      <x:c r="AL225" s="27" t="str">
        <x:v>1Y-5Y</x:v>
      </x:c>
      <x:c r="AM225" s="27" t="str">
        <x:v>Metals</x:v>
      </x:c>
      <x:c r="AN225" s="27" t="str">
        <x:v>Gold</x:v>
      </x:c>
      <x:c r="AO225" s="27" t="str">
        <x:v>Metals</x:v>
      </x:c>
      <x:c r="AP225" s="27" t="str">
        <x:v>U</x:v>
      </x:c>
      <x:c r="AQ225" s="27" t="n">
        <x:v>0.18</x:v>
      </x:c>
      <x:c r="AR225" s="27" t="n">
        <x:v>1</x:v>
      </x:c>
      <x:c r="AS225" s="27" t="n">
        <x:v>0.18</x:v>
      </x:c>
      <x:c r="AT225" s="27" t="n">
        <x:v>0.4</x:v>
      </x:c>
      <x:c r="AU225" s="27" t="n">
        <x:v>1</x:v>
      </x:c>
      <x:c r="AV225" s="27" t="n">
        <x:v>29200000</x:v>
      </x:c>
      <x:c r="AW225" s="27" t="n">
        <x:v>0.7</x:v>
      </x:c>
      <x:c r="AX225" s="27" t="n">
        <x:v>-0.5723145498281229</x:v>
      </x:c>
      <x:c r="AY225" s="27" t="n">
        <x:v>1</x:v>
      </x:c>
      <x:c r="AZ225" s="27" t="n">
        <x:v>-16711584.85498119</x:v>
      </x:c>
    </x:row>
    <x:row r="226">
      <x:c r="A226" s="27" t="n">
        <x:v>45702</x:v>
      </x:c>
      <x:c r="B226" s="27" t="str">
        <x:v>IND_HEDGE_FUND_001</x:v>
      </x:c>
      <x:c r="C226" s="27" t="n">
        <x:v>3109</x:v>
      </x:c>
      <x:c r="D226" s="27" t="str">
        <x:v>IND-000223</x:v>
      </x:c>
      <x:c r="E226" s="27" t="str">
        <x:v>Commodity Option</x:v>
      </x:c>
      <x:c r="F226" s="27" t="str">
        <x:v>Commodity</x:v>
      </x:c>
      <x:c r="G226" s="27" t="str">
        <x:v>Gold</x:v>
      </x:c>
      <x:c r="H226" s="27" t="str">
        <x:v>XAU</x:v>
      </x:c>
      <x:c r="I226" s="27" t="str">
        <x:v>CNY</x:v>
      </x:c>
      <x:c r="J226" s="27" t="str">
        <x:v>CNY</x:v>
      </x:c>
      <x:c r="K226" s="27"/>
      <x:c r="L226" s="27"/>
      <x:c r="M226" s="27" t="str">
        <x:v>XAU/CNY</x:v>
      </x:c>
      <x:c r="N226" s="27"/>
      <x:c r="O226" s="27"/>
      <x:c r="P226" s="27" t="n">
        <x:v>47407</x:v>
      </x:c>
      <x:c r="Q226" s="27" t="n">
        <x:v>45069</x:v>
      </x:c>
      <x:c r="R226" s="27" t="n">
        <x:v>47407</x:v>
      </x:c>
      <x:c r="S226" s="27" t="n">
        <x:v>24600</x:v>
      </x:c>
      <x:c r="T226" s="27" t="n">
        <x:v>351428571.43</x:v>
      </x:c>
      <x:c r="U226" s="27" t="n">
        <x:v>49200000</x:v>
      </x:c>
      <x:c r="V226" s="27" t="str">
        <x:v>M</x:v>
      </x:c>
      <x:c r="W226" s="27" t="str">
        <x:v>N</x:v>
      </x:c>
      <x:c r="X226" s="27" t="n">
        <x:v>10</x:v>
      </x:c>
      <x:c r="Y226" s="27" t="str">
        <x:v>B</x:v>
      </x:c>
      <x:c r="Z226" s="27" t="n">
        <x:v>46980</x:v>
      </x:c>
      <x:c r="AA226" s="27" t="str">
        <x:v>C</x:v>
      </x:c>
      <x:c r="AB226" s="27" t="n">
        <x:v>2002.85</x:v>
      </x:c>
      <x:c r="AC226" s="27" t="n">
        <x:v>2050</x:v>
      </x:c>
      <x:c r="AD226" s="27" t="n">
        <x:v>172692</x:v>
      </x:c>
      <x:c r="AE226" s="27" t="str">
        <x:v>Public-safe anonymized industry-style SA-CCR sample</x:v>
      </x:c>
      <x:c r="AF226" s="27" t="str">
        <x:v>ANON-000223</x:v>
      </x:c>
      <x:c r="AG226" s="27" t="str">
        <x:v>Commodity Option</x:v>
      </x:c>
      <x:c r="AH226" s="27"/>
      <x:c r="AI226" s="27" t="str">
        <x:v>XAU/CNY</x:v>
      </x:c>
      <x:c r="AJ226" s="27" t="n">
        <x:v>1705</x:v>
      </x:c>
      <x:c r="AK226" s="27" t="n">
        <x:v>4.671232876712328</x:v>
      </x:c>
      <x:c r="AL226" s="27" t="str">
        <x:v>1Y-5Y</x:v>
      </x:c>
      <x:c r="AM226" s="27" t="str">
        <x:v>Metals</x:v>
      </x:c>
      <x:c r="AN226" s="27" t="str">
        <x:v>Gold</x:v>
      </x:c>
      <x:c r="AO226" s="27" t="str">
        <x:v>Metals</x:v>
      </x:c>
      <x:c r="AP226" s="27" t="str">
        <x:v>M</x:v>
      </x:c>
      <x:c r="AQ226" s="27" t="n">
        <x:v>0.18</x:v>
      </x:c>
      <x:c r="AR226" s="27" t="n">
        <x:v>1</x:v>
      </x:c>
      <x:c r="AS226" s="27" t="n">
        <x:v>0.18</x:v>
      </x:c>
      <x:c r="AT226" s="27" t="n">
        <x:v>0.4</x:v>
      </x:c>
      <x:c r="AU226" s="27" t="n">
        <x:v>1</x:v>
      </x:c>
      <x:c r="AV226" s="27" t="n">
        <x:v>49200000</x:v>
      </x:c>
      <x:c r="AW226" s="27" t="n">
        <x:v>0.7</x:v>
      </x:c>
      <x:c r="AX226" s="27" t="n">
        <x:v>0.7494254117188353</x:v>
      </x:c>
      <x:c r="AY226" s="27" t="n">
        <x:v>0.30000000000000004</x:v>
      </x:c>
      <x:c r="AZ226" s="27" t="n">
        <x:v>11061519.076970011</x:v>
      </x:c>
    </x:row>
    <x:row r="227">
      <x:c r="A227" s="27" t="n">
        <x:v>45702</x:v>
      </x:c>
      <x:c r="B227" s="27" t="str">
        <x:v>IND_BANK_002</x:v>
      </x:c>
      <x:c r="C227" s="27" t="n">
        <x:v>3259</x:v>
      </x:c>
      <x:c r="D227" s="27" t="str">
        <x:v>IND-000224</x:v>
      </x:c>
      <x:c r="E227" s="27" t="str">
        <x:v>Commodity Option</x:v>
      </x:c>
      <x:c r="F227" s="27" t="str">
        <x:v>Commodity</x:v>
      </x:c>
      <x:c r="G227" s="27" t="str">
        <x:v>Gold</x:v>
      </x:c>
      <x:c r="H227" s="27" t="str">
        <x:v>XAU</x:v>
      </x:c>
      <x:c r="I227" s="27" t="str">
        <x:v>CNY</x:v>
      </x:c>
      <x:c r="J227" s="27" t="str">
        <x:v>CNY</x:v>
      </x:c>
      <x:c r="K227" s="27"/>
      <x:c r="L227" s="27"/>
      <x:c r="M227" s="27" t="str">
        <x:v>XAU/CNY</x:v>
      </x:c>
      <x:c r="N227" s="27"/>
      <x:c r="O227" s="27"/>
      <x:c r="P227" s="27" t="n">
        <x:v>46799</x:v>
      </x:c>
      <x:c r="Q227" s="27" t="n">
        <x:v>45241</x:v>
      </x:c>
      <x:c r="R227" s="27" t="n">
        <x:v>46799</x:v>
      </x:c>
      <x:c r="S227" s="27" t="n">
        <x:v>1900</x:v>
      </x:c>
      <x:c r="T227" s="27" t="n">
        <x:v>27142857.14</x:v>
      </x:c>
      <x:c r="U227" s="27" t="n">
        <x:v>3800000</x:v>
      </x:c>
      <x:c r="V227" s="27" t="str">
        <x:v>M</x:v>
      </x:c>
      <x:c r="W227" s="27" t="str">
        <x:v>N</x:v>
      </x:c>
      <x:c r="X227" s="27" t="n">
        <x:v>10</x:v>
      </x:c>
      <x:c r="Y227" s="27" t="str">
        <x:v>B</x:v>
      </x:c>
      <x:c r="Z227" s="27" t="n">
        <x:v>46524</x:v>
      </x:c>
      <x:c r="AA227" s="27" t="str">
        <x:v>P</x:v>
      </x:c>
      <x:c r="AB227" s="27" t="n">
        <x:v>1867.55</x:v>
      </x:c>
      <x:c r="AC227" s="27" t="n">
        <x:v>2050</x:v>
      </x:c>
      <x:c r="AD227" s="27" t="n">
        <x:v>23769</x:v>
      </x:c>
      <x:c r="AE227" s="27" t="str">
        <x:v>Public-safe anonymized industry-style SA-CCR sample</x:v>
      </x:c>
      <x:c r="AF227" s="27" t="str">
        <x:v>ANON-000224</x:v>
      </x:c>
      <x:c r="AG227" s="27" t="str">
        <x:v>Commodity Option</x:v>
      </x:c>
      <x:c r="AH227" s="27"/>
      <x:c r="AI227" s="27" t="str">
        <x:v>XAU/CNY</x:v>
      </x:c>
      <x:c r="AJ227" s="27" t="n">
        <x:v>1097</x:v>
      </x:c>
      <x:c r="AK227" s="27" t="n">
        <x:v>3.0054794520547947</x:v>
      </x:c>
      <x:c r="AL227" s="27" t="str">
        <x:v>1Y-5Y</x:v>
      </x:c>
      <x:c r="AM227" s="27" t="str">
        <x:v>Metals</x:v>
      </x:c>
      <x:c r="AN227" s="27" t="str">
        <x:v>Gold</x:v>
      </x:c>
      <x:c r="AO227" s="27" t="str">
        <x:v>Metals</x:v>
      </x:c>
      <x:c r="AP227" s="27" t="str">
        <x:v>M</x:v>
      </x:c>
      <x:c r="AQ227" s="27" t="n">
        <x:v>0.18</x:v>
      </x:c>
      <x:c r="AR227" s="27" t="n">
        <x:v>1</x:v>
      </x:c>
      <x:c r="AS227" s="27" t="n">
        <x:v>0.18</x:v>
      </x:c>
      <x:c r="AT227" s="27" t="n">
        <x:v>0.4</x:v>
      </x:c>
      <x:c r="AU227" s="27" t="n">
        <x:v>1</x:v>
      </x:c>
      <x:c r="AV227" s="27" t="n">
        <x:v>3800000</x:v>
      </x:c>
      <x:c r="AW227" s="27" t="n">
        <x:v>0.7</x:v>
      </x:c>
      <x:c r="AX227" s="27" t="n">
        <x:v>-0.26961663086273024</x:v>
      </x:c>
      <x:c r="AY227" s="27" t="n">
        <x:v>0.30000000000000004</x:v>
      </x:c>
      <x:c r="AZ227" s="27" t="n">
        <x:v>-307362.95918351255</x:v>
      </x:c>
    </x:row>
    <x:row r="228">
      <x:c r="A228" s="27" t="n">
        <x:v>45702</x:v>
      </x:c>
      <x:c r="B228" s="27" t="str">
        <x:v>IND_ASSET_MANAGER_001</x:v>
      </x:c>
      <x:c r="C228" s="27" t="n">
        <x:v>3331</x:v>
      </x:c>
      <x:c r="D228" s="27" t="str">
        <x:v>IND-000225</x:v>
      </x:c>
      <x:c r="E228" s="27" t="str">
        <x:v>Oil Forward</x:v>
      </x:c>
      <x:c r="F228" s="27" t="str">
        <x:v>Commodity</x:v>
      </x:c>
      <x:c r="G228" s="27" t="str">
        <x:v>Oil</x:v>
      </x:c>
      <x:c r="H228" s="27" t="str">
        <x:v>Oil</x:v>
      </x:c>
      <x:c r="I228" s="27" t="str">
        <x:v>USD</x:v>
      </x:c>
      <x:c r="J228" s="27" t="str">
        <x:v>USD</x:v>
      </x:c>
      <x:c r="K228" s="27"/>
      <x:c r="L228" s="27"/>
      <x:c r="M228" s="27" t="str">
        <x:v>Oil/USD</x:v>
      </x:c>
      <x:c r="N228" s="27"/>
      <x:c r="O228" s="27"/>
      <x:c r="P228" s="27" t="n">
        <x:v>46750</x:v>
      </x:c>
      <x:c r="Q228" s="27" t="n">
        <x:v>44941</x:v>
      </x:c>
      <x:c r="R228" s="27" t="n">
        <x:v>46750</x:v>
      </x:c>
      <x:c r="S228" s="27" t="n">
        <x:v>3600000</x:v>
      </x:c>
      <x:c r="T228" s="27" t="n">
        <x:v>3600000</x:v>
      </x:c>
      <x:c r="U228" s="27" t="n">
        <x:v>3600000</x:v>
      </x:c>
      <x:c r="V228" s="27" t="str">
        <x:v>M</x:v>
      </x:c>
      <x:c r="W228" s="27" t="str">
        <x:v>N</x:v>
      </x:c>
      <x:c r="X228" s="27" t="n">
        <x:v>10</x:v>
      </x:c>
      <x:c r="Y228" s="27" t="str">
        <x:v>B</x:v>
      </x:c>
      <x:c r="Z228" s="27"/>
      <x:c r="AA228" s="27"/>
      <x:c r="AB228" s="27" t="n">
        <x:v>0</x:v>
      </x:c>
      <x:c r="AC228" s="27" t="n">
        <x:v>0</x:v>
      </x:c>
      <x:c r="AD228" s="27" t="n">
        <x:v>-3780</x:v>
      </x:c>
      <x:c r="AE228" s="27" t="str">
        <x:v>Public-safe anonymized industry-style SA-CCR sample</x:v>
      </x:c>
      <x:c r="AF228" s="27" t="str">
        <x:v>ANON-000225</x:v>
      </x:c>
      <x:c r="AG228" s="27" t="str">
        <x:v>Oil Forward</x:v>
      </x:c>
      <x:c r="AH228" s="27"/>
      <x:c r="AI228" s="27" t="str">
        <x:v>Oil/USD</x:v>
      </x:c>
      <x:c r="AJ228" s="27" t="n">
        <x:v>1048</x:v>
      </x:c>
      <x:c r="AK228" s="27" t="n">
        <x:v>2.871232876712329</x:v>
      </x:c>
      <x:c r="AL228" s="27" t="str">
        <x:v>1Y-5Y</x:v>
      </x:c>
      <x:c r="AM228" s="27" t="str">
        <x:v>Energy</x:v>
      </x:c>
      <x:c r="AN228" s="27" t="str">
        <x:v>Oil</x:v>
      </x:c>
      <x:c r="AO228" s="27" t="str">
        <x:v>Energy</x:v>
      </x:c>
      <x:c r="AP228" s="27" t="str">
        <x:v>M</x:v>
      </x:c>
      <x:c r="AQ228" s="27" t="n">
        <x:v>0.18</x:v>
      </x:c>
      <x:c r="AR228" s="27" t="n">
        <x:v>1</x:v>
      </x:c>
      <x:c r="AS228" s="27" t="n">
        <x:v>0.18</x:v>
      </x:c>
      <x:c r="AT228" s="27" t="n">
        <x:v>0.4</x:v>
      </x:c>
      <x:c r="AU228" s="27" t="n">
        <x:v>1</x:v>
      </x:c>
      <x:c r="AV228" s="27" t="n">
        <x:v>3600000</x:v>
      </x:c>
      <x:c r="AW228" s="27" t="n">
        <x:v>0.7</x:v>
      </x:c>
      <x:c r="AX228" s="27" t="n">
        <x:v>1</x:v>
      </x:c>
      <x:c r="AY228" s="27" t="n">
        <x:v>0.30000000000000004</x:v>
      </x:c>
      <x:c r="AZ228" s="27" t="n">
        <x:v>1080000.0000000002</x:v>
      </x:c>
    </x:row>
    <x:row r="229">
      <x:c r="A229" s="27" t="n">
        <x:v>45702</x:v>
      </x:c>
      <x:c r="B229" s="27" t="str">
        <x:v>IND_HEDGE_FUND_001</x:v>
      </x:c>
      <x:c r="C229" s="27" t="n">
        <x:v>3109</x:v>
      </x:c>
      <x:c r="D229" s="27" t="str">
        <x:v>IND-000226</x:v>
      </x:c>
      <x:c r="E229" s="27" t="str">
        <x:v>Oil Forward</x:v>
      </x:c>
      <x:c r="F229" s="27" t="str">
        <x:v>Commodity</x:v>
      </x:c>
      <x:c r="G229" s="27" t="str">
        <x:v>Oil</x:v>
      </x:c>
      <x:c r="H229" s="27" t="str">
        <x:v>Oil</x:v>
      </x:c>
      <x:c r="I229" s="27" t="str">
        <x:v>USD</x:v>
      </x:c>
      <x:c r="J229" s="27" t="str">
        <x:v>USD</x:v>
      </x:c>
      <x:c r="K229" s="27"/>
      <x:c r="L229" s="27"/>
      <x:c r="M229" s="27" t="str">
        <x:v>Oil/USD</x:v>
      </x:c>
      <x:c r="N229" s="27"/>
      <x:c r="O229" s="27"/>
      <x:c r="P229" s="27" t="n">
        <x:v>47861</x:v>
      </x:c>
      <x:c r="Q229" s="27" t="n">
        <x:v>44888</x:v>
      </x:c>
      <x:c r="R229" s="27" t="n">
        <x:v>47861</x:v>
      </x:c>
      <x:c r="S229" s="27" t="n">
        <x:v>1100000</x:v>
      </x:c>
      <x:c r="T229" s="27" t="n">
        <x:v>1100000</x:v>
      </x:c>
      <x:c r="U229" s="27" t="n">
        <x:v>1100000</x:v>
      </x:c>
      <x:c r="V229" s="27" t="str">
        <x:v>M</x:v>
      </x:c>
      <x:c r="W229" s="27" t="str">
        <x:v>N</x:v>
      </x:c>
      <x:c r="X229" s="27" t="n">
        <x:v>10</x:v>
      </x:c>
      <x:c r="Y229" s="27" t="str">
        <x:v>S</x:v>
      </x:c>
      <x:c r="Z229" s="27"/>
      <x:c r="AA229" s="27"/>
      <x:c r="AB229" s="27" t="n">
        <x:v>0</x:v>
      </x:c>
      <x:c r="AC229" s="27" t="n">
        <x:v>0</x:v>
      </x:c>
      <x:c r="AD229" s="27" t="n">
        <x:v>1584</x:v>
      </x:c>
      <x:c r="AE229" s="27" t="str">
        <x:v>Public-safe anonymized industry-style SA-CCR sample</x:v>
      </x:c>
      <x:c r="AF229" s="27" t="str">
        <x:v>ANON-000226</x:v>
      </x:c>
      <x:c r="AG229" s="27" t="str">
        <x:v>Oil Forward</x:v>
      </x:c>
      <x:c r="AH229" s="27"/>
      <x:c r="AI229" s="27" t="str">
        <x:v>Oil/USD</x:v>
      </x:c>
      <x:c r="AJ229" s="27" t="n">
        <x:v>2159</x:v>
      </x:c>
      <x:c r="AK229" s="27" t="n">
        <x:v>5.9150684931506845</x:v>
      </x:c>
      <x:c r="AL229" s="27" t="str">
        <x:v>&gt;5Y</x:v>
      </x:c>
      <x:c r="AM229" s="27" t="str">
        <x:v>Energy</x:v>
      </x:c>
      <x:c r="AN229" s="27" t="str">
        <x:v>Oil</x:v>
      </x:c>
      <x:c r="AO229" s="27" t="str">
        <x:v>Energy</x:v>
      </x:c>
      <x:c r="AP229" s="27" t="str">
        <x:v>M</x:v>
      </x:c>
      <x:c r="AQ229" s="27" t="n">
        <x:v>0.18</x:v>
      </x:c>
      <x:c r="AR229" s="27" t="n">
        <x:v>1</x:v>
      </x:c>
      <x:c r="AS229" s="27" t="n">
        <x:v>0.18</x:v>
      </x:c>
      <x:c r="AT229" s="27" t="n">
        <x:v>0.4</x:v>
      </x:c>
      <x:c r="AU229" s="27" t="n">
        <x:v>1</x:v>
      </x:c>
      <x:c r="AV229" s="27" t="n">
        <x:v>1100000</x:v>
      </x:c>
      <x:c r="AW229" s="27" t="n">
        <x:v>0.7</x:v>
      </x:c>
      <x:c r="AX229" s="27" t="n">
        <x:v>-1</x:v>
      </x:c>
      <x:c r="AY229" s="27" t="n">
        <x:v>0.30000000000000004</x:v>
      </x:c>
      <x:c r="AZ229" s="27" t="n">
        <x:v>-330000.00000000006</x:v>
      </x:c>
    </x:row>
    <x:row r="230">
      <x:c r="A230" s="27" t="n">
        <x:v>45702</x:v>
      </x:c>
      <x:c r="B230" s="27" t="str">
        <x:v>IND_INSURER_001</x:v>
      </x:c>
      <x:c r="C230" s="27" t="n">
        <x:v>3257</x:v>
      </x:c>
      <x:c r="D230" s="27" t="str">
        <x:v>IND-000227</x:v>
      </x:c>
      <x:c r="E230" s="27" t="str">
        <x:v>Oil Forward</x:v>
      </x:c>
      <x:c r="F230" s="27" t="str">
        <x:v>Commodity</x:v>
      </x:c>
      <x:c r="G230" s="27" t="str">
        <x:v>Oil</x:v>
      </x:c>
      <x:c r="H230" s="27" t="str">
        <x:v>Oil</x:v>
      </x:c>
      <x:c r="I230" s="27" t="str">
        <x:v>USD</x:v>
      </x:c>
      <x:c r="J230" s="27" t="str">
        <x:v>USD</x:v>
      </x:c>
      <x:c r="K230" s="27"/>
      <x:c r="L230" s="27"/>
      <x:c r="M230" s="27" t="str">
        <x:v>Oil/USD</x:v>
      </x:c>
      <x:c r="N230" s="27"/>
      <x:c r="O230" s="27"/>
      <x:c r="P230" s="27" t="n">
        <x:v>47653</x:v>
      </x:c>
      <x:c r="Q230" s="27" t="n">
        <x:v>45437</x:v>
      </x:c>
      <x:c r="R230" s="27" t="n">
        <x:v>47653</x:v>
      </x:c>
      <x:c r="S230" s="27" t="n">
        <x:v>4800000</x:v>
      </x:c>
      <x:c r="T230" s="27" t="n">
        <x:v>4800000</x:v>
      </x:c>
      <x:c r="U230" s="27" t="n">
        <x:v>4800000</x:v>
      </x:c>
      <x:c r="V230" s="27" t="str">
        <x:v>M</x:v>
      </x:c>
      <x:c r="W230" s="27" t="str">
        <x:v>N</x:v>
      </x:c>
      <x:c r="X230" s="27" t="n">
        <x:v>10</x:v>
      </x:c>
      <x:c r="Y230" s="27" t="str">
        <x:v>B</x:v>
      </x:c>
      <x:c r="Z230" s="27"/>
      <x:c r="AA230" s="27"/>
      <x:c r="AB230" s="27" t="n">
        <x:v>0</x:v>
      </x:c>
      <x:c r="AC230" s="27" t="n">
        <x:v>0</x:v>
      </x:c>
      <x:c r="AD230" s="27" t="n">
        <x:v>-135504</x:v>
      </x:c>
      <x:c r="AE230" s="27" t="str">
        <x:v>Public-safe anonymized industry-style SA-CCR sample</x:v>
      </x:c>
      <x:c r="AF230" s="27" t="str">
        <x:v>ANON-000227</x:v>
      </x:c>
      <x:c r="AG230" s="27" t="str">
        <x:v>Oil Forward</x:v>
      </x:c>
      <x:c r="AH230" s="27"/>
      <x:c r="AI230" s="27" t="str">
        <x:v>Oil/USD</x:v>
      </x:c>
      <x:c r="AJ230" s="27" t="n">
        <x:v>1951</x:v>
      </x:c>
      <x:c r="AK230" s="27" t="n">
        <x:v>5.345205479452055</x:v>
      </x:c>
      <x:c r="AL230" s="27" t="str">
        <x:v>&gt;5Y</x:v>
      </x:c>
      <x:c r="AM230" s="27" t="str">
        <x:v>Energy</x:v>
      </x:c>
      <x:c r="AN230" s="27" t="str">
        <x:v>Oil</x:v>
      </x:c>
      <x:c r="AO230" s="27" t="str">
        <x:v>Energy</x:v>
      </x:c>
      <x:c r="AP230" s="27" t="str">
        <x:v>M</x:v>
      </x:c>
      <x:c r="AQ230" s="27" t="n">
        <x:v>0.18</x:v>
      </x:c>
      <x:c r="AR230" s="27" t="n">
        <x:v>1</x:v>
      </x:c>
      <x:c r="AS230" s="27" t="n">
        <x:v>0.18</x:v>
      </x:c>
      <x:c r="AT230" s="27" t="n">
        <x:v>0.4</x:v>
      </x:c>
      <x:c r="AU230" s="27" t="n">
        <x:v>1</x:v>
      </x:c>
      <x:c r="AV230" s="27" t="n">
        <x:v>4800000</x:v>
      </x:c>
      <x:c r="AW230" s="27" t="n">
        <x:v>0.7</x:v>
      </x:c>
      <x:c r="AX230" s="27" t="n">
        <x:v>1</x:v>
      </x:c>
      <x:c r="AY230" s="27" t="n">
        <x:v>0.30000000000000004</x:v>
      </x:c>
      <x:c r="AZ230" s="27" t="n">
        <x:v>1440000.0000000002</x:v>
      </x:c>
    </x:row>
    <x:row r="231">
      <x:c r="A231" s="27" t="n">
        <x:v>45702</x:v>
      </x:c>
      <x:c r="B231" s="27" t="str">
        <x:v>IND_PENSION_001</x:v>
      </x:c>
      <x:c r="C231" s="27" t="n">
        <x:v>3113</x:v>
      </x:c>
      <x:c r="D231" s="27" t="str">
        <x:v>IND-000228</x:v>
      </x:c>
      <x:c r="E231" s="27" t="str">
        <x:v>Oil Forward</x:v>
      </x:c>
      <x:c r="F231" s="27" t="str">
        <x:v>Commodity</x:v>
      </x:c>
      <x:c r="G231" s="27" t="str">
        <x:v>Oil</x:v>
      </x:c>
      <x:c r="H231" s="27" t="str">
        <x:v>Oil</x:v>
      </x:c>
      <x:c r="I231" s="27" t="str">
        <x:v>USD</x:v>
      </x:c>
      <x:c r="J231" s="27" t="str">
        <x:v>USD</x:v>
      </x:c>
      <x:c r="K231" s="27"/>
      <x:c r="L231" s="27"/>
      <x:c r="M231" s="27" t="str">
        <x:v>Oil/USD</x:v>
      </x:c>
      <x:c r="N231" s="27"/>
      <x:c r="O231" s="27"/>
      <x:c r="P231" s="27" t="n">
        <x:v>47172</x:v>
      </x:c>
      <x:c r="Q231" s="27" t="n">
        <x:v>45467</x:v>
      </x:c>
      <x:c r="R231" s="27" t="n">
        <x:v>47172</x:v>
      </x:c>
      <x:c r="S231" s="27" t="n">
        <x:v>4900000</x:v>
      </x:c>
      <x:c r="T231" s="27" t="n">
        <x:v>4900000</x:v>
      </x:c>
      <x:c r="U231" s="27" t="n">
        <x:v>4900000</x:v>
      </x:c>
      <x:c r="V231" s="27" t="str">
        <x:v>M</x:v>
      </x:c>
      <x:c r="W231" s="27" t="str">
        <x:v>N</x:v>
      </x:c>
      <x:c r="X231" s="27" t="n">
        <x:v>10</x:v>
      </x:c>
      <x:c r="Y231" s="27" t="str">
        <x:v>S</x:v>
      </x:c>
      <x:c r="Z231" s="27"/>
      <x:c r="AA231" s="27"/>
      <x:c r="AB231" s="27" t="n">
        <x:v>0</x:v>
      </x:c>
      <x:c r="AC231" s="27" t="n">
        <x:v>0</x:v>
      </x:c>
      <x:c r="AD231" s="27" t="n">
        <x:v>6321</x:v>
      </x:c>
      <x:c r="AE231" s="27" t="str">
        <x:v>Public-safe anonymized industry-style SA-CCR sample</x:v>
      </x:c>
      <x:c r="AF231" s="27" t="str">
        <x:v>ANON-000228</x:v>
      </x:c>
      <x:c r="AG231" s="27" t="str">
        <x:v>Oil Forward</x:v>
      </x:c>
      <x:c r="AH231" s="27"/>
      <x:c r="AI231" s="27" t="str">
        <x:v>Oil/USD</x:v>
      </x:c>
      <x:c r="AJ231" s="27" t="n">
        <x:v>1470</x:v>
      </x:c>
      <x:c r="AK231" s="27" t="n">
        <x:v>4.027397260273973</x:v>
      </x:c>
      <x:c r="AL231" s="27" t="str">
        <x:v>1Y-5Y</x:v>
      </x:c>
      <x:c r="AM231" s="27" t="str">
        <x:v>Energy</x:v>
      </x:c>
      <x:c r="AN231" s="27" t="str">
        <x:v>Oil</x:v>
      </x:c>
      <x:c r="AO231" s="27" t="str">
        <x:v>Energy</x:v>
      </x:c>
      <x:c r="AP231" s="27" t="str">
        <x:v>M</x:v>
      </x:c>
      <x:c r="AQ231" s="27" t="n">
        <x:v>0.18</x:v>
      </x:c>
      <x:c r="AR231" s="27" t="n">
        <x:v>1</x:v>
      </x:c>
      <x:c r="AS231" s="27" t="n">
        <x:v>0.18</x:v>
      </x:c>
      <x:c r="AT231" s="27" t="n">
        <x:v>0.4</x:v>
      </x:c>
      <x:c r="AU231" s="27" t="n">
        <x:v>1</x:v>
      </x:c>
      <x:c r="AV231" s="27" t="n">
        <x:v>4900000</x:v>
      </x:c>
      <x:c r="AW231" s="27" t="n">
        <x:v>0.7</x:v>
      </x:c>
      <x:c r="AX231" s="27" t="n">
        <x:v>-1</x:v>
      </x:c>
      <x:c r="AY231" s="27" t="n">
        <x:v>0.30000000000000004</x:v>
      </x:c>
      <x:c r="AZ231" s="27" t="n">
        <x:v>-1470000.0000000002</x:v>
      </x:c>
    </x:row>
    <x:row r="232">
      <x:c r="A232" s="27" t="n">
        <x:v>45702</x:v>
      </x:c>
      <x:c r="B232" s="27" t="str">
        <x:v>IND_ASSET_MANAGER_001</x:v>
      </x:c>
      <x:c r="C232" s="27" t="n">
        <x:v>3205</x:v>
      </x:c>
      <x:c r="D232" s="27" t="str">
        <x:v>IND-000229</x:v>
      </x:c>
      <x:c r="E232" s="27" t="str">
        <x:v>Oil Forward</x:v>
      </x:c>
      <x:c r="F232" s="27" t="str">
        <x:v>Commodity</x:v>
      </x:c>
      <x:c r="G232" s="27" t="str">
        <x:v>Oil</x:v>
      </x:c>
      <x:c r="H232" s="27" t="str">
        <x:v>Oil</x:v>
      </x:c>
      <x:c r="I232" s="27" t="str">
        <x:v>USD</x:v>
      </x:c>
      <x:c r="J232" s="27" t="str">
        <x:v>USD</x:v>
      </x:c>
      <x:c r="K232" s="27"/>
      <x:c r="L232" s="27"/>
      <x:c r="M232" s="27" t="str">
        <x:v>Oil/USD</x:v>
      </x:c>
      <x:c r="N232" s="27"/>
      <x:c r="O232" s="27"/>
      <x:c r="P232" s="27" t="n">
        <x:v>46300</x:v>
      </x:c>
      <x:c r="Q232" s="27" t="n">
        <x:v>45352</x:v>
      </x:c>
      <x:c r="R232" s="27" t="n">
        <x:v>46300</x:v>
      </x:c>
      <x:c r="S232" s="27" t="n">
        <x:v>43200000</x:v>
      </x:c>
      <x:c r="T232" s="27" t="n">
        <x:v>43200000</x:v>
      </x:c>
      <x:c r="U232" s="27" t="n">
        <x:v>43200000</x:v>
      </x:c>
      <x:c r="V232" s="27" t="str">
        <x:v>U</x:v>
      </x:c>
      <x:c r="W232" s="27" t="str">
        <x:v>N</x:v>
      </x:c>
      <x:c r="X232" s="27"/>
      <x:c r="Y232" s="27" t="str">
        <x:v>S</x:v>
      </x:c>
      <x:c r="Z232" s="27"/>
      <x:c r="AA232" s="27"/>
      <x:c r="AB232" s="27" t="n">
        <x:v>0</x:v>
      </x:c>
      <x:c r="AC232" s="27" t="n">
        <x:v>0</x:v>
      </x:c>
      <x:c r="AD232" s="27" t="n">
        <x:v>-145152</x:v>
      </x:c>
      <x:c r="AE232" s="27" t="str">
        <x:v>Public-safe anonymized industry-style SA-CCR sample</x:v>
      </x:c>
      <x:c r="AF232" s="27" t="str">
        <x:v>ANON-000229</x:v>
      </x:c>
      <x:c r="AG232" s="27" t="str">
        <x:v>Oil Forward</x:v>
      </x:c>
      <x:c r="AH232" s="27"/>
      <x:c r="AI232" s="27" t="str">
        <x:v>Oil/USD</x:v>
      </x:c>
      <x:c r="AJ232" s="27" t="n">
        <x:v>598</x:v>
      </x:c>
      <x:c r="AK232" s="27" t="n">
        <x:v>1.6383561643835616</x:v>
      </x:c>
      <x:c r="AL232" s="27" t="str">
        <x:v>1Y-5Y</x:v>
      </x:c>
      <x:c r="AM232" s="27" t="str">
        <x:v>Energy</x:v>
      </x:c>
      <x:c r="AN232" s="27" t="str">
        <x:v>Oil</x:v>
      </x:c>
      <x:c r="AO232" s="27" t="str">
        <x:v>Energy</x:v>
      </x:c>
      <x:c r="AP232" s="27" t="str">
        <x:v>U</x:v>
      </x:c>
      <x:c r="AQ232" s="27" t="n">
        <x:v>0.18</x:v>
      </x:c>
      <x:c r="AR232" s="27" t="n">
        <x:v>1</x:v>
      </x:c>
      <x:c r="AS232" s="27" t="n">
        <x:v>0.18</x:v>
      </x:c>
      <x:c r="AT232" s="27" t="n">
        <x:v>0.4</x:v>
      </x:c>
      <x:c r="AU232" s="27" t="n">
        <x:v>1</x:v>
      </x:c>
      <x:c r="AV232" s="27" t="n">
        <x:v>43200000</x:v>
      </x:c>
      <x:c r="AW232" s="27" t="n">
        <x:v>0.7</x:v>
      </x:c>
      <x:c r="AX232" s="27" t="n">
        <x:v>-1</x:v>
      </x:c>
      <x:c r="AY232" s="27" t="n">
        <x:v>1</x:v>
      </x:c>
      <x:c r="AZ232" s="27" t="n">
        <x:v>-43200000</x:v>
      </x:c>
    </x:row>
    <x:row r="233">
      <x:c r="A233" s="27" t="n">
        <x:v>45702</x:v>
      </x:c>
      <x:c r="B233" s="27" t="str">
        <x:v>IND_BANK_002</x:v>
      </x:c>
      <x:c r="C233" s="27" t="n">
        <x:v>3259</x:v>
      </x:c>
      <x:c r="D233" s="27" t="str">
        <x:v>IND-000230</x:v>
      </x:c>
      <x:c r="E233" s="27" t="str">
        <x:v>Oil Forward</x:v>
      </x:c>
      <x:c r="F233" s="27" t="str">
        <x:v>Commodity</x:v>
      </x:c>
      <x:c r="G233" s="27" t="str">
        <x:v>Oil</x:v>
      </x:c>
      <x:c r="H233" s="27" t="str">
        <x:v>Oil</x:v>
      </x:c>
      <x:c r="I233" s="27" t="str">
        <x:v>USD</x:v>
      </x:c>
      <x:c r="J233" s="27" t="str">
        <x:v>USD</x:v>
      </x:c>
      <x:c r="K233" s="27"/>
      <x:c r="L233" s="27"/>
      <x:c r="M233" s="27" t="str">
        <x:v>Oil/USD</x:v>
      </x:c>
      <x:c r="N233" s="27"/>
      <x:c r="O233" s="27"/>
      <x:c r="P233" s="27" t="n">
        <x:v>46946</x:v>
      </x:c>
      <x:c r="Q233" s="27" t="n">
        <x:v>45643</x:v>
      </x:c>
      <x:c r="R233" s="27" t="n">
        <x:v>46946</x:v>
      </x:c>
      <x:c r="S233" s="27" t="n">
        <x:v>13500000</x:v>
      </x:c>
      <x:c r="T233" s="27" t="n">
        <x:v>13500000</x:v>
      </x:c>
      <x:c r="U233" s="27" t="n">
        <x:v>13500000</x:v>
      </x:c>
      <x:c r="V233" s="27" t="str">
        <x:v>M</x:v>
      </x:c>
      <x:c r="W233" s="27" t="str">
        <x:v>N</x:v>
      </x:c>
      <x:c r="X233" s="27" t="n">
        <x:v>10</x:v>
      </x:c>
      <x:c r="Y233" s="27" t="str">
        <x:v>S</x:v>
      </x:c>
      <x:c r="Z233" s="27"/>
      <x:c r="AA233" s="27"/>
      <x:c r="AB233" s="27" t="n">
        <x:v>0</x:v>
      </x:c>
      <x:c r="AC233" s="27" t="n">
        <x:v>0</x:v>
      </x:c>
      <x:c r="AD233" s="27" t="n">
        <x:v>363285</x:v>
      </x:c>
      <x:c r="AE233" s="27" t="str">
        <x:v>Public-safe anonymized industry-style SA-CCR sample</x:v>
      </x:c>
      <x:c r="AF233" s="27" t="str">
        <x:v>ANON-000230</x:v>
      </x:c>
      <x:c r="AG233" s="27" t="str">
        <x:v>Oil Forward</x:v>
      </x:c>
      <x:c r="AH233" s="27"/>
      <x:c r="AI233" s="27" t="str">
        <x:v>Oil/USD</x:v>
      </x:c>
      <x:c r="AJ233" s="27" t="n">
        <x:v>1244</x:v>
      </x:c>
      <x:c r="AK233" s="27" t="n">
        <x:v>3.408219178082192</x:v>
      </x:c>
      <x:c r="AL233" s="27" t="str">
        <x:v>1Y-5Y</x:v>
      </x:c>
      <x:c r="AM233" s="27" t="str">
        <x:v>Energy</x:v>
      </x:c>
      <x:c r="AN233" s="27" t="str">
        <x:v>Oil</x:v>
      </x:c>
      <x:c r="AO233" s="27" t="str">
        <x:v>Energy</x:v>
      </x:c>
      <x:c r="AP233" s="27" t="str">
        <x:v>M</x:v>
      </x:c>
      <x:c r="AQ233" s="27" t="n">
        <x:v>0.18</x:v>
      </x:c>
      <x:c r="AR233" s="27" t="n">
        <x:v>1</x:v>
      </x:c>
      <x:c r="AS233" s="27" t="n">
        <x:v>0.18</x:v>
      </x:c>
      <x:c r="AT233" s="27" t="n">
        <x:v>0.4</x:v>
      </x:c>
      <x:c r="AU233" s="27" t="n">
        <x:v>1</x:v>
      </x:c>
      <x:c r="AV233" s="27" t="n">
        <x:v>13500000</x:v>
      </x:c>
      <x:c r="AW233" s="27" t="n">
        <x:v>0.7</x:v>
      </x:c>
      <x:c r="AX233" s="27" t="n">
        <x:v>-1</x:v>
      </x:c>
      <x:c r="AY233" s="27" t="n">
        <x:v>0.30000000000000004</x:v>
      </x:c>
      <x:c r="AZ233" s="27" t="n">
        <x:v>-4050000.0000000005</x:v>
      </x:c>
    </x:row>
    <x:row r="234">
      <x:c r="A234" s="27" t="n">
        <x:v>45702</x:v>
      </x:c>
      <x:c r="B234" s="27" t="str">
        <x:v>IND_CORPORATE_001</x:v>
      </x:c>
      <x:c r="C234" s="27" t="n">
        <x:v>3100</x:v>
      </x:c>
      <x:c r="D234" s="27" t="str">
        <x:v>IND-000231</x:v>
      </x:c>
      <x:c r="E234" s="27" t="str">
        <x:v>Oil Forward</x:v>
      </x:c>
      <x:c r="F234" s="27" t="str">
        <x:v>Commodity</x:v>
      </x:c>
      <x:c r="G234" s="27" t="str">
        <x:v>Oil</x:v>
      </x:c>
      <x:c r="H234" s="27" t="str">
        <x:v>Oil</x:v>
      </x:c>
      <x:c r="I234" s="27" t="str">
        <x:v>USD</x:v>
      </x:c>
      <x:c r="J234" s="27" t="str">
        <x:v>USD</x:v>
      </x:c>
      <x:c r="K234" s="27"/>
      <x:c r="L234" s="27"/>
      <x:c r="M234" s="27" t="str">
        <x:v>Oil/USD</x:v>
      </x:c>
      <x:c r="N234" s="27"/>
      <x:c r="O234" s="27"/>
      <x:c r="P234" s="27" t="n">
        <x:v>47100</x:v>
      </x:c>
      <x:c r="Q234" s="27" t="n">
        <x:v>45566</x:v>
      </x:c>
      <x:c r="R234" s="27" t="n">
        <x:v>47100</x:v>
      </x:c>
      <x:c r="S234" s="27" t="n">
        <x:v>5300000</x:v>
      </x:c>
      <x:c r="T234" s="27" t="n">
        <x:v>5300000</x:v>
      </x:c>
      <x:c r="U234" s="27" t="n">
        <x:v>5300000</x:v>
      </x:c>
      <x:c r="V234" s="27" t="str">
        <x:v>M</x:v>
      </x:c>
      <x:c r="W234" s="27" t="str">
        <x:v>N</x:v>
      </x:c>
      <x:c r="X234" s="27" t="n">
        <x:v>10</x:v>
      </x:c>
      <x:c r="Y234" s="27" t="str">
        <x:v>B</x:v>
      </x:c>
      <x:c r="Z234" s="27"/>
      <x:c r="AA234" s="27"/>
      <x:c r="AB234" s="27" t="n">
        <x:v>0</x:v>
      </x:c>
      <x:c r="AC234" s="27" t="n">
        <x:v>0</x:v>
      </x:c>
      <x:c r="AD234" s="27" t="n">
        <x:v>-92697</x:v>
      </x:c>
      <x:c r="AE234" s="27" t="str">
        <x:v>Public-safe anonymized industry-style SA-CCR sample</x:v>
      </x:c>
      <x:c r="AF234" s="27" t="str">
        <x:v>ANON-000231</x:v>
      </x:c>
      <x:c r="AG234" s="27" t="str">
        <x:v>Oil Forward</x:v>
      </x:c>
      <x:c r="AH234" s="27"/>
      <x:c r="AI234" s="27" t="str">
        <x:v>Oil/USD</x:v>
      </x:c>
      <x:c r="AJ234" s="27" t="n">
        <x:v>1398</x:v>
      </x:c>
      <x:c r="AK234" s="27" t="n">
        <x:v>3.83013698630137</x:v>
      </x:c>
      <x:c r="AL234" s="27" t="str">
        <x:v>1Y-5Y</x:v>
      </x:c>
      <x:c r="AM234" s="27" t="str">
        <x:v>Energy</x:v>
      </x:c>
      <x:c r="AN234" s="27" t="str">
        <x:v>Oil</x:v>
      </x:c>
      <x:c r="AO234" s="27" t="str">
        <x:v>Energy</x:v>
      </x:c>
      <x:c r="AP234" s="27" t="str">
        <x:v>M</x:v>
      </x:c>
      <x:c r="AQ234" s="27" t="n">
        <x:v>0.18</x:v>
      </x:c>
      <x:c r="AR234" s="27" t="n">
        <x:v>1</x:v>
      </x:c>
      <x:c r="AS234" s="27" t="n">
        <x:v>0.18</x:v>
      </x:c>
      <x:c r="AT234" s="27" t="n">
        <x:v>0.4</x:v>
      </x:c>
      <x:c r="AU234" s="27" t="n">
        <x:v>1</x:v>
      </x:c>
      <x:c r="AV234" s="27" t="n">
        <x:v>5300000</x:v>
      </x:c>
      <x:c r="AW234" s="27" t="n">
        <x:v>0.7</x:v>
      </x:c>
      <x:c r="AX234" s="27" t="n">
        <x:v>1</x:v>
      </x:c>
      <x:c r="AY234" s="27" t="n">
        <x:v>0.30000000000000004</x:v>
      </x:c>
      <x:c r="AZ234" s="27" t="n">
        <x:v>1590000.0000000002</x:v>
      </x:c>
    </x:row>
    <x:row r="235">
      <x:c r="A235" s="27" t="n">
        <x:v>45702</x:v>
      </x:c>
      <x:c r="B235" s="27" t="str">
        <x:v>IND_CLEARING_MEMBER_001</x:v>
      </x:c>
      <x:c r="C235" s="27" t="n">
        <x:v>3186</x:v>
      </x:c>
      <x:c r="D235" s="27" t="str">
        <x:v>IND-000232</x:v>
      </x:c>
      <x:c r="E235" s="27" t="str">
        <x:v>Oil Forward</x:v>
      </x:c>
      <x:c r="F235" s="27" t="str">
        <x:v>Commodity</x:v>
      </x:c>
      <x:c r="G235" s="27" t="str">
        <x:v>Oil</x:v>
      </x:c>
      <x:c r="H235" s="27" t="str">
        <x:v>Oil</x:v>
      </x:c>
      <x:c r="I235" s="27" t="str">
        <x:v>USD</x:v>
      </x:c>
      <x:c r="J235" s="27" t="str">
        <x:v>USD</x:v>
      </x:c>
      <x:c r="K235" s="27"/>
      <x:c r="L235" s="27"/>
      <x:c r="M235" s="27" t="str">
        <x:v>Oil/USD</x:v>
      </x:c>
      <x:c r="N235" s="27"/>
      <x:c r="O235" s="27"/>
      <x:c r="P235" s="27" t="n">
        <x:v>46732</x:v>
      </x:c>
      <x:c r="Q235" s="27" t="n">
        <x:v>45208</x:v>
      </x:c>
      <x:c r="R235" s="27" t="n">
        <x:v>46732</x:v>
      </x:c>
      <x:c r="S235" s="27" t="n">
        <x:v>18800000</x:v>
      </x:c>
      <x:c r="T235" s="27" t="n">
        <x:v>18800000</x:v>
      </x:c>
      <x:c r="U235" s="27" t="n">
        <x:v>18800000</x:v>
      </x:c>
      <x:c r="V235" s="27" t="str">
        <x:v>U</x:v>
      </x:c>
      <x:c r="W235" s="27" t="str">
        <x:v>N</x:v>
      </x:c>
      <x:c r="X235" s="27"/>
      <x:c r="Y235" s="27" t="str">
        <x:v>B</x:v>
      </x:c>
      <x:c r="Z235" s="27"/>
      <x:c r="AA235" s="27"/>
      <x:c r="AB235" s="27" t="n">
        <x:v>0</x:v>
      </x:c>
      <x:c r="AC235" s="27" t="n">
        <x:v>0</x:v>
      </x:c>
      <x:c r="AD235" s="27" t="n">
        <x:v>469248</x:v>
      </x:c>
      <x:c r="AE235" s="27" t="str">
        <x:v>Public-safe anonymized industry-style SA-CCR sample</x:v>
      </x:c>
      <x:c r="AF235" s="27" t="str">
        <x:v>ANON-000232</x:v>
      </x:c>
      <x:c r="AG235" s="27" t="str">
        <x:v>Oil Forward</x:v>
      </x:c>
      <x:c r="AH235" s="27"/>
      <x:c r="AI235" s="27" t="str">
        <x:v>Oil/USD</x:v>
      </x:c>
      <x:c r="AJ235" s="27" t="n">
        <x:v>1030</x:v>
      </x:c>
      <x:c r="AK235" s="27" t="n">
        <x:v>2.8219178082191783</x:v>
      </x:c>
      <x:c r="AL235" s="27" t="str">
        <x:v>1Y-5Y</x:v>
      </x:c>
      <x:c r="AM235" s="27" t="str">
        <x:v>Energy</x:v>
      </x:c>
      <x:c r="AN235" s="27" t="str">
        <x:v>Oil</x:v>
      </x:c>
      <x:c r="AO235" s="27" t="str">
        <x:v>Energy</x:v>
      </x:c>
      <x:c r="AP235" s="27" t="str">
        <x:v>U</x:v>
      </x:c>
      <x:c r="AQ235" s="27" t="n">
        <x:v>0.18</x:v>
      </x:c>
      <x:c r="AR235" s="27" t="n">
        <x:v>1</x:v>
      </x:c>
      <x:c r="AS235" s="27" t="n">
        <x:v>0.18</x:v>
      </x:c>
      <x:c r="AT235" s="27" t="n">
        <x:v>0.4</x:v>
      </x:c>
      <x:c r="AU235" s="27" t="n">
        <x:v>1</x:v>
      </x:c>
      <x:c r="AV235" s="27" t="n">
        <x:v>18800000</x:v>
      </x:c>
      <x:c r="AW235" s="27" t="n">
        <x:v>0.7</x:v>
      </x:c>
      <x:c r="AX235" s="27" t="n">
        <x:v>1</x:v>
      </x:c>
      <x:c r="AY235" s="27" t="n">
        <x:v>1</x:v>
      </x:c>
      <x:c r="AZ235" s="27" t="n">
        <x:v>18800000</x:v>
      </x:c>
    </x:row>
    <x:row r="236">
      <x:c r="A236" s="27" t="n">
        <x:v>45702</x:v>
      </x:c>
      <x:c r="B236" s="27" t="str">
        <x:v>IND_CORPORATE_002</x:v>
      </x:c>
      <x:c r="C236" s="27" t="n">
        <x:v>3126</x:v>
      </x:c>
      <x:c r="D236" s="27" t="str">
        <x:v>IND-000233</x:v>
      </x:c>
      <x:c r="E236" s="27" t="str">
        <x:v>Oil Forward</x:v>
      </x:c>
      <x:c r="F236" s="27" t="str">
        <x:v>Commodity</x:v>
      </x:c>
      <x:c r="G236" s="27" t="str">
        <x:v>Oil</x:v>
      </x:c>
      <x:c r="H236" s="27" t="str">
        <x:v>Oil</x:v>
      </x:c>
      <x:c r="I236" s="27" t="str">
        <x:v>USD</x:v>
      </x:c>
      <x:c r="J236" s="27" t="str">
        <x:v>USD</x:v>
      </x:c>
      <x:c r="K236" s="27"/>
      <x:c r="L236" s="27"/>
      <x:c r="M236" s="27" t="str">
        <x:v>Oil/USD</x:v>
      </x:c>
      <x:c r="N236" s="27"/>
      <x:c r="O236" s="27"/>
      <x:c r="P236" s="27" t="n">
        <x:v>47644</x:v>
      </x:c>
      <x:c r="Q236" s="27" t="n">
        <x:v>45646</x:v>
      </x:c>
      <x:c r="R236" s="27" t="n">
        <x:v>47644</x:v>
      </x:c>
      <x:c r="S236" s="27" t="n">
        <x:v>7800000</x:v>
      </x:c>
      <x:c r="T236" s="27" t="n">
        <x:v>7800000</x:v>
      </x:c>
      <x:c r="U236" s="27" t="n">
        <x:v>7800000</x:v>
      </x:c>
      <x:c r="V236" s="27" t="str">
        <x:v>M</x:v>
      </x:c>
      <x:c r="W236" s="27" t="str">
        <x:v>N</x:v>
      </x:c>
      <x:c r="X236" s="27" t="n">
        <x:v>10</x:v>
      </x:c>
      <x:c r="Y236" s="27" t="str">
        <x:v>S</x:v>
      </x:c>
      <x:c r="Z236" s="27"/>
      <x:c r="AA236" s="27"/>
      <x:c r="AB236" s="27" t="n">
        <x:v>0</x:v>
      </x:c>
      <x:c r="AC236" s="27" t="n">
        <x:v>0</x:v>
      </x:c>
      <x:c r="AD236" s="27" t="n">
        <x:v>-138294</x:v>
      </x:c>
      <x:c r="AE236" s="27" t="str">
        <x:v>Public-safe anonymized industry-style SA-CCR sample</x:v>
      </x:c>
      <x:c r="AF236" s="27" t="str">
        <x:v>ANON-000233</x:v>
      </x:c>
      <x:c r="AG236" s="27" t="str">
        <x:v>Oil Forward</x:v>
      </x:c>
      <x:c r="AH236" s="27"/>
      <x:c r="AI236" s="27" t="str">
        <x:v>Oil/USD</x:v>
      </x:c>
      <x:c r="AJ236" s="27" t="n">
        <x:v>1942</x:v>
      </x:c>
      <x:c r="AK236" s="27" t="n">
        <x:v>5.32054794520548</x:v>
      </x:c>
      <x:c r="AL236" s="27" t="str">
        <x:v>&gt;5Y</x:v>
      </x:c>
      <x:c r="AM236" s="27" t="str">
        <x:v>Energy</x:v>
      </x:c>
      <x:c r="AN236" s="27" t="str">
        <x:v>Oil</x:v>
      </x:c>
      <x:c r="AO236" s="27" t="str">
        <x:v>Energy</x:v>
      </x:c>
      <x:c r="AP236" s="27" t="str">
        <x:v>M</x:v>
      </x:c>
      <x:c r="AQ236" s="27" t="n">
        <x:v>0.18</x:v>
      </x:c>
      <x:c r="AR236" s="27" t="n">
        <x:v>1</x:v>
      </x:c>
      <x:c r="AS236" s="27" t="n">
        <x:v>0.18</x:v>
      </x:c>
      <x:c r="AT236" s="27" t="n">
        <x:v>0.4</x:v>
      </x:c>
      <x:c r="AU236" s="27" t="n">
        <x:v>1</x:v>
      </x:c>
      <x:c r="AV236" s="27" t="n">
        <x:v>7800000</x:v>
      </x:c>
      <x:c r="AW236" s="27" t="n">
        <x:v>0.7</x:v>
      </x:c>
      <x:c r="AX236" s="27" t="n">
        <x:v>-1</x:v>
      </x:c>
      <x:c r="AY236" s="27" t="n">
        <x:v>0.30000000000000004</x:v>
      </x:c>
      <x:c r="AZ236" s="27" t="n">
        <x:v>-2340000.0000000005</x:v>
      </x:c>
    </x:row>
    <x:row r="237">
      <x:c r="A237" s="27" t="n">
        <x:v>45702</x:v>
      </x:c>
      <x:c r="B237" s="27" t="str">
        <x:v>IND_CORPORATE_002</x:v>
      </x:c>
      <x:c r="C237" s="27" t="n">
        <x:v>3126</x:v>
      </x:c>
      <x:c r="D237" s="27" t="str">
        <x:v>IND-000234</x:v>
      </x:c>
      <x:c r="E237" s="27" t="str">
        <x:v>Oil Forward</x:v>
      </x:c>
      <x:c r="F237" s="27" t="str">
        <x:v>Commodity</x:v>
      </x:c>
      <x:c r="G237" s="27" t="str">
        <x:v>Oil</x:v>
      </x:c>
      <x:c r="H237" s="27" t="str">
        <x:v>Oil</x:v>
      </x:c>
      <x:c r="I237" s="27" t="str">
        <x:v>USD</x:v>
      </x:c>
      <x:c r="J237" s="27" t="str">
        <x:v>USD</x:v>
      </x:c>
      <x:c r="K237" s="27"/>
      <x:c r="L237" s="27"/>
      <x:c r="M237" s="27" t="str">
        <x:v>Oil/USD</x:v>
      </x:c>
      <x:c r="N237" s="27"/>
      <x:c r="O237" s="27"/>
      <x:c r="P237" s="27" t="n">
        <x:v>46893</x:v>
      </x:c>
      <x:c r="Q237" s="27" t="n">
        <x:v>45576</x:v>
      </x:c>
      <x:c r="R237" s="27" t="n">
        <x:v>46893</x:v>
      </x:c>
      <x:c r="S237" s="27" t="n">
        <x:v>38500000</x:v>
      </x:c>
      <x:c r="T237" s="27" t="n">
        <x:v>38500000</x:v>
      </x:c>
      <x:c r="U237" s="27" t="n">
        <x:v>38500000</x:v>
      </x:c>
      <x:c r="V237" s="27" t="str">
        <x:v>M</x:v>
      </x:c>
      <x:c r="W237" s="27" t="str">
        <x:v>N</x:v>
      </x:c>
      <x:c r="X237" s="27" t="n">
        <x:v>10</x:v>
      </x:c>
      <x:c r="Y237" s="27" t="str">
        <x:v>B</x:v>
      </x:c>
      <x:c r="Z237" s="27"/>
      <x:c r="AA237" s="27"/>
      <x:c r="AB237" s="27" t="n">
        <x:v>0</x:v>
      </x:c>
      <x:c r="AC237" s="27" t="n">
        <x:v>0</x:v>
      </x:c>
      <x:c r="AD237" s="27" t="n">
        <x:v>-629475</x:v>
      </x:c>
      <x:c r="AE237" s="27" t="str">
        <x:v>Public-safe anonymized industry-style SA-CCR sample</x:v>
      </x:c>
      <x:c r="AF237" s="27" t="str">
        <x:v>ANON-000234</x:v>
      </x:c>
      <x:c r="AG237" s="27" t="str">
        <x:v>Oil Forward</x:v>
      </x:c>
      <x:c r="AH237" s="27"/>
      <x:c r="AI237" s="27" t="str">
        <x:v>Oil/USD</x:v>
      </x:c>
      <x:c r="AJ237" s="27" t="n">
        <x:v>1191</x:v>
      </x:c>
      <x:c r="AK237" s="27" t="n">
        <x:v>3.263013698630137</x:v>
      </x:c>
      <x:c r="AL237" s="27" t="str">
        <x:v>1Y-5Y</x:v>
      </x:c>
      <x:c r="AM237" s="27" t="str">
        <x:v>Energy</x:v>
      </x:c>
      <x:c r="AN237" s="27" t="str">
        <x:v>Oil</x:v>
      </x:c>
      <x:c r="AO237" s="27" t="str">
        <x:v>Energy</x:v>
      </x:c>
      <x:c r="AP237" s="27" t="str">
        <x:v>M</x:v>
      </x:c>
      <x:c r="AQ237" s="27" t="n">
        <x:v>0.18</x:v>
      </x:c>
      <x:c r="AR237" s="27" t="n">
        <x:v>1</x:v>
      </x:c>
      <x:c r="AS237" s="27" t="n">
        <x:v>0.18</x:v>
      </x:c>
      <x:c r="AT237" s="27" t="n">
        <x:v>0.4</x:v>
      </x:c>
      <x:c r="AU237" s="27" t="n">
        <x:v>1</x:v>
      </x:c>
      <x:c r="AV237" s="27" t="n">
        <x:v>38500000</x:v>
      </x:c>
      <x:c r="AW237" s="27" t="n">
        <x:v>0.7</x:v>
      </x:c>
      <x:c r="AX237" s="27" t="n">
        <x:v>1</x:v>
      </x:c>
      <x:c r="AY237" s="27" t="n">
        <x:v>0.30000000000000004</x:v>
      </x:c>
      <x:c r="AZ237" s="27" t="n">
        <x:v>11550000.000000002</x:v>
      </x:c>
    </x:row>
    <x:row r="238">
      <x:c r="A238" s="27" t="n">
        <x:v>45702</x:v>
      </x:c>
      <x:c r="B238" s="27" t="str">
        <x:v>IND_REGIONAL_BANK_001</x:v>
      </x:c>
      <x:c r="C238" s="27" t="n">
        <x:v>3082</x:v>
      </x:c>
      <x:c r="D238" s="27" t="str">
        <x:v>IND-000235</x:v>
      </x:c>
      <x:c r="E238" s="27" t="str">
        <x:v>Electricity Swap</x:v>
      </x:c>
      <x:c r="F238" s="27" t="str">
        <x:v>Commodity</x:v>
      </x:c>
      <x:c r="G238" s="27" t="str">
        <x:v>Electricity</x:v>
      </x:c>
      <x:c r="H238" s="27" t="str">
        <x:v>Pow</x:v>
      </x:c>
      <x:c r="I238" s="27" t="str">
        <x:v>USD</x:v>
      </x:c>
      <x:c r="J238" s="27" t="str">
        <x:v>USD</x:v>
      </x:c>
      <x:c r="K238" s="27"/>
      <x:c r="L238" s="27"/>
      <x:c r="M238" s="27" t="str">
        <x:v>Power/USD</x:v>
      </x:c>
      <x:c r="N238" s="27"/>
      <x:c r="O238" s="27"/>
      <x:c r="P238" s="27" t="n">
        <x:v>46745</x:v>
      </x:c>
      <x:c r="Q238" s="27" t="n">
        <x:v>45491</x:v>
      </x:c>
      <x:c r="R238" s="27" t="n">
        <x:v>46745</x:v>
      </x:c>
      <x:c r="S238" s="27" t="n">
        <x:v>7100000</x:v>
      </x:c>
      <x:c r="T238" s="27" t="n">
        <x:v>7100000</x:v>
      </x:c>
      <x:c r="U238" s="27" t="n">
        <x:v>7100000</x:v>
      </x:c>
      <x:c r="V238" s="27" t="str">
        <x:v>M</x:v>
      </x:c>
      <x:c r="W238" s="27" t="str">
        <x:v>N</x:v>
      </x:c>
      <x:c r="X238" s="27" t="n">
        <x:v>10</x:v>
      </x:c>
      <x:c r="Y238" s="27" t="str">
        <x:v>B</x:v>
      </x:c>
      <x:c r="Z238" s="27"/>
      <x:c r="AA238" s="27"/>
      <x:c r="AB238" s="27" t="n">
        <x:v>0</x:v>
      </x:c>
      <x:c r="AC238" s="27" t="n">
        <x:v>0</x:v>
      </x:c>
      <x:c r="AD238" s="27" t="n">
        <x:v>-73059</x:v>
      </x:c>
      <x:c r="AE238" s="27" t="str">
        <x:v>Public-safe anonymized industry-style SA-CCR sample</x:v>
      </x:c>
      <x:c r="AF238" s="27" t="str">
        <x:v>ANON-000235</x:v>
      </x:c>
      <x:c r="AG238" s="27" t="str">
        <x:v>Electricity Swap</x:v>
      </x:c>
      <x:c r="AH238" s="27"/>
      <x:c r="AI238" s="27" t="str">
        <x:v>Power/USD</x:v>
      </x:c>
      <x:c r="AJ238" s="27" t="n">
        <x:v>1043</x:v>
      </x:c>
      <x:c r="AK238" s="27" t="n">
        <x:v>2.8575342465753426</x:v>
      </x:c>
      <x:c r="AL238" s="27" t="str">
        <x:v>1Y-5Y</x:v>
      </x:c>
      <x:c r="AM238" s="27" t="str">
        <x:v>Energy</x:v>
      </x:c>
      <x:c r="AN238" s="27" t="str">
        <x:v>Electricity</x:v>
      </x:c>
      <x:c r="AO238" s="27" t="str">
        <x:v>Energy</x:v>
      </x:c>
      <x:c r="AP238" s="27" t="str">
        <x:v>M</x:v>
      </x:c>
      <x:c r="AQ238" s="27" t="n">
        <x:v>0.4</x:v>
      </x:c>
      <x:c r="AR238" s="27" t="n">
        <x:v>1</x:v>
      </x:c>
      <x:c r="AS238" s="27" t="n">
        <x:v>0.4</x:v>
      </x:c>
      <x:c r="AT238" s="27" t="n">
        <x:v>0.4</x:v>
      </x:c>
      <x:c r="AU238" s="27" t="n">
        <x:v>1</x:v>
      </x:c>
      <x:c r="AV238" s="27" t="n">
        <x:v>7100000</x:v>
      </x:c>
      <x:c r="AW238" s="27" t="n">
        <x:v>1.5</x:v>
      </x:c>
      <x:c r="AX238" s="27" t="n">
        <x:v>1</x:v>
      </x:c>
      <x:c r="AY238" s="27" t="n">
        <x:v>0.30000000000000004</x:v>
      </x:c>
      <x:c r="AZ238" s="27" t="n">
        <x:v>2130000.0000000005</x:v>
      </x:c>
    </x:row>
    <x:row r="239">
      <x:c r="A239" s="27" t="n">
        <x:v>45702</x:v>
      </x:c>
      <x:c r="B239" s="27" t="str">
        <x:v>IND_SOVEREIGN_001</x:v>
      </x:c>
      <x:c r="C239" s="27" t="n">
        <x:v>3126</x:v>
      </x:c>
      <x:c r="D239" s="27" t="str">
        <x:v>IND-000236</x:v>
      </x:c>
      <x:c r="E239" s="27" t="str">
        <x:v>Electricity Swap</x:v>
      </x:c>
      <x:c r="F239" s="27" t="str">
        <x:v>Commodity</x:v>
      </x:c>
      <x:c r="G239" s="27" t="str">
        <x:v>Electricity</x:v>
      </x:c>
      <x:c r="H239" s="27" t="str">
        <x:v>Pow</x:v>
      </x:c>
      <x:c r="I239" s="27" t="str">
        <x:v>USD</x:v>
      </x:c>
      <x:c r="J239" s="27" t="str">
        <x:v>USD</x:v>
      </x:c>
      <x:c r="K239" s="27"/>
      <x:c r="L239" s="27"/>
      <x:c r="M239" s="27" t="str">
        <x:v>Power/USD</x:v>
      </x:c>
      <x:c r="N239" s="27"/>
      <x:c r="O239" s="27"/>
      <x:c r="P239" s="27" t="n">
        <x:v>47607</x:v>
      </x:c>
      <x:c r="Q239" s="27" t="n">
        <x:v>45282</x:v>
      </x:c>
      <x:c r="R239" s="27" t="n">
        <x:v>47607</x:v>
      </x:c>
      <x:c r="S239" s="27" t="n">
        <x:v>16800000</x:v>
      </x:c>
      <x:c r="T239" s="27" t="n">
        <x:v>16800000</x:v>
      </x:c>
      <x:c r="U239" s="27" t="n">
        <x:v>16800000</x:v>
      </x:c>
      <x:c r="V239" s="27" t="str">
        <x:v>U</x:v>
      </x:c>
      <x:c r="W239" s="27" t="str">
        <x:v>N</x:v>
      </x:c>
      <x:c r="X239" s="27"/>
      <x:c r="Y239" s="27" t="str">
        <x:v>B</x:v>
      </x:c>
      <x:c r="Z239" s="27"/>
      <x:c r="AA239" s="27"/>
      <x:c r="AB239" s="27" t="n">
        <x:v>0</x:v>
      </x:c>
      <x:c r="AC239" s="27" t="n">
        <x:v>0</x:v>
      </x:c>
      <x:c r="AD239" s="27" t="n">
        <x:v>-24192</x:v>
      </x:c>
      <x:c r="AE239" s="27" t="str">
        <x:v>Public-safe anonymized industry-style SA-CCR sample</x:v>
      </x:c>
      <x:c r="AF239" s="27" t="str">
        <x:v>ANON-000236</x:v>
      </x:c>
      <x:c r="AG239" s="27" t="str">
        <x:v>Electricity Swap</x:v>
      </x:c>
      <x:c r="AH239" s="27"/>
      <x:c r="AI239" s="27" t="str">
        <x:v>Power/USD</x:v>
      </x:c>
      <x:c r="AJ239" s="27" t="n">
        <x:v>1905</x:v>
      </x:c>
      <x:c r="AK239" s="27" t="n">
        <x:v>5.219178082191781</x:v>
      </x:c>
      <x:c r="AL239" s="27" t="str">
        <x:v>&gt;5Y</x:v>
      </x:c>
      <x:c r="AM239" s="27" t="str">
        <x:v>Energy</x:v>
      </x:c>
      <x:c r="AN239" s="27" t="str">
        <x:v>Electricity</x:v>
      </x:c>
      <x:c r="AO239" s="27" t="str">
        <x:v>Energy</x:v>
      </x:c>
      <x:c r="AP239" s="27" t="str">
        <x:v>U</x:v>
      </x:c>
      <x:c r="AQ239" s="27" t="n">
        <x:v>0.4</x:v>
      </x:c>
      <x:c r="AR239" s="27" t="n">
        <x:v>1</x:v>
      </x:c>
      <x:c r="AS239" s="27" t="n">
        <x:v>0.4</x:v>
      </x:c>
      <x:c r="AT239" s="27" t="n">
        <x:v>0.4</x:v>
      </x:c>
      <x:c r="AU239" s="27" t="n">
        <x:v>1</x:v>
      </x:c>
      <x:c r="AV239" s="27" t="n">
        <x:v>16800000</x:v>
      </x:c>
      <x:c r="AW239" s="27" t="n">
        <x:v>1.5</x:v>
      </x:c>
      <x:c r="AX239" s="27" t="n">
        <x:v>1</x:v>
      </x:c>
      <x:c r="AY239" s="27" t="n">
        <x:v>1</x:v>
      </x:c>
      <x:c r="AZ239" s="27" t="n">
        <x:v>16800000</x:v>
      </x:c>
    </x:row>
    <x:row r="240">
      <x:c r="A240" s="27" t="n">
        <x:v>45702</x:v>
      </x:c>
      <x:c r="B240" s="27" t="str">
        <x:v>IND_CLEARING_MEMBER_001</x:v>
      </x:c>
      <x:c r="C240" s="27" t="n">
        <x:v>3340</x:v>
      </x:c>
      <x:c r="D240" s="27" t="str">
        <x:v>IND-000237</x:v>
      </x:c>
      <x:c r="E240" s="27" t="str">
        <x:v>Electricity Swap</x:v>
      </x:c>
      <x:c r="F240" s="27" t="str">
        <x:v>Commodity</x:v>
      </x:c>
      <x:c r="G240" s="27" t="str">
        <x:v>Electricity</x:v>
      </x:c>
      <x:c r="H240" s="27" t="str">
        <x:v>Pow</x:v>
      </x:c>
      <x:c r="I240" s="27" t="str">
        <x:v>USD</x:v>
      </x:c>
      <x:c r="J240" s="27" t="str">
        <x:v>USD</x:v>
      </x:c>
      <x:c r="K240" s="27"/>
      <x:c r="L240" s="27"/>
      <x:c r="M240" s="27" t="str">
        <x:v>Power/USD</x:v>
      </x:c>
      <x:c r="N240" s="27"/>
      <x:c r="O240" s="27"/>
      <x:c r="P240" s="27" t="n">
        <x:v>46450</x:v>
      </x:c>
      <x:c r="Q240" s="27" t="n">
        <x:v>44861</x:v>
      </x:c>
      <x:c r="R240" s="27" t="n">
        <x:v>46450</x:v>
      </x:c>
      <x:c r="S240" s="27" t="n">
        <x:v>10600000</x:v>
      </x:c>
      <x:c r="T240" s="27" t="n">
        <x:v>10600000</x:v>
      </x:c>
      <x:c r="U240" s="27" t="n">
        <x:v>10600000</x:v>
      </x:c>
      <x:c r="V240" s="27" t="str">
        <x:v>M</x:v>
      </x:c>
      <x:c r="W240" s="27" t="str">
        <x:v>N</x:v>
      </x:c>
      <x:c r="X240" s="27" t="n">
        <x:v>10</x:v>
      </x:c>
      <x:c r="Y240" s="27" t="str">
        <x:v>S</x:v>
      </x:c>
      <x:c r="Z240" s="27"/>
      <x:c r="AA240" s="27"/>
      <x:c r="AB240" s="27" t="n">
        <x:v>0</x:v>
      </x:c>
      <x:c r="AC240" s="27" t="n">
        <x:v>0</x:v>
      </x:c>
      <x:c r="AD240" s="27" t="n">
        <x:v>-12720</x:v>
      </x:c>
      <x:c r="AE240" s="27" t="str">
        <x:v>Public-safe anonymized industry-style SA-CCR sample</x:v>
      </x:c>
      <x:c r="AF240" s="27" t="str">
        <x:v>ANON-000237</x:v>
      </x:c>
      <x:c r="AG240" s="27" t="str">
        <x:v>Electricity Swap</x:v>
      </x:c>
      <x:c r="AH240" s="27"/>
      <x:c r="AI240" s="27" t="str">
        <x:v>Power/USD</x:v>
      </x:c>
      <x:c r="AJ240" s="27" t="n">
        <x:v>748</x:v>
      </x:c>
      <x:c r="AK240" s="27" t="n">
        <x:v>2.0493150684931507</x:v>
      </x:c>
      <x:c r="AL240" s="27" t="str">
        <x:v>1Y-5Y</x:v>
      </x:c>
      <x:c r="AM240" s="27" t="str">
        <x:v>Energy</x:v>
      </x:c>
      <x:c r="AN240" s="27" t="str">
        <x:v>Electricity</x:v>
      </x:c>
      <x:c r="AO240" s="27" t="str">
        <x:v>Energy</x:v>
      </x:c>
      <x:c r="AP240" s="27" t="str">
        <x:v>M</x:v>
      </x:c>
      <x:c r="AQ240" s="27" t="n">
        <x:v>0.4</x:v>
      </x:c>
      <x:c r="AR240" s="27" t="n">
        <x:v>1</x:v>
      </x:c>
      <x:c r="AS240" s="27" t="n">
        <x:v>0.4</x:v>
      </x:c>
      <x:c r="AT240" s="27" t="n">
        <x:v>0.4</x:v>
      </x:c>
      <x:c r="AU240" s="27" t="n">
        <x:v>1</x:v>
      </x:c>
      <x:c r="AV240" s="27" t="n">
        <x:v>10600000</x:v>
      </x:c>
      <x:c r="AW240" s="27" t="n">
        <x:v>1.5</x:v>
      </x:c>
      <x:c r="AX240" s="27" t="n">
        <x:v>-1</x:v>
      </x:c>
      <x:c r="AY240" s="27" t="n">
        <x:v>0.30000000000000004</x:v>
      </x:c>
      <x:c r="AZ240" s="27" t="n">
        <x:v>-3180000.0000000005</x:v>
      </x:c>
    </x:row>
    <x:row r="241">
      <x:c r="A241" s="27" t="n">
        <x:v>45702</x:v>
      </x:c>
      <x:c r="B241" s="27" t="str">
        <x:v>IND_SOVEREIGN_001</x:v>
      </x:c>
      <x:c r="C241" s="27" t="n">
        <x:v>3357</x:v>
      </x:c>
      <x:c r="D241" s="27" t="str">
        <x:v>IND-000238</x:v>
      </x:c>
      <x:c r="E241" s="27" t="str">
        <x:v>Electricity Swap</x:v>
      </x:c>
      <x:c r="F241" s="27" t="str">
        <x:v>Commodity</x:v>
      </x:c>
      <x:c r="G241" s="27" t="str">
        <x:v>Electricity</x:v>
      </x:c>
      <x:c r="H241" s="27" t="str">
        <x:v>Pow</x:v>
      </x:c>
      <x:c r="I241" s="27" t="str">
        <x:v>USD</x:v>
      </x:c>
      <x:c r="J241" s="27" t="str">
        <x:v>USD</x:v>
      </x:c>
      <x:c r="K241" s="27"/>
      <x:c r="L241" s="27"/>
      <x:c r="M241" s="27" t="str">
        <x:v>Power/USD</x:v>
      </x:c>
      <x:c r="N241" s="27"/>
      <x:c r="O241" s="27"/>
      <x:c r="P241" s="27" t="n">
        <x:v>45973</x:v>
      </x:c>
      <x:c r="Q241" s="27" t="n">
        <x:v>45398</x:v>
      </x:c>
      <x:c r="R241" s="27" t="n">
        <x:v>45973</x:v>
      </x:c>
      <x:c r="S241" s="27" t="n">
        <x:v>52400000</x:v>
      </x:c>
      <x:c r="T241" s="27" t="n">
        <x:v>52400000</x:v>
      </x:c>
      <x:c r="U241" s="27" t="n">
        <x:v>52400000</x:v>
      </x:c>
      <x:c r="V241" s="27" t="str">
        <x:v>M</x:v>
      </x:c>
      <x:c r="W241" s="27" t="str">
        <x:v>N</x:v>
      </x:c>
      <x:c r="X241" s="27" t="n">
        <x:v>10</x:v>
      </x:c>
      <x:c r="Y241" s="27" t="str">
        <x:v>B</x:v>
      </x:c>
      <x:c r="Z241" s="27"/>
      <x:c r="AA241" s="27"/>
      <x:c r="AB241" s="27" t="n">
        <x:v>0</x:v>
      </x:c>
      <x:c r="AC241" s="27" t="n">
        <x:v>0</x:v>
      </x:c>
      <x:c r="AD241" s="27" t="n">
        <x:v>297108</x:v>
      </x:c>
      <x:c r="AE241" s="27" t="str">
        <x:v>Public-safe anonymized industry-style SA-CCR sample</x:v>
      </x:c>
      <x:c r="AF241" s="27" t="str">
        <x:v>ANON-000238</x:v>
      </x:c>
      <x:c r="AG241" s="27" t="str">
        <x:v>Electricity Swap</x:v>
      </x:c>
      <x:c r="AH241" s="27"/>
      <x:c r="AI241" s="27" t="str">
        <x:v>Power/USD</x:v>
      </x:c>
      <x:c r="AJ241" s="27" t="n">
        <x:v>271</x:v>
      </x:c>
      <x:c r="AK241" s="27" t="n">
        <x:v>0.7424657534246575</x:v>
      </x:c>
      <x:c r="AL241" s="27" t="str">
        <x:v>&lt;1Y</x:v>
      </x:c>
      <x:c r="AM241" s="27" t="str">
        <x:v>Energy</x:v>
      </x:c>
      <x:c r="AN241" s="27" t="str">
        <x:v>Electricity</x:v>
      </x:c>
      <x:c r="AO241" s="27" t="str">
        <x:v>Energy</x:v>
      </x:c>
      <x:c r="AP241" s="27" t="str">
        <x:v>M</x:v>
      </x:c>
      <x:c r="AQ241" s="27" t="n">
        <x:v>0.4</x:v>
      </x:c>
      <x:c r="AR241" s="27" t="n">
        <x:v>1</x:v>
      </x:c>
      <x:c r="AS241" s="27" t="n">
        <x:v>0.4</x:v>
      </x:c>
      <x:c r="AT241" s="27" t="n">
        <x:v>0.4</x:v>
      </x:c>
      <x:c r="AU241" s="27" t="n">
        <x:v>1</x:v>
      </x:c>
      <x:c r="AV241" s="27" t="n">
        <x:v>52400000</x:v>
      </x:c>
      <x:c r="AW241" s="27" t="n">
        <x:v>1.5</x:v>
      </x:c>
      <x:c r="AX241" s="27" t="n">
        <x:v>1</x:v>
      </x:c>
      <x:c r="AY241" s="27" t="n">
        <x:v>0.30000000000000004</x:v>
      </x:c>
      <x:c r="AZ241" s="27" t="n">
        <x:v>15720000.000000002</x:v>
      </x:c>
    </x:row>
    <x:row r="242">
      <x:c r="A242" s="27" t="n">
        <x:v>45702</x:v>
      </x:c>
      <x:c r="B242" s="27" t="str">
        <x:v>IND_ASSET_MANAGER_001</x:v>
      </x:c>
      <x:c r="C242" s="27" t="n">
        <x:v>3331</x:v>
      </x:c>
      <x:c r="D242" s="27" t="str">
        <x:v>IND-000239</x:v>
      </x:c>
      <x:c r="E242" s="27" t="str">
        <x:v>Electricity Swap</x:v>
      </x:c>
      <x:c r="F242" s="27" t="str">
        <x:v>Commodity</x:v>
      </x:c>
      <x:c r="G242" s="27" t="str">
        <x:v>Electricity</x:v>
      </x:c>
      <x:c r="H242" s="27" t="str">
        <x:v>Pow</x:v>
      </x:c>
      <x:c r="I242" s="27" t="str">
        <x:v>USD</x:v>
      </x:c>
      <x:c r="J242" s="27" t="str">
        <x:v>USD</x:v>
      </x:c>
      <x:c r="K242" s="27"/>
      <x:c r="L242" s="27"/>
      <x:c r="M242" s="27" t="str">
        <x:v>Power/USD</x:v>
      </x:c>
      <x:c r="N242" s="27"/>
      <x:c r="O242" s="27"/>
      <x:c r="P242" s="27" t="n">
        <x:v>46065</x:v>
      </x:c>
      <x:c r="Q242" s="27" t="n">
        <x:v>45532</x:v>
      </x:c>
      <x:c r="R242" s="27" t="n">
        <x:v>46065</x:v>
      </x:c>
      <x:c r="S242" s="27" t="n">
        <x:v>6600000</x:v>
      </x:c>
      <x:c r="T242" s="27" t="n">
        <x:v>6600000</x:v>
      </x:c>
      <x:c r="U242" s="27" t="n">
        <x:v>6600000</x:v>
      </x:c>
      <x:c r="V242" s="27" t="str">
        <x:v>M</x:v>
      </x:c>
      <x:c r="W242" s="27" t="str">
        <x:v>N</x:v>
      </x:c>
      <x:c r="X242" s="27" t="n">
        <x:v>10</x:v>
      </x:c>
      <x:c r="Y242" s="27" t="str">
        <x:v>B</x:v>
      </x:c>
      <x:c r="Z242" s="27"/>
      <x:c r="AA242" s="27"/>
      <x:c r="AB242" s="27" t="n">
        <x:v>0</x:v>
      </x:c>
      <x:c r="AC242" s="27" t="n">
        <x:v>0</x:v>
      </x:c>
      <x:c r="AD242" s="27" t="n">
        <x:v>-70092</x:v>
      </x:c>
      <x:c r="AE242" s="27" t="str">
        <x:v>Public-safe anonymized industry-style SA-CCR sample</x:v>
      </x:c>
      <x:c r="AF242" s="27" t="str">
        <x:v>ANON-000239</x:v>
      </x:c>
      <x:c r="AG242" s="27" t="str">
        <x:v>Electricity Swap</x:v>
      </x:c>
      <x:c r="AH242" s="27"/>
      <x:c r="AI242" s="27" t="str">
        <x:v>Power/USD</x:v>
      </x:c>
      <x:c r="AJ242" s="27" t="n">
        <x:v>363</x:v>
      </x:c>
      <x:c r="AK242" s="27" t="n">
        <x:v>0.9945205479452055</x:v>
      </x:c>
      <x:c r="AL242" s="27" t="str">
        <x:v>&lt;1Y</x:v>
      </x:c>
      <x:c r="AM242" s="27" t="str">
        <x:v>Energy</x:v>
      </x:c>
      <x:c r="AN242" s="27" t="str">
        <x:v>Electricity</x:v>
      </x:c>
      <x:c r="AO242" s="27" t="str">
        <x:v>Energy</x:v>
      </x:c>
      <x:c r="AP242" s="27" t="str">
        <x:v>M</x:v>
      </x:c>
      <x:c r="AQ242" s="27" t="n">
        <x:v>0.4</x:v>
      </x:c>
      <x:c r="AR242" s="27" t="n">
        <x:v>1</x:v>
      </x:c>
      <x:c r="AS242" s="27" t="n">
        <x:v>0.4</x:v>
      </x:c>
      <x:c r="AT242" s="27" t="n">
        <x:v>0.4</x:v>
      </x:c>
      <x:c r="AU242" s="27" t="n">
        <x:v>1</x:v>
      </x:c>
      <x:c r="AV242" s="27" t="n">
        <x:v>6600000</x:v>
      </x:c>
      <x:c r="AW242" s="27" t="n">
        <x:v>1.5</x:v>
      </x:c>
      <x:c r="AX242" s="27" t="n">
        <x:v>1</x:v>
      </x:c>
      <x:c r="AY242" s="27" t="n">
        <x:v>0.30000000000000004</x:v>
      </x:c>
      <x:c r="AZ242" s="27" t="n">
        <x:v>1980000.0000000002</x:v>
      </x:c>
    </x:row>
    <x:row r="243">
      <x:c r="A243" s="27" t="n">
        <x:v>45702</x:v>
      </x:c>
      <x:c r="B243" s="27" t="str">
        <x:v>IND_BANK_001</x:v>
      </x:c>
      <x:c r="C243" s="27" t="n">
        <x:v>3172</x:v>
      </x:c>
      <x:c r="D243" s="27" t="str">
        <x:v>IND-000240</x:v>
      </x:c>
      <x:c r="E243" s="27" t="str">
        <x:v>Electricity Swap</x:v>
      </x:c>
      <x:c r="F243" s="27" t="str">
        <x:v>Commodity</x:v>
      </x:c>
      <x:c r="G243" s="27" t="str">
        <x:v>Electricity</x:v>
      </x:c>
      <x:c r="H243" s="27" t="str">
        <x:v>Pow</x:v>
      </x:c>
      <x:c r="I243" s="27" t="str">
        <x:v>USD</x:v>
      </x:c>
      <x:c r="J243" s="27" t="str">
        <x:v>USD</x:v>
      </x:c>
      <x:c r="K243" s="27"/>
      <x:c r="L243" s="27"/>
      <x:c r="M243" s="27" t="str">
        <x:v>Power/USD</x:v>
      </x:c>
      <x:c r="N243" s="27"/>
      <x:c r="O243" s="27"/>
      <x:c r="P243" s="27" t="n">
        <x:v>47697</x:v>
      </x:c>
      <x:c r="Q243" s="27" t="n">
        <x:v>45230</x:v>
      </x:c>
      <x:c r="R243" s="27" t="n">
        <x:v>47697</x:v>
      </x:c>
      <x:c r="S243" s="27" t="n">
        <x:v>47400000</x:v>
      </x:c>
      <x:c r="T243" s="27" t="n">
        <x:v>47400000</x:v>
      </x:c>
      <x:c r="U243" s="27" t="n">
        <x:v>47400000</x:v>
      </x:c>
      <x:c r="V243" s="27" t="str">
        <x:v>M</x:v>
      </x:c>
      <x:c r="W243" s="27" t="str">
        <x:v>N</x:v>
      </x:c>
      <x:c r="X243" s="27" t="n">
        <x:v>10</x:v>
      </x:c>
      <x:c r="Y243" s="27" t="str">
        <x:v>B</x:v>
      </x:c>
      <x:c r="Z243" s="27"/>
      <x:c r="AA243" s="27"/>
      <x:c r="AB243" s="27" t="n">
        <x:v>0</x:v>
      </x:c>
      <x:c r="AC243" s="27" t="n">
        <x:v>0</x:v>
      </x:c>
      <x:c r="AD243" s="27" t="n">
        <x:v>-1335258</x:v>
      </x:c>
      <x:c r="AE243" s="27" t="str">
        <x:v>Public-safe anonymized industry-style SA-CCR sample</x:v>
      </x:c>
      <x:c r="AF243" s="27" t="str">
        <x:v>ANON-000240</x:v>
      </x:c>
      <x:c r="AG243" s="27" t="str">
        <x:v>Electricity Swap</x:v>
      </x:c>
      <x:c r="AH243" s="27"/>
      <x:c r="AI243" s="27" t="str">
        <x:v>Power/USD</x:v>
      </x:c>
      <x:c r="AJ243" s="27" t="n">
        <x:v>1995</x:v>
      </x:c>
      <x:c r="AK243" s="27" t="n">
        <x:v>5.465753424657534</x:v>
      </x:c>
      <x:c r="AL243" s="27" t="str">
        <x:v>&gt;5Y</x:v>
      </x:c>
      <x:c r="AM243" s="27" t="str">
        <x:v>Energy</x:v>
      </x:c>
      <x:c r="AN243" s="27" t="str">
        <x:v>Electricity</x:v>
      </x:c>
      <x:c r="AO243" s="27" t="str">
        <x:v>Energy</x:v>
      </x:c>
      <x:c r="AP243" s="27" t="str">
        <x:v>M</x:v>
      </x:c>
      <x:c r="AQ243" s="27" t="n">
        <x:v>0.4</x:v>
      </x:c>
      <x:c r="AR243" s="27" t="n">
        <x:v>1</x:v>
      </x:c>
      <x:c r="AS243" s="27" t="n">
        <x:v>0.4</x:v>
      </x:c>
      <x:c r="AT243" s="27" t="n">
        <x:v>0.4</x:v>
      </x:c>
      <x:c r="AU243" s="27" t="n">
        <x:v>1</x:v>
      </x:c>
      <x:c r="AV243" s="27" t="n">
        <x:v>47400000</x:v>
      </x:c>
      <x:c r="AW243" s="27" t="n">
        <x:v>1.5</x:v>
      </x:c>
      <x:c r="AX243" s="27" t="n">
        <x:v>1</x:v>
      </x:c>
      <x:c r="AY243" s="27" t="n">
        <x:v>0.30000000000000004</x:v>
      </x:c>
      <x:c r="AZ243" s="27" t="n">
        <x:v>14220000.000000002</x:v>
      </x:c>
    </x:row>
    <x:row r="244">
      <x:c r="A244" s="27" t="n">
        <x:v>45702</x:v>
      </x:c>
      <x:c r="B244" s="27" t="str">
        <x:v>IND_REGIONAL_BANK_001</x:v>
      </x:c>
      <x:c r="C244" s="27" t="n">
        <x:v>3161</x:v>
      </x:c>
      <x:c r="D244" s="27" t="str">
        <x:v>IND-000241</x:v>
      </x:c>
      <x:c r="E244" s="27" t="str">
        <x:v>Credit TRS</x:v>
      </x:c>
      <x:c r="F244" s="27" t="str">
        <x:v>Credit</x:v>
      </x:c>
      <x:c r="G244" s="27"/>
      <x:c r="H244" s="27" t="str">
        <x:v>USD</x:v>
      </x:c>
      <x:c r="I244" s="27"/>
      <x:c r="J244" s="27" t="str">
        <x:v>USD</x:v>
      </x:c>
      <x:c r="K244" s="27"/>
      <x:c r="L244" s="27"/>
      <x:c r="M244" s="27" t="str">
        <x:v>CREDIT_INDEX_29</x:v>
      </x:c>
      <x:c r="N244" s="27" t="str">
        <x:v>Singleton</x:v>
      </x:c>
      <x:c r="O244" s="27" t="str">
        <x:v>B</x:v>
      </x:c>
      <x:c r="P244" s="27" t="n">
        <x:v>47735</x:v>
      </x:c>
      <x:c r="Q244" s="27" t="n">
        <x:v>45099</x:v>
      </x:c>
      <x:c r="R244" s="27" t="n">
        <x:v>47735</x:v>
      </x:c>
      <x:c r="S244" s="27" t="n">
        <x:v>45600000</x:v>
      </x:c>
      <x:c r="T244" s="27" t="n">
        <x:v>0</x:v>
      </x:c>
      <x:c r="U244" s="27" t="n">
        <x:v>45600000</x:v>
      </x:c>
      <x:c r="V244" s="27" t="str">
        <x:v>U</x:v>
      </x:c>
      <x:c r="W244" s="27" t="str">
        <x:v>N</x:v>
      </x:c>
      <x:c r="X244" s="27"/>
      <x:c r="Y244" s="27" t="str">
        <x:v>S</x:v>
      </x:c>
      <x:c r="Z244" s="27"/>
      <x:c r="AA244" s="27"/>
      <x:c r="AB244" s="27" t="n">
        <x:v>0</x:v>
      </x:c>
      <x:c r="AC244" s="27" t="n">
        <x:v>0</x:v>
      </x:c>
      <x:c r="AD244" s="27" t="n">
        <x:v>207024</x:v>
      </x:c>
      <x:c r="AE244" s="27" t="str">
        <x:v>Public-safe anonymized industry-style SA-CCR sample</x:v>
      </x:c>
      <x:c r="AF244" s="27" t="str">
        <x:v>ANON-000241</x:v>
      </x:c>
      <x:c r="AG244" s="27" t="str">
        <x:v>Credit TRS</x:v>
      </x:c>
      <x:c r="AH244" s="27"/>
      <x:c r="AI244" s="27" t="str">
        <x:v>Credit Index</x:v>
      </x:c>
      <x:c r="AJ244" s="27" t="n">
        <x:v>2033</x:v>
      </x:c>
      <x:c r="AK244" s="27" t="n">
        <x:v>5.5698630136986305</x:v>
      </x:c>
      <x:c r="AL244" s="27" t="str">
        <x:v>&gt;5Y</x:v>
      </x:c>
      <x:c r="AM244" s="27"/>
      <x:c r="AN244" s="27" t="str">
        <x:v>Unknown</x:v>
      </x:c>
      <x:c r="AO244" s="27" t="str">
        <x:v>CREDIT_INDEX_29</x:v>
      </x:c>
      <x:c r="AP244" s="27" t="str">
        <x:v>U</x:v>
      </x:c>
      <x:c r="AQ244" s="27" t="n">
        <x:v>0.016</x:v>
      </x:c>
      <x:c r="AR244" s="27" t="n">
        <x:v>1</x:v>
      </x:c>
      <x:c r="AS244" s="27" t="n">
        <x:v>0.016</x:v>
      </x:c>
      <x:c r="AT244" s="27" t="n">
        <x:v>0.5</x:v>
      </x:c>
      <x:c r="AU244" s="27" t="n">
        <x:v>4.861530957212847</x:v>
      </x:c>
      <x:c r="AV244" s="27" t="n">
        <x:v>221685811.6489058</x:v>
      </x:c>
      <x:c r="AW244" s="27" t="n">
        <x:v>1</x:v>
      </x:c>
      <x:c r="AX244" s="27" t="n">
        <x:v>-1</x:v>
      </x:c>
      <x:c r="AY244" s="27" t="n">
        <x:v>1</x:v>
      </x:c>
      <x:c r="AZ244" s="27" t="n">
        <x:v>-221685811.6489058</x:v>
      </x:c>
    </x:row>
    <x:row r="245">
      <x:c r="A245" s="27" t="n">
        <x:v>45702</x:v>
      </x:c>
      <x:c r="B245" s="27" t="str">
        <x:v>IND_BANK_002</x:v>
      </x:c>
      <x:c r="C245" s="27" t="n">
        <x:v>3341</x:v>
      </x:c>
      <x:c r="D245" s="27" t="str">
        <x:v>IND-000242</x:v>
      </x:c>
      <x:c r="E245" s="27" t="str">
        <x:v>Credit TRS</x:v>
      </x:c>
      <x:c r="F245" s="27" t="str">
        <x:v>Credit</x:v>
      </x:c>
      <x:c r="G245" s="27"/>
      <x:c r="H245" s="27" t="str">
        <x:v>USD</x:v>
      </x:c>
      <x:c r="I245" s="27"/>
      <x:c r="J245" s="27" t="str">
        <x:v>USD</x:v>
      </x:c>
      <x:c r="K245" s="27"/>
      <x:c r="L245" s="27"/>
      <x:c r="M245" s="27" t="str">
        <x:v>CREDIT_INDEX_13</x:v>
      </x:c>
      <x:c r="N245" s="27" t="str">
        <x:v>Singleton</x:v>
      </x:c>
      <x:c r="O245" s="27" t="str">
        <x:v>AA</x:v>
      </x:c>
      <x:c r="P245" s="27" t="n">
        <x:v>47473</x:v>
      </x:c>
      <x:c r="Q245" s="27" t="n">
        <x:v>45054</x:v>
      </x:c>
      <x:c r="R245" s="27" t="n">
        <x:v>47473</x:v>
      </x:c>
      <x:c r="S245" s="27" t="n">
        <x:v>77300000</x:v>
      </x:c>
      <x:c r="T245" s="27" t="n">
        <x:v>0</x:v>
      </x:c>
      <x:c r="U245" s="27" t="n">
        <x:v>77300000</x:v>
      </x:c>
      <x:c r="V245" s="27" t="str">
        <x:v>M</x:v>
      </x:c>
      <x:c r="W245" s="27" t="str">
        <x:v>N</x:v>
      </x:c>
      <x:c r="X245" s="27" t="n">
        <x:v>10</x:v>
      </x:c>
      <x:c r="Y245" s="27" t="str">
        <x:v>B</x:v>
      </x:c>
      <x:c r="Z245" s="27"/>
      <x:c r="AA245" s="27"/>
      <x:c r="AB245" s="27" t="n">
        <x:v>0</x:v>
      </x:c>
      <x:c r="AC245" s="27" t="n">
        <x:v>0</x:v>
      </x:c>
      <x:c r="AD245" s="27" t="n">
        <x:v>-1417682</x:v>
      </x:c>
      <x:c r="AE245" s="27" t="str">
        <x:v>Public-safe anonymized industry-style SA-CCR sample</x:v>
      </x:c>
      <x:c r="AF245" s="27" t="str">
        <x:v>ANON-000242</x:v>
      </x:c>
      <x:c r="AG245" s="27" t="str">
        <x:v>Credit TRS</x:v>
      </x:c>
      <x:c r="AH245" s="27"/>
      <x:c r="AI245" s="27" t="str">
        <x:v>Credit Index</x:v>
      </x:c>
      <x:c r="AJ245" s="27" t="n">
        <x:v>1771</x:v>
      </x:c>
      <x:c r="AK245" s="27" t="n">
        <x:v>4.852054794520548</x:v>
      </x:c>
      <x:c r="AL245" s="27" t="str">
        <x:v>1Y-5Y</x:v>
      </x:c>
      <x:c r="AM245" s="27"/>
      <x:c r="AN245" s="27" t="str">
        <x:v>Unknown</x:v>
      </x:c>
      <x:c r="AO245" s="27" t="str">
        <x:v>CREDIT_INDEX_13</x:v>
      </x:c>
      <x:c r="AP245" s="27" t="str">
        <x:v>M</x:v>
      </x:c>
      <x:c r="AQ245" s="27" t="n">
        <x:v>0.0038</x:v>
      </x:c>
      <x:c r="AR245" s="27" t="n">
        <x:v>1</x:v>
      </x:c>
      <x:c r="AS245" s="27" t="n">
        <x:v>0.0038</x:v>
      </x:c>
      <x:c r="AT245" s="27" t="n">
        <x:v>0.5</x:v>
      </x:c>
      <x:c r="AU245" s="27" t="n">
        <x:v>4.308337288372585</x:v>
      </x:c>
      <x:c r="AV245" s="27" t="n">
        <x:v>333034472.39120084</x:v>
      </x:c>
      <x:c r="AW245" s="27" t="n">
        <x:v>1</x:v>
      </x:c>
      <x:c r="AX245" s="27" t="n">
        <x:v>1</x:v>
      </x:c>
      <x:c r="AY245" s="27" t="n">
        <x:v>0.30000000000000004</x:v>
      </x:c>
      <x:c r="AZ245" s="27" t="n">
        <x:v>99910341.71736027</x:v>
      </x:c>
    </x:row>
    <x:row r="246">
      <x:c r="A246" s="27" t="n">
        <x:v>45702</x:v>
      </x:c>
      <x:c r="B246" s="27" t="str">
        <x:v>IND_INSURER_001</x:v>
      </x:c>
      <x:c r="C246" s="27" t="n">
        <x:v>3338</x:v>
      </x:c>
      <x:c r="D246" s="27" t="str">
        <x:v>IND-000243</x:v>
      </x:c>
      <x:c r="E246" s="27" t="str">
        <x:v>Credit TRS</x:v>
      </x:c>
      <x:c r="F246" s="27" t="str">
        <x:v>Credit</x:v>
      </x:c>
      <x:c r="G246" s="27"/>
      <x:c r="H246" s="27" t="str">
        <x:v>USD</x:v>
      </x:c>
      <x:c r="I246" s="27"/>
      <x:c r="J246" s="27" t="str">
        <x:v>USD</x:v>
      </x:c>
      <x:c r="K246" s="27"/>
      <x:c r="L246" s="27"/>
      <x:c r="M246" s="27" t="str">
        <x:v>CREDIT_INDEX_01</x:v>
      </x:c>
      <x:c r="N246" s="27" t="str">
        <x:v>Singleton</x:v>
      </x:c>
      <x:c r="O246" s="27" t="str">
        <x:v>AA</x:v>
      </x:c>
      <x:c r="P246" s="27" t="n">
        <x:v>46465</x:v>
      </x:c>
      <x:c r="Q246" s="27" t="n">
        <x:v>44901</x:v>
      </x:c>
      <x:c r="R246" s="27" t="n">
        <x:v>46465</x:v>
      </x:c>
      <x:c r="S246" s="27" t="n">
        <x:v>31900000</x:v>
      </x:c>
      <x:c r="T246" s="27" t="n">
        <x:v>0</x:v>
      </x:c>
      <x:c r="U246" s="27" t="n">
        <x:v>31900000</x:v>
      </x:c>
      <x:c r="V246" s="27" t="str">
        <x:v>U</x:v>
      </x:c>
      <x:c r="W246" s="27" t="str">
        <x:v>N</x:v>
      </x:c>
      <x:c r="X246" s="27"/>
      <x:c r="Y246" s="27" t="str">
        <x:v>B</x:v>
      </x:c>
      <x:c r="Z246" s="27"/>
      <x:c r="AA246" s="27"/>
      <x:c r="AB246" s="27" t="n">
        <x:v>0</x:v>
      </x:c>
      <x:c r="AC246" s="27" t="n">
        <x:v>0</x:v>
      </x:c>
      <x:c r="AD246" s="27" t="n">
        <x:v>-54868</x:v>
      </x:c>
      <x:c r="AE246" s="27" t="str">
        <x:v>Public-safe anonymized industry-style SA-CCR sample</x:v>
      </x:c>
      <x:c r="AF246" s="27" t="str">
        <x:v>ANON-000243</x:v>
      </x:c>
      <x:c r="AG246" s="27" t="str">
        <x:v>Credit TRS</x:v>
      </x:c>
      <x:c r="AH246" s="27"/>
      <x:c r="AI246" s="27" t="str">
        <x:v>Credit Index</x:v>
      </x:c>
      <x:c r="AJ246" s="27" t="n">
        <x:v>763</x:v>
      </x:c>
      <x:c r="AK246" s="27" t="n">
        <x:v>2.0904109589041098</x:v>
      </x:c>
      <x:c r="AL246" s="27" t="str">
        <x:v>1Y-5Y</x:v>
      </x:c>
      <x:c r="AM246" s="27"/>
      <x:c r="AN246" s="27" t="str">
        <x:v>Unknown</x:v>
      </x:c>
      <x:c r="AO246" s="27" t="str">
        <x:v>CREDIT_INDEX_01</x:v>
      </x:c>
      <x:c r="AP246" s="27" t="str">
        <x:v>U</x:v>
      </x:c>
      <x:c r="AQ246" s="27" t="n">
        <x:v>0.0038</x:v>
      </x:c>
      <x:c r="AR246" s="27" t="n">
        <x:v>1</x:v>
      </x:c>
      <x:c r="AS246" s="27" t="n">
        <x:v>0.0038</x:v>
      </x:c>
      <x:c r="AT246" s="27" t="n">
        <x:v>0.5</x:v>
      </x:c>
      <x:c r="AU246" s="27" t="n">
        <x:v>1.9848742294827204</x:v>
      </x:c>
      <x:c r="AV246" s="27" t="n">
        <x:v>63317487.92049878</x:v>
      </x:c>
      <x:c r="AW246" s="27" t="n">
        <x:v>1</x:v>
      </x:c>
      <x:c r="AX246" s="27" t="n">
        <x:v>1</x:v>
      </x:c>
      <x:c r="AY246" s="27" t="n">
        <x:v>1</x:v>
      </x:c>
      <x:c r="AZ246" s="27" t="n">
        <x:v>63317487.92049878</x:v>
      </x:c>
    </x:row>
    <x:row r="247">
      <x:c r="A247" s="27" t="n">
        <x:v>45702</x:v>
      </x:c>
      <x:c r="B247" s="27" t="str">
        <x:v>IND_ASSET_MANAGER_001</x:v>
      </x:c>
      <x:c r="C247" s="27" t="n">
        <x:v>3277</x:v>
      </x:c>
      <x:c r="D247" s="27" t="str">
        <x:v>IND-000244</x:v>
      </x:c>
      <x:c r="E247" s="27" t="str">
        <x:v>Credit TRS</x:v>
      </x:c>
      <x:c r="F247" s="27" t="str">
        <x:v>Credit</x:v>
      </x:c>
      <x:c r="G247" s="27"/>
      <x:c r="H247" s="27" t="str">
        <x:v>USD</x:v>
      </x:c>
      <x:c r="I247" s="27"/>
      <x:c r="J247" s="27" t="str">
        <x:v>USD</x:v>
      </x:c>
      <x:c r="K247" s="27"/>
      <x:c r="L247" s="27"/>
      <x:c r="M247" s="27" t="str">
        <x:v>CREDIT_INDEX_21</x:v>
      </x:c>
      <x:c r="N247" s="27" t="str">
        <x:v>Singleton</x:v>
      </x:c>
      <x:c r="O247" s="27" t="str">
        <x:v>BBB</x:v>
      </x:c>
      <x:c r="P247" s="27" t="n">
        <x:v>46568</x:v>
      </x:c>
      <x:c r="Q247" s="27" t="n">
        <x:v>45615</x:v>
      </x:c>
      <x:c r="R247" s="27" t="n">
        <x:v>46568</x:v>
      </x:c>
      <x:c r="S247" s="27" t="n">
        <x:v>84800000</x:v>
      </x:c>
      <x:c r="T247" s="27" t="n">
        <x:v>0</x:v>
      </x:c>
      <x:c r="U247" s="27" t="n">
        <x:v>84800000</x:v>
      </x:c>
      <x:c r="V247" s="27" t="str">
        <x:v>U</x:v>
      </x:c>
      <x:c r="W247" s="27" t="str">
        <x:v>N</x:v>
      </x:c>
      <x:c r="X247" s="27"/>
      <x:c r="Y247" s="27" t="str">
        <x:v>S</x:v>
      </x:c>
      <x:c r="Z247" s="27"/>
      <x:c r="AA247" s="27"/>
      <x:c r="AB247" s="27" t="n">
        <x:v>0</x:v>
      </x:c>
      <x:c r="AC247" s="27" t="n">
        <x:v>0</x:v>
      </x:c>
      <x:c r="AD247" s="27" t="n">
        <x:v>-347680</x:v>
      </x:c>
      <x:c r="AE247" s="27" t="str">
        <x:v>Public-safe anonymized industry-style SA-CCR sample</x:v>
      </x:c>
      <x:c r="AF247" s="27" t="str">
        <x:v>ANON-000244</x:v>
      </x:c>
      <x:c r="AG247" s="27" t="str">
        <x:v>Credit TRS</x:v>
      </x:c>
      <x:c r="AH247" s="27"/>
      <x:c r="AI247" s="27" t="str">
        <x:v>Credit Index</x:v>
      </x:c>
      <x:c r="AJ247" s="27" t="n">
        <x:v>866</x:v>
      </x:c>
      <x:c r="AK247" s="27" t="n">
        <x:v>2.372602739726027</x:v>
      </x:c>
      <x:c r="AL247" s="27" t="str">
        <x:v>1Y-5Y</x:v>
      </x:c>
      <x:c r="AM247" s="27"/>
      <x:c r="AN247" s="27" t="str">
        <x:v>Unknown</x:v>
      </x:c>
      <x:c r="AO247" s="27" t="str">
        <x:v>CREDIT_INDEX_21</x:v>
      </x:c>
      <x:c r="AP247" s="27" t="str">
        <x:v>U</x:v>
      </x:c>
      <x:c r="AQ247" s="27" t="n">
        <x:v>0.0054</x:v>
      </x:c>
      <x:c r="AR247" s="27" t="n">
        <x:v>1</x:v>
      </x:c>
      <x:c r="AS247" s="27" t="n">
        <x:v>0.0054</x:v>
      </x:c>
      <x:c r="AT247" s="27" t="n">
        <x:v>0.5</x:v>
      </x:c>
      <x:c r="AU247" s="27" t="n">
        <x:v>2.2372754247266746</x:v>
      </x:c>
      <x:c r="AV247" s="27" t="n">
        <x:v>189720956.016822</x:v>
      </x:c>
      <x:c r="AW247" s="27" t="n">
        <x:v>1</x:v>
      </x:c>
      <x:c r="AX247" s="27" t="n">
        <x:v>-1</x:v>
      </x:c>
      <x:c r="AY247" s="27" t="n">
        <x:v>1</x:v>
      </x:c>
      <x:c r="AZ247" s="27" t="n">
        <x:v>-189720956.016822</x:v>
      </x:c>
    </x:row>
    <x:row r="248">
      <x:c r="A248" s="27" t="n">
        <x:v>45702</x:v>
      </x:c>
      <x:c r="B248" s="27" t="str">
        <x:v>IND_PENSION_001</x:v>
      </x:c>
      <x:c r="C248" s="27" t="n">
        <x:v>3242</x:v>
      </x:c>
      <x:c r="D248" s="27" t="str">
        <x:v>IND-000245</x:v>
      </x:c>
      <x:c r="E248" s="27" t="str">
        <x:v>Credit TRS</x:v>
      </x:c>
      <x:c r="F248" s="27" t="str">
        <x:v>Credit</x:v>
      </x:c>
      <x:c r="G248" s="27"/>
      <x:c r="H248" s="27" t="str">
        <x:v>USD</x:v>
      </x:c>
      <x:c r="I248" s="27"/>
      <x:c r="J248" s="27" t="str">
        <x:v>USD</x:v>
      </x:c>
      <x:c r="K248" s="27"/>
      <x:c r="L248" s="27"/>
      <x:c r="M248" s="27" t="str">
        <x:v>CREDIT_INDEX_21</x:v>
      </x:c>
      <x:c r="N248" s="27" t="str">
        <x:v>Singleton</x:v>
      </x:c>
      <x:c r="O248" s="27" t="str">
        <x:v>BBB</x:v>
      </x:c>
      <x:c r="P248" s="27" t="n">
        <x:v>46454</x:v>
      </x:c>
      <x:c r="Q248" s="27" t="n">
        <x:v>45677</x:v>
      </x:c>
      <x:c r="R248" s="27" t="n">
        <x:v>46454</x:v>
      </x:c>
      <x:c r="S248" s="27" t="n">
        <x:v>41600000</x:v>
      </x:c>
      <x:c r="T248" s="27" t="n">
        <x:v>0</x:v>
      </x:c>
      <x:c r="U248" s="27" t="n">
        <x:v>41600000</x:v>
      </x:c>
      <x:c r="V248" s="27" t="str">
        <x:v>M</x:v>
      </x:c>
      <x:c r="W248" s="27" t="str">
        <x:v>N</x:v>
      </x:c>
      <x:c r="X248" s="27" t="n">
        <x:v>10</x:v>
      </x:c>
      <x:c r="Y248" s="27" t="str">
        <x:v>B</x:v>
      </x:c>
      <x:c r="Z248" s="27"/>
      <x:c r="AA248" s="27"/>
      <x:c r="AB248" s="27" t="n">
        <x:v>0</x:v>
      </x:c>
      <x:c r="AC248" s="27" t="n">
        <x:v>0</x:v>
      </x:c>
      <x:c r="AD248" s="27" t="n">
        <x:v>356928</x:v>
      </x:c>
      <x:c r="AE248" s="27" t="str">
        <x:v>Public-safe anonymized industry-style SA-CCR sample</x:v>
      </x:c>
      <x:c r="AF248" s="27" t="str">
        <x:v>ANON-000245</x:v>
      </x:c>
      <x:c r="AG248" s="27" t="str">
        <x:v>Credit TRS</x:v>
      </x:c>
      <x:c r="AH248" s="27"/>
      <x:c r="AI248" s="27" t="str">
        <x:v>Credit Index</x:v>
      </x:c>
      <x:c r="AJ248" s="27" t="n">
        <x:v>752</x:v>
      </x:c>
      <x:c r="AK248" s="27" t="n">
        <x:v>2.0602739726027397</x:v>
      </x:c>
      <x:c r="AL248" s="27" t="str">
        <x:v>1Y-5Y</x:v>
      </x:c>
      <x:c r="AM248" s="27"/>
      <x:c r="AN248" s="27" t="str">
        <x:v>Unknown</x:v>
      </x:c>
      <x:c r="AO248" s="27" t="str">
        <x:v>CREDIT_INDEX_21</x:v>
      </x:c>
      <x:c r="AP248" s="27" t="str">
        <x:v>M</x:v>
      </x:c>
      <x:c r="AQ248" s="27" t="n">
        <x:v>0.0054</x:v>
      </x:c>
      <x:c r="AR248" s="27" t="n">
        <x:v>1</x:v>
      </x:c>
      <x:c r="AS248" s="27" t="n">
        <x:v>0.0054</x:v>
      </x:c>
      <x:c r="AT248" s="27" t="n">
        <x:v>0.5</x:v>
      </x:c>
      <x:c r="AU248" s="27" t="n">
        <x:v>1.9577076867517418</x:v>
      </x:c>
      <x:c r="AV248" s="27" t="n">
        <x:v>81440639.76887245</x:v>
      </x:c>
      <x:c r="AW248" s="27" t="n">
        <x:v>1</x:v>
      </x:c>
      <x:c r="AX248" s="27" t="n">
        <x:v>1</x:v>
      </x:c>
      <x:c r="AY248" s="27" t="n">
        <x:v>0.30000000000000004</x:v>
      </x:c>
      <x:c r="AZ248" s="27" t="n">
        <x:v>24432191.93066174</x:v>
      </x:c>
    </x:row>
    <x:row r="249">
      <x:c r="A249" s="27" t="n">
        <x:v>45702</x:v>
      </x:c>
      <x:c r="B249" s="27" t="str">
        <x:v>IND_HEDGE_FUND_001</x:v>
      </x:c>
      <x:c r="C249" s="27" t="n">
        <x:v>3289</x:v>
      </x:c>
      <x:c r="D249" s="27" t="str">
        <x:v>IND-000246</x:v>
      </x:c>
      <x:c r="E249" s="27" t="str">
        <x:v>Credit TRS</x:v>
      </x:c>
      <x:c r="F249" s="27" t="str">
        <x:v>Credit</x:v>
      </x:c>
      <x:c r="G249" s="27"/>
      <x:c r="H249" s="27" t="str">
        <x:v>USD</x:v>
      </x:c>
      <x:c r="I249" s="27"/>
      <x:c r="J249" s="27" t="str">
        <x:v>USD</x:v>
      </x:c>
      <x:c r="K249" s="27"/>
      <x:c r="L249" s="27"/>
      <x:c r="M249" s="27" t="str">
        <x:v>CREDIT_NAME_16</x:v>
      </x:c>
      <x:c r="N249" s="27" t="str">
        <x:v>Singleton</x:v>
      </x:c>
      <x:c r="O249" s="27" t="str">
        <x:v>BB</x:v>
      </x:c>
      <x:c r="P249" s="27" t="n">
        <x:v>47380</x:v>
      </x:c>
      <x:c r="Q249" s="27" t="n">
        <x:v>45593</x:v>
      </x:c>
      <x:c r="R249" s="27" t="n">
        <x:v>47380</x:v>
      </x:c>
      <x:c r="S249" s="27" t="n">
        <x:v>43600000</x:v>
      </x:c>
      <x:c r="T249" s="27" t="n">
        <x:v>0</x:v>
      </x:c>
      <x:c r="U249" s="27" t="n">
        <x:v>43600000</x:v>
      </x:c>
      <x:c r="V249" s="27" t="str">
        <x:v>M</x:v>
      </x:c>
      <x:c r="W249" s="27" t="str">
        <x:v>N</x:v>
      </x:c>
      <x:c r="X249" s="27" t="n">
        <x:v>10</x:v>
      </x:c>
      <x:c r="Y249" s="27" t="str">
        <x:v>S</x:v>
      </x:c>
      <x:c r="Z249" s="27"/>
      <x:c r="AA249" s="27"/>
      <x:c r="AB249" s="27" t="n">
        <x:v>0</x:v>
      </x:c>
      <x:c r="AC249" s="27" t="n">
        <x:v>0</x:v>
      </x:c>
      <x:c r="AD249" s="27" t="n">
        <x:v>-809216</x:v>
      </x:c>
      <x:c r="AE249" s="27" t="str">
        <x:v>Public-safe anonymized industry-style SA-CCR sample</x:v>
      </x:c>
      <x:c r="AF249" s="27" t="str">
        <x:v>ANON-000246</x:v>
      </x:c>
      <x:c r="AG249" s="27" t="str">
        <x:v>Credit TRS</x:v>
      </x:c>
      <x:c r="AH249" s="27"/>
      <x:c r="AI249" s="27" t="str">
        <x:v>Corporate Bond</x:v>
      </x:c>
      <x:c r="AJ249" s="27" t="n">
        <x:v>1678</x:v>
      </x:c>
      <x:c r="AK249" s="27" t="n">
        <x:v>4.597260273972603</x:v>
      </x:c>
      <x:c r="AL249" s="27" t="str">
        <x:v>1Y-5Y</x:v>
      </x:c>
      <x:c r="AM249" s="27"/>
      <x:c r="AN249" s="27" t="str">
        <x:v>Unknown</x:v>
      </x:c>
      <x:c r="AO249" s="27" t="str">
        <x:v>CREDIT_NAME_16</x:v>
      </x:c>
      <x:c r="AP249" s="27" t="str">
        <x:v>M</x:v>
      </x:c>
      <x:c r="AQ249" s="27" t="n">
        <x:v>0.0106</x:v>
      </x:c>
      <x:c r="AR249" s="27" t="n">
        <x:v>1</x:v>
      </x:c>
      <x:c r="AS249" s="27" t="n">
        <x:v>0.0106</x:v>
      </x:c>
      <x:c r="AT249" s="27" t="n">
        <x:v>0.5</x:v>
      </x:c>
      <x:c r="AU249" s="27" t="n">
        <x:v>4.107150996439901</x:v>
      </x:c>
      <x:c r="AV249" s="27" t="n">
        <x:v>179071783.4447797</x:v>
      </x:c>
      <x:c r="AW249" s="27" t="n">
        <x:v>1</x:v>
      </x:c>
      <x:c r="AX249" s="27" t="n">
        <x:v>-1</x:v>
      </x:c>
      <x:c r="AY249" s="27" t="n">
        <x:v>0.30000000000000004</x:v>
      </x:c>
      <x:c r="AZ249" s="27" t="n">
        <x:v>-53721535.033433914</x:v>
      </x:c>
    </x:row>
    <x:row r="250">
      <x:c r="A250" s="27" t="n">
        <x:v>45702</x:v>
      </x:c>
      <x:c r="B250" s="27" t="str">
        <x:v>IND_CLEARING_MEMBER_001</x:v>
      </x:c>
      <x:c r="C250" s="27" t="n">
        <x:v>3116</x:v>
      </x:c>
      <x:c r="D250" s="27" t="str">
        <x:v>IND-000247</x:v>
      </x:c>
      <x:c r="E250" s="27" t="str">
        <x:v>Credit TRS</x:v>
      </x:c>
      <x:c r="F250" s="27" t="str">
        <x:v>Credit</x:v>
      </x:c>
      <x:c r="G250" s="27"/>
      <x:c r="H250" s="27" t="str">
        <x:v>USD</x:v>
      </x:c>
      <x:c r="I250" s="27"/>
      <x:c r="J250" s="27" t="str">
        <x:v>USD</x:v>
      </x:c>
      <x:c r="K250" s="27"/>
      <x:c r="L250" s="27"/>
      <x:c r="M250" s="27" t="str">
        <x:v>CREDIT_NAME_16</x:v>
      </x:c>
      <x:c r="N250" s="27" t="str">
        <x:v>Singleton</x:v>
      </x:c>
      <x:c r="O250" s="27" t="str">
        <x:v>BB</x:v>
      </x:c>
      <x:c r="P250" s="27" t="n">
        <x:v>46816</x:v>
      </x:c>
      <x:c r="Q250" s="27" t="n">
        <x:v>45622</x:v>
      </x:c>
      <x:c r="R250" s="27" t="n">
        <x:v>46816</x:v>
      </x:c>
      <x:c r="S250" s="27" t="n">
        <x:v>102000000</x:v>
      </x:c>
      <x:c r="T250" s="27" t="n">
        <x:v>0</x:v>
      </x:c>
      <x:c r="U250" s="27" t="n">
        <x:v>102000000</x:v>
      </x:c>
      <x:c r="V250" s="27" t="str">
        <x:v>M</x:v>
      </x:c>
      <x:c r="W250" s="27" t="str">
        <x:v>N</x:v>
      </x:c>
      <x:c r="X250" s="27" t="n">
        <x:v>10</x:v>
      </x:c>
      <x:c r="Y250" s="27" t="str">
        <x:v>S</x:v>
      </x:c>
      <x:c r="Z250" s="27"/>
      <x:c r="AA250" s="27"/>
      <x:c r="AB250" s="27" t="n">
        <x:v>0</x:v>
      </x:c>
      <x:c r="AC250" s="27" t="n">
        <x:v>0</x:v>
      </x:c>
      <x:c r="AD250" s="27" t="n">
        <x:v>-1632000</x:v>
      </x:c>
      <x:c r="AE250" s="27" t="str">
        <x:v>Public-safe anonymized industry-style SA-CCR sample</x:v>
      </x:c>
      <x:c r="AF250" s="27" t="str">
        <x:v>ANON-000247</x:v>
      </x:c>
      <x:c r="AG250" s="27" t="str">
        <x:v>Credit TRS</x:v>
      </x:c>
      <x:c r="AH250" s="27"/>
      <x:c r="AI250" s="27" t="str">
        <x:v>Corporate Bond</x:v>
      </x:c>
      <x:c r="AJ250" s="27" t="n">
        <x:v>1114</x:v>
      </x:c>
      <x:c r="AK250" s="27" t="n">
        <x:v>3.052054794520548</x:v>
      </x:c>
      <x:c r="AL250" s="27" t="str">
        <x:v>1Y-5Y</x:v>
      </x:c>
      <x:c r="AM250" s="27"/>
      <x:c r="AN250" s="27" t="str">
        <x:v>Unknown</x:v>
      </x:c>
      <x:c r="AO250" s="27" t="str">
        <x:v>CREDIT_NAME_16</x:v>
      </x:c>
      <x:c r="AP250" s="27" t="str">
        <x:v>M</x:v>
      </x:c>
      <x:c r="AQ250" s="27" t="n">
        <x:v>0.0106</x:v>
      </x:c>
      <x:c r="AR250" s="27" t="n">
        <x:v>1</x:v>
      </x:c>
      <x:c r="AS250" s="27" t="n">
        <x:v>0.0106</x:v>
      </x:c>
      <x:c r="AT250" s="27" t="n">
        <x:v>0.5</x:v>
      </x:c>
      <x:c r="AU250" s="27" t="n">
        <x:v>2.830586192361313</x:v>
      </x:c>
      <x:c r="AV250" s="27" t="n">
        <x:v>288719791.6208539</x:v>
      </x:c>
      <x:c r="AW250" s="27" t="n">
        <x:v>1</x:v>
      </x:c>
      <x:c r="AX250" s="27" t="n">
        <x:v>-1</x:v>
      </x:c>
      <x:c r="AY250" s="27" t="n">
        <x:v>0.30000000000000004</x:v>
      </x:c>
      <x:c r="AZ250" s="27" t="n">
        <x:v>-86615937.48625618</x:v>
      </x:c>
    </x:row>
    <x:row r="251">
      <x:c r="A251" s="27" t="n">
        <x:v>45702</x:v>
      </x:c>
      <x:c r="B251" s="27" t="str">
        <x:v>IND_BANK_001</x:v>
      </x:c>
      <x:c r="C251" s="27" t="n">
        <x:v>3372</x:v>
      </x:c>
      <x:c r="D251" s="27" t="str">
        <x:v>IND-000248</x:v>
      </x:c>
      <x:c r="E251" s="27" t="str">
        <x:v>Credit TRS</x:v>
      </x:c>
      <x:c r="F251" s="27" t="str">
        <x:v>Credit</x:v>
      </x:c>
      <x:c r="G251" s="27"/>
      <x:c r="H251" s="27" t="str">
        <x:v>USD</x:v>
      </x:c>
      <x:c r="I251" s="27"/>
      <x:c r="J251" s="27" t="str">
        <x:v>USD</x:v>
      </x:c>
      <x:c r="K251" s="27"/>
      <x:c r="L251" s="27"/>
      <x:c r="M251" s="27" t="str">
        <x:v>CREDIT_NAME_06</x:v>
      </x:c>
      <x:c r="N251" s="27" t="str">
        <x:v>Singleton</x:v>
      </x:c>
      <x:c r="O251" s="27" t="str">
        <x:v>AAA</x:v>
      </x:c>
      <x:c r="P251" s="27" t="n">
        <x:v>47240</x:v>
      </x:c>
      <x:c r="Q251" s="27" t="n">
        <x:v>44910</x:v>
      </x:c>
      <x:c r="R251" s="27" t="n">
        <x:v>47240</x:v>
      </x:c>
      <x:c r="S251" s="27" t="n">
        <x:v>144000000</x:v>
      </x:c>
      <x:c r="T251" s="27" t="n">
        <x:v>0</x:v>
      </x:c>
      <x:c r="U251" s="27" t="n">
        <x:v>144000000</x:v>
      </x:c>
      <x:c r="V251" s="27" t="str">
        <x:v>M</x:v>
      </x:c>
      <x:c r="W251" s="27" t="str">
        <x:v>N</x:v>
      </x:c>
      <x:c r="X251" s="27" t="n">
        <x:v>10</x:v>
      </x:c>
      <x:c r="Y251" s="27" t="str">
        <x:v>B</x:v>
      </x:c>
      <x:c r="Z251" s="27"/>
      <x:c r="AA251" s="27"/>
      <x:c r="AB251" s="27" t="n">
        <x:v>0</x:v>
      </x:c>
      <x:c r="AC251" s="27" t="n">
        <x:v>0</x:v>
      </x:c>
      <x:c r="AD251" s="27" t="n">
        <x:v>-2306880</x:v>
      </x:c>
      <x:c r="AE251" s="27" t="str">
        <x:v>Public-safe anonymized industry-style SA-CCR sample</x:v>
      </x:c>
      <x:c r="AF251" s="27" t="str">
        <x:v>ANON-000248</x:v>
      </x:c>
      <x:c r="AG251" s="27" t="str">
        <x:v>Credit TRS</x:v>
      </x:c>
      <x:c r="AH251" s="27"/>
      <x:c r="AI251" s="27" t="str">
        <x:v>Corporate Bond</x:v>
      </x:c>
      <x:c r="AJ251" s="27" t="n">
        <x:v>1538</x:v>
      </x:c>
      <x:c r="AK251" s="27" t="n">
        <x:v>4.213698630136986</x:v>
      </x:c>
      <x:c r="AL251" s="27" t="str">
        <x:v>1Y-5Y</x:v>
      </x:c>
      <x:c r="AM251" s="27"/>
      <x:c r="AN251" s="27" t="str">
        <x:v>Unknown</x:v>
      </x:c>
      <x:c r="AO251" s="27" t="str">
        <x:v>CREDIT_NAME_06</x:v>
      </x:c>
      <x:c r="AP251" s="27" t="str">
        <x:v>M</x:v>
      </x:c>
      <x:c r="AQ251" s="27" t="n">
        <x:v>0.0038</x:v>
      </x:c>
      <x:c r="AR251" s="27" t="n">
        <x:v>1</x:v>
      </x:c>
      <x:c r="AS251" s="27" t="n">
        <x:v>0.0038</x:v>
      </x:c>
      <x:c r="AT251" s="27" t="n">
        <x:v>0.5</x:v>
      </x:c>
      <x:c r="AU251" s="27" t="n">
        <x:v>3.7994151725413694</x:v>
      </x:c>
      <x:c r="AV251" s="27" t="n">
        <x:v>547115784.8459572</x:v>
      </x:c>
      <x:c r="AW251" s="27" t="n">
        <x:v>1</x:v>
      </x:c>
      <x:c r="AX251" s="27" t="n">
        <x:v>1</x:v>
      </x:c>
      <x:c r="AY251" s="27" t="n">
        <x:v>0.30000000000000004</x:v>
      </x:c>
      <x:c r="AZ251" s="27" t="n">
        <x:v>164134735.45378718</x:v>
      </x:c>
    </x:row>
    <x:row r="252">
      <x:c r="A252" s="27" t="n">
        <x:v>45702</x:v>
      </x:c>
      <x:c r="B252" s="27" t="str">
        <x:v>IND_REGIONAL_BANK_001</x:v>
      </x:c>
      <x:c r="C252" s="27" t="n">
        <x:v>3161</x:v>
      </x:c>
      <x:c r="D252" s="27" t="str">
        <x:v>IND-000249</x:v>
      </x:c>
      <x:c r="E252" s="27" t="str">
        <x:v>Credit TRS</x:v>
      </x:c>
      <x:c r="F252" s="27" t="str">
        <x:v>Credit</x:v>
      </x:c>
      <x:c r="G252" s="27"/>
      <x:c r="H252" s="27" t="str">
        <x:v>USD</x:v>
      </x:c>
      <x:c r="I252" s="27"/>
      <x:c r="J252" s="27" t="str">
        <x:v>USD</x:v>
      </x:c>
      <x:c r="K252" s="27"/>
      <x:c r="L252" s="27"/>
      <x:c r="M252" s="27" t="str">
        <x:v>CREDIT_INDEX_05</x:v>
      </x:c>
      <x:c r="N252" s="27" t="str">
        <x:v>Singleton</x:v>
      </x:c>
      <x:c r="O252" s="27" t="str">
        <x:v>B</x:v>
      </x:c>
      <x:c r="P252" s="27" t="n">
        <x:v>45822</x:v>
      </x:c>
      <x:c r="Q252" s="27" t="n">
        <x:v>45684</x:v>
      </x:c>
      <x:c r="R252" s="27" t="n">
        <x:v>45822</x:v>
      </x:c>
      <x:c r="S252" s="27" t="n">
        <x:v>38100000</x:v>
      </x:c>
      <x:c r="T252" s="27" t="n">
        <x:v>0</x:v>
      </x:c>
      <x:c r="U252" s="27" t="n">
        <x:v>38100000</x:v>
      </x:c>
      <x:c r="V252" s="27" t="str">
        <x:v>U</x:v>
      </x:c>
      <x:c r="W252" s="27" t="str">
        <x:v>N</x:v>
      </x:c>
      <x:c r="X252" s="27"/>
      <x:c r="Y252" s="27" t="str">
        <x:v>B</x:v>
      </x:c>
      <x:c r="Z252" s="27"/>
      <x:c r="AA252" s="27"/>
      <x:c r="AB252" s="27" t="n">
        <x:v>0</x:v>
      </x:c>
      <x:c r="AC252" s="27" t="n">
        <x:v>0</x:v>
      </x:c>
      <x:c r="AD252" s="27" t="n">
        <x:v>-298704</x:v>
      </x:c>
      <x:c r="AE252" s="27" t="str">
        <x:v>Public-safe anonymized industry-style SA-CCR sample</x:v>
      </x:c>
      <x:c r="AF252" s="27" t="str">
        <x:v>ANON-000249</x:v>
      </x:c>
      <x:c r="AG252" s="27" t="str">
        <x:v>Credit TRS</x:v>
      </x:c>
      <x:c r="AH252" s="27"/>
      <x:c r="AI252" s="27" t="str">
        <x:v>Credit Index</x:v>
      </x:c>
      <x:c r="AJ252" s="27" t="n">
        <x:v>120</x:v>
      </x:c>
      <x:c r="AK252" s="27" t="n">
        <x:v>0.3287671232876712</x:v>
      </x:c>
      <x:c r="AL252" s="27" t="str">
        <x:v>&lt;1Y</x:v>
      </x:c>
      <x:c r="AM252" s="27"/>
      <x:c r="AN252" s="27" t="str">
        <x:v>Unknown</x:v>
      </x:c>
      <x:c r="AO252" s="27" t="str">
        <x:v>CREDIT_INDEX_05</x:v>
      </x:c>
      <x:c r="AP252" s="27" t="str">
        <x:v>U</x:v>
      </x:c>
      <x:c r="AQ252" s="27" t="n">
        <x:v>0.016</x:v>
      </x:c>
      <x:c r="AR252" s="27" t="n">
        <x:v>1</x:v>
      </x:c>
      <x:c r="AS252" s="27" t="n">
        <x:v>0.016</x:v>
      </x:c>
      <x:c r="AT252" s="27" t="n">
        <x:v>0.5</x:v>
      </x:c>
      <x:c r="AU252" s="27" t="n">
        <x:v>0.3260796736553351</x:v>
      </x:c>
      <x:c r="AV252" s="27" t="n">
        <x:v>12423635.566268267</x:v>
      </x:c>
      <x:c r="AW252" s="27" t="n">
        <x:v>1</x:v>
      </x:c>
      <x:c r="AX252" s="27" t="n">
        <x:v>1</x:v>
      </x:c>
      <x:c r="AY252" s="27" t="n">
        <x:v>0.5733821790809959</x:v>
      </x:c>
      <x:c r="AZ252" s="27" t="n">
        <x:v>7123491.233095061</x:v>
      </x:c>
    </x:row>
    <x:row r="253">
      <x:c r="A253" s="27" t="n">
        <x:v>45702</x:v>
      </x:c>
      <x:c r="B253" s="27" t="str">
        <x:v>IND_ASSET_MANAGER_001</x:v>
      </x:c>
      <x:c r="C253" s="27" t="n">
        <x:v>3277</x:v>
      </x:c>
      <x:c r="D253" s="27" t="str">
        <x:v>IND-000250</x:v>
      </x:c>
      <x:c r="E253" s="27" t="str">
        <x:v>Credit TRS</x:v>
      </x:c>
      <x:c r="F253" s="27" t="str">
        <x:v>Credit</x:v>
      </x:c>
      <x:c r="G253" s="27"/>
      <x:c r="H253" s="27" t="str">
        <x:v>USD</x:v>
      </x:c>
      <x:c r="I253" s="27"/>
      <x:c r="J253" s="27" t="str">
        <x:v>USD</x:v>
      </x:c>
      <x:c r="K253" s="27"/>
      <x:c r="L253" s="27"/>
      <x:c r="M253" s="27" t="str">
        <x:v>CREDIT_INDEX_27</x:v>
      </x:c>
      <x:c r="N253" s="27" t="str">
        <x:v>Singleton</x:v>
      </x:c>
      <x:c r="O253" s="27" t="str">
        <x:v>BBB</x:v>
      </x:c>
      <x:c r="P253" s="27" t="n">
        <x:v>46277</x:v>
      </x:c>
      <x:c r="Q253" s="27" t="n">
        <x:v>45085</x:v>
      </x:c>
      <x:c r="R253" s="27" t="n">
        <x:v>46277</x:v>
      </x:c>
      <x:c r="S253" s="27" t="n">
        <x:v>67400000</x:v>
      </x:c>
      <x:c r="T253" s="27" t="n">
        <x:v>0</x:v>
      </x:c>
      <x:c r="U253" s="27" t="n">
        <x:v>67400000</x:v>
      </x:c>
      <x:c r="V253" s="27" t="str">
        <x:v>U</x:v>
      </x:c>
      <x:c r="W253" s="27" t="str">
        <x:v>N</x:v>
      </x:c>
      <x:c r="X253" s="27"/>
      <x:c r="Y253" s="27" t="str">
        <x:v>B</x:v>
      </x:c>
      <x:c r="Z253" s="27"/>
      <x:c r="AA253" s="27"/>
      <x:c r="AB253" s="27" t="n">
        <x:v>0</x:v>
      </x:c>
      <x:c r="AC253" s="27" t="n">
        <x:v>0</x:v>
      </x:c>
      <x:c r="AD253" s="27" t="n">
        <x:v>876200</x:v>
      </x:c>
      <x:c r="AE253" s="27" t="str">
        <x:v>Public-safe anonymized industry-style SA-CCR sample</x:v>
      </x:c>
      <x:c r="AF253" s="27" t="str">
        <x:v>ANON-000250</x:v>
      </x:c>
      <x:c r="AG253" s="27" t="str">
        <x:v>Credit TRS</x:v>
      </x:c>
      <x:c r="AH253" s="27"/>
      <x:c r="AI253" s="27" t="str">
        <x:v>Credit Index</x:v>
      </x:c>
      <x:c r="AJ253" s="27" t="n">
        <x:v>575</x:v>
      </x:c>
      <x:c r="AK253" s="27" t="n">
        <x:v>1.5753424657534247</x:v>
      </x:c>
      <x:c r="AL253" s="27" t="str">
        <x:v>1Y-5Y</x:v>
      </x:c>
      <x:c r="AM253" s="27"/>
      <x:c r="AN253" s="27" t="str">
        <x:v>Unknown</x:v>
      </x:c>
      <x:c r="AO253" s="27" t="str">
        <x:v>CREDIT_INDEX_27</x:v>
      </x:c>
      <x:c r="AP253" s="27" t="str">
        <x:v>U</x:v>
      </x:c>
      <x:c r="AQ253" s="27" t="n">
        <x:v>0.0054</x:v>
      </x:c>
      <x:c r="AR253" s="27" t="n">
        <x:v>1</x:v>
      </x:c>
      <x:c r="AS253" s="27" t="n">
        <x:v>0.0054</x:v>
      </x:c>
      <x:c r="AT253" s="27" t="n">
        <x:v>0.5</x:v>
      </x:c>
      <x:c r="AU253" s="27" t="n">
        <x:v>1.514897262344761</x:v>
      </x:c>
      <x:c r="AV253" s="27" t="n">
        <x:v>102104075.48203689</x:v>
      </x:c>
      <x:c r="AW253" s="27" t="n">
        <x:v>1</x:v>
      </x:c>
      <x:c r="AX253" s="27" t="n">
        <x:v>1</x:v>
      </x:c>
      <x:c r="AY253" s="27" t="n">
        <x:v>1</x:v>
      </x:c>
      <x:c r="AZ253" s="27" t="n">
        <x:v>102104075.48203689</x:v>
      </x:c>
    </x:row>
    <x:row r="254">
      <x:c r="A254" s="27" t="n">
        <x:v>45702</x:v>
      </x:c>
      <x:c r="B254" s="27" t="str">
        <x:v>IND_BANK_002</x:v>
      </x:c>
      <x:c r="C254" s="27" t="n">
        <x:v>3341</x:v>
      </x:c>
      <x:c r="D254" s="27" t="str">
        <x:v>IND-000251</x:v>
      </x:c>
      <x:c r="E254" s="27" t="str">
        <x:v>Credit TRS</x:v>
      </x:c>
      <x:c r="F254" s="27" t="str">
        <x:v>Credit</x:v>
      </x:c>
      <x:c r="G254" s="27"/>
      <x:c r="H254" s="27" t="str">
        <x:v>USD</x:v>
      </x:c>
      <x:c r="I254" s="27"/>
      <x:c r="J254" s="27" t="str">
        <x:v>USD</x:v>
      </x:c>
      <x:c r="K254" s="27"/>
      <x:c r="L254" s="27"/>
      <x:c r="M254" s="27" t="str">
        <x:v>CREDIT_INDEX_13</x:v>
      </x:c>
      <x:c r="N254" s="27" t="str">
        <x:v>Singleton</x:v>
      </x:c>
      <x:c r="O254" s="27" t="str">
        <x:v>AA</x:v>
      </x:c>
      <x:c r="P254" s="27" t="n">
        <x:v>46000</x:v>
      </x:c>
      <x:c r="Q254" s="27" t="n">
        <x:v>45007</x:v>
      </x:c>
      <x:c r="R254" s="27" t="n">
        <x:v>46000</x:v>
      </x:c>
      <x:c r="S254" s="27" t="n">
        <x:v>25500000</x:v>
      </x:c>
      <x:c r="T254" s="27" t="n">
        <x:v>0</x:v>
      </x:c>
      <x:c r="U254" s="27" t="n">
        <x:v>25500000</x:v>
      </x:c>
      <x:c r="V254" s="27" t="str">
        <x:v>M</x:v>
      </x:c>
      <x:c r="W254" s="27" t="str">
        <x:v>N</x:v>
      </x:c>
      <x:c r="X254" s="27" t="n">
        <x:v>10</x:v>
      </x:c>
      <x:c r="Y254" s="27" t="str">
        <x:v>S</x:v>
      </x:c>
      <x:c r="Z254" s="27"/>
      <x:c r="AA254" s="27"/>
      <x:c r="AB254" s="27" t="n">
        <x:v>0</x:v>
      </x:c>
      <x:c r="AC254" s="27" t="n">
        <x:v>0</x:v>
      </x:c>
      <x:c r="AD254" s="27" t="n">
        <x:v>299370</x:v>
      </x:c>
      <x:c r="AE254" s="27" t="str">
        <x:v>Public-safe anonymized industry-style SA-CCR sample</x:v>
      </x:c>
      <x:c r="AF254" s="27" t="str">
        <x:v>ANON-000251</x:v>
      </x:c>
      <x:c r="AG254" s="27" t="str">
        <x:v>Credit TRS</x:v>
      </x:c>
      <x:c r="AH254" s="27"/>
      <x:c r="AI254" s="27" t="str">
        <x:v>Credit Index</x:v>
      </x:c>
      <x:c r="AJ254" s="27" t="n">
        <x:v>298</x:v>
      </x:c>
      <x:c r="AK254" s="27" t="n">
        <x:v>0.8164383561643835</x:v>
      </x:c>
      <x:c r="AL254" s="27" t="str">
        <x:v>&lt;1Y</x:v>
      </x:c>
      <x:c r="AM254" s="27"/>
      <x:c r="AN254" s="27" t="str">
        <x:v>Unknown</x:v>
      </x:c>
      <x:c r="AO254" s="27" t="str">
        <x:v>CREDIT_INDEX_13</x:v>
      </x:c>
      <x:c r="AP254" s="27" t="str">
        <x:v>M</x:v>
      </x:c>
      <x:c r="AQ254" s="27" t="n">
        <x:v>0.0038</x:v>
      </x:c>
      <x:c r="AR254" s="27" t="n">
        <x:v>1</x:v>
      </x:c>
      <x:c r="AS254" s="27" t="n">
        <x:v>0.0038</x:v>
      </x:c>
      <x:c r="AT254" s="27" t="n">
        <x:v>0.5</x:v>
      </x:c>
      <x:c r="AU254" s="27" t="n">
        <x:v>0.7999985271288534</x:v>
      </x:c>
      <x:c r="AV254" s="27" t="n">
        <x:v>20399962.441785764</x:v>
      </x:c>
      <x:c r="AW254" s="27" t="n">
        <x:v>1</x:v>
      </x:c>
      <x:c r="AX254" s="27" t="n">
        <x:v>-1</x:v>
      </x:c>
      <x:c r="AY254" s="27" t="n">
        <x:v>0.30000000000000004</x:v>
      </x:c>
      <x:c r="AZ254" s="27" t="n">
        <x:v>-6119988.73253573</x:v>
      </x:c>
    </x:row>
    <x:row r="255">
      <x:c r="A255" s="27" t="n">
        <x:v>45702</x:v>
      </x:c>
      <x:c r="B255" s="27" t="str">
        <x:v>IND_CORPORATE_001</x:v>
      </x:c>
      <x:c r="C255" s="27" t="n">
        <x:v>3015</x:v>
      </x:c>
      <x:c r="D255" s="27" t="str">
        <x:v>IND-000252</x:v>
      </x:c>
      <x:c r="E255" s="27" t="str">
        <x:v>Credit TRS</x:v>
      </x:c>
      <x:c r="F255" s="27" t="str">
        <x:v>Credit</x:v>
      </x:c>
      <x:c r="G255" s="27"/>
      <x:c r="H255" s="27" t="str">
        <x:v>USD</x:v>
      </x:c>
      <x:c r="I255" s="27"/>
      <x:c r="J255" s="27" t="str">
        <x:v>USD</x:v>
      </x:c>
      <x:c r="K255" s="27"/>
      <x:c r="L255" s="27"/>
      <x:c r="M255" s="27" t="str">
        <x:v>CREDIT_INDEX_17</x:v>
      </x:c>
      <x:c r="N255" s="27" t="str">
        <x:v>Singleton</x:v>
      </x:c>
      <x:c r="O255" s="27" t="str">
        <x:v>B</x:v>
      </x:c>
      <x:c r="P255" s="27" t="n">
        <x:v>45828</x:v>
      </x:c>
      <x:c r="Q255" s="27" t="n">
        <x:v>45027</x:v>
      </x:c>
      <x:c r="R255" s="27" t="n">
        <x:v>45828</x:v>
      </x:c>
      <x:c r="S255" s="27" t="n">
        <x:v>49600000</x:v>
      </x:c>
      <x:c r="T255" s="27" t="n">
        <x:v>0</x:v>
      </x:c>
      <x:c r="U255" s="27" t="n">
        <x:v>49600000</x:v>
      </x:c>
      <x:c r="V255" s="27" t="str">
        <x:v>U</x:v>
      </x:c>
      <x:c r="W255" s="27" t="str">
        <x:v>N</x:v>
      </x:c>
      <x:c r="X255" s="27"/>
      <x:c r="Y255" s="27" t="str">
        <x:v>S</x:v>
      </x:c>
      <x:c r="Z255" s="27"/>
      <x:c r="AA255" s="27"/>
      <x:c r="AB255" s="27" t="n">
        <x:v>0</x:v>
      </x:c>
      <x:c r="AC255" s="27" t="n">
        <x:v>0</x:v>
      </x:c>
      <x:c r="AD255" s="27" t="n">
        <x:v>354144</x:v>
      </x:c>
      <x:c r="AE255" s="27" t="str">
        <x:v>Public-safe anonymized industry-style SA-CCR sample</x:v>
      </x:c>
      <x:c r="AF255" s="27" t="str">
        <x:v>ANON-000252</x:v>
      </x:c>
      <x:c r="AG255" s="27" t="str">
        <x:v>Credit TRS</x:v>
      </x:c>
      <x:c r="AH255" s="27"/>
      <x:c r="AI255" s="27" t="str">
        <x:v>Credit Index</x:v>
      </x:c>
      <x:c r="AJ255" s="27" t="n">
        <x:v>126</x:v>
      </x:c>
      <x:c r="AK255" s="27" t="n">
        <x:v>0.3452054794520548</x:v>
      </x:c>
      <x:c r="AL255" s="27" t="str">
        <x:v>&lt;1Y</x:v>
      </x:c>
      <x:c r="AM255" s="27"/>
      <x:c r="AN255" s="27" t="str">
        <x:v>Unknown</x:v>
      </x:c>
      <x:c r="AO255" s="27" t="str">
        <x:v>CREDIT_INDEX_17</x:v>
      </x:c>
      <x:c r="AP255" s="27" t="str">
        <x:v>U</x:v>
      </x:c>
      <x:c r="AQ255" s="27" t="n">
        <x:v>0.016</x:v>
      </x:c>
      <x:c r="AR255" s="27" t="n">
        <x:v>1</x:v>
      </x:c>
      <x:c r="AS255" s="27" t="n">
        <x:v>0.016</x:v>
      </x:c>
      <x:c r="AT255" s="27" t="n">
        <x:v>0.5</x:v>
      </x:c>
      <x:c r="AU255" s="27" t="n">
        <x:v>0.34224337560185836</x:v>
      </x:c>
      <x:c r="AV255" s="27" t="n">
        <x:v>16975271.429852173</x:v>
      </x:c>
      <x:c r="AW255" s="27" t="n">
        <x:v>1</x:v>
      </x:c>
      <x:c r="AX255" s="27" t="n">
        <x:v>-1</x:v>
      </x:c>
      <x:c r="AY255" s="27" t="n">
        <x:v>0.5875418959121594</x:v>
      </x:c>
      <x:c r="AZ255" s="27" t="n">
        <x:v>-9973683.159518858</x:v>
      </x:c>
    </x:row>
    <x:row r="256">
      <x:c r="A256" s="27" t="n">
        <x:v>45702</x:v>
      </x:c>
      <x:c r="B256" s="27" t="str">
        <x:v>IND_PENSION_001</x:v>
      </x:c>
      <x:c r="C256" s="27" t="n">
        <x:v>3036</x:v>
      </x:c>
      <x:c r="D256" s="27" t="str">
        <x:v>IND-000253</x:v>
      </x:c>
      <x:c r="E256" s="27" t="str">
        <x:v>Credit Single Name CDS</x:v>
      </x:c>
      <x:c r="F256" s="27" t="str">
        <x:v>Credit</x:v>
      </x:c>
      <x:c r="G256" s="27"/>
      <x:c r="H256" s="27" t="str">
        <x:v>USD</x:v>
      </x:c>
      <x:c r="I256" s="27"/>
      <x:c r="J256" s="27" t="str">
        <x:v>USD</x:v>
      </x:c>
      <x:c r="K256" s="27"/>
      <x:c r="L256" s="27"/>
      <x:c r="M256" s="27" t="str">
        <x:v>CREDIT_NAME_27</x:v>
      </x:c>
      <x:c r="N256" s="27" t="str">
        <x:v>Singleton</x:v>
      </x:c>
      <x:c r="O256" s="27" t="str">
        <x:v>BBB</x:v>
      </x:c>
      <x:c r="P256" s="27" t="n">
        <x:v>46136</x:v>
      </x:c>
      <x:c r="Q256" s="27" t="n">
        <x:v>44883</x:v>
      </x:c>
      <x:c r="R256" s="27" t="n">
        <x:v>46136</x:v>
      </x:c>
      <x:c r="S256" s="27" t="n">
        <x:v>13100000</x:v>
      </x:c>
      <x:c r="T256" s="27" t="n">
        <x:v>0</x:v>
      </x:c>
      <x:c r="U256" s="27" t="n">
        <x:v>13100000</x:v>
      </x:c>
      <x:c r="V256" s="27" t="str">
        <x:v>U</x:v>
      </x:c>
      <x:c r="W256" s="27" t="str">
        <x:v>N</x:v>
      </x:c>
      <x:c r="X256" s="27"/>
      <x:c r="Y256" s="27" t="str">
        <x:v>B</x:v>
      </x:c>
      <x:c r="Z256" s="27"/>
      <x:c r="AA256" s="27"/>
      <x:c r="AB256" s="27" t="n">
        <x:v>0</x:v>
      </x:c>
      <x:c r="AC256" s="27" t="n">
        <x:v>0</x:v>
      </x:c>
      <x:c r="AD256" s="27" t="n">
        <x:v>-122878</x:v>
      </x:c>
      <x:c r="AE256" s="27" t="str">
        <x:v>Public-safe anonymized industry-style SA-CCR sample</x:v>
      </x:c>
      <x:c r="AF256" s="27" t="str">
        <x:v>ANON-000253</x:v>
      </x:c>
      <x:c r="AG256" s="27" t="str">
        <x:v>Credit Single Name CDS</x:v>
      </x:c>
      <x:c r="AH256" s="27"/>
      <x:c r="AI256" s="27" t="str">
        <x:v>Corporate Bond</x:v>
      </x:c>
      <x:c r="AJ256" s="27" t="n">
        <x:v>434</x:v>
      </x:c>
      <x:c r="AK256" s="27" t="n">
        <x:v>1.189041095890411</x:v>
      </x:c>
      <x:c r="AL256" s="27" t="str">
        <x:v>1Y-5Y</x:v>
      </x:c>
      <x:c r="AM256" s="27"/>
      <x:c r="AN256" s="27" t="str">
        <x:v>Unknown</x:v>
      </x:c>
      <x:c r="AO256" s="27" t="str">
        <x:v>CREDIT_NAME_27</x:v>
      </x:c>
      <x:c r="AP256" s="27" t="str">
        <x:v>U</x:v>
      </x:c>
      <x:c r="AQ256" s="27" t="n">
        <x:v>0.0054</x:v>
      </x:c>
      <x:c r="AR256" s="27" t="n">
        <x:v>1</x:v>
      </x:c>
      <x:c r="AS256" s="27" t="n">
        <x:v>0.0054</x:v>
      </x:c>
      <x:c r="AT256" s="27" t="n">
        <x:v>0.5</x:v>
      </x:c>
      <x:c r="AU256" s="27" t="n">
        <x:v>1.1543857929901202</x:v>
      </x:c>
      <x:c r="AV256" s="27" t="n">
        <x:v>15122453.888170576</x:v>
      </x:c>
      <x:c r="AW256" s="27" t="n">
        <x:v>1</x:v>
      </x:c>
      <x:c r="AX256" s="27" t="n">
        <x:v>1</x:v>
      </x:c>
      <x:c r="AY256" s="27" t="n">
        <x:v>1</x:v>
      </x:c>
      <x:c r="AZ256" s="27" t="n">
        <x:v>15122453.888170576</x:v>
      </x:c>
    </x:row>
    <x:row r="257">
      <x:c r="A257" s="27" t="n">
        <x:v>45702</x:v>
      </x:c>
      <x:c r="B257" s="27" t="str">
        <x:v>IND_CORPORATE_001</x:v>
      </x:c>
      <x:c r="C257" s="27" t="n">
        <x:v>3041</x:v>
      </x:c>
      <x:c r="D257" s="27" t="str">
        <x:v>IND-000254</x:v>
      </x:c>
      <x:c r="E257" s="27" t="str">
        <x:v>Credit Single Name CDS</x:v>
      </x:c>
      <x:c r="F257" s="27" t="str">
        <x:v>Credit</x:v>
      </x:c>
      <x:c r="G257" s="27"/>
      <x:c r="H257" s="27" t="str">
        <x:v>USD</x:v>
      </x:c>
      <x:c r="I257" s="27"/>
      <x:c r="J257" s="27" t="str">
        <x:v>USD</x:v>
      </x:c>
      <x:c r="K257" s="27"/>
      <x:c r="L257" s="27"/>
      <x:c r="M257" s="27" t="str">
        <x:v>CREDIT_NAME_29</x:v>
      </x:c>
      <x:c r="N257" s="27" t="str">
        <x:v>Singleton</x:v>
      </x:c>
      <x:c r="O257" s="27" t="str">
        <x:v>B</x:v>
      </x:c>
      <x:c r="P257" s="27" t="n">
        <x:v>47056</x:v>
      </x:c>
      <x:c r="Q257" s="27" t="n">
        <x:v>45302</x:v>
      </x:c>
      <x:c r="R257" s="27" t="n">
        <x:v>47056</x:v>
      </x:c>
      <x:c r="S257" s="27" t="n">
        <x:v>9100000</x:v>
      </x:c>
      <x:c r="T257" s="27" t="n">
        <x:v>0</x:v>
      </x:c>
      <x:c r="U257" s="27" t="n">
        <x:v>9100000</x:v>
      </x:c>
      <x:c r="V257" s="27" t="str">
        <x:v>M</x:v>
      </x:c>
      <x:c r="W257" s="27" t="str">
        <x:v>N</x:v>
      </x:c>
      <x:c r="X257" s="27" t="n">
        <x:v>10</x:v>
      </x:c>
      <x:c r="Y257" s="27" t="str">
        <x:v>B</x:v>
      </x:c>
      <x:c r="Z257" s="27"/>
      <x:c r="AA257" s="27"/>
      <x:c r="AB257" s="27" t="n">
        <x:v>0</x:v>
      </x:c>
      <x:c r="AC257" s="27" t="n">
        <x:v>0</x:v>
      </x:c>
      <x:c r="AD257" s="27" t="n">
        <x:v>84266</x:v>
      </x:c>
      <x:c r="AE257" s="27" t="str">
        <x:v>Public-safe anonymized industry-style SA-CCR sample</x:v>
      </x:c>
      <x:c r="AF257" s="27" t="str">
        <x:v>ANON-000254</x:v>
      </x:c>
      <x:c r="AG257" s="27" t="str">
        <x:v>Credit Single Name CDS</x:v>
      </x:c>
      <x:c r="AH257" s="27"/>
      <x:c r="AI257" s="27" t="str">
        <x:v>Corporate Bond</x:v>
      </x:c>
      <x:c r="AJ257" s="27" t="n">
        <x:v>1354</x:v>
      </x:c>
      <x:c r="AK257" s="27" t="n">
        <x:v>3.7095890410958905</x:v>
      </x:c>
      <x:c r="AL257" s="27" t="str">
        <x:v>1Y-5Y</x:v>
      </x:c>
      <x:c r="AM257" s="27"/>
      <x:c r="AN257" s="27" t="str">
        <x:v>Unknown</x:v>
      </x:c>
      <x:c r="AO257" s="27" t="str">
        <x:v>CREDIT_NAME_29</x:v>
      </x:c>
      <x:c r="AP257" s="27" t="str">
        <x:v>M</x:v>
      </x:c>
      <x:c r="AQ257" s="27" t="n">
        <x:v>0.016</x:v>
      </x:c>
      <x:c r="AR257" s="27" t="n">
        <x:v>1</x:v>
      </x:c>
      <x:c r="AS257" s="27" t="n">
        <x:v>0.016</x:v>
      </x:c>
      <x:c r="AT257" s="27" t="n">
        <x:v>0.5</x:v>
      </x:c>
      <x:c r="AU257" s="27" t="n">
        <x:v>3.3858819059006806</x:v>
      </x:c>
      <x:c r="AV257" s="27" t="n">
        <x:v>30811525.343696192</x:v>
      </x:c>
      <x:c r="AW257" s="27" t="n">
        <x:v>1</x:v>
      </x:c>
      <x:c r="AX257" s="27" t="n">
        <x:v>1</x:v>
      </x:c>
      <x:c r="AY257" s="27" t="n">
        <x:v>0.30000000000000004</x:v>
      </x:c>
      <x:c r="AZ257" s="27" t="n">
        <x:v>9243457.603108859</x:v>
      </x:c>
    </x:row>
    <x:row r="258">
      <x:c r="A258" s="27" t="n">
        <x:v>45702</x:v>
      </x:c>
      <x:c r="B258" s="27" t="str">
        <x:v>IND_REGIONAL_BANK_001</x:v>
      </x:c>
      <x:c r="C258" s="27" t="n">
        <x:v>3161</x:v>
      </x:c>
      <x:c r="D258" s="27" t="str">
        <x:v>IND-000255</x:v>
      </x:c>
      <x:c r="E258" s="27" t="str">
        <x:v>Credit Single Name CDS</x:v>
      </x:c>
      <x:c r="F258" s="27" t="str">
        <x:v>Credit</x:v>
      </x:c>
      <x:c r="G258" s="27"/>
      <x:c r="H258" s="27" t="str">
        <x:v>USD</x:v>
      </x:c>
      <x:c r="I258" s="27"/>
      <x:c r="J258" s="27" t="str">
        <x:v>USD</x:v>
      </x:c>
      <x:c r="K258" s="27"/>
      <x:c r="L258" s="27"/>
      <x:c r="M258" s="27" t="str">
        <x:v>CREDIT_NAME_29</x:v>
      </x:c>
      <x:c r="N258" s="27" t="str">
        <x:v>Singleton</x:v>
      </x:c>
      <x:c r="O258" s="27" t="str">
        <x:v>B</x:v>
      </x:c>
      <x:c r="P258" s="27" t="n">
        <x:v>46074</x:v>
      </x:c>
      <x:c r="Q258" s="27" t="n">
        <x:v>45108</x:v>
      </x:c>
      <x:c r="R258" s="27" t="n">
        <x:v>46074</x:v>
      </x:c>
      <x:c r="S258" s="27" t="n">
        <x:v>92400000</x:v>
      </x:c>
      <x:c r="T258" s="27" t="n">
        <x:v>0</x:v>
      </x:c>
      <x:c r="U258" s="27" t="n">
        <x:v>92400000</x:v>
      </x:c>
      <x:c r="V258" s="27" t="str">
        <x:v>U</x:v>
      </x:c>
      <x:c r="W258" s="27" t="str">
        <x:v>N</x:v>
      </x:c>
      <x:c r="X258" s="27"/>
      <x:c r="Y258" s="27" t="str">
        <x:v>S</x:v>
      </x:c>
      <x:c r="Z258" s="27"/>
      <x:c r="AA258" s="27"/>
      <x:c r="AB258" s="27" t="n">
        <x:v>0</x:v>
      </x:c>
      <x:c r="AC258" s="27" t="n">
        <x:v>0</x:v>
      </x:c>
      <x:c r="AD258" s="27" t="n">
        <x:v>1500576</x:v>
      </x:c>
      <x:c r="AE258" s="27" t="str">
        <x:v>Public-safe anonymized industry-style SA-CCR sample</x:v>
      </x:c>
      <x:c r="AF258" s="27" t="str">
        <x:v>ANON-000255</x:v>
      </x:c>
      <x:c r="AG258" s="27" t="str">
        <x:v>Credit Single Name CDS</x:v>
      </x:c>
      <x:c r="AH258" s="27"/>
      <x:c r="AI258" s="27" t="str">
        <x:v>Corporate Bond</x:v>
      </x:c>
      <x:c r="AJ258" s="27" t="n">
        <x:v>372</x:v>
      </x:c>
      <x:c r="AK258" s="27" t="n">
        <x:v>1.0191780821917809</x:v>
      </x:c>
      <x:c r="AL258" s="27" t="str">
        <x:v>1Y-5Y</x:v>
      </x:c>
      <x:c r="AM258" s="27"/>
      <x:c r="AN258" s="27" t="str">
        <x:v>Unknown</x:v>
      </x:c>
      <x:c r="AO258" s="27" t="str">
        <x:v>CREDIT_NAME_29</x:v>
      </x:c>
      <x:c r="AP258" s="27" t="str">
        <x:v>U</x:v>
      </x:c>
      <x:c r="AQ258" s="27" t="n">
        <x:v>0.016</x:v>
      </x:c>
      <x:c r="AR258" s="27" t="n">
        <x:v>1</x:v>
      </x:c>
      <x:c r="AS258" s="27" t="n">
        <x:v>0.016</x:v>
      </x:c>
      <x:c r="AT258" s="27" t="n">
        <x:v>0.5</x:v>
      </x:c>
      <x:c r="AU258" s="27" t="n">
        <x:v>0.9936455223401675</x:v>
      </x:c>
      <x:c r="AV258" s="27" t="n">
        <x:v>91812846.26423147</x:v>
      </x:c>
      <x:c r="AW258" s="27" t="n">
        <x:v>1</x:v>
      </x:c>
      <x:c r="AX258" s="27" t="n">
        <x:v>-1</x:v>
      </x:c>
      <x:c r="AY258" s="27" t="n">
        <x:v>1</x:v>
      </x:c>
      <x:c r="AZ258" s="27" t="n">
        <x:v>-91812846.26423147</x:v>
      </x:c>
    </x:row>
    <x:row r="259">
      <x:c r="A259" s="27" t="n">
        <x:v>45702</x:v>
      </x:c>
      <x:c r="B259" s="27" t="str">
        <x:v>IND_SOVEREIGN_001</x:v>
      </x:c>
      <x:c r="C259" s="27" t="n">
        <x:v>3281</x:v>
      </x:c>
      <x:c r="D259" s="27" t="str">
        <x:v>IND-000256</x:v>
      </x:c>
      <x:c r="E259" s="27" t="str">
        <x:v>Credit Single Name CDS</x:v>
      </x:c>
      <x:c r="F259" s="27" t="str">
        <x:v>Credit</x:v>
      </x:c>
      <x:c r="G259" s="27"/>
      <x:c r="H259" s="27" t="str">
        <x:v>USD</x:v>
      </x:c>
      <x:c r="I259" s="27"/>
      <x:c r="J259" s="27" t="str">
        <x:v>USD</x:v>
      </x:c>
      <x:c r="K259" s="27"/>
      <x:c r="L259" s="27"/>
      <x:c r="M259" s="27" t="str">
        <x:v>CREDIT_NAME_14</x:v>
      </x:c>
      <x:c r="N259" s="27" t="str">
        <x:v>Singleton</x:v>
      </x:c>
      <x:c r="O259" s="27" t="str">
        <x:v>A</x:v>
      </x:c>
      <x:c r="P259" s="27" t="n">
        <x:v>47157</x:v>
      </x:c>
      <x:c r="Q259" s="27" t="n">
        <x:v>45315</x:v>
      </x:c>
      <x:c r="R259" s="27" t="n">
        <x:v>47157</x:v>
      </x:c>
      <x:c r="S259" s="27" t="n">
        <x:v>104000000</x:v>
      </x:c>
      <x:c r="T259" s="27" t="n">
        <x:v>0</x:v>
      </x:c>
      <x:c r="U259" s="27" t="n">
        <x:v>104000000</x:v>
      </x:c>
      <x:c r="V259" s="27" t="str">
        <x:v>U</x:v>
      </x:c>
      <x:c r="W259" s="27" t="str">
        <x:v>N</x:v>
      </x:c>
      <x:c r="X259" s="27"/>
      <x:c r="Y259" s="27" t="str">
        <x:v>S</x:v>
      </x:c>
      <x:c r="Z259" s="27"/>
      <x:c r="AA259" s="27"/>
      <x:c r="AB259" s="27" t="n">
        <x:v>0</x:v>
      </x:c>
      <x:c r="AC259" s="27" t="n">
        <x:v>0</x:v>
      </x:c>
      <x:c r="AD259" s="27" t="n">
        <x:v>-2044640</x:v>
      </x:c>
      <x:c r="AE259" s="27" t="str">
        <x:v>Public-safe anonymized industry-style SA-CCR sample</x:v>
      </x:c>
      <x:c r="AF259" s="27" t="str">
        <x:v>ANON-000256</x:v>
      </x:c>
      <x:c r="AG259" s="27" t="str">
        <x:v>Credit Single Name CDS</x:v>
      </x:c>
      <x:c r="AH259" s="27"/>
      <x:c r="AI259" s="27" t="str">
        <x:v>Corporate Bond</x:v>
      </x:c>
      <x:c r="AJ259" s="27" t="n">
        <x:v>1455</x:v>
      </x:c>
      <x:c r="AK259" s="27" t="n">
        <x:v>3.9863013698630136</x:v>
      </x:c>
      <x:c r="AL259" s="27" t="str">
        <x:v>1Y-5Y</x:v>
      </x:c>
      <x:c r="AM259" s="27"/>
      <x:c r="AN259" s="27" t="str">
        <x:v>Unknown</x:v>
      </x:c>
      <x:c r="AO259" s="27" t="str">
        <x:v>CREDIT_NAME_14</x:v>
      </x:c>
      <x:c r="AP259" s="27" t="str">
        <x:v>U</x:v>
      </x:c>
      <x:c r="AQ259" s="27" t="n">
        <x:v>0.0042</x:v>
      </x:c>
      <x:c r="AR259" s="27" t="n">
        <x:v>1</x:v>
      </x:c>
      <x:c r="AS259" s="27" t="n">
        <x:v>0.0042</x:v>
      </x:c>
      <x:c r="AT259" s="27" t="n">
        <x:v>0.5</x:v>
      </x:c>
      <x:c r="AU259" s="27" t="n">
        <x:v>3.6141656068739447</x:v>
      </x:c>
      <x:c r="AV259" s="27" t="n">
        <x:v>375873223.1148903</x:v>
      </x:c>
      <x:c r="AW259" s="27" t="n">
        <x:v>1</x:v>
      </x:c>
      <x:c r="AX259" s="27" t="n">
        <x:v>-1</x:v>
      </x:c>
      <x:c r="AY259" s="27" t="n">
        <x:v>1</x:v>
      </x:c>
      <x:c r="AZ259" s="27" t="n">
        <x:v>-375873223.1148903</x:v>
      </x:c>
    </x:row>
    <x:row r="260">
      <x:c r="A260" s="27" t="n">
        <x:v>45702</x:v>
      </x:c>
      <x:c r="B260" s="27" t="str">
        <x:v>IND_REGIONAL_BANK_001</x:v>
      </x:c>
      <x:c r="C260" s="27" t="n">
        <x:v>3237</x:v>
      </x:c>
      <x:c r="D260" s="27" t="str">
        <x:v>IND-000257</x:v>
      </x:c>
      <x:c r="E260" s="27" t="str">
        <x:v>Credit Single Name CDS</x:v>
      </x:c>
      <x:c r="F260" s="27" t="str">
        <x:v>Credit</x:v>
      </x:c>
      <x:c r="G260" s="27"/>
      <x:c r="H260" s="27" t="str">
        <x:v>USD</x:v>
      </x:c>
      <x:c r="I260" s="27"/>
      <x:c r="J260" s="27" t="str">
        <x:v>USD</x:v>
      </x:c>
      <x:c r="K260" s="27"/>
      <x:c r="L260" s="27"/>
      <x:c r="M260" s="27" t="str">
        <x:v>CREDIT_NAME_11</x:v>
      </x:c>
      <x:c r="N260" s="27" t="str">
        <x:v>Singleton</x:v>
      </x:c>
      <x:c r="O260" s="27" t="str">
        <x:v>B</x:v>
      </x:c>
      <x:c r="P260" s="27" t="n">
        <x:v>46094</x:v>
      </x:c>
      <x:c r="Q260" s="27" t="n">
        <x:v>45141</x:v>
      </x:c>
      <x:c r="R260" s="27" t="n">
        <x:v>46094</x:v>
      </x:c>
      <x:c r="S260" s="27" t="n">
        <x:v>5800000</x:v>
      </x:c>
      <x:c r="T260" s="27" t="n">
        <x:v>0</x:v>
      </x:c>
      <x:c r="U260" s="27" t="n">
        <x:v>5800000</x:v>
      </x:c>
      <x:c r="V260" s="27" t="str">
        <x:v>M</x:v>
      </x:c>
      <x:c r="W260" s="27" t="str">
        <x:v>N</x:v>
      </x:c>
      <x:c r="X260" s="27" t="n">
        <x:v>10</x:v>
      </x:c>
      <x:c r="Y260" s="27" t="str">
        <x:v>S</x:v>
      </x:c>
      <x:c r="Z260" s="27"/>
      <x:c r="AA260" s="27"/>
      <x:c r="AB260" s="27" t="n">
        <x:v>0</x:v>
      </x:c>
      <x:c r="AC260" s="27" t="n">
        <x:v>0</x:v>
      </x:c>
      <x:c r="AD260" s="27" t="n">
        <x:v>8816</x:v>
      </x:c>
      <x:c r="AE260" s="27" t="str">
        <x:v>Public-safe anonymized industry-style SA-CCR sample</x:v>
      </x:c>
      <x:c r="AF260" s="27" t="str">
        <x:v>ANON-000257</x:v>
      </x:c>
      <x:c r="AG260" s="27" t="str">
        <x:v>Credit Single Name CDS</x:v>
      </x:c>
      <x:c r="AH260" s="27"/>
      <x:c r="AI260" s="27" t="str">
        <x:v>Corporate Bond</x:v>
      </x:c>
      <x:c r="AJ260" s="27" t="n">
        <x:v>392</x:v>
      </x:c>
      <x:c r="AK260" s="27" t="n">
        <x:v>1.073972602739726</x:v>
      </x:c>
      <x:c r="AL260" s="27" t="str">
        <x:v>1Y-5Y</x:v>
      </x:c>
      <x:c r="AM260" s="27"/>
      <x:c r="AN260" s="27" t="str">
        <x:v>Unknown</x:v>
      </x:c>
      <x:c r="AO260" s="27" t="str">
        <x:v>CREDIT_NAME_11</x:v>
      </x:c>
      <x:c r="AP260" s="27" t="str">
        <x:v>M</x:v>
      </x:c>
      <x:c r="AQ260" s="27" t="n">
        <x:v>0.016</x:v>
      </x:c>
      <x:c r="AR260" s="27" t="n">
        <x:v>1</x:v>
      </x:c>
      <x:c r="AS260" s="27" t="n">
        <x:v>0.016</x:v>
      </x:c>
      <x:c r="AT260" s="27" t="n">
        <x:v>0.5</x:v>
      </x:c>
      <x:c r="AU260" s="27" t="n">
        <x:v>1.045646459700773</x:v>
      </x:c>
      <x:c r="AV260" s="27" t="n">
        <x:v>6064749.4662644835</x:v>
      </x:c>
      <x:c r="AW260" s="27" t="n">
        <x:v>1</x:v>
      </x:c>
      <x:c r="AX260" s="27" t="n">
        <x:v>-1</x:v>
      </x:c>
      <x:c r="AY260" s="27" t="n">
        <x:v>0.30000000000000004</x:v>
      </x:c>
      <x:c r="AZ260" s="27" t="n">
        <x:v>-1819424.8398793454</x:v>
      </x:c>
    </x:row>
    <x:row r="261">
      <x:c r="A261" s="27" t="n">
        <x:v>45702</x:v>
      </x:c>
      <x:c r="B261" s="27" t="str">
        <x:v>IND_CORPORATE_001</x:v>
      </x:c>
      <x:c r="C261" s="27" t="n">
        <x:v>3041</x:v>
      </x:c>
      <x:c r="D261" s="27" t="str">
        <x:v>IND-000258</x:v>
      </x:c>
      <x:c r="E261" s="27" t="str">
        <x:v>Credit Single Name CDS</x:v>
      </x:c>
      <x:c r="F261" s="27" t="str">
        <x:v>Credit</x:v>
      </x:c>
      <x:c r="G261" s="27"/>
      <x:c r="H261" s="27" t="str">
        <x:v>USD</x:v>
      </x:c>
      <x:c r="I261" s="27"/>
      <x:c r="J261" s="27" t="str">
        <x:v>USD</x:v>
      </x:c>
      <x:c r="K261" s="27"/>
      <x:c r="L261" s="27"/>
      <x:c r="M261" s="27" t="str">
        <x:v>CREDIT_NAME_11</x:v>
      </x:c>
      <x:c r="N261" s="27" t="str">
        <x:v>Singleton</x:v>
      </x:c>
      <x:c r="O261" s="27" t="str">
        <x:v>B</x:v>
      </x:c>
      <x:c r="P261" s="27" t="n">
        <x:v>46296</x:v>
      </x:c>
      <x:c r="Q261" s="27" t="n">
        <x:v>45661</x:v>
      </x:c>
      <x:c r="R261" s="27" t="n">
        <x:v>46296</x:v>
      </x:c>
      <x:c r="S261" s="27" t="n">
        <x:v>5800000</x:v>
      </x:c>
      <x:c r="T261" s="27" t="n">
        <x:v>0</x:v>
      </x:c>
      <x:c r="U261" s="27" t="n">
        <x:v>5800000</x:v>
      </x:c>
      <x:c r="V261" s="27" t="str">
        <x:v>M</x:v>
      </x:c>
      <x:c r="W261" s="27" t="str">
        <x:v>N</x:v>
      </x:c>
      <x:c r="X261" s="27" t="n">
        <x:v>10</x:v>
      </x:c>
      <x:c r="Y261" s="27" t="str">
        <x:v>B</x:v>
      </x:c>
      <x:c r="Z261" s="27"/>
      <x:c r="AA261" s="27"/>
      <x:c r="AB261" s="27" t="n">
        <x:v>0</x:v>
      </x:c>
      <x:c r="AC261" s="27" t="n">
        <x:v>0</x:v>
      </x:c>
      <x:c r="AD261" s="27" t="n">
        <x:v>13224</x:v>
      </x:c>
      <x:c r="AE261" s="27" t="str">
        <x:v>Public-safe anonymized industry-style SA-CCR sample</x:v>
      </x:c>
      <x:c r="AF261" s="27" t="str">
        <x:v>ANON-000258</x:v>
      </x:c>
      <x:c r="AG261" s="27" t="str">
        <x:v>Credit Single Name CDS</x:v>
      </x:c>
      <x:c r="AH261" s="27"/>
      <x:c r="AI261" s="27" t="str">
        <x:v>Corporate Bond</x:v>
      </x:c>
      <x:c r="AJ261" s="27" t="n">
        <x:v>594</x:v>
      </x:c>
      <x:c r="AK261" s="27" t="n">
        <x:v>1.6273972602739726</x:v>
      </x:c>
      <x:c r="AL261" s="27" t="str">
        <x:v>1Y-5Y</x:v>
      </x:c>
      <x:c r="AM261" s="27"/>
      <x:c r="AN261" s="27" t="str">
        <x:v>Unknown</x:v>
      </x:c>
      <x:c r="AO261" s="27" t="str">
        <x:v>CREDIT_NAME_11</x:v>
      </x:c>
      <x:c r="AP261" s="27" t="str">
        <x:v>M</x:v>
      </x:c>
      <x:c r="AQ261" s="27" t="n">
        <x:v>0.016</x:v>
      </x:c>
      <x:c r="AR261" s="27" t="n">
        <x:v>1</x:v>
      </x:c>
      <x:c r="AS261" s="27" t="n">
        <x:v>0.016</x:v>
      </x:c>
      <x:c r="AT261" s="27" t="n">
        <x:v>0.5</x:v>
      </x:c>
      <x:c r="AU261" s="27" t="n">
        <x:v>1.5629466164734795</x:v>
      </x:c>
      <x:c r="AV261" s="27" t="n">
        <x:v>9065090.375546182</x:v>
      </x:c>
      <x:c r="AW261" s="27" t="n">
        <x:v>1</x:v>
      </x:c>
      <x:c r="AX261" s="27" t="n">
        <x:v>1</x:v>
      </x:c>
      <x:c r="AY261" s="27" t="n">
        <x:v>0.30000000000000004</x:v>
      </x:c>
      <x:c r="AZ261" s="27" t="n">
        <x:v>2719527.112663855</x:v>
      </x:c>
    </x:row>
    <x:row r="262">
      <x:c r="A262" s="27" t="n">
        <x:v>45702</x:v>
      </x:c>
      <x:c r="B262" s="27" t="str">
        <x:v>IND_CORPORATE_001</x:v>
      </x:c>
      <x:c r="C262" s="27" t="n">
        <x:v>3041</x:v>
      </x:c>
      <x:c r="D262" s="27" t="str">
        <x:v>IND-000259</x:v>
      </x:c>
      <x:c r="E262" s="27" t="str">
        <x:v>Credit Single Name CDS</x:v>
      </x:c>
      <x:c r="F262" s="27" t="str">
        <x:v>Credit</x:v>
      </x:c>
      <x:c r="G262" s="27"/>
      <x:c r="H262" s="27" t="str">
        <x:v>USD</x:v>
      </x:c>
      <x:c r="I262" s="27"/>
      <x:c r="J262" s="27" t="str">
        <x:v>USD</x:v>
      </x:c>
      <x:c r="K262" s="27"/>
      <x:c r="L262" s="27"/>
      <x:c r="M262" s="27" t="str">
        <x:v>CREDIT_NAME_05</x:v>
      </x:c>
      <x:c r="N262" s="27" t="str">
        <x:v>Singleton</x:v>
      </x:c>
      <x:c r="O262" s="27" t="str">
        <x:v>B</x:v>
      </x:c>
      <x:c r="P262" s="27" t="n">
        <x:v>47129</x:v>
      </x:c>
      <x:c r="Q262" s="27" t="n">
        <x:v>45032</x:v>
      </x:c>
      <x:c r="R262" s="27" t="n">
        <x:v>47129</x:v>
      </x:c>
      <x:c r="S262" s="27" t="n">
        <x:v>31400000</x:v>
      </x:c>
      <x:c r="T262" s="27" t="n">
        <x:v>0</x:v>
      </x:c>
      <x:c r="U262" s="27" t="n">
        <x:v>31400000</x:v>
      </x:c>
      <x:c r="V262" s="27" t="str">
        <x:v>M</x:v>
      </x:c>
      <x:c r="W262" s="27" t="str">
        <x:v>N</x:v>
      </x:c>
      <x:c r="X262" s="27" t="n">
        <x:v>10</x:v>
      </x:c>
      <x:c r="Y262" s="27" t="str">
        <x:v>S</x:v>
      </x:c>
      <x:c r="Z262" s="27"/>
      <x:c r="AA262" s="27"/>
      <x:c r="AB262" s="27" t="n">
        <x:v>0</x:v>
      </x:c>
      <x:c r="AC262" s="27" t="n">
        <x:v>0</x:v>
      </x:c>
      <x:c r="AD262" s="27" t="n">
        <x:v>-411968</x:v>
      </x:c>
      <x:c r="AE262" s="27" t="str">
        <x:v>Public-safe anonymized industry-style SA-CCR sample</x:v>
      </x:c>
      <x:c r="AF262" s="27" t="str">
        <x:v>ANON-000259</x:v>
      </x:c>
      <x:c r="AG262" s="27" t="str">
        <x:v>Credit Single Name CDS</x:v>
      </x:c>
      <x:c r="AH262" s="27"/>
      <x:c r="AI262" s="27" t="str">
        <x:v>Corporate Bond</x:v>
      </x:c>
      <x:c r="AJ262" s="27" t="n">
        <x:v>1427</x:v>
      </x:c>
      <x:c r="AK262" s="27" t="n">
        <x:v>3.9095890410958902</x:v>
      </x:c>
      <x:c r="AL262" s="27" t="str">
        <x:v>1Y-5Y</x:v>
      </x:c>
      <x:c r="AM262" s="27"/>
      <x:c r="AN262" s="27" t="str">
        <x:v>Unknown</x:v>
      </x:c>
      <x:c r="AO262" s="27" t="str">
        <x:v>CREDIT_NAME_05</x:v>
      </x:c>
      <x:c r="AP262" s="27" t="str">
        <x:v>M</x:v>
      </x:c>
      <x:c r="AQ262" s="27" t="n">
        <x:v>0.016</x:v>
      </x:c>
      <x:c r="AR262" s="27" t="n">
        <x:v>1</x:v>
      </x:c>
      <x:c r="AS262" s="27" t="n">
        <x:v>0.016</x:v>
      </x:c>
      <x:c r="AT262" s="27" t="n">
        <x:v>0.5</x:v>
      </x:c>
      <x:c r="AU262" s="27" t="n">
        <x:v>3.5511951430479227</x:v>
      </x:c>
      <x:c r="AV262" s="27" t="n">
        <x:v>111507527.49170478</x:v>
      </x:c>
      <x:c r="AW262" s="27" t="n">
        <x:v>1</x:v>
      </x:c>
      <x:c r="AX262" s="27" t="n">
        <x:v>-1</x:v>
      </x:c>
      <x:c r="AY262" s="27" t="n">
        <x:v>0.30000000000000004</x:v>
      </x:c>
      <x:c r="AZ262" s="27" t="n">
        <x:v>-33452258.24751144</x:v>
      </x:c>
    </x:row>
    <x:row r="263">
      <x:c r="A263" s="27" t="n">
        <x:v>45702</x:v>
      </x:c>
      <x:c r="B263" s="27" t="str">
        <x:v>IND_HEDGE_FUND_001</x:v>
      </x:c>
      <x:c r="C263" s="27" t="n">
        <x:v>3338</x:v>
      </x:c>
      <x:c r="D263" s="27" t="str">
        <x:v>IND-000260</x:v>
      </x:c>
      <x:c r="E263" s="27" t="str">
        <x:v>Credit Single Name CDS</x:v>
      </x:c>
      <x:c r="F263" s="27" t="str">
        <x:v>Credit</x:v>
      </x:c>
      <x:c r="G263" s="27"/>
      <x:c r="H263" s="27" t="str">
        <x:v>USD</x:v>
      </x:c>
      <x:c r="I263" s="27"/>
      <x:c r="J263" s="27" t="str">
        <x:v>USD</x:v>
      </x:c>
      <x:c r="K263" s="27"/>
      <x:c r="L263" s="27"/>
      <x:c r="M263" s="27" t="str">
        <x:v>CREDIT_NAME_10</x:v>
      </x:c>
      <x:c r="N263" s="27" t="str">
        <x:v>Singleton</x:v>
      </x:c>
      <x:c r="O263" s="27" t="str">
        <x:v>BB</x:v>
      </x:c>
      <x:c r="P263" s="27" t="n">
        <x:v>47225</x:v>
      </x:c>
      <x:c r="Q263" s="27" t="n">
        <x:v>45100</x:v>
      </x:c>
      <x:c r="R263" s="27" t="n">
        <x:v>47225</x:v>
      </x:c>
      <x:c r="S263" s="27" t="n">
        <x:v>26800000</x:v>
      </x:c>
      <x:c r="T263" s="27" t="n">
        <x:v>0</x:v>
      </x:c>
      <x:c r="U263" s="27" t="n">
        <x:v>26800000</x:v>
      </x:c>
      <x:c r="V263" s="27" t="str">
        <x:v>U</x:v>
      </x:c>
      <x:c r="W263" s="27" t="str">
        <x:v>N</x:v>
      </x:c>
      <x:c r="X263" s="27"/>
      <x:c r="Y263" s="27" t="str">
        <x:v>S</x:v>
      </x:c>
      <x:c r="Z263" s="27"/>
      <x:c r="AA263" s="27"/>
      <x:c r="AB263" s="27" t="n">
        <x:v>0</x:v>
      </x:c>
      <x:c r="AC263" s="27" t="n">
        <x:v>0</x:v>
      </x:c>
      <x:c r="AD263" s="27" t="n">
        <x:v>40736</x:v>
      </x:c>
      <x:c r="AE263" s="27" t="str">
        <x:v>Public-safe anonymized industry-style SA-CCR sample</x:v>
      </x:c>
      <x:c r="AF263" s="27" t="str">
        <x:v>ANON-000260</x:v>
      </x:c>
      <x:c r="AG263" s="27" t="str">
        <x:v>Credit Single Name CDS</x:v>
      </x:c>
      <x:c r="AH263" s="27"/>
      <x:c r="AI263" s="27" t="str">
        <x:v>Corporate Bond</x:v>
      </x:c>
      <x:c r="AJ263" s="27" t="n">
        <x:v>1523</x:v>
      </x:c>
      <x:c r="AK263" s="27" t="n">
        <x:v>4.1726027397260275</x:v>
      </x:c>
      <x:c r="AL263" s="27" t="str">
        <x:v>1Y-5Y</x:v>
      </x:c>
      <x:c r="AM263" s="27"/>
      <x:c r="AN263" s="27" t="str">
        <x:v>Unknown</x:v>
      </x:c>
      <x:c r="AO263" s="27" t="str">
        <x:v>CREDIT_NAME_10</x:v>
      </x:c>
      <x:c r="AP263" s="27" t="str">
        <x:v>U</x:v>
      </x:c>
      <x:c r="AQ263" s="27" t="n">
        <x:v>0.0106</x:v>
      </x:c>
      <x:c r="AR263" s="27" t="n">
        <x:v>1</x:v>
      </x:c>
      <x:c r="AS263" s="27" t="n">
        <x:v>0.0106</x:v>
      </x:c>
      <x:c r="AT263" s="27" t="n">
        <x:v>0.5</x:v>
      </x:c>
      <x:c r="AU263" s="27" t="n">
        <x:v>3.7660920752740767</x:v>
      </x:c>
      <x:c r="AV263" s="27" t="n">
        <x:v>100931267.61734526</x:v>
      </x:c>
      <x:c r="AW263" s="27" t="n">
        <x:v>1</x:v>
      </x:c>
      <x:c r="AX263" s="27" t="n">
        <x:v>-1</x:v>
      </x:c>
      <x:c r="AY263" s="27" t="n">
        <x:v>1</x:v>
      </x:c>
      <x:c r="AZ263" s="27" t="n">
        <x:v>-100931267.61734526</x:v>
      </x:c>
    </x:row>
    <x:row r="264">
      <x:c r="A264" s="27" t="n">
        <x:v>45702</x:v>
      </x:c>
      <x:c r="B264" s="27" t="str">
        <x:v>IND_REGIONAL_BANK_001</x:v>
      </x:c>
      <x:c r="C264" s="27" t="n">
        <x:v>3161</x:v>
      </x:c>
      <x:c r="D264" s="27" t="str">
        <x:v>IND-000261</x:v>
      </x:c>
      <x:c r="E264" s="27" t="str">
        <x:v>Credit Single Name CDS</x:v>
      </x:c>
      <x:c r="F264" s="27" t="str">
        <x:v>Credit</x:v>
      </x:c>
      <x:c r="G264" s="27"/>
      <x:c r="H264" s="27" t="str">
        <x:v>USD</x:v>
      </x:c>
      <x:c r="I264" s="27"/>
      <x:c r="J264" s="27" t="str">
        <x:v>USD</x:v>
      </x:c>
      <x:c r="K264" s="27"/>
      <x:c r="L264" s="27"/>
      <x:c r="M264" s="27" t="str">
        <x:v>CREDIT_NAME_17</x:v>
      </x:c>
      <x:c r="N264" s="27" t="str">
        <x:v>Singleton</x:v>
      </x:c>
      <x:c r="O264" s="27" t="str">
        <x:v>B</x:v>
      </x:c>
      <x:c r="P264" s="27" t="n">
        <x:v>47675</x:v>
      </x:c>
      <x:c r="Q264" s="27" t="n">
        <x:v>45501</x:v>
      </x:c>
      <x:c r="R264" s="27" t="n">
        <x:v>47675</x:v>
      </x:c>
      <x:c r="S264" s="27" t="n">
        <x:v>70700000</x:v>
      </x:c>
      <x:c r="T264" s="27" t="n">
        <x:v>0</x:v>
      </x:c>
      <x:c r="U264" s="27" t="n">
        <x:v>70700000</x:v>
      </x:c>
      <x:c r="V264" s="27" t="str">
        <x:v>U</x:v>
      </x:c>
      <x:c r="W264" s="27" t="str">
        <x:v>N</x:v>
      </x:c>
      <x:c r="X264" s="27"/>
      <x:c r="Y264" s="27" t="str">
        <x:v>S</x:v>
      </x:c>
      <x:c r="Z264" s="27"/>
      <x:c r="AA264" s="27"/>
      <x:c r="AB264" s="27" t="n">
        <x:v>0</x:v>
      </x:c>
      <x:c r="AC264" s="27" t="n">
        <x:v>0</x:v>
      </x:c>
      <x:c r="AD264" s="27" t="n">
        <x:v>279972</x:v>
      </x:c>
      <x:c r="AE264" s="27" t="str">
        <x:v>Public-safe anonymized industry-style SA-CCR sample</x:v>
      </x:c>
      <x:c r="AF264" s="27" t="str">
        <x:v>ANON-000261</x:v>
      </x:c>
      <x:c r="AG264" s="27" t="str">
        <x:v>Credit Single Name CDS</x:v>
      </x:c>
      <x:c r="AH264" s="27"/>
      <x:c r="AI264" s="27" t="str">
        <x:v>Corporate Bond</x:v>
      </x:c>
      <x:c r="AJ264" s="27" t="n">
        <x:v>1973</x:v>
      </x:c>
      <x:c r="AK264" s="27" t="n">
        <x:v>5.405479452054794</x:v>
      </x:c>
      <x:c r="AL264" s="27" t="str">
        <x:v>&gt;5Y</x:v>
      </x:c>
      <x:c r="AM264" s="27"/>
      <x:c r="AN264" s="27" t="str">
        <x:v>Unknown</x:v>
      </x:c>
      <x:c r="AO264" s="27" t="str">
        <x:v>CREDIT_NAME_17</x:v>
      </x:c>
      <x:c r="AP264" s="27" t="str">
        <x:v>U</x:v>
      </x:c>
      <x:c r="AQ264" s="27" t="n">
        <x:v>0.016</x:v>
      </x:c>
      <x:c r="AR264" s="27" t="n">
        <x:v>1</x:v>
      </x:c>
      <x:c r="AS264" s="27" t="n">
        <x:v>0.016</x:v>
      </x:c>
      <x:c r="AT264" s="27" t="n">
        <x:v>0.5</x:v>
      </x:c>
      <x:c r="AU264" s="27" t="n">
        <x:v>4.736592441653911</x:v>
      </x:c>
      <x:c r="AV264" s="27" t="n">
        <x:v>334877085.6249315</x:v>
      </x:c>
      <x:c r="AW264" s="27" t="n">
        <x:v>1</x:v>
      </x:c>
      <x:c r="AX264" s="27" t="n">
        <x:v>-1</x:v>
      </x:c>
      <x:c r="AY264" s="27" t="n">
        <x:v>1</x:v>
      </x:c>
      <x:c r="AZ264" s="27" t="n">
        <x:v>-334877085.6249315</x:v>
      </x:c>
    </x:row>
    <x:row r="265">
      <x:c r="A265" s="27" t="n">
        <x:v>45702</x:v>
      </x:c>
      <x:c r="B265" s="27" t="str">
        <x:v>IND_SOVEREIGN_001</x:v>
      </x:c>
      <x:c r="C265" s="27" t="n">
        <x:v>3042</x:v>
      </x:c>
      <x:c r="D265" s="27" t="str">
        <x:v>IND-000262</x:v>
      </x:c>
      <x:c r="E265" s="27" t="str">
        <x:v>Credit Single Name CDS</x:v>
      </x:c>
      <x:c r="F265" s="27" t="str">
        <x:v>Credit</x:v>
      </x:c>
      <x:c r="G265" s="27"/>
      <x:c r="H265" s="27" t="str">
        <x:v>USD</x:v>
      </x:c>
      <x:c r="I265" s="27"/>
      <x:c r="J265" s="27" t="str">
        <x:v>USD</x:v>
      </x:c>
      <x:c r="K265" s="27"/>
      <x:c r="L265" s="27"/>
      <x:c r="M265" s="27" t="str">
        <x:v>CREDIT_NAME_08</x:v>
      </x:c>
      <x:c r="N265" s="27" t="str">
        <x:v>Singleton</x:v>
      </x:c>
      <x:c r="O265" s="27" t="str">
        <x:v>A</x:v>
      </x:c>
      <x:c r="P265" s="27" t="n">
        <x:v>47093</x:v>
      </x:c>
      <x:c r="Q265" s="27" t="n">
        <x:v>45220</x:v>
      </x:c>
      <x:c r="R265" s="27" t="n">
        <x:v>47093</x:v>
      </x:c>
      <x:c r="S265" s="27" t="n">
        <x:v>103000000</x:v>
      </x:c>
      <x:c r="T265" s="27" t="n">
        <x:v>0</x:v>
      </x:c>
      <x:c r="U265" s="27" t="n">
        <x:v>103000000</x:v>
      </x:c>
      <x:c r="V265" s="27" t="str">
        <x:v>M</x:v>
      </x:c>
      <x:c r="W265" s="27" t="str">
        <x:v>N</x:v>
      </x:c>
      <x:c r="X265" s="27" t="n">
        <x:v>10</x:v>
      </x:c>
      <x:c r="Y265" s="27" t="str">
        <x:v>B</x:v>
      </x:c>
      <x:c r="Z265" s="27"/>
      <x:c r="AA265" s="27"/>
      <x:c r="AB265" s="27" t="n">
        <x:v>0</x:v>
      </x:c>
      <x:c r="AC265" s="27" t="n">
        <x:v>0</x:v>
      </x:c>
      <x:c r="AD265" s="27" t="n">
        <x:v>517060</x:v>
      </x:c>
      <x:c r="AE265" s="27" t="str">
        <x:v>Public-safe anonymized industry-style SA-CCR sample</x:v>
      </x:c>
      <x:c r="AF265" s="27" t="str">
        <x:v>ANON-000262</x:v>
      </x:c>
      <x:c r="AG265" s="27" t="str">
        <x:v>Credit Single Name CDS</x:v>
      </x:c>
      <x:c r="AH265" s="27"/>
      <x:c r="AI265" s="27" t="str">
        <x:v>Corporate Bond</x:v>
      </x:c>
      <x:c r="AJ265" s="27" t="n">
        <x:v>1391</x:v>
      </x:c>
      <x:c r="AK265" s="27" t="n">
        <x:v>3.8109589041095893</x:v>
      </x:c>
      <x:c r="AL265" s="27" t="str">
        <x:v>1Y-5Y</x:v>
      </x:c>
      <x:c r="AM265" s="27"/>
      <x:c r="AN265" s="27" t="str">
        <x:v>Unknown</x:v>
      </x:c>
      <x:c r="AO265" s="27" t="str">
        <x:v>CREDIT_NAME_08</x:v>
      </x:c>
      <x:c r="AP265" s="27" t="str">
        <x:v>M</x:v>
      </x:c>
      <x:c r="AQ265" s="27" t="n">
        <x:v>0.0042</x:v>
      </x:c>
      <x:c r="AR265" s="27" t="n">
        <x:v>1</x:v>
      </x:c>
      <x:c r="AS265" s="27" t="n">
        <x:v>0.0042</x:v>
      </x:c>
      <x:c r="AT265" s="27" t="n">
        <x:v>0.5</x:v>
      </x:c>
      <x:c r="AU265" s="27" t="n">
        <x:v>3.4698774045428693</x:v>
      </x:c>
      <x:c r="AV265" s="27" t="n">
        <x:v>357397372.6679155</x:v>
      </x:c>
      <x:c r="AW265" s="27" t="n">
        <x:v>1</x:v>
      </x:c>
      <x:c r="AX265" s="27" t="n">
        <x:v>1</x:v>
      </x:c>
      <x:c r="AY265" s="27" t="n">
        <x:v>0.30000000000000004</x:v>
      </x:c>
      <x:c r="AZ265" s="27" t="n">
        <x:v>107219211.80037467</x:v>
      </x:c>
    </x:row>
    <x:row r="266">
      <x:c r="A266" s="27" t="n">
        <x:v>45702</x:v>
      </x:c>
      <x:c r="B266" s="27" t="str">
        <x:v>IND_CORPORATE_001</x:v>
      </x:c>
      <x:c r="C266" s="27" t="n">
        <x:v>3041</x:v>
      </x:c>
      <x:c r="D266" s="27" t="str">
        <x:v>IND-000263</x:v>
      </x:c>
      <x:c r="E266" s="27" t="str">
        <x:v>Credit Index CDS</x:v>
      </x:c>
      <x:c r="F266" s="27" t="str">
        <x:v>Credit</x:v>
      </x:c>
      <x:c r="G266" s="27"/>
      <x:c r="H266" s="27" t="str">
        <x:v>USD</x:v>
      </x:c>
      <x:c r="I266" s="27"/>
      <x:c r="J266" s="27" t="str">
        <x:v>USD</x:v>
      </x:c>
      <x:c r="K266" s="27"/>
      <x:c r="L266" s="27"/>
      <x:c r="M266" s="27" t="str">
        <x:v>CREDIT_INDEX_29</x:v>
      </x:c>
      <x:c r="N266" s="27" t="str">
        <x:v>Index</x:v>
      </x:c>
      <x:c r="O266" s="27" t="str">
        <x:v>B</x:v>
      </x:c>
      <x:c r="P266" s="27" t="n">
        <x:v>46220</x:v>
      </x:c>
      <x:c r="Q266" s="27" t="n">
        <x:v>45674</x:v>
      </x:c>
      <x:c r="R266" s="27" t="n">
        <x:v>46220</x:v>
      </x:c>
      <x:c r="S266" s="27" t="n">
        <x:v>73800000</x:v>
      </x:c>
      <x:c r="T266" s="27" t="n">
        <x:v>0</x:v>
      </x:c>
      <x:c r="U266" s="27" t="n">
        <x:v>73800000</x:v>
      </x:c>
      <x:c r="V266" s="27" t="str">
        <x:v>M</x:v>
      </x:c>
      <x:c r="W266" s="27" t="str">
        <x:v>N</x:v>
      </x:c>
      <x:c r="X266" s="27" t="n">
        <x:v>10</x:v>
      </x:c>
      <x:c r="Y266" s="27" t="str">
        <x:v>S</x:v>
      </x:c>
      <x:c r="Z266" s="27"/>
      <x:c r="AA266" s="27"/>
      <x:c r="AB266" s="27" t="n">
        <x:v>0</x:v>
      </x:c>
      <x:c r="AC266" s="27" t="n">
        <x:v>0</x:v>
      </x:c>
      <x:c r="AD266" s="27" t="n">
        <x:v>-307008</x:v>
      </x:c>
      <x:c r="AE266" s="27" t="str">
        <x:v>Public-safe anonymized industry-style SA-CCR sample</x:v>
      </x:c>
      <x:c r="AF266" s="27" t="str">
        <x:v>ANON-000263</x:v>
      </x:c>
      <x:c r="AG266" s="27" t="str">
        <x:v>Credit Index CDS</x:v>
      </x:c>
      <x:c r="AH266" s="27"/>
      <x:c r="AI266" s="27" t="str">
        <x:v>Credit Index</x:v>
      </x:c>
      <x:c r="AJ266" s="27" t="n">
        <x:v>518</x:v>
      </x:c>
      <x:c r="AK266" s="27" t="n">
        <x:v>1.4191780821917808</x:v>
      </x:c>
      <x:c r="AL266" s="27" t="str">
        <x:v>1Y-5Y</x:v>
      </x:c>
      <x:c r="AM266" s="27"/>
      <x:c r="AN266" s="27" t="str">
        <x:v>Unknown</x:v>
      </x:c>
      <x:c r="AO266" s="27" t="str">
        <x:v>CREDIT_INDEX_29</x:v>
      </x:c>
      <x:c r="AP266" s="27" t="str">
        <x:v>M</x:v>
      </x:c>
      <x:c r="AQ266" s="27" t="n">
        <x:v>0.016</x:v>
      </x:c>
      <x:c r="AR266" s="27" t="n">
        <x:v>1</x:v>
      </x:c>
      <x:c r="AS266" s="27" t="n">
        <x:v>0.016</x:v>
      </x:c>
      <x:c r="AT266" s="27" t="n">
        <x:v>0.8</x:v>
      </x:c>
      <x:c r="AU266" s="27" t="n">
        <x:v>1.369996556599924</x:v>
      </x:c>
      <x:c r="AV266" s="27" t="n">
        <x:v>101105745.87707439</x:v>
      </x:c>
      <x:c r="AW266" s="27" t="n">
        <x:v>0.8</x:v>
      </x:c>
      <x:c r="AX266" s="27" t="n">
        <x:v>-1</x:v>
      </x:c>
      <x:c r="AY266" s="27" t="n">
        <x:v>0.30000000000000004</x:v>
      </x:c>
      <x:c r="AZ266" s="27" t="n">
        <x:v>-30331723.76312232</x:v>
      </x:c>
    </x:row>
    <x:row r="267">
      <x:c r="A267" s="27" t="n">
        <x:v>45702</x:v>
      </x:c>
      <x:c r="B267" s="27" t="str">
        <x:v>IND_PENSION_001</x:v>
      </x:c>
      <x:c r="C267" s="27" t="n">
        <x:v>3036</x:v>
      </x:c>
      <x:c r="D267" s="27" t="str">
        <x:v>IND-000264</x:v>
      </x:c>
      <x:c r="E267" s="27" t="str">
        <x:v>Credit Index CDS</x:v>
      </x:c>
      <x:c r="F267" s="27" t="str">
        <x:v>Credit</x:v>
      </x:c>
      <x:c r="G267" s="27"/>
      <x:c r="H267" s="27" t="str">
        <x:v>USD</x:v>
      </x:c>
      <x:c r="I267" s="27"/>
      <x:c r="J267" s="27" t="str">
        <x:v>USD</x:v>
      </x:c>
      <x:c r="K267" s="27"/>
      <x:c r="L267" s="27"/>
      <x:c r="M267" s="27" t="str">
        <x:v>CREDIT_INDEX_21</x:v>
      </x:c>
      <x:c r="N267" s="27" t="str">
        <x:v>Index</x:v>
      </x:c>
      <x:c r="O267" s="27" t="str">
        <x:v>BBB</x:v>
      </x:c>
      <x:c r="P267" s="27" t="n">
        <x:v>46908</x:v>
      </x:c>
      <x:c r="Q267" s="27" t="n">
        <x:v>45620</x:v>
      </x:c>
      <x:c r="R267" s="27" t="n">
        <x:v>46908</x:v>
      </x:c>
      <x:c r="S267" s="27" t="n">
        <x:v>98600000</x:v>
      </x:c>
      <x:c r="T267" s="27" t="n">
        <x:v>0</x:v>
      </x:c>
      <x:c r="U267" s="27" t="n">
        <x:v>98600000</x:v>
      </x:c>
      <x:c r="V267" s="27" t="str">
        <x:v>U</x:v>
      </x:c>
      <x:c r="W267" s="27" t="str">
        <x:v>N</x:v>
      </x:c>
      <x:c r="X267" s="27"/>
      <x:c r="Y267" s="27" t="str">
        <x:v>S</x:v>
      </x:c>
      <x:c r="Z267" s="27"/>
      <x:c r="AA267" s="27"/>
      <x:c r="AB267" s="27" t="n">
        <x:v>0</x:v>
      </x:c>
      <x:c r="AC267" s="27" t="n">
        <x:v>0</x:v>
      </x:c>
      <x:c r="AD267" s="27" t="n">
        <x:v>-1382372</x:v>
      </x:c>
      <x:c r="AE267" s="27" t="str">
        <x:v>Public-safe anonymized industry-style SA-CCR sample</x:v>
      </x:c>
      <x:c r="AF267" s="27" t="str">
        <x:v>ANON-000264</x:v>
      </x:c>
      <x:c r="AG267" s="27" t="str">
        <x:v>Credit Index CDS</x:v>
      </x:c>
      <x:c r="AH267" s="27"/>
      <x:c r="AI267" s="27" t="str">
        <x:v>Credit Index</x:v>
      </x:c>
      <x:c r="AJ267" s="27" t="n">
        <x:v>1206</x:v>
      </x:c>
      <x:c r="AK267" s="27" t="n">
        <x:v>3.304109589041096</x:v>
      </x:c>
      <x:c r="AL267" s="27" t="str">
        <x:v>1Y-5Y</x:v>
      </x:c>
      <x:c r="AM267" s="27"/>
      <x:c r="AN267" s="27" t="str">
        <x:v>Unknown</x:v>
      </x:c>
      <x:c r="AO267" s="27" t="str">
        <x:v>CREDIT_INDEX_21</x:v>
      </x:c>
      <x:c r="AP267" s="27" t="str">
        <x:v>U</x:v>
      </x:c>
      <x:c r="AQ267" s="27" t="n">
        <x:v>0.0054</x:v>
      </x:c>
      <x:c r="AR267" s="27" t="n">
        <x:v>1</x:v>
      </x:c>
      <x:c r="AS267" s="27" t="n">
        <x:v>0.0054</x:v>
      </x:c>
      <x:c r="AT267" s="27" t="n">
        <x:v>0.8</x:v>
      </x:c>
      <x:c r="AU267" s="27" t="n">
        <x:v>3.0456100549445075</x:v>
      </x:c>
      <x:c r="AV267" s="27" t="n">
        <x:v>300297151.41752845</x:v>
      </x:c>
      <x:c r="AW267" s="27" t="n">
        <x:v>0.8</x:v>
      </x:c>
      <x:c r="AX267" s="27" t="n">
        <x:v>-1</x:v>
      </x:c>
      <x:c r="AY267" s="27" t="n">
        <x:v>1</x:v>
      </x:c>
      <x:c r="AZ267" s="27" t="n">
        <x:v>-300297151.41752845</x:v>
      </x:c>
    </x:row>
    <x:row r="268">
      <x:c r="A268" s="27" t="n">
        <x:v>45702</x:v>
      </x:c>
      <x:c r="B268" s="27" t="str">
        <x:v>IND_REGIONAL_BANK_001</x:v>
      </x:c>
      <x:c r="C268" s="27" t="n">
        <x:v>3161</x:v>
      </x:c>
      <x:c r="D268" s="27" t="str">
        <x:v>IND-000265</x:v>
      </x:c>
      <x:c r="E268" s="27" t="str">
        <x:v>Credit Index CDS</x:v>
      </x:c>
      <x:c r="F268" s="27" t="str">
        <x:v>Credit</x:v>
      </x:c>
      <x:c r="G268" s="27"/>
      <x:c r="H268" s="27" t="str">
        <x:v>USD</x:v>
      </x:c>
      <x:c r="I268" s="27"/>
      <x:c r="J268" s="27" t="str">
        <x:v>USD</x:v>
      </x:c>
      <x:c r="K268" s="27"/>
      <x:c r="L268" s="27"/>
      <x:c r="M268" s="27" t="str">
        <x:v>CREDIT_INDEX_29</x:v>
      </x:c>
      <x:c r="N268" s="27" t="str">
        <x:v>Index</x:v>
      </x:c>
      <x:c r="O268" s="27" t="str">
        <x:v>B</x:v>
      </x:c>
      <x:c r="P268" s="27" t="n">
        <x:v>47781</x:v>
      </x:c>
      <x:c r="Q268" s="27" t="n">
        <x:v>44832</x:v>
      </x:c>
      <x:c r="R268" s="27" t="n">
        <x:v>47781</x:v>
      </x:c>
      <x:c r="S268" s="27" t="n">
        <x:v>58900000</x:v>
      </x:c>
      <x:c r="T268" s="27" t="n">
        <x:v>0</x:v>
      </x:c>
      <x:c r="U268" s="27" t="n">
        <x:v>58900000</x:v>
      </x:c>
      <x:c r="V268" s="27" t="str">
        <x:v>U</x:v>
      </x:c>
      <x:c r="W268" s="27" t="str">
        <x:v>N</x:v>
      </x:c>
      <x:c r="X268" s="27"/>
      <x:c r="Y268" s="27" t="str">
        <x:v>B</x:v>
      </x:c>
      <x:c r="Z268" s="27"/>
      <x:c r="AA268" s="27"/>
      <x:c r="AB268" s="27" t="n">
        <x:v>0</x:v>
      </x:c>
      <x:c r="AC268" s="27" t="n">
        <x:v>0</x:v>
      </x:c>
      <x:c r="AD268" s="27" t="n">
        <x:v>581932</x:v>
      </x:c>
      <x:c r="AE268" s="27" t="str">
        <x:v>Public-safe anonymized industry-style SA-CCR sample</x:v>
      </x:c>
      <x:c r="AF268" s="27" t="str">
        <x:v>ANON-000265</x:v>
      </x:c>
      <x:c r="AG268" s="27" t="str">
        <x:v>Credit Index CDS</x:v>
      </x:c>
      <x:c r="AH268" s="27"/>
      <x:c r="AI268" s="27" t="str">
        <x:v>Credit Index</x:v>
      </x:c>
      <x:c r="AJ268" s="27" t="n">
        <x:v>2079</x:v>
      </x:c>
      <x:c r="AK268" s="27" t="n">
        <x:v>5.695890410958904</x:v>
      </x:c>
      <x:c r="AL268" s="27" t="str">
        <x:v>&gt;5Y</x:v>
      </x:c>
      <x:c r="AM268" s="27"/>
      <x:c r="AN268" s="27" t="str">
        <x:v>Unknown</x:v>
      </x:c>
      <x:c r="AO268" s="27" t="str">
        <x:v>CREDIT_INDEX_29</x:v>
      </x:c>
      <x:c r="AP268" s="27" t="str">
        <x:v>U</x:v>
      </x:c>
      <x:c r="AQ268" s="27" t="n">
        <x:v>0.016</x:v>
      </x:c>
      <x:c r="AR268" s="27" t="n">
        <x:v>1</x:v>
      </x:c>
      <x:c r="AS268" s="27" t="n">
        <x:v>0.016</x:v>
      </x:c>
      <x:c r="AT268" s="27" t="n">
        <x:v>0.8</x:v>
      </x:c>
      <x:c r="AU268" s="27" t="n">
        <x:v>4.956624126538305</x:v>
      </x:c>
      <x:c r="AV268" s="27" t="n">
        <x:v>291945161.0531061</x:v>
      </x:c>
      <x:c r="AW268" s="27" t="n">
        <x:v>0.8</x:v>
      </x:c>
      <x:c r="AX268" s="27" t="n">
        <x:v>1</x:v>
      </x:c>
      <x:c r="AY268" s="27" t="n">
        <x:v>1</x:v>
      </x:c>
      <x:c r="AZ268" s="27" t="n">
        <x:v>291945161.0531061</x:v>
      </x:c>
    </x:row>
    <x:row r="269">
      <x:c r="A269" s="27" t="n">
        <x:v>45702</x:v>
      </x:c>
      <x:c r="B269" s="27" t="str">
        <x:v>IND_REGIONAL_BANK_001</x:v>
      </x:c>
      <x:c r="C269" s="27" t="n">
        <x:v>3237</x:v>
      </x:c>
      <x:c r="D269" s="27" t="str">
        <x:v>IND-000266</x:v>
      </x:c>
      <x:c r="E269" s="27" t="str">
        <x:v>Credit Index CDS</x:v>
      </x:c>
      <x:c r="F269" s="27" t="str">
        <x:v>Credit</x:v>
      </x:c>
      <x:c r="G269" s="27"/>
      <x:c r="H269" s="27" t="str">
        <x:v>USD</x:v>
      </x:c>
      <x:c r="I269" s="27"/>
      <x:c r="J269" s="27" t="str">
        <x:v>USD</x:v>
      </x:c>
      <x:c r="K269" s="27"/>
      <x:c r="L269" s="27"/>
      <x:c r="M269" s="27" t="str">
        <x:v>CREDIT_INDEX_29</x:v>
      </x:c>
      <x:c r="N269" s="27" t="str">
        <x:v>Index</x:v>
      </x:c>
      <x:c r="O269" s="27" t="str">
        <x:v>B</x:v>
      </x:c>
      <x:c r="P269" s="27" t="n">
        <x:v>47576</x:v>
      </x:c>
      <x:c r="Q269" s="27" t="n">
        <x:v>45684</x:v>
      </x:c>
      <x:c r="R269" s="27" t="n">
        <x:v>47576</x:v>
      </x:c>
      <x:c r="S269" s="27" t="n">
        <x:v>180000000</x:v>
      </x:c>
      <x:c r="T269" s="27" t="n">
        <x:v>0</x:v>
      </x:c>
      <x:c r="U269" s="27" t="n">
        <x:v>180000000</x:v>
      </x:c>
      <x:c r="V269" s="27" t="str">
        <x:v>M</x:v>
      </x:c>
      <x:c r="W269" s="27" t="str">
        <x:v>N</x:v>
      </x:c>
      <x:c r="X269" s="27" t="n">
        <x:v>10</x:v>
      </x:c>
      <x:c r="Y269" s="27" t="str">
        <x:v>S</x:v>
      </x:c>
      <x:c r="Z269" s="27"/>
      <x:c r="AA269" s="27"/>
      <x:c r="AB269" s="27" t="n">
        <x:v>0</x:v>
      </x:c>
      <x:c r="AC269" s="27" t="n">
        <x:v>0</x:v>
      </x:c>
      <x:c r="AD269" s="27" t="n">
        <x:v>-3114000</x:v>
      </x:c>
      <x:c r="AE269" s="27" t="str">
        <x:v>Public-safe anonymized industry-style SA-CCR sample</x:v>
      </x:c>
      <x:c r="AF269" s="27" t="str">
        <x:v>ANON-000266</x:v>
      </x:c>
      <x:c r="AG269" s="27" t="str">
        <x:v>Credit Index CDS</x:v>
      </x:c>
      <x:c r="AH269" s="27"/>
      <x:c r="AI269" s="27" t="str">
        <x:v>Credit Index</x:v>
      </x:c>
      <x:c r="AJ269" s="27" t="n">
        <x:v>1874</x:v>
      </x:c>
      <x:c r="AK269" s="27" t="n">
        <x:v>5.134246575342465</x:v>
      </x:c>
      <x:c r="AL269" s="27" t="str">
        <x:v>&gt;5Y</x:v>
      </x:c>
      <x:c r="AM269" s="27"/>
      <x:c r="AN269" s="27" t="str">
        <x:v>Unknown</x:v>
      </x:c>
      <x:c r="AO269" s="27" t="str">
        <x:v>CREDIT_INDEX_29</x:v>
      </x:c>
      <x:c r="AP269" s="27" t="str">
        <x:v>M</x:v>
      </x:c>
      <x:c r="AQ269" s="27" t="n">
        <x:v>0.016</x:v>
      </x:c>
      <x:c r="AR269" s="27" t="n">
        <x:v>1</x:v>
      </x:c>
      <x:c r="AS269" s="27" t="n">
        <x:v>0.016</x:v>
      </x:c>
      <x:c r="AT269" s="27" t="n">
        <x:v>0.8</x:v>
      </x:c>
      <x:c r="AU269" s="27" t="n">
        <x:v>4.528185568880372</x:v>
      </x:c>
      <x:c r="AV269" s="27" t="n">
        <x:v>815073402.398467</x:v>
      </x:c>
      <x:c r="AW269" s="27" t="n">
        <x:v>0.8</x:v>
      </x:c>
      <x:c r="AX269" s="27" t="n">
        <x:v>-1</x:v>
      </x:c>
      <x:c r="AY269" s="27" t="n">
        <x:v>0.30000000000000004</x:v>
      </x:c>
      <x:c r="AZ269" s="27" t="n">
        <x:v>-244522020.71954012</x:v>
      </x:c>
    </x:row>
    <x:row r="270">
      <x:c r="A270" s="27" t="n">
        <x:v>45702</x:v>
      </x:c>
      <x:c r="B270" s="27" t="str">
        <x:v>IND_INSURER_001</x:v>
      </x:c>
      <x:c r="C270" s="27" t="n">
        <x:v>3338</x:v>
      </x:c>
      <x:c r="D270" s="27" t="str">
        <x:v>IND-000267</x:v>
      </x:c>
      <x:c r="E270" s="27" t="str">
        <x:v>Credit Index CDS</x:v>
      </x:c>
      <x:c r="F270" s="27" t="str">
        <x:v>Credit</x:v>
      </x:c>
      <x:c r="G270" s="27"/>
      <x:c r="H270" s="27" t="str">
        <x:v>USD</x:v>
      </x:c>
      <x:c r="I270" s="27"/>
      <x:c r="J270" s="27" t="str">
        <x:v>USD</x:v>
      </x:c>
      <x:c r="K270" s="27"/>
      <x:c r="L270" s="27"/>
      <x:c r="M270" s="27" t="str">
        <x:v>CREDIT_INDEX_07</x:v>
      </x:c>
      <x:c r="N270" s="27" t="str">
        <x:v>Index</x:v>
      </x:c>
      <x:c r="O270" s="27" t="str">
        <x:v>AA</x:v>
      </x:c>
      <x:c r="P270" s="27" t="n">
        <x:v>47589</x:v>
      </x:c>
      <x:c r="Q270" s="27" t="n">
        <x:v>45696</x:v>
      </x:c>
      <x:c r="R270" s="27" t="n">
        <x:v>47589</x:v>
      </x:c>
      <x:c r="S270" s="27" t="n">
        <x:v>38800000</x:v>
      </x:c>
      <x:c r="T270" s="27" t="n">
        <x:v>0</x:v>
      </x:c>
      <x:c r="U270" s="27" t="n">
        <x:v>38800000</x:v>
      </x:c>
      <x:c r="V270" s="27" t="str">
        <x:v>U</x:v>
      </x:c>
      <x:c r="W270" s="27" t="str">
        <x:v>N</x:v>
      </x:c>
      <x:c r="X270" s="27"/>
      <x:c r="Y270" s="27" t="str">
        <x:v>S</x:v>
      </x:c>
      <x:c r="Z270" s="27"/>
      <x:c r="AA270" s="27"/>
      <x:c r="AB270" s="27" t="n">
        <x:v>0</x:v>
      </x:c>
      <x:c r="AC270" s="27" t="n">
        <x:v>0</x:v>
      </x:c>
      <x:c r="AD270" s="27" t="n">
        <x:v>262288</x:v>
      </x:c>
      <x:c r="AE270" s="27" t="str">
        <x:v>Public-safe anonymized industry-style SA-CCR sample</x:v>
      </x:c>
      <x:c r="AF270" s="27" t="str">
        <x:v>ANON-000267</x:v>
      </x:c>
      <x:c r="AG270" s="27" t="str">
        <x:v>Credit Index CDS</x:v>
      </x:c>
      <x:c r="AH270" s="27"/>
      <x:c r="AI270" s="27" t="str">
        <x:v>Credit Index</x:v>
      </x:c>
      <x:c r="AJ270" s="27" t="n">
        <x:v>1887</x:v>
      </x:c>
      <x:c r="AK270" s="27" t="n">
        <x:v>5.16986301369863</x:v>
      </x:c>
      <x:c r="AL270" s="27" t="str">
        <x:v>&gt;5Y</x:v>
      </x:c>
      <x:c r="AM270" s="27"/>
      <x:c r="AN270" s="27" t="str">
        <x:v>Unknown</x:v>
      </x:c>
      <x:c r="AO270" s="27" t="str">
        <x:v>CREDIT_INDEX_07</x:v>
      </x:c>
      <x:c r="AP270" s="27" t="str">
        <x:v>U</x:v>
      </x:c>
      <x:c r="AQ270" s="27" t="n">
        <x:v>0.0038</x:v>
      </x:c>
      <x:c r="AR270" s="27" t="n">
        <x:v>1</x:v>
      </x:c>
      <x:c r="AS270" s="27" t="n">
        <x:v>0.0038</x:v>
      </x:c>
      <x:c r="AT270" s="27" t="n">
        <x:v>0.8</x:v>
      </x:c>
      <x:c r="AU270" s="27" t="n">
        <x:v>4.555713596594986</x:v>
      </x:c>
      <x:c r="AV270" s="27" t="n">
        <x:v>176761687.54788545</x:v>
      </x:c>
      <x:c r="AW270" s="27" t="n">
        <x:v>0.8</x:v>
      </x:c>
      <x:c r="AX270" s="27" t="n">
        <x:v>-1</x:v>
      </x:c>
      <x:c r="AY270" s="27" t="n">
        <x:v>1</x:v>
      </x:c>
      <x:c r="AZ270" s="27" t="n">
        <x:v>-176761687.54788545</x:v>
      </x:c>
    </x:row>
    <x:row r="271">
      <x:c r="A271" s="27" t="n">
        <x:v>45702</x:v>
      </x:c>
      <x:c r="B271" s="27" t="str">
        <x:v>IND_CORPORATE_002</x:v>
      </x:c>
      <x:c r="C271" s="27" t="n">
        <x:v>3389</x:v>
      </x:c>
      <x:c r="D271" s="27" t="str">
        <x:v>IND-000268</x:v>
      </x:c>
      <x:c r="E271" s="27" t="str">
        <x:v>Credit Index CDS</x:v>
      </x:c>
      <x:c r="F271" s="27" t="str">
        <x:v>Credit</x:v>
      </x:c>
      <x:c r="G271" s="27"/>
      <x:c r="H271" s="27" t="str">
        <x:v>USD</x:v>
      </x:c>
      <x:c r="I271" s="27"/>
      <x:c r="J271" s="27" t="str">
        <x:v>USD</x:v>
      </x:c>
      <x:c r="K271" s="27"/>
      <x:c r="L271" s="27"/>
      <x:c r="M271" s="27" t="str">
        <x:v>CREDIT_INDEX_24</x:v>
      </x:c>
      <x:c r="N271" s="27" t="str">
        <x:v>Index</x:v>
      </x:c>
      <x:c r="O271" s="27" t="str">
        <x:v>AAA</x:v>
      </x:c>
      <x:c r="P271" s="27" t="n">
        <x:v>46331</x:v>
      </x:c>
      <x:c r="Q271" s="27" t="n">
        <x:v>45410</x:v>
      </x:c>
      <x:c r="R271" s="27" t="n">
        <x:v>46331</x:v>
      </x:c>
      <x:c r="S271" s="27" t="n">
        <x:v>210000000</x:v>
      </x:c>
      <x:c r="T271" s="27" t="n">
        <x:v>0</x:v>
      </x:c>
      <x:c r="U271" s="27" t="n">
        <x:v>210000000</x:v>
      </x:c>
      <x:c r="V271" s="27" t="str">
        <x:v>M</x:v>
      </x:c>
      <x:c r="W271" s="27" t="str">
        <x:v>N</x:v>
      </x:c>
      <x:c r="X271" s="27" t="n">
        <x:v>10</x:v>
      </x:c>
      <x:c r="Y271" s="27" t="str">
        <x:v>B</x:v>
      </x:c>
      <x:c r="Z271" s="27"/>
      <x:c r="AA271" s="27"/>
      <x:c r="AB271" s="27" t="n">
        <x:v>0</x:v>
      </x:c>
      <x:c r="AC271" s="27" t="n">
        <x:v>0</x:v>
      </x:c>
      <x:c r="AD271" s="27" t="n">
        <x:v>-1831200</x:v>
      </x:c>
      <x:c r="AE271" s="27" t="str">
        <x:v>Public-safe anonymized industry-style SA-CCR sample</x:v>
      </x:c>
      <x:c r="AF271" s="27" t="str">
        <x:v>ANON-000268</x:v>
      </x:c>
      <x:c r="AG271" s="27" t="str">
        <x:v>Credit Index CDS</x:v>
      </x:c>
      <x:c r="AH271" s="27"/>
      <x:c r="AI271" s="27" t="str">
        <x:v>Credit Index</x:v>
      </x:c>
      <x:c r="AJ271" s="27" t="n">
        <x:v>629</x:v>
      </x:c>
      <x:c r="AK271" s="27" t="n">
        <x:v>1.7232876712328766</x:v>
      </x:c>
      <x:c r="AL271" s="27" t="str">
        <x:v>1Y-5Y</x:v>
      </x:c>
      <x:c r="AM271" s="27"/>
      <x:c r="AN271" s="27" t="str">
        <x:v>Unknown</x:v>
      </x:c>
      <x:c r="AO271" s="27" t="str">
        <x:v>CREDIT_INDEX_24</x:v>
      </x:c>
      <x:c r="AP271" s="27" t="str">
        <x:v>M</x:v>
      </x:c>
      <x:c r="AQ271" s="27" t="n">
        <x:v>0.0038</x:v>
      </x:c>
      <x:c r="AR271" s="27" t="n">
        <x:v>1</x:v>
      </x:c>
      <x:c r="AS271" s="27" t="n">
        <x:v>0.0038</x:v>
      </x:c>
      <x:c r="AT271" s="27" t="n">
        <x:v>0.8</x:v>
      </x:c>
      <x:c r="AU271" s="27" t="n">
        <x:v>1.6511318758160987</x:v>
      </x:c>
      <x:c r="AV271" s="27" t="n">
        <x:v>346737693.9213807</x:v>
      </x:c>
      <x:c r="AW271" s="27" t="n">
        <x:v>0.8</x:v>
      </x:c>
      <x:c r="AX271" s="27" t="n">
        <x:v>1</x:v>
      </x:c>
      <x:c r="AY271" s="27" t="n">
        <x:v>0.30000000000000004</x:v>
      </x:c>
      <x:c r="AZ271" s="27" t="n">
        <x:v>104021308.17641422</x:v>
      </x:c>
    </x:row>
    <x:row r="272">
      <x:c r="A272" s="27" t="n">
        <x:v>45702</x:v>
      </x:c>
      <x:c r="B272" s="27" t="str">
        <x:v>IND_BANK_002</x:v>
      </x:c>
      <x:c r="C272" s="27" t="n">
        <x:v>3341</x:v>
      </x:c>
      <x:c r="D272" s="27" t="str">
        <x:v>IND-000269</x:v>
      </x:c>
      <x:c r="E272" s="27" t="str">
        <x:v>Credit Index CDS</x:v>
      </x:c>
      <x:c r="F272" s="27" t="str">
        <x:v>Credit</x:v>
      </x:c>
      <x:c r="G272" s="27"/>
      <x:c r="H272" s="27" t="str">
        <x:v>USD</x:v>
      </x:c>
      <x:c r="I272" s="27"/>
      <x:c r="J272" s="27" t="str">
        <x:v>USD</x:v>
      </x:c>
      <x:c r="K272" s="27"/>
      <x:c r="L272" s="27"/>
      <x:c r="M272" s="27" t="str">
        <x:v>CREDIT_INDEX_25</x:v>
      </x:c>
      <x:c r="N272" s="27" t="str">
        <x:v>Index</x:v>
      </x:c>
      <x:c r="O272" s="27" t="str">
        <x:v>AA</x:v>
      </x:c>
      <x:c r="P272" s="27" t="n">
        <x:v>45757</x:v>
      </x:c>
      <x:c r="Q272" s="27" t="n">
        <x:v>45353</x:v>
      </x:c>
      <x:c r="R272" s="27" t="n">
        <x:v>45757</x:v>
      </x:c>
      <x:c r="S272" s="27" t="n">
        <x:v>184000000</x:v>
      </x:c>
      <x:c r="T272" s="27" t="n">
        <x:v>0</x:v>
      </x:c>
      <x:c r="U272" s="27" t="n">
        <x:v>184000000</x:v>
      </x:c>
      <x:c r="V272" s="27" t="str">
        <x:v>M</x:v>
      </x:c>
      <x:c r="W272" s="27" t="str">
        <x:v>N</x:v>
      </x:c>
      <x:c r="X272" s="27" t="n">
        <x:v>10</x:v>
      </x:c>
      <x:c r="Y272" s="27" t="str">
        <x:v>S</x:v>
      </x:c>
      <x:c r="Z272" s="27"/>
      <x:c r="AA272" s="27"/>
      <x:c r="AB272" s="27" t="n">
        <x:v>0</x:v>
      </x:c>
      <x:c r="AC272" s="27" t="n">
        <x:v>0</x:v>
      </x:c>
      <x:c r="AD272" s="27" t="n">
        <x:v>-301760</x:v>
      </x:c>
      <x:c r="AE272" s="27" t="str">
        <x:v>Public-safe anonymized industry-style SA-CCR sample</x:v>
      </x:c>
      <x:c r="AF272" s="27" t="str">
        <x:v>ANON-000269</x:v>
      </x:c>
      <x:c r="AG272" s="27" t="str">
        <x:v>Credit Index CDS</x:v>
      </x:c>
      <x:c r="AH272" s="27"/>
      <x:c r="AI272" s="27" t="str">
        <x:v>Credit Index</x:v>
      </x:c>
      <x:c r="AJ272" s="27" t="n">
        <x:v>55</x:v>
      </x:c>
      <x:c r="AK272" s="27" t="n">
        <x:v>0.1506849315068493</x:v>
      </x:c>
      <x:c r="AL272" s="27" t="str">
        <x:v>&lt;1Y</x:v>
      </x:c>
      <x:c r="AM272" s="27"/>
      <x:c r="AN272" s="27" t="str">
        <x:v>Unknown</x:v>
      </x:c>
      <x:c r="AO272" s="27" t="str">
        <x:v>CREDIT_INDEX_25</x:v>
      </x:c>
      <x:c r="AP272" s="27" t="str">
        <x:v>M</x:v>
      </x:c>
      <x:c r="AQ272" s="27" t="n">
        <x:v>0.0038</x:v>
      </x:c>
      <x:c r="AR272" s="27" t="n">
        <x:v>1</x:v>
      </x:c>
      <x:c r="AS272" s="27" t="n">
        <x:v>0.0038</x:v>
      </x:c>
      <x:c r="AT272" s="27" t="n">
        <x:v>0.8</x:v>
      </x:c>
      <x:c r="AU272" s="27" t="n">
        <x:v>0.1501187057128961</x:v>
      </x:c>
      <x:c r="AV272" s="27" t="n">
        <x:v>27621841.851172883</x:v>
      </x:c>
      <x:c r="AW272" s="27" t="n">
        <x:v>0.8</x:v>
      </x:c>
      <x:c r="AX272" s="27" t="n">
        <x:v>-1</x:v>
      </x:c>
      <x:c r="AY272" s="27" t="n">
        <x:v>0.30000000000000004</x:v>
      </x:c>
      <x:c r="AZ272" s="27" t="n">
        <x:v>-8286552.555351866</x:v>
      </x:c>
    </x:row>
    <x:row r="273">
      <x:c r="A273" s="27" t="n">
        <x:v>45702</x:v>
      </x:c>
      <x:c r="B273" s="27" t="str">
        <x:v>IND_CORPORATE_001</x:v>
      </x:c>
      <x:c r="C273" s="27" t="n">
        <x:v>3041</x:v>
      </x:c>
      <x:c r="D273" s="27" t="str">
        <x:v>IND-000270</x:v>
      </x:c>
      <x:c r="E273" s="27" t="str">
        <x:v>Credit Index CDS</x:v>
      </x:c>
      <x:c r="F273" s="27" t="str">
        <x:v>Credit</x:v>
      </x:c>
      <x:c r="G273" s="27"/>
      <x:c r="H273" s="27" t="str">
        <x:v>USD</x:v>
      </x:c>
      <x:c r="I273" s="27"/>
      <x:c r="J273" s="27" t="str">
        <x:v>USD</x:v>
      </x:c>
      <x:c r="K273" s="27"/>
      <x:c r="L273" s="27"/>
      <x:c r="M273" s="27" t="str">
        <x:v>CREDIT_INDEX_29</x:v>
      </x:c>
      <x:c r="N273" s="27" t="str">
        <x:v>Index</x:v>
      </x:c>
      <x:c r="O273" s="27" t="str">
        <x:v>B</x:v>
      </x:c>
      <x:c r="P273" s="27" t="n">
        <x:v>46868</x:v>
      </x:c>
      <x:c r="Q273" s="27" t="n">
        <x:v>45702</x:v>
      </x:c>
      <x:c r="R273" s="27" t="n">
        <x:v>46868</x:v>
      </x:c>
      <x:c r="S273" s="27" t="n">
        <x:v>187000000</x:v>
      </x:c>
      <x:c r="T273" s="27" t="n">
        <x:v>0</x:v>
      </x:c>
      <x:c r="U273" s="27" t="n">
        <x:v>187000000</x:v>
      </x:c>
      <x:c r="V273" s="27" t="str">
        <x:v>M</x:v>
      </x:c>
      <x:c r="W273" s="27" t="str">
        <x:v>N</x:v>
      </x:c>
      <x:c r="X273" s="27" t="n">
        <x:v>10</x:v>
      </x:c>
      <x:c r="Y273" s="27" t="str">
        <x:v>S</x:v>
      </x:c>
      <x:c r="Z273" s="27"/>
      <x:c r="AA273" s="27"/>
      <x:c r="AB273" s="27" t="n">
        <x:v>0</x:v>
      </x:c>
      <x:c r="AC273" s="27" t="n">
        <x:v>0</x:v>
      </x:c>
      <x:c r="AD273" s="27" t="n">
        <x:v>1858780</x:v>
      </x:c>
      <x:c r="AE273" s="27" t="str">
        <x:v>Public-safe anonymized industry-style SA-CCR sample</x:v>
      </x:c>
      <x:c r="AF273" s="27" t="str">
        <x:v>ANON-000270</x:v>
      </x:c>
      <x:c r="AG273" s="27" t="str">
        <x:v>Credit Index CDS</x:v>
      </x:c>
      <x:c r="AH273" s="27"/>
      <x:c r="AI273" s="27" t="str">
        <x:v>Credit Index</x:v>
      </x:c>
      <x:c r="AJ273" s="27" t="n">
        <x:v>1166</x:v>
      </x:c>
      <x:c r="AK273" s="27" t="n">
        <x:v>3.1945205479452055</x:v>
      </x:c>
      <x:c r="AL273" s="27" t="str">
        <x:v>1Y-5Y</x:v>
      </x:c>
      <x:c r="AM273" s="27"/>
      <x:c r="AN273" s="27" t="str">
        <x:v>Unknown</x:v>
      </x:c>
      <x:c r="AO273" s="27" t="str">
        <x:v>CREDIT_INDEX_29</x:v>
      </x:c>
      <x:c r="AP273" s="27" t="str">
        <x:v>M</x:v>
      </x:c>
      <x:c r="AQ273" s="27" t="n">
        <x:v>0.016</x:v>
      </x:c>
      <x:c r="AR273" s="27" t="n">
        <x:v>1</x:v>
      </x:c>
      <x:c r="AS273" s="27" t="n">
        <x:v>0.016</x:v>
      </x:c>
      <x:c r="AT273" s="27" t="n">
        <x:v>0.8</x:v>
      </x:c>
      <x:c r="AU273" s="27" t="n">
        <x:v>2.9524542999543857</x:v>
      </x:c>
      <x:c r="AV273" s="27" t="n">
        <x:v>552108954.0914701</x:v>
      </x:c>
      <x:c r="AW273" s="27" t="n">
        <x:v>0.8</x:v>
      </x:c>
      <x:c r="AX273" s="27" t="n">
        <x:v>-1</x:v>
      </x:c>
      <x:c r="AY273" s="27" t="n">
        <x:v>0.30000000000000004</x:v>
      </x:c>
      <x:c r="AZ273" s="27" t="n">
        <x:v>-165632686.22744107</x:v>
      </x:c>
    </x:row>
    <x:row r="274">
      <x:c r="A274" s="27" t="n">
        <x:v>45702</x:v>
      </x:c>
      <x:c r="B274" s="27" t="str">
        <x:v>IND_CORPORATE_002</x:v>
      </x:c>
      <x:c r="C274" s="27" t="n">
        <x:v>3389</x:v>
      </x:c>
      <x:c r="D274" s="27" t="str">
        <x:v>IND-000271</x:v>
      </x:c>
      <x:c r="E274" s="27" t="str">
        <x:v>Credit Index CDS</x:v>
      </x:c>
      <x:c r="F274" s="27" t="str">
        <x:v>Credit</x:v>
      </x:c>
      <x:c r="G274" s="27"/>
      <x:c r="H274" s="27" t="str">
        <x:v>USD</x:v>
      </x:c>
      <x:c r="I274" s="27"/>
      <x:c r="J274" s="27" t="str">
        <x:v>USD</x:v>
      </x:c>
      <x:c r="K274" s="27"/>
      <x:c r="L274" s="27"/>
      <x:c r="M274" s="27" t="str">
        <x:v>CREDIT_INDEX_12</x:v>
      </x:c>
      <x:c r="N274" s="27" t="str">
        <x:v>Index</x:v>
      </x:c>
      <x:c r="O274" s="27" t="str">
        <x:v>AAA</x:v>
      </x:c>
      <x:c r="P274" s="27" t="n">
        <x:v>46529</x:v>
      </x:c>
      <x:c r="Q274" s="27" t="n">
        <x:v>45255</x:v>
      </x:c>
      <x:c r="R274" s="27" t="n">
        <x:v>46529</x:v>
      </x:c>
      <x:c r="S274" s="27" t="n">
        <x:v>165000000</x:v>
      </x:c>
      <x:c r="T274" s="27" t="n">
        <x:v>0</x:v>
      </x:c>
      <x:c r="U274" s="27" t="n">
        <x:v>165000000</x:v>
      </x:c>
      <x:c r="V274" s="27" t="str">
        <x:v>M</x:v>
      </x:c>
      <x:c r="W274" s="27" t="str">
        <x:v>N</x:v>
      </x:c>
      <x:c r="X274" s="27" t="n">
        <x:v>10</x:v>
      </x:c>
      <x:c r="Y274" s="27" t="str">
        <x:v>B</x:v>
      </x:c>
      <x:c r="Z274" s="27"/>
      <x:c r="AA274" s="27"/>
      <x:c r="AB274" s="27" t="n">
        <x:v>0</x:v>
      </x:c>
      <x:c r="AC274" s="27" t="n">
        <x:v>0</x:v>
      </x:c>
      <x:c r="AD274" s="27" t="n">
        <x:v>1848000</x:v>
      </x:c>
      <x:c r="AE274" s="27" t="str">
        <x:v>Public-safe anonymized industry-style SA-CCR sample</x:v>
      </x:c>
      <x:c r="AF274" s="27" t="str">
        <x:v>ANON-000271</x:v>
      </x:c>
      <x:c r="AG274" s="27" t="str">
        <x:v>Credit Index CDS</x:v>
      </x:c>
      <x:c r="AH274" s="27"/>
      <x:c r="AI274" s="27" t="str">
        <x:v>Credit Index</x:v>
      </x:c>
      <x:c r="AJ274" s="27" t="n">
        <x:v>827</x:v>
      </x:c>
      <x:c r="AK274" s="27" t="n">
        <x:v>2.265753424657534</x:v>
      </x:c>
      <x:c r="AL274" s="27" t="str">
        <x:v>1Y-5Y</x:v>
      </x:c>
      <x:c r="AM274" s="27"/>
      <x:c r="AN274" s="27" t="str">
        <x:v>Unknown</x:v>
      </x:c>
      <x:c r="AO274" s="27" t="str">
        <x:v>CREDIT_INDEX_12</x:v>
      </x:c>
      <x:c r="AP274" s="27" t="str">
        <x:v>M</x:v>
      </x:c>
      <x:c r="AQ274" s="27" t="n">
        <x:v>0.0038</x:v>
      </x:c>
      <x:c r="AR274" s="27" t="n">
        <x:v>1</x:v>
      </x:c>
      <x:c r="AS274" s="27" t="n">
        <x:v>0.0038</x:v>
      </x:c>
      <x:c r="AT274" s="27" t="n">
        <x:v>0.8</x:v>
      </x:c>
      <x:c r="AU274" s="27" t="n">
        <x:v>2.142124733656874</x:v>
      </x:c>
      <x:c r="AV274" s="27" t="n">
        <x:v>353450581.0533842</x:v>
      </x:c>
      <x:c r="AW274" s="27" t="n">
        <x:v>0.8</x:v>
      </x:c>
      <x:c r="AX274" s="27" t="n">
        <x:v>1</x:v>
      </x:c>
      <x:c r="AY274" s="27" t="n">
        <x:v>0.30000000000000004</x:v>
      </x:c>
      <x:c r="AZ274" s="27" t="n">
        <x:v>106035174.31601527</x:v>
      </x:c>
    </x:row>
    <x:row r="275">
      <x:c r="A275" s="27" t="n">
        <x:v>45702</x:v>
      </x:c>
      <x:c r="B275" s="27" t="str">
        <x:v>IND_HEDGE_FUND_001</x:v>
      </x:c>
      <x:c r="C275" s="27" t="n">
        <x:v>3289</x:v>
      </x:c>
      <x:c r="D275" s="27" t="str">
        <x:v>IND-000272</x:v>
      </x:c>
      <x:c r="E275" s="27" t="str">
        <x:v>Credit Index CDS</x:v>
      </x:c>
      <x:c r="F275" s="27" t="str">
        <x:v>Credit</x:v>
      </x:c>
      <x:c r="G275" s="27"/>
      <x:c r="H275" s="27" t="str">
        <x:v>USD</x:v>
      </x:c>
      <x:c r="I275" s="27"/>
      <x:c r="J275" s="27" t="str">
        <x:v>USD</x:v>
      </x:c>
      <x:c r="K275" s="27"/>
      <x:c r="L275" s="27"/>
      <x:c r="M275" s="27" t="str">
        <x:v>CREDIT_INDEX_28</x:v>
      </x:c>
      <x:c r="N275" s="27" t="str">
        <x:v>Index</x:v>
      </x:c>
      <x:c r="O275" s="27" t="str">
        <x:v>BB</x:v>
      </x:c>
      <x:c r="P275" s="27" t="n">
        <x:v>46599</x:v>
      </x:c>
      <x:c r="Q275" s="27" t="n">
        <x:v>44987</x:v>
      </x:c>
      <x:c r="R275" s="27" t="n">
        <x:v>46599</x:v>
      </x:c>
      <x:c r="S275" s="27" t="n">
        <x:v>168000000</x:v>
      </x:c>
      <x:c r="T275" s="27" t="n">
        <x:v>0</x:v>
      </x:c>
      <x:c r="U275" s="27" t="n">
        <x:v>168000000</x:v>
      </x:c>
      <x:c r="V275" s="27" t="str">
        <x:v>M</x:v>
      </x:c>
      <x:c r="W275" s="27" t="str">
        <x:v>N</x:v>
      </x:c>
      <x:c r="X275" s="27" t="n">
        <x:v>10</x:v>
      </x:c>
      <x:c r="Y275" s="27" t="str">
        <x:v>B</x:v>
      </x:c>
      <x:c r="Z275" s="27"/>
      <x:c r="AA275" s="27"/>
      <x:c r="AB275" s="27" t="n">
        <x:v>0</x:v>
      </x:c>
      <x:c r="AC275" s="27" t="n">
        <x:v>0</x:v>
      </x:c>
      <x:c r="AD275" s="27" t="n">
        <x:v>-493920</x:v>
      </x:c>
      <x:c r="AE275" s="27" t="str">
        <x:v>Public-safe anonymized industry-style SA-CCR sample</x:v>
      </x:c>
      <x:c r="AF275" s="27" t="str">
        <x:v>ANON-000272</x:v>
      </x:c>
      <x:c r="AG275" s="27" t="str">
        <x:v>Credit Index CDS</x:v>
      </x:c>
      <x:c r="AH275" s="27"/>
      <x:c r="AI275" s="27" t="str">
        <x:v>Credit Index</x:v>
      </x:c>
      <x:c r="AJ275" s="27" t="n">
        <x:v>897</x:v>
      </x:c>
      <x:c r="AK275" s="27" t="n">
        <x:v>2.4575342465753423</x:v>
      </x:c>
      <x:c r="AL275" s="27" t="str">
        <x:v>1Y-5Y</x:v>
      </x:c>
      <x:c r="AM275" s="27"/>
      <x:c r="AN275" s="27" t="str">
        <x:v>Unknown</x:v>
      </x:c>
      <x:c r="AO275" s="27" t="str">
        <x:v>CREDIT_INDEX_28</x:v>
      </x:c>
      <x:c r="AP275" s="27" t="str">
        <x:v>M</x:v>
      </x:c>
      <x:c r="AQ275" s="27" t="n">
        <x:v>0.0106</x:v>
      </x:c>
      <x:c r="AR275" s="27" t="n">
        <x:v>1</x:v>
      </x:c>
      <x:c r="AS275" s="27" t="n">
        <x:v>0.0106</x:v>
      </x:c>
      <x:c r="AT275" s="27" t="n">
        <x:v>0.8</x:v>
      </x:c>
      <x:c r="AU275" s="27" t="n">
        <x:v>2.3125462382170503</x:v>
      </x:c>
      <x:c r="AV275" s="27" t="n">
        <x:v>388507768.0204645</x:v>
      </x:c>
      <x:c r="AW275" s="27" t="n">
        <x:v>0.8</x:v>
      </x:c>
      <x:c r="AX275" s="27" t="n">
        <x:v>1</x:v>
      </x:c>
      <x:c r="AY275" s="27" t="n">
        <x:v>0.30000000000000004</x:v>
      </x:c>
      <x:c r="AZ275" s="27" t="n">
        <x:v>116552330.40613936</x:v>
      </x:c>
    </x:row>
    <x:row r="276">
      <x:c r="A276" s="27" t="n">
        <x:v>45702</x:v>
      </x:c>
      <x:c r="B276" s="27" t="str">
        <x:v>IND_CORPORATE_001</x:v>
      </x:c>
      <x:c r="C276" s="27" t="n">
        <x:v>3015</x:v>
      </x:c>
      <x:c r="D276" s="27" t="str">
        <x:v>IND-000273</x:v>
      </x:c>
      <x:c r="E276" s="27" t="str">
        <x:v>Credit Index CDS</x:v>
      </x:c>
      <x:c r="F276" s="27" t="str">
        <x:v>Credit</x:v>
      </x:c>
      <x:c r="G276" s="27"/>
      <x:c r="H276" s="27" t="str">
        <x:v>USD</x:v>
      </x:c>
      <x:c r="I276" s="27"/>
      <x:c r="J276" s="27" t="str">
        <x:v>USD</x:v>
      </x:c>
      <x:c r="K276" s="27"/>
      <x:c r="L276" s="27"/>
      <x:c r="M276" s="27" t="str">
        <x:v>CREDIT_INDEX_17</x:v>
      </x:c>
      <x:c r="N276" s="27" t="str">
        <x:v>Index</x:v>
      </x:c>
      <x:c r="O276" s="27" t="str">
        <x:v>B</x:v>
      </x:c>
      <x:c r="P276" s="27" t="n">
        <x:v>46306</x:v>
      </x:c>
      <x:c r="Q276" s="27" t="n">
        <x:v>44816</x:v>
      </x:c>
      <x:c r="R276" s="27" t="n">
        <x:v>46306</x:v>
      </x:c>
      <x:c r="S276" s="27" t="n">
        <x:v>26000000</x:v>
      </x:c>
      <x:c r="T276" s="27" t="n">
        <x:v>0</x:v>
      </x:c>
      <x:c r="U276" s="27" t="n">
        <x:v>26000000</x:v>
      </x:c>
      <x:c r="V276" s="27" t="str">
        <x:v>U</x:v>
      </x:c>
      <x:c r="W276" s="27" t="str">
        <x:v>N</x:v>
      </x:c>
      <x:c r="X276" s="27"/>
      <x:c r="Y276" s="27" t="str">
        <x:v>B</x:v>
      </x:c>
      <x:c r="Z276" s="27"/>
      <x:c r="AA276" s="27"/>
      <x:c r="AB276" s="27" t="n">
        <x:v>0</x:v>
      </x:c>
      <x:c r="AC276" s="27" t="n">
        <x:v>0</x:v>
      </x:c>
      <x:c r="AD276" s="27" t="n">
        <x:v>332800</x:v>
      </x:c>
      <x:c r="AE276" s="27" t="str">
        <x:v>Public-safe anonymized industry-style SA-CCR sample</x:v>
      </x:c>
      <x:c r="AF276" s="27" t="str">
        <x:v>ANON-000273</x:v>
      </x:c>
      <x:c r="AG276" s="27" t="str">
        <x:v>Credit Index CDS</x:v>
      </x:c>
      <x:c r="AH276" s="27"/>
      <x:c r="AI276" s="27" t="str">
        <x:v>Credit Index</x:v>
      </x:c>
      <x:c r="AJ276" s="27" t="n">
        <x:v>604</x:v>
      </x:c>
      <x:c r="AK276" s="27" t="n">
        <x:v>1.6547945205479453</x:v>
      </x:c>
      <x:c r="AL276" s="27" t="str">
        <x:v>1Y-5Y</x:v>
      </x:c>
      <x:c r="AM276" s="27"/>
      <x:c r="AN276" s="27" t="str">
        <x:v>Unknown</x:v>
      </x:c>
      <x:c r="AO276" s="27" t="str">
        <x:v>CREDIT_INDEX_17</x:v>
      </x:c>
      <x:c r="AP276" s="27" t="str">
        <x:v>U</x:v>
      </x:c>
      <x:c r="AQ276" s="27" t="n">
        <x:v>0.016</x:v>
      </x:c>
      <x:c r="AR276" s="27" t="n">
        <x:v>1</x:v>
      </x:c>
      <x:c r="AS276" s="27" t="n">
        <x:v>0.016</x:v>
      </x:c>
      <x:c r="AT276" s="27" t="n">
        <x:v>0.8</x:v>
      </x:c>
      <x:c r="AU276" s="27" t="n">
        <x:v>1.588185563088631</x:v>
      </x:c>
      <x:c r="AV276" s="27" t="n">
        <x:v>41292824.64030441</x:v>
      </x:c>
      <x:c r="AW276" s="27" t="n">
        <x:v>0.8</x:v>
      </x:c>
      <x:c r="AX276" s="27" t="n">
        <x:v>1</x:v>
      </x:c>
      <x:c r="AY276" s="27" t="n">
        <x:v>1</x:v>
      </x:c>
      <x:c r="AZ276" s="27" t="n">
        <x:v>41292824.64030441</x:v>
      </x:c>
    </x:row>
    <x:row r="277">
      <x:c r="A277" s="27" t="n">
        <x:v>45702</x:v>
      </x:c>
      <x:c r="B277" s="27" t="str">
        <x:v>IND_HEDGE_FUND_001</x:v>
      </x:c>
      <x:c r="C277" s="27" t="n">
        <x:v>3289</x:v>
      </x:c>
      <x:c r="D277" s="27" t="str">
        <x:v>IND-000274</x:v>
      </x:c>
      <x:c r="E277" s="27" t="str">
        <x:v>Credit Index CDS</x:v>
      </x:c>
      <x:c r="F277" s="27" t="str">
        <x:v>Credit</x:v>
      </x:c>
      <x:c r="G277" s="27"/>
      <x:c r="H277" s="27" t="str">
        <x:v>USD</x:v>
      </x:c>
      <x:c r="I277" s="27"/>
      <x:c r="J277" s="27" t="str">
        <x:v>USD</x:v>
      </x:c>
      <x:c r="K277" s="27"/>
      <x:c r="L277" s="27"/>
      <x:c r="M277" s="27" t="str">
        <x:v>CREDIT_INDEX_04</x:v>
      </x:c>
      <x:c r="N277" s="27" t="str">
        <x:v>Index</x:v>
      </x:c>
      <x:c r="O277" s="27" t="str">
        <x:v>BB</x:v>
      </x:c>
      <x:c r="P277" s="27" t="n">
        <x:v>45774</x:v>
      </x:c>
      <x:c r="Q277" s="27" t="n">
        <x:v>45477</x:v>
      </x:c>
      <x:c r="R277" s="27" t="n">
        <x:v>45774</x:v>
      </x:c>
      <x:c r="S277" s="27" t="n">
        <x:v>45500000</x:v>
      </x:c>
      <x:c r="T277" s="27" t="n">
        <x:v>0</x:v>
      </x:c>
      <x:c r="U277" s="27" t="n">
        <x:v>45500000</x:v>
      </x:c>
      <x:c r="V277" s="27" t="str">
        <x:v>M</x:v>
      </x:c>
      <x:c r="W277" s="27" t="str">
        <x:v>N</x:v>
      </x:c>
      <x:c r="X277" s="27" t="n">
        <x:v>10</x:v>
      </x:c>
      <x:c r="Y277" s="27" t="str">
        <x:v>B</x:v>
      </x:c>
      <x:c r="Z277" s="27"/>
      <x:c r="AA277" s="27"/>
      <x:c r="AB277" s="27" t="n">
        <x:v>0</x:v>
      </x:c>
      <x:c r="AC277" s="27" t="n">
        <x:v>0</x:v>
      </x:c>
      <x:c r="AD277" s="27" t="n">
        <x:v>869960</x:v>
      </x:c>
      <x:c r="AE277" s="27" t="str">
        <x:v>Public-safe anonymized industry-style SA-CCR sample</x:v>
      </x:c>
      <x:c r="AF277" s="27" t="str">
        <x:v>ANON-000274</x:v>
      </x:c>
      <x:c r="AG277" s="27" t="str">
        <x:v>Credit Index CDS</x:v>
      </x:c>
      <x:c r="AH277" s="27"/>
      <x:c r="AI277" s="27" t="str">
        <x:v>Credit Index</x:v>
      </x:c>
      <x:c r="AJ277" s="27" t="n">
        <x:v>72</x:v>
      </x:c>
      <x:c r="AK277" s="27" t="n">
        <x:v>0.19726027397260273</x:v>
      </x:c>
      <x:c r="AL277" s="27" t="str">
        <x:v>&lt;1Y</x:v>
      </x:c>
      <x:c r="AM277" s="27"/>
      <x:c r="AN277" s="27" t="str">
        <x:v>Unknown</x:v>
      </x:c>
      <x:c r="AO277" s="27" t="str">
        <x:v>CREDIT_INDEX_04</x:v>
      </x:c>
      <x:c r="AP277" s="27" t="str">
        <x:v>M</x:v>
      </x:c>
      <x:c r="AQ277" s="27" t="n">
        <x:v>0.0106</x:v>
      </x:c>
      <x:c r="AR277" s="27" t="n">
        <x:v>1</x:v>
      </x:c>
      <x:c r="AS277" s="27" t="n">
        <x:v>0.0106</x:v>
      </x:c>
      <x:c r="AT277" s="27" t="n">
        <x:v>0.8</x:v>
      </x:c>
      <x:c r="AU277" s="27" t="n">
        <x:v>0.19629067392491706</x:v>
      </x:c>
      <x:c r="AV277" s="27" t="n">
        <x:v>8931225.663583726</x:v>
      </x:c>
      <x:c r="AW277" s="27" t="n">
        <x:v>0.8</x:v>
      </x:c>
      <x:c r="AX277" s="27" t="n">
        <x:v>1</x:v>
      </x:c>
      <x:c r="AY277" s="27" t="n">
        <x:v>0.30000000000000004</x:v>
      </x:c>
      <x:c r="AZ277" s="27" t="n">
        <x:v>2679367.699075118</x:v>
      </x:c>
    </x:row>
    <x:row r="278">
      <x:c r="A278" s="27" t="n">
        <x:v>45702</x:v>
      </x:c>
      <x:c r="B278" s="27" t="str">
        <x:v>IND_CLEARING_MEMBER_001</x:v>
      </x:c>
      <x:c r="C278" s="27" t="n">
        <x:v>3108</x:v>
      </x:c>
      <x:c r="D278" s="27" t="str">
        <x:v>IND-000275</x:v>
      </x:c>
      <x:c r="E278" s="27" t="str">
        <x:v>Equity TRS</x:v>
      </x:c>
      <x:c r="F278" s="27" t="str">
        <x:v>Equity</x:v>
      </x:c>
      <x:c r="G278" s="27" t="str">
        <x:v>Single Stock</x:v>
      </x:c>
      <x:c r="H278" s="27" t="str">
        <x:v>USD</x:v>
      </x:c>
      <x:c r="I278" s="27"/>
      <x:c r="J278" s="27" t="str">
        <x:v>USD</x:v>
      </x:c>
      <x:c r="K278" s="27"/>
      <x:c r="L278" s="27"/>
      <x:c r="M278" s="27" t="str">
        <x:v>EQUITY_NAME_04</x:v>
      </x:c>
      <x:c r="N278" s="27" t="str">
        <x:v>Singleton</x:v>
      </x:c>
      <x:c r="O278" s="27"/>
      <x:c r="P278" s="27" t="n">
        <x:v>46611</x:v>
      </x:c>
      <x:c r="Q278" s="27" t="n">
        <x:v>45645</x:v>
      </x:c>
      <x:c r="R278" s="27" t="n">
        <x:v>46611</x:v>
      </x:c>
      <x:c r="S278" s="27" t="n">
        <x:v>65200000</x:v>
      </x:c>
      <x:c r="T278" s="27" t="n">
        <x:v>0</x:v>
      </x:c>
      <x:c r="U278" s="27" t="n">
        <x:v>65200000</x:v>
      </x:c>
      <x:c r="V278" s="27" t="str">
        <x:v>M</x:v>
      </x:c>
      <x:c r="W278" s="27" t="str">
        <x:v>N</x:v>
      </x:c>
      <x:c r="X278" s="27" t="n">
        <x:v>10</x:v>
      </x:c>
      <x:c r="Y278" s="27" t="str">
        <x:v>B</x:v>
      </x:c>
      <x:c r="Z278" s="27"/>
      <x:c r="AA278" s="27"/>
      <x:c r="AB278" s="27" t="n">
        <x:v>0</x:v>
      </x:c>
      <x:c r="AC278" s="27" t="n">
        <x:v>0</x:v>
      </x:c>
      <x:c r="AD278" s="27" t="n">
        <x:v>-487044</x:v>
      </x:c>
      <x:c r="AE278" s="27" t="str">
        <x:v>Public-safe anonymized industry-style SA-CCR sample</x:v>
      </x:c>
      <x:c r="AF278" s="27" t="str">
        <x:v>ANON-000275</x:v>
      </x:c>
      <x:c r="AG278" s="27" t="str">
        <x:v>Equity TRS</x:v>
      </x:c>
      <x:c r="AH278" s="27"/>
      <x:c r="AI278" s="27" t="str">
        <x:v>Single Stock</x:v>
      </x:c>
      <x:c r="AJ278" s="27" t="n">
        <x:v>909</x:v>
      </x:c>
      <x:c r="AK278" s="27" t="n">
        <x:v>2.4904109589041097</x:v>
      </x:c>
      <x:c r="AL278" s="27" t="str">
        <x:v>1Y-5Y</x:v>
      </x:c>
      <x:c r="AM278" s="27"/>
      <x:c r="AN278" s="27" t="str">
        <x:v>Single Stock</x:v>
      </x:c>
      <x:c r="AO278" s="27" t="str">
        <x:v>EQUITY_NAME_04</x:v>
      </x:c>
      <x:c r="AP278" s="27" t="str">
        <x:v>M</x:v>
      </x:c>
      <x:c r="AQ278" s="27" t="n">
        <x:v>0.32</x:v>
      </x:c>
      <x:c r="AR278" s="27" t="n">
        <x:v>1</x:v>
      </x:c>
      <x:c r="AS278" s="27" t="n">
        <x:v>0.32</x:v>
      </x:c>
      <x:c r="AT278" s="27" t="n">
        <x:v>0.5</x:v>
      </x:c>
      <x:c r="AU278" s="27" t="n">
        <x:v>1</x:v>
      </x:c>
      <x:c r="AV278" s="27" t="n">
        <x:v>65200000</x:v>
      </x:c>
      <x:c r="AW278" s="27" t="n">
        <x:v>1.2</x:v>
      </x:c>
      <x:c r="AX278" s="27" t="n">
        <x:v>1</x:v>
      </x:c>
      <x:c r="AY278" s="27" t="n">
        <x:v>0.30000000000000004</x:v>
      </x:c>
      <x:c r="AZ278" s="27" t="n">
        <x:v>19560000.000000004</x:v>
      </x:c>
    </x:row>
    <x:row r="279">
      <x:c r="A279" s="27" t="n">
        <x:v>45702</x:v>
      </x:c>
      <x:c r="B279" s="27" t="str">
        <x:v>IND_CLEARING_MEMBER_001</x:v>
      </x:c>
      <x:c r="C279" s="27" t="n">
        <x:v>3161</x:v>
      </x:c>
      <x:c r="D279" s="27" t="str">
        <x:v>IND-000276</x:v>
      </x:c>
      <x:c r="E279" s="27" t="str">
        <x:v>Equity TRS</x:v>
      </x:c>
      <x:c r="F279" s="27" t="str">
        <x:v>Equity</x:v>
      </x:c>
      <x:c r="G279" s="27" t="str">
        <x:v>Single Stock</x:v>
      </x:c>
      <x:c r="H279" s="27" t="str">
        <x:v>USD</x:v>
      </x:c>
      <x:c r="I279" s="27"/>
      <x:c r="J279" s="27" t="str">
        <x:v>USD</x:v>
      </x:c>
      <x:c r="K279" s="27"/>
      <x:c r="L279" s="27"/>
      <x:c r="M279" s="27" t="str">
        <x:v>EQUITY_NAME_16</x:v>
      </x:c>
      <x:c r="N279" s="27" t="str">
        <x:v>Singleton</x:v>
      </x:c>
      <x:c r="O279" s="27"/>
      <x:c r="P279" s="27" t="n">
        <x:v>46112</x:v>
      </x:c>
      <x:c r="Q279" s="27" t="n">
        <x:v>45556</x:v>
      </x:c>
      <x:c r="R279" s="27" t="n">
        <x:v>46112</x:v>
      </x:c>
      <x:c r="S279" s="27" t="n">
        <x:v>43900000</x:v>
      </x:c>
      <x:c r="T279" s="27" t="n">
        <x:v>0</x:v>
      </x:c>
      <x:c r="U279" s="27" t="n">
        <x:v>43900000</x:v>
      </x:c>
      <x:c r="V279" s="27" t="str">
        <x:v>U</x:v>
      </x:c>
      <x:c r="W279" s="27" t="str">
        <x:v>N</x:v>
      </x:c>
      <x:c r="X279" s="27"/>
      <x:c r="Y279" s="27" t="str">
        <x:v>B</x:v>
      </x:c>
      <x:c r="Z279" s="27"/>
      <x:c r="AA279" s="27"/>
      <x:c r="AB279" s="27" t="n">
        <x:v>0</x:v>
      </x:c>
      <x:c r="AC279" s="27" t="n">
        <x:v>0</x:v>
      </x:c>
      <x:c r="AD279" s="27" t="n">
        <x:v>877122</x:v>
      </x:c>
      <x:c r="AE279" s="27" t="str">
        <x:v>Public-safe anonymized industry-style SA-CCR sample</x:v>
      </x:c>
      <x:c r="AF279" s="27" t="str">
        <x:v>ANON-000276</x:v>
      </x:c>
      <x:c r="AG279" s="27" t="str">
        <x:v>Equity TRS</x:v>
      </x:c>
      <x:c r="AH279" s="27"/>
      <x:c r="AI279" s="27" t="str">
        <x:v>Single Stock</x:v>
      </x:c>
      <x:c r="AJ279" s="27" t="n">
        <x:v>410</x:v>
      </x:c>
      <x:c r="AK279" s="27" t="n">
        <x:v>1.1232876712328768</x:v>
      </x:c>
      <x:c r="AL279" s="27" t="str">
        <x:v>1Y-5Y</x:v>
      </x:c>
      <x:c r="AM279" s="27"/>
      <x:c r="AN279" s="27" t="str">
        <x:v>Single Stock</x:v>
      </x:c>
      <x:c r="AO279" s="27" t="str">
        <x:v>EQUITY_NAME_16</x:v>
      </x:c>
      <x:c r="AP279" s="27" t="str">
        <x:v>U</x:v>
      </x:c>
      <x:c r="AQ279" s="27" t="n">
        <x:v>0.32</x:v>
      </x:c>
      <x:c r="AR279" s="27" t="n">
        <x:v>1</x:v>
      </x:c>
      <x:c r="AS279" s="27" t="n">
        <x:v>0.32</x:v>
      </x:c>
      <x:c r="AT279" s="27" t="n">
        <x:v>0.5</x:v>
      </x:c>
      <x:c r="AU279" s="27" t="n">
        <x:v>1</x:v>
      </x:c>
      <x:c r="AV279" s="27" t="n">
        <x:v>43900000</x:v>
      </x:c>
      <x:c r="AW279" s="27" t="n">
        <x:v>1.2</x:v>
      </x:c>
      <x:c r="AX279" s="27" t="n">
        <x:v>1</x:v>
      </x:c>
      <x:c r="AY279" s="27" t="n">
        <x:v>1</x:v>
      </x:c>
      <x:c r="AZ279" s="27" t="n">
        <x:v>43900000</x:v>
      </x:c>
    </x:row>
    <x:row r="280">
      <x:c r="A280" s="27" t="n">
        <x:v>45702</x:v>
      </x:c>
      <x:c r="B280" s="27" t="str">
        <x:v>IND_BROKER_001</x:v>
      </x:c>
      <x:c r="C280" s="27" t="n">
        <x:v>3276</x:v>
      </x:c>
      <x:c r="D280" s="27" t="str">
        <x:v>IND-000277</x:v>
      </x:c>
      <x:c r="E280" s="27" t="str">
        <x:v>Equity TRS</x:v>
      </x:c>
      <x:c r="F280" s="27" t="str">
        <x:v>Equity</x:v>
      </x:c>
      <x:c r="G280" s="27" t="str">
        <x:v>Single Stock</x:v>
      </x:c>
      <x:c r="H280" s="27" t="str">
        <x:v>USD</x:v>
      </x:c>
      <x:c r="I280" s="27"/>
      <x:c r="J280" s="27" t="str">
        <x:v>USD</x:v>
      </x:c>
      <x:c r="K280" s="27"/>
      <x:c r="L280" s="27"/>
      <x:c r="M280" s="27" t="str">
        <x:v>EQUITY_NAME_14</x:v>
      </x:c>
      <x:c r="N280" s="27" t="str">
        <x:v>Singleton</x:v>
      </x:c>
      <x:c r="O280" s="27"/>
      <x:c r="P280" s="27" t="n">
        <x:v>45869</x:v>
      </x:c>
      <x:c r="Q280" s="27" t="n">
        <x:v>45420</x:v>
      </x:c>
      <x:c r="R280" s="27" t="n">
        <x:v>45869</x:v>
      </x:c>
      <x:c r="S280" s="27" t="n">
        <x:v>60700000</x:v>
      </x:c>
      <x:c r="T280" s="27" t="n">
        <x:v>0</x:v>
      </x:c>
      <x:c r="U280" s="27" t="n">
        <x:v>60700000</x:v>
      </x:c>
      <x:c r="V280" s="27" t="str">
        <x:v>U</x:v>
      </x:c>
      <x:c r="W280" s="27" t="str">
        <x:v>N</x:v>
      </x:c>
      <x:c r="X280" s="27"/>
      <x:c r="Y280" s="27" t="str">
        <x:v>B</x:v>
      </x:c>
      <x:c r="Z280" s="27"/>
      <x:c r="AA280" s="27"/>
      <x:c r="AB280" s="27" t="n">
        <x:v>0</x:v>
      </x:c>
      <x:c r="AC280" s="27" t="n">
        <x:v>0</x:v>
      </x:c>
      <x:c r="AD280" s="27" t="n">
        <x:v>480744</x:v>
      </x:c>
      <x:c r="AE280" s="27" t="str">
        <x:v>Public-safe anonymized industry-style SA-CCR sample</x:v>
      </x:c>
      <x:c r="AF280" s="27" t="str">
        <x:v>ANON-000277</x:v>
      </x:c>
      <x:c r="AG280" s="27" t="str">
        <x:v>Equity TRS</x:v>
      </x:c>
      <x:c r="AH280" s="27"/>
      <x:c r="AI280" s="27" t="str">
        <x:v>Single Stock</x:v>
      </x:c>
      <x:c r="AJ280" s="27" t="n">
        <x:v>167</x:v>
      </x:c>
      <x:c r="AK280" s="27" t="n">
        <x:v>0.4575342465753425</x:v>
      </x:c>
      <x:c r="AL280" s="27" t="str">
        <x:v>&lt;1Y</x:v>
      </x:c>
      <x:c r="AM280" s="27"/>
      <x:c r="AN280" s="27" t="str">
        <x:v>Single Stock</x:v>
      </x:c>
      <x:c r="AO280" s="27" t="str">
        <x:v>EQUITY_NAME_14</x:v>
      </x:c>
      <x:c r="AP280" s="27" t="str">
        <x:v>U</x:v>
      </x:c>
      <x:c r="AQ280" s="27" t="n">
        <x:v>0.32</x:v>
      </x:c>
      <x:c r="AR280" s="27" t="n">
        <x:v>1</x:v>
      </x:c>
      <x:c r="AS280" s="27" t="n">
        <x:v>0.32</x:v>
      </x:c>
      <x:c r="AT280" s="27" t="n">
        <x:v>0.5</x:v>
      </x:c>
      <x:c r="AU280" s="27" t="n">
        <x:v>1</x:v>
      </x:c>
      <x:c r="AV280" s="27" t="n">
        <x:v>60700000</x:v>
      </x:c>
      <x:c r="AW280" s="27" t="n">
        <x:v>1.2</x:v>
      </x:c>
      <x:c r="AX280" s="27" t="n">
        <x:v>1</x:v>
      </x:c>
      <x:c r="AY280" s="27" t="n">
        <x:v>0.6764127782466431</x:v>
      </x:c>
      <x:c r="AZ280" s="27" t="n">
        <x:v>41058255.63957124</x:v>
      </x:c>
    </x:row>
    <x:row r="281">
      <x:c r="A281" s="27" t="n">
        <x:v>45702</x:v>
      </x:c>
      <x:c r="B281" s="27" t="str">
        <x:v>IND_CLEARING_MEMBER_001</x:v>
      </x:c>
      <x:c r="C281" s="27" t="n">
        <x:v>3108</x:v>
      </x:c>
      <x:c r="D281" s="27" t="str">
        <x:v>IND-000278</x:v>
      </x:c>
      <x:c r="E281" s="27" t="str">
        <x:v>Equity TRS</x:v>
      </x:c>
      <x:c r="F281" s="27" t="str">
        <x:v>Equity</x:v>
      </x:c>
      <x:c r="G281" s="27" t="str">
        <x:v>Single Stock</x:v>
      </x:c>
      <x:c r="H281" s="27" t="str">
        <x:v>USD</x:v>
      </x:c>
      <x:c r="I281" s="27"/>
      <x:c r="J281" s="27" t="str">
        <x:v>USD</x:v>
      </x:c>
      <x:c r="K281" s="27"/>
      <x:c r="L281" s="27"/>
      <x:c r="M281" s="27" t="str">
        <x:v>EQUITY_NAME_22</x:v>
      </x:c>
      <x:c r="N281" s="27" t="str">
        <x:v>Singleton</x:v>
      </x:c>
      <x:c r="O281" s="27"/>
      <x:c r="P281" s="27" t="n">
        <x:v>45880</x:v>
      </x:c>
      <x:c r="Q281" s="27" t="n">
        <x:v>45691</x:v>
      </x:c>
      <x:c r="R281" s="27" t="n">
        <x:v>45880</x:v>
      </x:c>
      <x:c r="S281" s="27" t="n">
        <x:v>25300000</x:v>
      </x:c>
      <x:c r="T281" s="27" t="n">
        <x:v>0</x:v>
      </x:c>
      <x:c r="U281" s="27" t="n">
        <x:v>25300000</x:v>
      </x:c>
      <x:c r="V281" s="27" t="str">
        <x:v>M</x:v>
      </x:c>
      <x:c r="W281" s="27" t="str">
        <x:v>N</x:v>
      </x:c>
      <x:c r="X281" s="27" t="n">
        <x:v>10</x:v>
      </x:c>
      <x:c r="Y281" s="27" t="str">
        <x:v>B</x:v>
      </x:c>
      <x:c r="Z281" s="27"/>
      <x:c r="AA281" s="27"/>
      <x:c r="AB281" s="27" t="n">
        <x:v>0</x:v>
      </x:c>
      <x:c r="AC281" s="27" t="n">
        <x:v>0</x:v>
      </x:c>
      <x:c r="AD281" s="27" t="n">
        <x:v>-169257</x:v>
      </x:c>
      <x:c r="AE281" s="27" t="str">
        <x:v>Public-safe anonymized industry-style SA-CCR sample</x:v>
      </x:c>
      <x:c r="AF281" s="27" t="str">
        <x:v>ANON-000278</x:v>
      </x:c>
      <x:c r="AG281" s="27" t="str">
        <x:v>Equity TRS</x:v>
      </x:c>
      <x:c r="AH281" s="27"/>
      <x:c r="AI281" s="27" t="str">
        <x:v>Single Stock</x:v>
      </x:c>
      <x:c r="AJ281" s="27" t="n">
        <x:v>178</x:v>
      </x:c>
      <x:c r="AK281" s="27" t="n">
        <x:v>0.4876712328767123</x:v>
      </x:c>
      <x:c r="AL281" s="27" t="str">
        <x:v>&lt;1Y</x:v>
      </x:c>
      <x:c r="AM281" s="27"/>
      <x:c r="AN281" s="27" t="str">
        <x:v>Single Stock</x:v>
      </x:c>
      <x:c r="AO281" s="27" t="str">
        <x:v>EQUITY_NAME_22</x:v>
      </x:c>
      <x:c r="AP281" s="27" t="str">
        <x:v>M</x:v>
      </x:c>
      <x:c r="AQ281" s="27" t="n">
        <x:v>0.32</x:v>
      </x:c>
      <x:c r="AR281" s="27" t="n">
        <x:v>1</x:v>
      </x:c>
      <x:c r="AS281" s="27" t="n">
        <x:v>0.32</x:v>
      </x:c>
      <x:c r="AT281" s="27" t="n">
        <x:v>0.5</x:v>
      </x:c>
      <x:c r="AU281" s="27" t="n">
        <x:v>1</x:v>
      </x:c>
      <x:c r="AV281" s="27" t="n">
        <x:v>25300000</x:v>
      </x:c>
      <x:c r="AW281" s="27" t="n">
        <x:v>1.2</x:v>
      </x:c>
      <x:c r="AX281" s="27" t="n">
        <x:v>1</x:v>
      </x:c>
      <x:c r="AY281" s="27" t="n">
        <x:v>0.30000000000000004</x:v>
      </x:c>
      <x:c r="AZ281" s="27" t="n">
        <x:v>7590000.000000001</x:v>
      </x:c>
    </x:row>
    <x:row r="282">
      <x:c r="A282" s="27" t="n">
        <x:v>45702</x:v>
      </x:c>
      <x:c r="B282" s="27" t="str">
        <x:v>IND_CORPORATE_001</x:v>
      </x:c>
      <x:c r="C282" s="27" t="n">
        <x:v>3380</x:v>
      </x:c>
      <x:c r="D282" s="27" t="str">
        <x:v>IND-000279</x:v>
      </x:c>
      <x:c r="E282" s="27" t="str">
        <x:v>Equity TRS</x:v>
      </x:c>
      <x:c r="F282" s="27" t="str">
        <x:v>Equity</x:v>
      </x:c>
      <x:c r="G282" s="27" t="str">
        <x:v>Single Stock</x:v>
      </x:c>
      <x:c r="H282" s="27" t="str">
        <x:v>USD</x:v>
      </x:c>
      <x:c r="I282" s="27"/>
      <x:c r="J282" s="27" t="str">
        <x:v>USD</x:v>
      </x:c>
      <x:c r="K282" s="27"/>
      <x:c r="L282" s="27"/>
      <x:c r="M282" s="27" t="str">
        <x:v>EQUITY_NAME_11</x:v>
      </x:c>
      <x:c r="N282" s="27" t="str">
        <x:v>Singleton</x:v>
      </x:c>
      <x:c r="O282" s="27"/>
      <x:c r="P282" s="27" t="n">
        <x:v>46594</x:v>
      </x:c>
      <x:c r="Q282" s="27" t="n">
        <x:v>45649</x:v>
      </x:c>
      <x:c r="R282" s="27" t="n">
        <x:v>46594</x:v>
      </x:c>
      <x:c r="S282" s="27" t="n">
        <x:v>1500000</x:v>
      </x:c>
      <x:c r="T282" s="27" t="n">
        <x:v>0</x:v>
      </x:c>
      <x:c r="U282" s="27" t="n">
        <x:v>1500000</x:v>
      </x:c>
      <x:c r="V282" s="27" t="str">
        <x:v>U</x:v>
      </x:c>
      <x:c r="W282" s="27" t="str">
        <x:v>N</x:v>
      </x:c>
      <x:c r="X282" s="27"/>
      <x:c r="Y282" s="27" t="str">
        <x:v>S</x:v>
      </x:c>
      <x:c r="Z282" s="27"/>
      <x:c r="AA282" s="27"/>
      <x:c r="AB282" s="27" t="n">
        <x:v>0</x:v>
      </x:c>
      <x:c r="AC282" s="27" t="n">
        <x:v>0</x:v>
      </x:c>
      <x:c r="AD282" s="27" t="n">
        <x:v>-38655</x:v>
      </x:c>
      <x:c r="AE282" s="27" t="str">
        <x:v>Public-safe anonymized industry-style SA-CCR sample</x:v>
      </x:c>
      <x:c r="AF282" s="27" t="str">
        <x:v>ANON-000279</x:v>
      </x:c>
      <x:c r="AG282" s="27" t="str">
        <x:v>Equity TRS</x:v>
      </x:c>
      <x:c r="AH282" s="27"/>
      <x:c r="AI282" s="27" t="str">
        <x:v>Single Stock</x:v>
      </x:c>
      <x:c r="AJ282" s="27" t="n">
        <x:v>892</x:v>
      </x:c>
      <x:c r="AK282" s="27" t="n">
        <x:v>2.4438356164383563</x:v>
      </x:c>
      <x:c r="AL282" s="27" t="str">
        <x:v>1Y-5Y</x:v>
      </x:c>
      <x:c r="AM282" s="27"/>
      <x:c r="AN282" s="27" t="str">
        <x:v>Single Stock</x:v>
      </x:c>
      <x:c r="AO282" s="27" t="str">
        <x:v>EQUITY_NAME_11</x:v>
      </x:c>
      <x:c r="AP282" s="27" t="str">
        <x:v>U</x:v>
      </x:c>
      <x:c r="AQ282" s="27" t="n">
        <x:v>0.32</x:v>
      </x:c>
      <x:c r="AR282" s="27" t="n">
        <x:v>1</x:v>
      </x:c>
      <x:c r="AS282" s="27" t="n">
        <x:v>0.32</x:v>
      </x:c>
      <x:c r="AT282" s="27" t="n">
        <x:v>0.5</x:v>
      </x:c>
      <x:c r="AU282" s="27" t="n">
        <x:v>1</x:v>
      </x:c>
      <x:c r="AV282" s="27" t="n">
        <x:v>1500000</x:v>
      </x:c>
      <x:c r="AW282" s="27" t="n">
        <x:v>1.2</x:v>
      </x:c>
      <x:c r="AX282" s="27" t="n">
        <x:v>-1</x:v>
      </x:c>
      <x:c r="AY282" s="27" t="n">
        <x:v>1</x:v>
      </x:c>
      <x:c r="AZ282" s="27" t="n">
        <x:v>-1500000</x:v>
      </x:c>
    </x:row>
    <x:row r="283">
      <x:c r="A283" s="27" t="n">
        <x:v>45702</x:v>
      </x:c>
      <x:c r="B283" s="27" t="str">
        <x:v>IND_BANK_002</x:v>
      </x:c>
      <x:c r="C283" s="27" t="n">
        <x:v>3386</x:v>
      </x:c>
      <x:c r="D283" s="27" t="str">
        <x:v>IND-000280</x:v>
      </x:c>
      <x:c r="E283" s="27" t="str">
        <x:v>Equity TRS</x:v>
      </x:c>
      <x:c r="F283" s="27" t="str">
        <x:v>Equity</x:v>
      </x:c>
      <x:c r="G283" s="27" t="str">
        <x:v>Single Stock</x:v>
      </x:c>
      <x:c r="H283" s="27" t="str">
        <x:v>USD</x:v>
      </x:c>
      <x:c r="I283" s="27"/>
      <x:c r="J283" s="27" t="str">
        <x:v>USD</x:v>
      </x:c>
      <x:c r="K283" s="27"/>
      <x:c r="L283" s="27"/>
      <x:c r="M283" s="27" t="str">
        <x:v>EQUITY_NAME_13</x:v>
      </x:c>
      <x:c r="N283" s="27" t="str">
        <x:v>Singleton</x:v>
      </x:c>
      <x:c r="O283" s="27"/>
      <x:c r="P283" s="27" t="n">
        <x:v>47312</x:v>
      </x:c>
      <x:c r="Q283" s="27" t="n">
        <x:v>45522</x:v>
      </x:c>
      <x:c r="R283" s="27" t="n">
        <x:v>47312</x:v>
      </x:c>
      <x:c r="S283" s="27" t="n">
        <x:v>7500000</x:v>
      </x:c>
      <x:c r="T283" s="27" t="n">
        <x:v>0</x:v>
      </x:c>
      <x:c r="U283" s="27" t="n">
        <x:v>7500000</x:v>
      </x:c>
      <x:c r="V283" s="27" t="str">
        <x:v>M</x:v>
      </x:c>
      <x:c r="W283" s="27" t="str">
        <x:v>N</x:v>
      </x:c>
      <x:c r="X283" s="27" t="n">
        <x:v>10</x:v>
      </x:c>
      <x:c r="Y283" s="27" t="str">
        <x:v>B</x:v>
      </x:c>
      <x:c r="Z283" s="27"/>
      <x:c r="AA283" s="27"/>
      <x:c r="AB283" s="27" t="n">
        <x:v>0</x:v>
      </x:c>
      <x:c r="AC283" s="27" t="n">
        <x:v>0</x:v>
      </x:c>
      <x:c r="AD283" s="27" t="n">
        <x:v>-20925</x:v>
      </x:c>
      <x:c r="AE283" s="27" t="str">
        <x:v>Public-safe anonymized industry-style SA-CCR sample</x:v>
      </x:c>
      <x:c r="AF283" s="27" t="str">
        <x:v>ANON-000280</x:v>
      </x:c>
      <x:c r="AG283" s="27" t="str">
        <x:v>Equity TRS</x:v>
      </x:c>
      <x:c r="AH283" s="27"/>
      <x:c r="AI283" s="27" t="str">
        <x:v>Single Stock</x:v>
      </x:c>
      <x:c r="AJ283" s="27" t="n">
        <x:v>1610</x:v>
      </x:c>
      <x:c r="AK283" s="27" t="n">
        <x:v>4.410958904109589</x:v>
      </x:c>
      <x:c r="AL283" s="27" t="str">
        <x:v>1Y-5Y</x:v>
      </x:c>
      <x:c r="AM283" s="27"/>
      <x:c r="AN283" s="27" t="str">
        <x:v>Single Stock</x:v>
      </x:c>
      <x:c r="AO283" s="27" t="str">
        <x:v>EQUITY_NAME_13</x:v>
      </x:c>
      <x:c r="AP283" s="27" t="str">
        <x:v>M</x:v>
      </x:c>
      <x:c r="AQ283" s="27" t="n">
        <x:v>0.32</x:v>
      </x:c>
      <x:c r="AR283" s="27" t="n">
        <x:v>1</x:v>
      </x:c>
      <x:c r="AS283" s="27" t="n">
        <x:v>0.32</x:v>
      </x:c>
      <x:c r="AT283" s="27" t="n">
        <x:v>0.5</x:v>
      </x:c>
      <x:c r="AU283" s="27" t="n">
        <x:v>1</x:v>
      </x:c>
      <x:c r="AV283" s="27" t="n">
        <x:v>7500000</x:v>
      </x:c>
      <x:c r="AW283" s="27" t="n">
        <x:v>1.2</x:v>
      </x:c>
      <x:c r="AX283" s="27" t="n">
        <x:v>1</x:v>
      </x:c>
      <x:c r="AY283" s="27" t="n">
        <x:v>0.30000000000000004</x:v>
      </x:c>
      <x:c r="AZ283" s="27" t="n">
        <x:v>2250000.0000000005</x:v>
      </x:c>
    </x:row>
    <x:row r="284">
      <x:c r="A284" s="27" t="n">
        <x:v>45702</x:v>
      </x:c>
      <x:c r="B284" s="27" t="str">
        <x:v>IND_HEDGE_FUND_001</x:v>
      </x:c>
      <x:c r="C284" s="27" t="n">
        <x:v>3040</x:v>
      </x:c>
      <x:c r="D284" s="27" t="str">
        <x:v>IND-000281</x:v>
      </x:c>
      <x:c r="E284" s="27" t="str">
        <x:v>Equity TRS</x:v>
      </x:c>
      <x:c r="F284" s="27" t="str">
        <x:v>Equity</x:v>
      </x:c>
      <x:c r="G284" s="27" t="str">
        <x:v>Single Stock</x:v>
      </x:c>
      <x:c r="H284" s="27" t="str">
        <x:v>USD</x:v>
      </x:c>
      <x:c r="I284" s="27"/>
      <x:c r="J284" s="27" t="str">
        <x:v>USD</x:v>
      </x:c>
      <x:c r="K284" s="27"/>
      <x:c r="L284" s="27"/>
      <x:c r="M284" s="27" t="str">
        <x:v>EQUITY_NAME_16</x:v>
      </x:c>
      <x:c r="N284" s="27" t="str">
        <x:v>Singleton</x:v>
      </x:c>
      <x:c r="O284" s="27"/>
      <x:c r="P284" s="27" t="n">
        <x:v>46316</x:v>
      </x:c>
      <x:c r="Q284" s="27" t="n">
        <x:v>44979</x:v>
      </x:c>
      <x:c r="R284" s="27" t="n">
        <x:v>46316</x:v>
      </x:c>
      <x:c r="S284" s="27" t="n">
        <x:v>27300000</x:v>
      </x:c>
      <x:c r="T284" s="27" t="n">
        <x:v>0</x:v>
      </x:c>
      <x:c r="U284" s="27" t="n">
        <x:v>27300000</x:v>
      </x:c>
      <x:c r="V284" s="27" t="str">
        <x:v>M</x:v>
      </x:c>
      <x:c r="W284" s="27" t="str">
        <x:v>N</x:v>
      </x:c>
      <x:c r="X284" s="27" t="n">
        <x:v>10</x:v>
      </x:c>
      <x:c r="Y284" s="27" t="str">
        <x:v>S</x:v>
      </x:c>
      <x:c r="Z284" s="27"/>
      <x:c r="AA284" s="27"/>
      <x:c r="AB284" s="27" t="n">
        <x:v>0</x:v>
      </x:c>
      <x:c r="AC284" s="27" t="n">
        <x:v>0</x:v>
      </x:c>
      <x:c r="AD284" s="27" t="n">
        <x:v>140049</x:v>
      </x:c>
      <x:c r="AE284" s="27" t="str">
        <x:v>Public-safe anonymized industry-style SA-CCR sample</x:v>
      </x:c>
      <x:c r="AF284" s="27" t="str">
        <x:v>ANON-000281</x:v>
      </x:c>
      <x:c r="AG284" s="27" t="str">
        <x:v>Equity TRS</x:v>
      </x:c>
      <x:c r="AH284" s="27"/>
      <x:c r="AI284" s="27" t="str">
        <x:v>Single Stock</x:v>
      </x:c>
      <x:c r="AJ284" s="27" t="n">
        <x:v>614</x:v>
      </x:c>
      <x:c r="AK284" s="27" t="n">
        <x:v>1.6821917808219178</x:v>
      </x:c>
      <x:c r="AL284" s="27" t="str">
        <x:v>1Y-5Y</x:v>
      </x:c>
      <x:c r="AM284" s="27"/>
      <x:c r="AN284" s="27" t="str">
        <x:v>Single Stock</x:v>
      </x:c>
      <x:c r="AO284" s="27" t="str">
        <x:v>EQUITY_NAME_16</x:v>
      </x:c>
      <x:c r="AP284" s="27" t="str">
        <x:v>M</x:v>
      </x:c>
      <x:c r="AQ284" s="27" t="n">
        <x:v>0.32</x:v>
      </x:c>
      <x:c r="AR284" s="27" t="n">
        <x:v>1</x:v>
      </x:c>
      <x:c r="AS284" s="27" t="n">
        <x:v>0.32</x:v>
      </x:c>
      <x:c r="AT284" s="27" t="n">
        <x:v>0.5</x:v>
      </x:c>
      <x:c r="AU284" s="27" t="n">
        <x:v>1</x:v>
      </x:c>
      <x:c r="AV284" s="27" t="n">
        <x:v>27300000</x:v>
      </x:c>
      <x:c r="AW284" s="27" t="n">
        <x:v>1.2</x:v>
      </x:c>
      <x:c r="AX284" s="27" t="n">
        <x:v>-1</x:v>
      </x:c>
      <x:c r="AY284" s="27" t="n">
        <x:v>0.30000000000000004</x:v>
      </x:c>
      <x:c r="AZ284" s="27" t="n">
        <x:v>-8190000.000000001</x:v>
      </x:c>
    </x:row>
    <x:row r="285">
      <x:c r="A285" s="27" t="n">
        <x:v>45702</x:v>
      </x:c>
      <x:c r="B285" s="27" t="str">
        <x:v>IND_REGIONAL_BANK_001</x:v>
      </x:c>
      <x:c r="C285" s="27" t="n">
        <x:v>3194</x:v>
      </x:c>
      <x:c r="D285" s="27" t="str">
        <x:v>IND-000282</x:v>
      </x:c>
      <x:c r="E285" s="27" t="str">
        <x:v>Equity TRS</x:v>
      </x:c>
      <x:c r="F285" s="27" t="str">
        <x:v>Equity</x:v>
      </x:c>
      <x:c r="G285" s="27" t="str">
        <x:v>Single Stock</x:v>
      </x:c>
      <x:c r="H285" s="27" t="str">
        <x:v>USD</x:v>
      </x:c>
      <x:c r="I285" s="27"/>
      <x:c r="J285" s="27" t="str">
        <x:v>USD</x:v>
      </x:c>
      <x:c r="K285" s="27"/>
      <x:c r="L285" s="27"/>
      <x:c r="M285" s="27" t="str">
        <x:v>EQUITY_NAME_23</x:v>
      </x:c>
      <x:c r="N285" s="27" t="str">
        <x:v>Singleton</x:v>
      </x:c>
      <x:c r="O285" s="27"/>
      <x:c r="P285" s="27" t="n">
        <x:v>47818</x:v>
      </x:c>
      <x:c r="Q285" s="27" t="n">
        <x:v>45418</x:v>
      </x:c>
      <x:c r="R285" s="27" t="n">
        <x:v>47818</x:v>
      </x:c>
      <x:c r="S285" s="27" t="n">
        <x:v>9600000</x:v>
      </x:c>
      <x:c r="T285" s="27" t="n">
        <x:v>0</x:v>
      </x:c>
      <x:c r="U285" s="27" t="n">
        <x:v>9600000</x:v>
      </x:c>
      <x:c r="V285" s="27" t="str">
        <x:v>M</x:v>
      </x:c>
      <x:c r="W285" s="27" t="str">
        <x:v>N</x:v>
      </x:c>
      <x:c r="X285" s="27" t="n">
        <x:v>10</x:v>
      </x:c>
      <x:c r="Y285" s="27" t="str">
        <x:v>S</x:v>
      </x:c>
      <x:c r="Z285" s="27"/>
      <x:c r="AA285" s="27"/>
      <x:c r="AB285" s="27" t="n">
        <x:v>0</x:v>
      </x:c>
      <x:c r="AC285" s="27" t="n">
        <x:v>0</x:v>
      </x:c>
      <x:c r="AD285" s="27" t="n">
        <x:v>198432</x:v>
      </x:c>
      <x:c r="AE285" s="27" t="str">
        <x:v>Public-safe anonymized industry-style SA-CCR sample</x:v>
      </x:c>
      <x:c r="AF285" s="27" t="str">
        <x:v>ANON-000282</x:v>
      </x:c>
      <x:c r="AG285" s="27" t="str">
        <x:v>Equity TRS</x:v>
      </x:c>
      <x:c r="AH285" s="27"/>
      <x:c r="AI285" s="27" t="str">
        <x:v>Single Stock</x:v>
      </x:c>
      <x:c r="AJ285" s="27" t="n">
        <x:v>2116</x:v>
      </x:c>
      <x:c r="AK285" s="27" t="n">
        <x:v>5.7972602739726025</x:v>
      </x:c>
      <x:c r="AL285" s="27" t="str">
        <x:v>&gt;5Y</x:v>
      </x:c>
      <x:c r="AM285" s="27"/>
      <x:c r="AN285" s="27" t="str">
        <x:v>Single Stock</x:v>
      </x:c>
      <x:c r="AO285" s="27" t="str">
        <x:v>EQUITY_NAME_23</x:v>
      </x:c>
      <x:c r="AP285" s="27" t="str">
        <x:v>M</x:v>
      </x:c>
      <x:c r="AQ285" s="27" t="n">
        <x:v>0.32</x:v>
      </x:c>
      <x:c r="AR285" s="27" t="n">
        <x:v>1</x:v>
      </x:c>
      <x:c r="AS285" s="27" t="n">
        <x:v>0.32</x:v>
      </x:c>
      <x:c r="AT285" s="27" t="n">
        <x:v>0.5</x:v>
      </x:c>
      <x:c r="AU285" s="27" t="n">
        <x:v>1</x:v>
      </x:c>
      <x:c r="AV285" s="27" t="n">
        <x:v>9600000</x:v>
      </x:c>
      <x:c r="AW285" s="27" t="n">
        <x:v>1.2</x:v>
      </x:c>
      <x:c r="AX285" s="27" t="n">
        <x:v>-1</x:v>
      </x:c>
      <x:c r="AY285" s="27" t="n">
        <x:v>0.30000000000000004</x:v>
      </x:c>
      <x:c r="AZ285" s="27" t="n">
        <x:v>-2880000.0000000005</x:v>
      </x:c>
    </x:row>
    <x:row r="286">
      <x:c r="A286" s="27" t="n">
        <x:v>45702</x:v>
      </x:c>
      <x:c r="B286" s="27" t="str">
        <x:v>IND_SOVEREIGN_001</x:v>
      </x:c>
      <x:c r="C286" s="27" t="n">
        <x:v>3296</x:v>
      </x:c>
      <x:c r="D286" s="27" t="str">
        <x:v>IND-000283</x:v>
      </x:c>
      <x:c r="E286" s="27" t="str">
        <x:v>Equity TRS</x:v>
      </x:c>
      <x:c r="F286" s="27" t="str">
        <x:v>Equity</x:v>
      </x:c>
      <x:c r="G286" s="27" t="str">
        <x:v>Single Stock</x:v>
      </x:c>
      <x:c r="H286" s="27" t="str">
        <x:v>USD</x:v>
      </x:c>
      <x:c r="I286" s="27"/>
      <x:c r="J286" s="27" t="str">
        <x:v>USD</x:v>
      </x:c>
      <x:c r="K286" s="27"/>
      <x:c r="L286" s="27"/>
      <x:c r="M286" s="27" t="str">
        <x:v>EQUITY_NAME_14</x:v>
      </x:c>
      <x:c r="N286" s="27" t="str">
        <x:v>Singleton</x:v>
      </x:c>
      <x:c r="O286" s="27"/>
      <x:c r="P286" s="27" t="n">
        <x:v>47842</x:v>
      </x:c>
      <x:c r="Q286" s="27" t="n">
        <x:v>44983</x:v>
      </x:c>
      <x:c r="R286" s="27" t="n">
        <x:v>47842</x:v>
      </x:c>
      <x:c r="S286" s="27" t="n">
        <x:v>41400000</x:v>
      </x:c>
      <x:c r="T286" s="27" t="n">
        <x:v>0</x:v>
      </x:c>
      <x:c r="U286" s="27" t="n">
        <x:v>41400000</x:v>
      </x:c>
      <x:c r="V286" s="27" t="str">
        <x:v>M</x:v>
      </x:c>
      <x:c r="W286" s="27" t="str">
        <x:v>N</x:v>
      </x:c>
      <x:c r="X286" s="27" t="n">
        <x:v>10</x:v>
      </x:c>
      <x:c r="Y286" s="27" t="str">
        <x:v>B</x:v>
      </x:c>
      <x:c r="Z286" s="27"/>
      <x:c r="AA286" s="27"/>
      <x:c r="AB286" s="27" t="n">
        <x:v>0</x:v>
      </x:c>
      <x:c r="AC286" s="27" t="n">
        <x:v>0</x:v>
      </x:c>
      <x:c r="AD286" s="27" t="n">
        <x:v>-952614</x:v>
      </x:c>
      <x:c r="AE286" s="27" t="str">
        <x:v>Public-safe anonymized industry-style SA-CCR sample</x:v>
      </x:c>
      <x:c r="AF286" s="27" t="str">
        <x:v>ANON-000283</x:v>
      </x:c>
      <x:c r="AG286" s="27" t="str">
        <x:v>Equity TRS</x:v>
      </x:c>
      <x:c r="AH286" s="27"/>
      <x:c r="AI286" s="27" t="str">
        <x:v>Single Stock</x:v>
      </x:c>
      <x:c r="AJ286" s="27" t="n">
        <x:v>2140</x:v>
      </x:c>
      <x:c r="AK286" s="27" t="n">
        <x:v>5.863013698630137</x:v>
      </x:c>
      <x:c r="AL286" s="27" t="str">
        <x:v>&gt;5Y</x:v>
      </x:c>
      <x:c r="AM286" s="27"/>
      <x:c r="AN286" s="27" t="str">
        <x:v>Single Stock</x:v>
      </x:c>
      <x:c r="AO286" s="27" t="str">
        <x:v>EQUITY_NAME_14</x:v>
      </x:c>
      <x:c r="AP286" s="27" t="str">
        <x:v>M</x:v>
      </x:c>
      <x:c r="AQ286" s="27" t="n">
        <x:v>0.32</x:v>
      </x:c>
      <x:c r="AR286" s="27" t="n">
        <x:v>1</x:v>
      </x:c>
      <x:c r="AS286" s="27" t="n">
        <x:v>0.32</x:v>
      </x:c>
      <x:c r="AT286" s="27" t="n">
        <x:v>0.5</x:v>
      </x:c>
      <x:c r="AU286" s="27" t="n">
        <x:v>1</x:v>
      </x:c>
      <x:c r="AV286" s="27" t="n">
        <x:v>41400000</x:v>
      </x:c>
      <x:c r="AW286" s="27" t="n">
        <x:v>1.2</x:v>
      </x:c>
      <x:c r="AX286" s="27" t="n">
        <x:v>1</x:v>
      </x:c>
      <x:c r="AY286" s="27" t="n">
        <x:v>0.30000000000000004</x:v>
      </x:c>
      <x:c r="AZ286" s="27" t="n">
        <x:v>12420000.000000002</x:v>
      </x:c>
    </x:row>
    <x:row r="287">
      <x:c r="A287" s="27" t="n">
        <x:v>45702</x:v>
      </x:c>
      <x:c r="B287" s="27" t="str">
        <x:v>IND_PENSION_001</x:v>
      </x:c>
      <x:c r="C287" s="27" t="n">
        <x:v>3121</x:v>
      </x:c>
      <x:c r="D287" s="27" t="str">
        <x:v>IND-000284</x:v>
      </x:c>
      <x:c r="E287" s="27" t="str">
        <x:v>Equity TRS</x:v>
      </x:c>
      <x:c r="F287" s="27" t="str">
        <x:v>Equity</x:v>
      </x:c>
      <x:c r="G287" s="27" t="str">
        <x:v>Single Stock</x:v>
      </x:c>
      <x:c r="H287" s="27" t="str">
        <x:v>USD</x:v>
      </x:c>
      <x:c r="I287" s="27"/>
      <x:c r="J287" s="27" t="str">
        <x:v>USD</x:v>
      </x:c>
      <x:c r="K287" s="27"/>
      <x:c r="L287" s="27"/>
      <x:c r="M287" s="27" t="str">
        <x:v>EQUITY_NAME_27</x:v>
      </x:c>
      <x:c r="N287" s="27" t="str">
        <x:v>Singleton</x:v>
      </x:c>
      <x:c r="O287" s="27"/>
      <x:c r="P287" s="27" t="n">
        <x:v>47726</x:v>
      </x:c>
      <x:c r="Q287" s="27" t="n">
        <x:v>45369</x:v>
      </x:c>
      <x:c r="R287" s="27" t="n">
        <x:v>47726</x:v>
      </x:c>
      <x:c r="S287" s="27" t="n">
        <x:v>38700000</x:v>
      </x:c>
      <x:c r="T287" s="27" t="n">
        <x:v>0</x:v>
      </x:c>
      <x:c r="U287" s="27" t="n">
        <x:v>38700000</x:v>
      </x:c>
      <x:c r="V287" s="27" t="str">
        <x:v>M</x:v>
      </x:c>
      <x:c r="W287" s="27" t="str">
        <x:v>N</x:v>
      </x:c>
      <x:c r="X287" s="27" t="n">
        <x:v>10</x:v>
      </x:c>
      <x:c r="Y287" s="27" t="str">
        <x:v>B</x:v>
      </x:c>
      <x:c r="Z287" s="27"/>
      <x:c r="AA287" s="27"/>
      <x:c r="AB287" s="27" t="n">
        <x:v>0</x:v>
      </x:c>
      <x:c r="AC287" s="27" t="n">
        <x:v>0</x:v>
      </x:c>
      <x:c r="AD287" s="27" t="n">
        <x:v>626940</x:v>
      </x:c>
      <x:c r="AE287" s="27" t="str">
        <x:v>Public-safe anonymized industry-style SA-CCR sample</x:v>
      </x:c>
      <x:c r="AF287" s="27" t="str">
        <x:v>ANON-000284</x:v>
      </x:c>
      <x:c r="AG287" s="27" t="str">
        <x:v>Equity TRS</x:v>
      </x:c>
      <x:c r="AH287" s="27"/>
      <x:c r="AI287" s="27" t="str">
        <x:v>Single Stock</x:v>
      </x:c>
      <x:c r="AJ287" s="27" t="n">
        <x:v>2024</x:v>
      </x:c>
      <x:c r="AK287" s="27" t="n">
        <x:v>5.545205479452055</x:v>
      </x:c>
      <x:c r="AL287" s="27" t="str">
        <x:v>&gt;5Y</x:v>
      </x:c>
      <x:c r="AM287" s="27"/>
      <x:c r="AN287" s="27" t="str">
        <x:v>Single Stock</x:v>
      </x:c>
      <x:c r="AO287" s="27" t="str">
        <x:v>EQUITY_NAME_27</x:v>
      </x:c>
      <x:c r="AP287" s="27" t="str">
        <x:v>M</x:v>
      </x:c>
      <x:c r="AQ287" s="27" t="n">
        <x:v>0.32</x:v>
      </x:c>
      <x:c r="AR287" s="27" t="n">
        <x:v>1</x:v>
      </x:c>
      <x:c r="AS287" s="27" t="n">
        <x:v>0.32</x:v>
      </x:c>
      <x:c r="AT287" s="27" t="n">
        <x:v>0.5</x:v>
      </x:c>
      <x:c r="AU287" s="27" t="n">
        <x:v>1</x:v>
      </x:c>
      <x:c r="AV287" s="27" t="n">
        <x:v>38700000</x:v>
      </x:c>
      <x:c r="AW287" s="27" t="n">
        <x:v>1.2</x:v>
      </x:c>
      <x:c r="AX287" s="27" t="n">
        <x:v>1</x:v>
      </x:c>
      <x:c r="AY287" s="27" t="n">
        <x:v>0.30000000000000004</x:v>
      </x:c>
      <x:c r="AZ287" s="27" t="n">
        <x:v>11610000.000000002</x:v>
      </x:c>
    </x:row>
    <x:row r="288">
      <x:c r="A288" s="27" t="n">
        <x:v>45702</x:v>
      </x:c>
      <x:c r="B288" s="27" t="str">
        <x:v>IND_REGIONAL_BANK_001</x:v>
      </x:c>
      <x:c r="C288" s="27" t="n">
        <x:v>3194</x:v>
      </x:c>
      <x:c r="D288" s="27" t="str">
        <x:v>IND-000285</x:v>
      </x:c>
      <x:c r="E288" s="27" t="str">
        <x:v>Equity TRS</x:v>
      </x:c>
      <x:c r="F288" s="27" t="str">
        <x:v>Equity</x:v>
      </x:c>
      <x:c r="G288" s="27" t="str">
        <x:v>Single Stock</x:v>
      </x:c>
      <x:c r="H288" s="27" t="str">
        <x:v>USD</x:v>
      </x:c>
      <x:c r="I288" s="27"/>
      <x:c r="J288" s="27" t="str">
        <x:v>USD</x:v>
      </x:c>
      <x:c r="K288" s="27"/>
      <x:c r="L288" s="27"/>
      <x:c r="M288" s="27" t="str">
        <x:v>EQUITY_NAME_11</x:v>
      </x:c>
      <x:c r="N288" s="27" t="str">
        <x:v>Singleton</x:v>
      </x:c>
      <x:c r="O288" s="27"/>
      <x:c r="P288" s="27" t="n">
        <x:v>46692</x:v>
      </x:c>
      <x:c r="Q288" s="27" t="n">
        <x:v>45469</x:v>
      </x:c>
      <x:c r="R288" s="27" t="n">
        <x:v>46692</x:v>
      </x:c>
      <x:c r="S288" s="27" t="n">
        <x:v>38600000</x:v>
      </x:c>
      <x:c r="T288" s="27" t="n">
        <x:v>0</x:v>
      </x:c>
      <x:c r="U288" s="27" t="n">
        <x:v>38600000</x:v>
      </x:c>
      <x:c r="V288" s="27" t="str">
        <x:v>M</x:v>
      </x:c>
      <x:c r="W288" s="27" t="str">
        <x:v>N</x:v>
      </x:c>
      <x:c r="X288" s="27" t="n">
        <x:v>10</x:v>
      </x:c>
      <x:c r="Y288" s="27" t="str">
        <x:v>S</x:v>
      </x:c>
      <x:c r="Z288" s="27"/>
      <x:c r="AA288" s="27"/>
      <x:c r="AB288" s="27" t="n">
        <x:v>0</x:v>
      </x:c>
      <x:c r="AC288" s="27" t="n">
        <x:v>0</x:v>
      </x:c>
      <x:c r="AD288" s="27" t="n">
        <x:v>777018</x:v>
      </x:c>
      <x:c r="AE288" s="27" t="str">
        <x:v>Public-safe anonymized industry-style SA-CCR sample</x:v>
      </x:c>
      <x:c r="AF288" s="27" t="str">
        <x:v>ANON-000285</x:v>
      </x:c>
      <x:c r="AG288" s="27" t="str">
        <x:v>Equity TRS</x:v>
      </x:c>
      <x:c r="AH288" s="27"/>
      <x:c r="AI288" s="27" t="str">
        <x:v>Single Stock</x:v>
      </x:c>
      <x:c r="AJ288" s="27" t="n">
        <x:v>990</x:v>
      </x:c>
      <x:c r="AK288" s="27" t="n">
        <x:v>2.712328767123288</x:v>
      </x:c>
      <x:c r="AL288" s="27" t="str">
        <x:v>1Y-5Y</x:v>
      </x:c>
      <x:c r="AM288" s="27"/>
      <x:c r="AN288" s="27" t="str">
        <x:v>Single Stock</x:v>
      </x:c>
      <x:c r="AO288" s="27" t="str">
        <x:v>EQUITY_NAME_11</x:v>
      </x:c>
      <x:c r="AP288" s="27" t="str">
        <x:v>M</x:v>
      </x:c>
      <x:c r="AQ288" s="27" t="n">
        <x:v>0.32</x:v>
      </x:c>
      <x:c r="AR288" s="27" t="n">
        <x:v>1</x:v>
      </x:c>
      <x:c r="AS288" s="27" t="n">
        <x:v>0.32</x:v>
      </x:c>
      <x:c r="AT288" s="27" t="n">
        <x:v>0.5</x:v>
      </x:c>
      <x:c r="AU288" s="27" t="n">
        <x:v>1</x:v>
      </x:c>
      <x:c r="AV288" s="27" t="n">
        <x:v>38600000</x:v>
      </x:c>
      <x:c r="AW288" s="27" t="n">
        <x:v>1.2</x:v>
      </x:c>
      <x:c r="AX288" s="27" t="n">
        <x:v>-1</x:v>
      </x:c>
      <x:c r="AY288" s="27" t="n">
        <x:v>0.30000000000000004</x:v>
      </x:c>
      <x:c r="AZ288" s="27" t="n">
        <x:v>-11580000.000000002</x:v>
      </x:c>
    </x:row>
    <x:row r="289">
      <x:c r="A289" s="27" t="n">
        <x:v>45702</x:v>
      </x:c>
      <x:c r="B289" s="27" t="str">
        <x:v>IND_BROKER_001</x:v>
      </x:c>
      <x:c r="C289" s="27" t="n">
        <x:v>3195</x:v>
      </x:c>
      <x:c r="D289" s="27" t="str">
        <x:v>IND-000286</x:v>
      </x:c>
      <x:c r="E289" s="27" t="str">
        <x:v>Equity TRS</x:v>
      </x:c>
      <x:c r="F289" s="27" t="str">
        <x:v>Equity</x:v>
      </x:c>
      <x:c r="G289" s="27" t="str">
        <x:v>Single Stock</x:v>
      </x:c>
      <x:c r="H289" s="27" t="str">
        <x:v>USD</x:v>
      </x:c>
      <x:c r="I289" s="27"/>
      <x:c r="J289" s="27" t="str">
        <x:v>USD</x:v>
      </x:c>
      <x:c r="K289" s="27"/>
      <x:c r="L289" s="27"/>
      <x:c r="M289" s="27" t="str">
        <x:v>EQUITY_NAME_02</x:v>
      </x:c>
      <x:c r="N289" s="27" t="str">
        <x:v>Singleton</x:v>
      </x:c>
      <x:c r="O289" s="27"/>
      <x:c r="P289" s="27" t="n">
        <x:v>47518</x:v>
      </x:c>
      <x:c r="Q289" s="27" t="n">
        <x:v>44944</x:v>
      </x:c>
      <x:c r="R289" s="27" t="n">
        <x:v>47518</x:v>
      </x:c>
      <x:c r="S289" s="27" t="n">
        <x:v>43300000</x:v>
      </x:c>
      <x:c r="T289" s="27" t="n">
        <x:v>0</x:v>
      </x:c>
      <x:c r="U289" s="27" t="n">
        <x:v>43300000</x:v>
      </x:c>
      <x:c r="V289" s="27" t="str">
        <x:v>M</x:v>
      </x:c>
      <x:c r="W289" s="27" t="str">
        <x:v>N</x:v>
      </x:c>
      <x:c r="X289" s="27" t="n">
        <x:v>10</x:v>
      </x:c>
      <x:c r="Y289" s="27" t="str">
        <x:v>B</x:v>
      </x:c>
      <x:c r="Z289" s="27"/>
      <x:c r="AA289" s="27"/>
      <x:c r="AB289" s="27" t="n">
        <x:v>0</x:v>
      </x:c>
      <x:c r="AC289" s="27" t="n">
        <x:v>0</x:v>
      </x:c>
      <x:c r="AD289" s="27" t="n">
        <x:v>969054</x:v>
      </x:c>
      <x:c r="AE289" s="27" t="str">
        <x:v>Public-safe anonymized industry-style SA-CCR sample</x:v>
      </x:c>
      <x:c r="AF289" s="27" t="str">
        <x:v>ANON-000286</x:v>
      </x:c>
      <x:c r="AG289" s="27" t="str">
        <x:v>Equity TRS</x:v>
      </x:c>
      <x:c r="AH289" s="27"/>
      <x:c r="AI289" s="27" t="str">
        <x:v>Single Stock</x:v>
      </x:c>
      <x:c r="AJ289" s="27" t="n">
        <x:v>1816</x:v>
      </x:c>
      <x:c r="AK289" s="27" t="n">
        <x:v>4.975342465753425</x:v>
      </x:c>
      <x:c r="AL289" s="27" t="str">
        <x:v>1Y-5Y</x:v>
      </x:c>
      <x:c r="AM289" s="27"/>
      <x:c r="AN289" s="27" t="str">
        <x:v>Single Stock</x:v>
      </x:c>
      <x:c r="AO289" s="27" t="str">
        <x:v>EQUITY_NAME_02</x:v>
      </x:c>
      <x:c r="AP289" s="27" t="str">
        <x:v>M</x:v>
      </x:c>
      <x:c r="AQ289" s="27" t="n">
        <x:v>0.32</x:v>
      </x:c>
      <x:c r="AR289" s="27" t="n">
        <x:v>1</x:v>
      </x:c>
      <x:c r="AS289" s="27" t="n">
        <x:v>0.32</x:v>
      </x:c>
      <x:c r="AT289" s="27" t="n">
        <x:v>0.5</x:v>
      </x:c>
      <x:c r="AU289" s="27" t="n">
        <x:v>1</x:v>
      </x:c>
      <x:c r="AV289" s="27" t="n">
        <x:v>43300000</x:v>
      </x:c>
      <x:c r="AW289" s="27" t="n">
        <x:v>1.2</x:v>
      </x:c>
      <x:c r="AX289" s="27" t="n">
        <x:v>1</x:v>
      </x:c>
      <x:c r="AY289" s="27" t="n">
        <x:v>0.30000000000000004</x:v>
      </x:c>
      <x:c r="AZ289" s="27" t="n">
        <x:v>12990000.000000002</x:v>
      </x:c>
    </x:row>
    <x:row r="290">
      <x:c r="A290" s="27" t="n">
        <x:v>45702</x:v>
      </x:c>
      <x:c r="B290" s="27" t="str">
        <x:v>IND_BANK_002</x:v>
      </x:c>
      <x:c r="C290" s="27" t="n">
        <x:v>3090</x:v>
      </x:c>
      <x:c r="D290" s="27" t="str">
        <x:v>IND-000287</x:v>
      </x:c>
      <x:c r="E290" s="27" t="str">
        <x:v>Equity TRS</x:v>
      </x:c>
      <x:c r="F290" s="27" t="str">
        <x:v>Equity</x:v>
      </x:c>
      <x:c r="G290" s="27" t="str">
        <x:v>Single Stock</x:v>
      </x:c>
      <x:c r="H290" s="27" t="str">
        <x:v>USD</x:v>
      </x:c>
      <x:c r="I290" s="27"/>
      <x:c r="J290" s="27" t="str">
        <x:v>USD</x:v>
      </x:c>
      <x:c r="K290" s="27"/>
      <x:c r="L290" s="27"/>
      <x:c r="M290" s="27" t="str">
        <x:v>EQUITY_NAME_13</x:v>
      </x:c>
      <x:c r="N290" s="27" t="str">
        <x:v>Singleton</x:v>
      </x:c>
      <x:c r="O290" s="27"/>
      <x:c r="P290" s="27" t="n">
        <x:v>45868</x:v>
      </x:c>
      <x:c r="Q290" s="27" t="n">
        <x:v>45092</x:v>
      </x:c>
      <x:c r="R290" s="27" t="n">
        <x:v>45868</x:v>
      </x:c>
      <x:c r="S290" s="27" t="n">
        <x:v>21800000</x:v>
      </x:c>
      <x:c r="T290" s="27" t="n">
        <x:v>0</x:v>
      </x:c>
      <x:c r="U290" s="27" t="n">
        <x:v>21800000</x:v>
      </x:c>
      <x:c r="V290" s="27" t="str">
        <x:v>U</x:v>
      </x:c>
      <x:c r="W290" s="27" t="str">
        <x:v>N</x:v>
      </x:c>
      <x:c r="X290" s="27"/>
      <x:c r="Y290" s="27" t="str">
        <x:v>B</x:v>
      </x:c>
      <x:c r="Z290" s="27"/>
      <x:c r="AA290" s="27"/>
      <x:c r="AB290" s="27" t="n">
        <x:v>0</x:v>
      </x:c>
      <x:c r="AC290" s="27" t="n">
        <x:v>0</x:v>
      </x:c>
      <x:c r="AD290" s="27" t="n">
        <x:v>-340080</x:v>
      </x:c>
      <x:c r="AE290" s="27" t="str">
        <x:v>Public-safe anonymized industry-style SA-CCR sample</x:v>
      </x:c>
      <x:c r="AF290" s="27" t="str">
        <x:v>ANON-000287</x:v>
      </x:c>
      <x:c r="AG290" s="27" t="str">
        <x:v>Equity TRS</x:v>
      </x:c>
      <x:c r="AH290" s="27"/>
      <x:c r="AI290" s="27" t="str">
        <x:v>Single Stock</x:v>
      </x:c>
      <x:c r="AJ290" s="27" t="n">
        <x:v>166</x:v>
      </x:c>
      <x:c r="AK290" s="27" t="n">
        <x:v>0.4547945205479452</x:v>
      </x:c>
      <x:c r="AL290" s="27" t="str">
        <x:v>&lt;1Y</x:v>
      </x:c>
      <x:c r="AM290" s="27"/>
      <x:c r="AN290" s="27" t="str">
        <x:v>Single Stock</x:v>
      </x:c>
      <x:c r="AO290" s="27" t="str">
        <x:v>EQUITY_NAME_13</x:v>
      </x:c>
      <x:c r="AP290" s="27" t="str">
        <x:v>U</x:v>
      </x:c>
      <x:c r="AQ290" s="27" t="n">
        <x:v>0.32</x:v>
      </x:c>
      <x:c r="AR290" s="27" t="n">
        <x:v>1</x:v>
      </x:c>
      <x:c r="AS290" s="27" t="n">
        <x:v>0.32</x:v>
      </x:c>
      <x:c r="AT290" s="27" t="n">
        <x:v>0.5</x:v>
      </x:c>
      <x:c r="AU290" s="27" t="n">
        <x:v>1</x:v>
      </x:c>
      <x:c r="AV290" s="27" t="n">
        <x:v>21800000</x:v>
      </x:c>
      <x:c r="AW290" s="27" t="n">
        <x:v>1.2</x:v>
      </x:c>
      <x:c r="AX290" s="27" t="n">
        <x:v>1</x:v>
      </x:c>
      <x:c r="AY290" s="27" t="n">
        <x:v>0.6743845494582044</x:v>
      </x:c>
      <x:c r="AZ290" s="27" t="n">
        <x:v>14701583.178188855</x:v>
      </x:c>
    </x:row>
    <x:row r="291">
      <x:c r="A291" s="27" t="n">
        <x:v>45702</x:v>
      </x:c>
      <x:c r="B291" s="27" t="str">
        <x:v>IND_PENSION_001</x:v>
      </x:c>
      <x:c r="C291" s="27" t="n">
        <x:v>3121</x:v>
      </x:c>
      <x:c r="D291" s="27" t="str">
        <x:v>IND-000288</x:v>
      </x:c>
      <x:c r="E291" s="27" t="str">
        <x:v>Equity TRS</x:v>
      </x:c>
      <x:c r="F291" s="27" t="str">
        <x:v>Equity</x:v>
      </x:c>
      <x:c r="G291" s="27" t="str">
        <x:v>Single Stock</x:v>
      </x:c>
      <x:c r="H291" s="27" t="str">
        <x:v>USD</x:v>
      </x:c>
      <x:c r="I291" s="27"/>
      <x:c r="J291" s="27" t="str">
        <x:v>USD</x:v>
      </x:c>
      <x:c r="K291" s="27"/>
      <x:c r="L291" s="27"/>
      <x:c r="M291" s="27" t="str">
        <x:v>EQUITY_NAME_09</x:v>
      </x:c>
      <x:c r="N291" s="27" t="str">
        <x:v>Singleton</x:v>
      </x:c>
      <x:c r="O291" s="27"/>
      <x:c r="P291" s="27" t="n">
        <x:v>45757</x:v>
      </x:c>
      <x:c r="Q291" s="27" t="n">
        <x:v>44836</x:v>
      </x:c>
      <x:c r="R291" s="27" t="n">
        <x:v>45757</x:v>
      </x:c>
      <x:c r="S291" s="27" t="n">
        <x:v>1200000</x:v>
      </x:c>
      <x:c r="T291" s="27" t="n">
        <x:v>0</x:v>
      </x:c>
      <x:c r="U291" s="27" t="n">
        <x:v>1200000</x:v>
      </x:c>
      <x:c r="V291" s="27" t="str">
        <x:v>M</x:v>
      </x:c>
      <x:c r="W291" s="27" t="str">
        <x:v>N</x:v>
      </x:c>
      <x:c r="X291" s="27" t="n">
        <x:v>10</x:v>
      </x:c>
      <x:c r="Y291" s="27" t="str">
        <x:v>S</x:v>
      </x:c>
      <x:c r="Z291" s="27"/>
      <x:c r="AA291" s="27"/>
      <x:c r="AB291" s="27" t="n">
        <x:v>0</x:v>
      </x:c>
      <x:c r="AC291" s="27" t="n">
        <x:v>0</x:v>
      </x:c>
      <x:c r="AD291" s="27" t="n">
        <x:v>17136</x:v>
      </x:c>
      <x:c r="AE291" s="27" t="str">
        <x:v>Public-safe anonymized industry-style SA-CCR sample</x:v>
      </x:c>
      <x:c r="AF291" s="27" t="str">
        <x:v>ANON-000288</x:v>
      </x:c>
      <x:c r="AG291" s="27" t="str">
        <x:v>Equity TRS</x:v>
      </x:c>
      <x:c r="AH291" s="27"/>
      <x:c r="AI291" s="27" t="str">
        <x:v>Single Stock</x:v>
      </x:c>
      <x:c r="AJ291" s="27" t="n">
        <x:v>55</x:v>
      </x:c>
      <x:c r="AK291" s="27" t="n">
        <x:v>0.1506849315068493</x:v>
      </x:c>
      <x:c r="AL291" s="27" t="str">
        <x:v>&lt;1Y</x:v>
      </x:c>
      <x:c r="AM291" s="27"/>
      <x:c r="AN291" s="27" t="str">
        <x:v>Single Stock</x:v>
      </x:c>
      <x:c r="AO291" s="27" t="str">
        <x:v>EQUITY_NAME_09</x:v>
      </x:c>
      <x:c r="AP291" s="27" t="str">
        <x:v>M</x:v>
      </x:c>
      <x:c r="AQ291" s="27" t="n">
        <x:v>0.32</x:v>
      </x:c>
      <x:c r="AR291" s="27" t="n">
        <x:v>1</x:v>
      </x:c>
      <x:c r="AS291" s="27" t="n">
        <x:v>0.32</x:v>
      </x:c>
      <x:c r="AT291" s="27" t="n">
        <x:v>0.5</x:v>
      </x:c>
      <x:c r="AU291" s="27" t="n">
        <x:v>1</x:v>
      </x:c>
      <x:c r="AV291" s="27" t="n">
        <x:v>1200000</x:v>
      </x:c>
      <x:c r="AW291" s="27" t="n">
        <x:v>1.2</x:v>
      </x:c>
      <x:c r="AX291" s="27" t="n">
        <x:v>-1</x:v>
      </x:c>
      <x:c r="AY291" s="27" t="n">
        <x:v>0.30000000000000004</x:v>
      </x:c>
      <x:c r="AZ291" s="27" t="n">
        <x:v>-360000.00000000006</x:v>
      </x:c>
    </x:row>
    <x:row r="292">
      <x:c r="A292" s="27" t="n">
        <x:v>45702</x:v>
      </x:c>
      <x:c r="B292" s="27" t="str">
        <x:v>IND_CORPORATE_002</x:v>
      </x:c>
      <x:c r="C292" s="27" t="n">
        <x:v>3331</x:v>
      </x:c>
      <x:c r="D292" s="27" t="str">
        <x:v>IND-000289</x:v>
      </x:c>
      <x:c r="E292" s="27" t="str">
        <x:v>Equity Index Option</x:v>
      </x:c>
      <x:c r="F292" s="27" t="str">
        <x:v>Equity</x:v>
      </x:c>
      <x:c r="G292" s="27" t="str">
        <x:v>Index</x:v>
      </x:c>
      <x:c r="H292" s="27" t="str">
        <x:v>USD</x:v>
      </x:c>
      <x:c r="I292" s="27"/>
      <x:c r="J292" s="27" t="str">
        <x:v>USD</x:v>
      </x:c>
      <x:c r="K292" s="27"/>
      <x:c r="L292" s="27"/>
      <x:c r="M292" s="27" t="str">
        <x:v>EQUITY_INDEX_00</x:v>
      </x:c>
      <x:c r="N292" s="27" t="str">
        <x:v>Index</x:v>
      </x:c>
      <x:c r="O292" s="27"/>
      <x:c r="P292" s="27" t="n">
        <x:v>46840</x:v>
      </x:c>
      <x:c r="Q292" s="27" t="n">
        <x:v>45477</x:v>
      </x:c>
      <x:c r="R292" s="27" t="n">
        <x:v>46840</x:v>
      </x:c>
      <x:c r="S292" s="27" t="n">
        <x:v>3100000</x:v>
      </x:c>
      <x:c r="T292" s="27" t="n">
        <x:v>0</x:v>
      </x:c>
      <x:c r="U292" s="27" t="n">
        <x:v>3100000</x:v>
      </x:c>
      <x:c r="V292" s="27" t="str">
        <x:v>M</x:v>
      </x:c>
      <x:c r="W292" s="27" t="str">
        <x:v>N</x:v>
      </x:c>
      <x:c r="X292" s="27" t="n">
        <x:v>10</x:v>
      </x:c>
      <x:c r="Y292" s="27" t="str">
        <x:v>S</x:v>
      </x:c>
      <x:c r="Z292" s="27" t="n">
        <x:v>46555</x:v>
      </x:c>
      <x:c r="AA292" s="27" t="str">
        <x:v>C</x:v>
      </x:c>
      <x:c r="AB292" s="27" t="n">
        <x:v>150.272</x:v>
      </x:c>
      <x:c r="AC292" s="27" t="n">
        <x:v>128</x:v>
      </x:c>
      <x:c r="AD292" s="27" t="n">
        <x:v>111321</x:v>
      </x:c>
      <x:c r="AE292" s="27" t="str">
        <x:v>Public-safe anonymized industry-style SA-CCR sample</x:v>
      </x:c>
      <x:c r="AF292" s="27" t="str">
        <x:v>ANON-000289</x:v>
      </x:c>
      <x:c r="AG292" s="27" t="str">
        <x:v>Equity Index Option</x:v>
      </x:c>
      <x:c r="AH292" s="27"/>
      <x:c r="AI292" s="27" t="str">
        <x:v>Equity Index</x:v>
      </x:c>
      <x:c r="AJ292" s="27" t="n">
        <x:v>1138</x:v>
      </x:c>
      <x:c r="AK292" s="27" t="n">
        <x:v>3.117808219178082</x:v>
      </x:c>
      <x:c r="AL292" s="27" t="str">
        <x:v>1Y-5Y</x:v>
      </x:c>
      <x:c r="AM292" s="27"/>
      <x:c r="AN292" s="27" t="str">
        <x:v>Index</x:v>
      </x:c>
      <x:c r="AO292" s="27" t="str">
        <x:v>EQUITY_INDEX_00</x:v>
      </x:c>
      <x:c r="AP292" s="27" t="str">
        <x:v>M</x:v>
      </x:c>
      <x:c r="AQ292" s="27" t="n">
        <x:v>0.2</x:v>
      </x:c>
      <x:c r="AR292" s="27" t="n">
        <x:v>1</x:v>
      </x:c>
      <x:c r="AS292" s="27" t="n">
        <x:v>0.2</x:v>
      </x:c>
      <x:c r="AT292" s="27" t="n">
        <x:v>0.8</x:v>
      </x:c>
      <x:c r="AU292" s="27" t="n">
        <x:v>1</x:v>
      </x:c>
      <x:c r="AV292" s="27" t="n">
        <x:v>3100000</x:v>
      </x:c>
      <x:c r="AW292" s="27" t="n">
        <x:v>0.75</x:v>
      </x:c>
      <x:c r="AX292" s="27" t="n">
        <x:v>-0.6676220882045779</x:v>
      </x:c>
      <x:c r="AY292" s="27" t="n">
        <x:v>0.30000000000000004</x:v>
      </x:c>
      <x:c r="AZ292" s="27" t="n">
        <x:v>-620888.5420302575</x:v>
      </x:c>
    </x:row>
    <x:row r="293">
      <x:c r="A293" s="27" t="n">
        <x:v>45702</x:v>
      </x:c>
      <x:c r="B293" s="27" t="str">
        <x:v>IND_BANK_002</x:v>
      </x:c>
      <x:c r="C293" s="27" t="n">
        <x:v>3386</x:v>
      </x:c>
      <x:c r="D293" s="27" t="str">
        <x:v>IND-000290</x:v>
      </x:c>
      <x:c r="E293" s="27" t="str">
        <x:v>Equity Index Option</x:v>
      </x:c>
      <x:c r="F293" s="27" t="str">
        <x:v>Equity</x:v>
      </x:c>
      <x:c r="G293" s="27" t="str">
        <x:v>Index</x:v>
      </x:c>
      <x:c r="H293" s="27" t="str">
        <x:v>USD</x:v>
      </x:c>
      <x:c r="I293" s="27"/>
      <x:c r="J293" s="27" t="str">
        <x:v>USD</x:v>
      </x:c>
      <x:c r="K293" s="27"/>
      <x:c r="L293" s="27"/>
      <x:c r="M293" s="27" t="str">
        <x:v>EQUITY_INDEX_13</x:v>
      </x:c>
      <x:c r="N293" s="27" t="str">
        <x:v>Index</x:v>
      </x:c>
      <x:c r="O293" s="27"/>
      <x:c r="P293" s="27" t="n">
        <x:v>46200</x:v>
      </x:c>
      <x:c r="Q293" s="27" t="n">
        <x:v>45423</x:v>
      </x:c>
      <x:c r="R293" s="27" t="n">
        <x:v>46200</x:v>
      </x:c>
      <x:c r="S293" s="27" t="n">
        <x:v>66000000</x:v>
      </x:c>
      <x:c r="T293" s="27" t="n">
        <x:v>0</x:v>
      </x:c>
      <x:c r="U293" s="27" t="n">
        <x:v>66000000</x:v>
      </x:c>
      <x:c r="V293" s="27" t="str">
        <x:v>M</x:v>
      </x:c>
      <x:c r="W293" s="27" t="str">
        <x:v>N</x:v>
      </x:c>
      <x:c r="X293" s="27" t="n">
        <x:v>10</x:v>
      </x:c>
      <x:c r="Y293" s="27" t="str">
        <x:v>B</x:v>
      </x:c>
      <x:c r="Z293" s="27" t="n">
        <x:v>46075</x:v>
      </x:c>
      <x:c r="AA293" s="27" t="str">
        <x:v>C</x:v>
      </x:c>
      <x:c r="AB293" s="27" t="n">
        <x:v>139.904</x:v>
      </x:c>
      <x:c r="AC293" s="27" t="n">
        <x:v>128</x:v>
      </x:c>
      <x:c r="AD293" s="27" t="n">
        <x:v>341550</x:v>
      </x:c>
      <x:c r="AE293" s="27" t="str">
        <x:v>Public-safe anonymized industry-style SA-CCR sample</x:v>
      </x:c>
      <x:c r="AF293" s="27" t="str">
        <x:v>ANON-000290</x:v>
      </x:c>
      <x:c r="AG293" s="27" t="str">
        <x:v>Equity Index Option</x:v>
      </x:c>
      <x:c r="AH293" s="27"/>
      <x:c r="AI293" s="27" t="str">
        <x:v>Equity Index</x:v>
      </x:c>
      <x:c r="AJ293" s="27" t="n">
        <x:v>498</x:v>
      </x:c>
      <x:c r="AK293" s="27" t="n">
        <x:v>1.3643835616438356</x:v>
      </x:c>
      <x:c r="AL293" s="27" t="str">
        <x:v>1Y-5Y</x:v>
      </x:c>
      <x:c r="AM293" s="27"/>
      <x:c r="AN293" s="27" t="str">
        <x:v>Index</x:v>
      </x:c>
      <x:c r="AO293" s="27" t="str">
        <x:v>EQUITY_INDEX_13</x:v>
      </x:c>
      <x:c r="AP293" s="27" t="str">
        <x:v>M</x:v>
      </x:c>
      <x:c r="AQ293" s="27" t="n">
        <x:v>0.2</x:v>
      </x:c>
      <x:c r="AR293" s="27" t="n">
        <x:v>1</x:v>
      </x:c>
      <x:c r="AS293" s="27" t="n">
        <x:v>0.2</x:v>
      </x:c>
      <x:c r="AT293" s="27" t="n">
        <x:v>0.8</x:v>
      </x:c>
      <x:c r="AU293" s="27" t="n">
        <x:v>1</x:v>
      </x:c>
      <x:c r="AV293" s="27" t="n">
        <x:v>66000000</x:v>
      </x:c>
      <x:c r="AW293" s="27" t="n">
        <x:v>0.75</x:v>
      </x:c>
      <x:c r="AX293" s="27" t="n">
        <x:v>0.6032611923522728</x:v>
      </x:c>
      <x:c r="AY293" s="27" t="n">
        <x:v>0.30000000000000004</x:v>
      </x:c>
      <x:c r="AZ293" s="27" t="n">
        <x:v>11944571.608575003</x:v>
      </x:c>
    </x:row>
    <x:row r="294">
      <x:c r="A294" s="27" t="n">
        <x:v>45702</x:v>
      </x:c>
      <x:c r="B294" s="27" t="str">
        <x:v>IND_CLEARING_MEMBER_001</x:v>
      </x:c>
      <x:c r="C294" s="27" t="n">
        <x:v>3108</x:v>
      </x:c>
      <x:c r="D294" s="27" t="str">
        <x:v>IND-000291</x:v>
      </x:c>
      <x:c r="E294" s="27" t="str">
        <x:v>Equity Index Option</x:v>
      </x:c>
      <x:c r="F294" s="27" t="str">
        <x:v>Equity</x:v>
      </x:c>
      <x:c r="G294" s="27" t="str">
        <x:v>Index</x:v>
      </x:c>
      <x:c r="H294" s="27" t="str">
        <x:v>USD</x:v>
      </x:c>
      <x:c r="I294" s="27"/>
      <x:c r="J294" s="27" t="str">
        <x:v>USD</x:v>
      </x:c>
      <x:c r="K294" s="27"/>
      <x:c r="L294" s="27"/>
      <x:c r="M294" s="27" t="str">
        <x:v>EQUITY_INDEX_28</x:v>
      </x:c>
      <x:c r="N294" s="27" t="str">
        <x:v>Index</x:v>
      </x:c>
      <x:c r="O294" s="27"/>
      <x:c r="P294" s="27" t="n">
        <x:v>47599</x:v>
      </x:c>
      <x:c r="Q294" s="27" t="n">
        <x:v>45219</x:v>
      </x:c>
      <x:c r="R294" s="27" t="n">
        <x:v>47599</x:v>
      </x:c>
      <x:c r="S294" s="27" t="n">
        <x:v>65900000</x:v>
      </x:c>
      <x:c r="T294" s="27" t="n">
        <x:v>0</x:v>
      </x:c>
      <x:c r="U294" s="27" t="n">
        <x:v>65900000</x:v>
      </x:c>
      <x:c r="V294" s="27" t="str">
        <x:v>M</x:v>
      </x:c>
      <x:c r="W294" s="27" t="str">
        <x:v>N</x:v>
      </x:c>
      <x:c r="X294" s="27" t="n">
        <x:v>10</x:v>
      </x:c>
      <x:c r="Y294" s="27" t="str">
        <x:v>S</x:v>
      </x:c>
      <x:c r="Z294" s="27" t="n">
        <x:v>47124</x:v>
      </x:c>
      <x:c r="AA294" s="27" t="str">
        <x:v>P</x:v>
      </x:c>
      <x:c r="AB294" s="27" t="n">
        <x:v>111.456</x:v>
      </x:c>
      <x:c r="AC294" s="27" t="n">
        <x:v>129</x:v>
      </x:c>
      <x:c r="AD294" s="27" t="n">
        <x:v>-133447.5</x:v>
      </x:c>
      <x:c r="AE294" s="27" t="str">
        <x:v>Public-safe anonymized industry-style SA-CCR sample</x:v>
      </x:c>
      <x:c r="AF294" s="27" t="str">
        <x:v>ANON-000291</x:v>
      </x:c>
      <x:c r="AG294" s="27" t="str">
        <x:v>Equity Index Option</x:v>
      </x:c>
      <x:c r="AH294" s="27"/>
      <x:c r="AI294" s="27" t="str">
        <x:v>Equity Index</x:v>
      </x:c>
      <x:c r="AJ294" s="27" t="n">
        <x:v>1897</x:v>
      </x:c>
      <x:c r="AK294" s="27" t="n">
        <x:v>5.197260273972603</x:v>
      </x:c>
      <x:c r="AL294" s="27" t="str">
        <x:v>&gt;5Y</x:v>
      </x:c>
      <x:c r="AM294" s="27"/>
      <x:c r="AN294" s="27" t="str">
        <x:v>Index</x:v>
      </x:c>
      <x:c r="AO294" s="27" t="str">
        <x:v>EQUITY_INDEX_28</x:v>
      </x:c>
      <x:c r="AP294" s="27" t="str">
        <x:v>M</x:v>
      </x:c>
      <x:c r="AQ294" s="27" t="n">
        <x:v>0.2</x:v>
      </x:c>
      <x:c r="AR294" s="27" t="n">
        <x:v>1</x:v>
      </x:c>
      <x:c r="AS294" s="27" t="n">
        <x:v>0.2</x:v>
      </x:c>
      <x:c r="AT294" s="27" t="n">
        <x:v>0.8</x:v>
      </x:c>
      <x:c r="AU294" s="27" t="n">
        <x:v>1</x:v>
      </x:c>
      <x:c r="AV294" s="27" t="n">
        <x:v>65900000</x:v>
      </x:c>
      <x:c r="AW294" s="27" t="n">
        <x:v>0.75</x:v>
      </x:c>
      <x:c r="AX294" s="27" t="n">
        <x:v>0.20075599619613882</x:v>
      </x:c>
      <x:c r="AY294" s="27" t="n">
        <x:v>0.30000000000000004</x:v>
      </x:c>
      <x:c r="AZ294" s="27" t="n">
        <x:v>3968946.044797665</x:v>
      </x:c>
    </x:row>
    <x:row r="295">
      <x:c r="A295" s="27" t="n">
        <x:v>45702</x:v>
      </x:c>
      <x:c r="B295" s="27" t="str">
        <x:v>IND_BROKER_001</x:v>
      </x:c>
      <x:c r="C295" s="27" t="n">
        <x:v>3276</x:v>
      </x:c>
      <x:c r="D295" s="27" t="str">
        <x:v>IND-000292</x:v>
      </x:c>
      <x:c r="E295" s="27" t="str">
        <x:v>Equity Index Option</x:v>
      </x:c>
      <x:c r="F295" s="27" t="str">
        <x:v>Equity</x:v>
      </x:c>
      <x:c r="G295" s="27" t="str">
        <x:v>Index</x:v>
      </x:c>
      <x:c r="H295" s="27" t="str">
        <x:v>USD</x:v>
      </x:c>
      <x:c r="I295" s="27"/>
      <x:c r="J295" s="27" t="str">
        <x:v>USD</x:v>
      </x:c>
      <x:c r="K295" s="27"/>
      <x:c r="L295" s="27"/>
      <x:c r="M295" s="27" t="str">
        <x:v>EQUITY_INDEX_26</x:v>
      </x:c>
      <x:c r="N295" s="27" t="str">
        <x:v>Index</x:v>
      </x:c>
      <x:c r="O295" s="27"/>
      <x:c r="P295" s="27" t="n">
        <x:v>47313</x:v>
      </x:c>
      <x:c r="Q295" s="27" t="n">
        <x:v>44805</x:v>
      </x:c>
      <x:c r="R295" s="27" t="n">
        <x:v>47313</x:v>
      </x:c>
      <x:c r="S295" s="27" t="n">
        <x:v>52200000</x:v>
      </x:c>
      <x:c r="T295" s="27" t="n">
        <x:v>0</x:v>
      </x:c>
      <x:c r="U295" s="27" t="n">
        <x:v>52200000</x:v>
      </x:c>
      <x:c r="V295" s="27" t="str">
        <x:v>U</x:v>
      </x:c>
      <x:c r="W295" s="27" t="str">
        <x:v>N</x:v>
      </x:c>
      <x:c r="X295" s="27"/>
      <x:c r="Y295" s="27" t="str">
        <x:v>S</x:v>
      </x:c>
      <x:c r="Z295" s="27" t="n">
        <x:v>46910</x:v>
      </x:c>
      <x:c r="AA295" s="27" t="str">
        <x:v>P</x:v>
      </x:c>
      <x:c r="AB295" s="27" t="n">
        <x:v>88.1</x:v>
      </x:c>
      <x:c r="AC295" s="27" t="n">
        <x:v>100</x:v>
      </x:c>
      <x:c r="AD295" s="27" t="n">
        <x:v>-763425</x:v>
      </x:c>
      <x:c r="AE295" s="27" t="str">
        <x:v>Public-safe anonymized industry-style SA-CCR sample</x:v>
      </x:c>
      <x:c r="AF295" s="27" t="str">
        <x:v>ANON-000292</x:v>
      </x:c>
      <x:c r="AG295" s="27" t="str">
        <x:v>Equity Index Option</x:v>
      </x:c>
      <x:c r="AH295" s="27"/>
      <x:c r="AI295" s="27" t="str">
        <x:v>Equity Index</x:v>
      </x:c>
      <x:c r="AJ295" s="27" t="n">
        <x:v>1611</x:v>
      </x:c>
      <x:c r="AK295" s="27" t="n">
        <x:v>4.413698630136986</x:v>
      </x:c>
      <x:c r="AL295" s="27" t="str">
        <x:v>1Y-5Y</x:v>
      </x:c>
      <x:c r="AM295" s="27"/>
      <x:c r="AN295" s="27" t="str">
        <x:v>Index</x:v>
      </x:c>
      <x:c r="AO295" s="27" t="str">
        <x:v>EQUITY_INDEX_26</x:v>
      </x:c>
      <x:c r="AP295" s="27" t="str">
        <x:v>U</x:v>
      </x:c>
      <x:c r="AQ295" s="27" t="n">
        <x:v>0.2</x:v>
      </x:c>
      <x:c r="AR295" s="27" t="n">
        <x:v>1</x:v>
      </x:c>
      <x:c r="AS295" s="27" t="n">
        <x:v>0.2</x:v>
      </x:c>
      <x:c r="AT295" s="27" t="n">
        <x:v>0.8</x:v>
      </x:c>
      <x:c r="AU295" s="27" t="n">
        <x:v>1</x:v>
      </x:c>
      <x:c r="AV295" s="27" t="n">
        <x:v>52200000</x:v>
      </x:c>
      <x:c r="AW295" s="27" t="n">
        <x:v>0.75</x:v>
      </x:c>
      <x:c r="AX295" s="27" t="n">
        <x:v>0.21914957704669424</x:v>
      </x:c>
      <x:c r="AY295" s="27" t="n">
        <x:v>1</x:v>
      </x:c>
      <x:c r="AZ295" s="27" t="n">
        <x:v>11439607.92183744</x:v>
      </x:c>
    </x:row>
    <x:row r="296">
      <x:c r="A296" s="27" t="n">
        <x:v>45702</x:v>
      </x:c>
      <x:c r="B296" s="27" t="str">
        <x:v>IND_CLEARING_MEMBER_001</x:v>
      </x:c>
      <x:c r="C296" s="27" t="n">
        <x:v>3161</x:v>
      </x:c>
      <x:c r="D296" s="27" t="str">
        <x:v>IND-000293</x:v>
      </x:c>
      <x:c r="E296" s="27" t="str">
        <x:v>Equity Index Option</x:v>
      </x:c>
      <x:c r="F296" s="27" t="str">
        <x:v>Equity</x:v>
      </x:c>
      <x:c r="G296" s="27" t="str">
        <x:v>Index</x:v>
      </x:c>
      <x:c r="H296" s="27" t="str">
        <x:v>USD</x:v>
      </x:c>
      <x:c r="I296" s="27"/>
      <x:c r="J296" s="27" t="str">
        <x:v>USD</x:v>
      </x:c>
      <x:c r="K296" s="27"/>
      <x:c r="L296" s="27"/>
      <x:c r="M296" s="27" t="str">
        <x:v>EQUITY_INDEX_22</x:v>
      </x:c>
      <x:c r="N296" s="27" t="str">
        <x:v>Index</x:v>
      </x:c>
      <x:c r="O296" s="27"/>
      <x:c r="P296" s="27" t="n">
        <x:v>47611</x:v>
      </x:c>
      <x:c r="Q296" s="27" t="n">
        <x:v>44887</x:v>
      </x:c>
      <x:c r="R296" s="27" t="n">
        <x:v>47611</x:v>
      </x:c>
      <x:c r="S296" s="27" t="n">
        <x:v>17700000</x:v>
      </x:c>
      <x:c r="T296" s="27" t="n">
        <x:v>0</x:v>
      </x:c>
      <x:c r="U296" s="27" t="n">
        <x:v>17700000</x:v>
      </x:c>
      <x:c r="V296" s="27" t="str">
        <x:v>U</x:v>
      </x:c>
      <x:c r="W296" s="27" t="str">
        <x:v>N</x:v>
      </x:c>
      <x:c r="X296" s="27"/>
      <x:c r="Y296" s="27" t="str">
        <x:v>B</x:v>
      </x:c>
      <x:c r="Z296" s="27" t="n">
        <x:v>47133</x:v>
      </x:c>
      <x:c r="AA296" s="27" t="str">
        <x:v>C</x:v>
      </x:c>
      <x:c r="AB296" s="27" t="n">
        <x:v>137.875</x:v>
      </x:c>
      <x:c r="AC296" s="27" t="n">
        <x:v>125</x:v>
      </x:c>
      <x:c r="AD296" s="27" t="n">
        <x:v>-387099</x:v>
      </x:c>
      <x:c r="AE296" s="27" t="str">
        <x:v>Public-safe anonymized industry-style SA-CCR sample</x:v>
      </x:c>
      <x:c r="AF296" s="27" t="str">
        <x:v>ANON-000293</x:v>
      </x:c>
      <x:c r="AG296" s="27" t="str">
        <x:v>Equity Index Option</x:v>
      </x:c>
      <x:c r="AH296" s="27"/>
      <x:c r="AI296" s="27" t="str">
        <x:v>Equity Index</x:v>
      </x:c>
      <x:c r="AJ296" s="27" t="n">
        <x:v>1909</x:v>
      </x:c>
      <x:c r="AK296" s="27" t="n">
        <x:v>5.23013698630137</x:v>
      </x:c>
      <x:c r="AL296" s="27" t="str">
        <x:v>&gt;5Y</x:v>
      </x:c>
      <x:c r="AM296" s="27"/>
      <x:c r="AN296" s="27" t="str">
        <x:v>Index</x:v>
      </x:c>
      <x:c r="AO296" s="27" t="str">
        <x:v>EQUITY_INDEX_22</x:v>
      </x:c>
      <x:c r="AP296" s="27" t="str">
        <x:v>U</x:v>
      </x:c>
      <x:c r="AQ296" s="27" t="n">
        <x:v>0.2</x:v>
      </x:c>
      <x:c r="AR296" s="27" t="n">
        <x:v>1</x:v>
      </x:c>
      <x:c r="AS296" s="27" t="n">
        <x:v>0.2</x:v>
      </x:c>
      <x:c r="AT296" s="27" t="n">
        <x:v>0.8</x:v>
      </x:c>
      <x:c r="AU296" s="27" t="n">
        <x:v>1</x:v>
      </x:c>
      <x:c r="AV296" s="27" t="n">
        <x:v>17700000</x:v>
      </x:c>
      <x:c r="AW296" s="27" t="n">
        <x:v>0.75</x:v>
      </x:c>
      <x:c r="AX296" s="27" t="n">
        <x:v>0.7506381449087614</x:v>
      </x:c>
      <x:c r="AY296" s="27" t="n">
        <x:v>1</x:v>
      </x:c>
      <x:c r="AZ296" s="27" t="n">
        <x:v>13286295.164885076</x:v>
      </x:c>
    </x:row>
    <x:row r="297">
      <x:c r="A297" s="27" t="n">
        <x:v>45702</x:v>
      </x:c>
      <x:c r="B297" s="27" t="str">
        <x:v>IND_BANK_002</x:v>
      </x:c>
      <x:c r="C297" s="27" t="n">
        <x:v>3090</x:v>
      </x:c>
      <x:c r="D297" s="27" t="str">
        <x:v>IND-000294</x:v>
      </x:c>
      <x:c r="E297" s="27" t="str">
        <x:v>Equity Index Option</x:v>
      </x:c>
      <x:c r="F297" s="27" t="str">
        <x:v>Equity</x:v>
      </x:c>
      <x:c r="G297" s="27" t="str">
        <x:v>Index</x:v>
      </x:c>
      <x:c r="H297" s="27" t="str">
        <x:v>USD</x:v>
      </x:c>
      <x:c r="I297" s="27"/>
      <x:c r="J297" s="27" t="str">
        <x:v>USD</x:v>
      </x:c>
      <x:c r="K297" s="27"/>
      <x:c r="L297" s="27"/>
      <x:c r="M297" s="27" t="str">
        <x:v>EQUITY_INDEX_01</x:v>
      </x:c>
      <x:c r="N297" s="27" t="str">
        <x:v>Index</x:v>
      </x:c>
      <x:c r="O297" s="27"/>
      <x:c r="P297" s="27" t="n">
        <x:v>47301</x:v>
      </x:c>
      <x:c r="Q297" s="27" t="n">
        <x:v>45015</x:v>
      </x:c>
      <x:c r="R297" s="27" t="n">
        <x:v>47301</x:v>
      </x:c>
      <x:c r="S297" s="27" t="n">
        <x:v>44800000</x:v>
      </x:c>
      <x:c r="T297" s="27" t="n">
        <x:v>0</x:v>
      </x:c>
      <x:c r="U297" s="27" t="n">
        <x:v>44800000</x:v>
      </x:c>
      <x:c r="V297" s="27" t="str">
        <x:v>U</x:v>
      </x:c>
      <x:c r="W297" s="27" t="str">
        <x:v>N</x:v>
      </x:c>
      <x:c r="X297" s="27"/>
      <x:c r="Y297" s="27" t="str">
        <x:v>S</x:v>
      </x:c>
      <x:c r="Z297" s="27" t="n">
        <x:v>46901</x:v>
      </x:c>
      <x:c r="AA297" s="27" t="str">
        <x:v>P</x:v>
      </x:c>
      <x:c r="AB297" s="27" t="n">
        <x:v>93.9</x:v>
      </x:c>
      <x:c r="AC297" s="27" t="n">
        <x:v>100</x:v>
      </x:c>
      <x:c r="AD297" s="27" t="n">
        <x:v>1048320</x:v>
      </x:c>
      <x:c r="AE297" s="27" t="str">
        <x:v>Public-safe anonymized industry-style SA-CCR sample</x:v>
      </x:c>
      <x:c r="AF297" s="27" t="str">
        <x:v>ANON-000294</x:v>
      </x:c>
      <x:c r="AG297" s="27" t="str">
        <x:v>Equity Index Option</x:v>
      </x:c>
      <x:c r="AH297" s="27"/>
      <x:c r="AI297" s="27" t="str">
        <x:v>Equity Index</x:v>
      </x:c>
      <x:c r="AJ297" s="27" t="n">
        <x:v>1599</x:v>
      </x:c>
      <x:c r="AK297" s="27" t="n">
        <x:v>4.380821917808219</x:v>
      </x:c>
      <x:c r="AL297" s="27" t="str">
        <x:v>1Y-5Y</x:v>
      </x:c>
      <x:c r="AM297" s="27"/>
      <x:c r="AN297" s="27" t="str">
        <x:v>Index</x:v>
      </x:c>
      <x:c r="AO297" s="27" t="str">
        <x:v>EQUITY_INDEX_01</x:v>
      </x:c>
      <x:c r="AP297" s="27" t="str">
        <x:v>U</x:v>
      </x:c>
      <x:c r="AQ297" s="27" t="n">
        <x:v>0.2</x:v>
      </x:c>
      <x:c r="AR297" s="27" t="n">
        <x:v>1</x:v>
      </x:c>
      <x:c r="AS297" s="27" t="n">
        <x:v>0.2</x:v>
      </x:c>
      <x:c r="AT297" s="27" t="n">
        <x:v>0.8</x:v>
      </x:c>
      <x:c r="AU297" s="27" t="n">
        <x:v>1</x:v>
      </x:c>
      <x:c r="AV297" s="27" t="n">
        <x:v>44800000</x:v>
      </x:c>
      <x:c r="AW297" s="27" t="n">
        <x:v>0.75</x:v>
      </x:c>
      <x:c r="AX297" s="27" t="n">
        <x:v>0.23392969163229177</x:v>
      </x:c>
      <x:c r="AY297" s="27" t="n">
        <x:v>1</x:v>
      </x:c>
      <x:c r="AZ297" s="27" t="n">
        <x:v>10480050.185126672</x:v>
      </x:c>
    </x:row>
    <x:row r="298">
      <x:c r="A298" s="27" t="n">
        <x:v>45702</x:v>
      </x:c>
      <x:c r="B298" s="27" t="str">
        <x:v>IND_ASSET_MANAGER_001</x:v>
      </x:c>
      <x:c r="C298" s="27" t="n">
        <x:v>3167</x:v>
      </x:c>
      <x:c r="D298" s="27" t="str">
        <x:v>IND-000295</x:v>
      </x:c>
      <x:c r="E298" s="27" t="str">
        <x:v>Equity Index Option</x:v>
      </x:c>
      <x:c r="F298" s="27" t="str">
        <x:v>Equity</x:v>
      </x:c>
      <x:c r="G298" s="27" t="str">
        <x:v>Index</x:v>
      </x:c>
      <x:c r="H298" s="27" t="str">
        <x:v>USD</x:v>
      </x:c>
      <x:c r="I298" s="27"/>
      <x:c r="J298" s="27" t="str">
        <x:v>USD</x:v>
      </x:c>
      <x:c r="K298" s="27"/>
      <x:c r="L298" s="27"/>
      <x:c r="M298" s="27" t="str">
        <x:v>EQUITY_INDEX_15</x:v>
      </x:c>
      <x:c r="N298" s="27" t="str">
        <x:v>Index</x:v>
      </x:c>
      <x:c r="O298" s="27"/>
      <x:c r="P298" s="27" t="n">
        <x:v>46601</x:v>
      </x:c>
      <x:c r="Q298" s="27" t="n">
        <x:v>45632</x:v>
      </x:c>
      <x:c r="R298" s="27" t="n">
        <x:v>46601</x:v>
      </x:c>
      <x:c r="S298" s="27" t="n">
        <x:v>39000000</x:v>
      </x:c>
      <x:c r="T298" s="27" t="n">
        <x:v>0</x:v>
      </x:c>
      <x:c r="U298" s="27" t="n">
        <x:v>39000000</x:v>
      </x:c>
      <x:c r="V298" s="27" t="str">
        <x:v>M</x:v>
      </x:c>
      <x:c r="W298" s="27" t="str">
        <x:v>N</x:v>
      </x:c>
      <x:c r="X298" s="27" t="n">
        <x:v>10</x:v>
      </x:c>
      <x:c r="Y298" s="27" t="str">
        <x:v>B</x:v>
      </x:c>
      <x:c r="Z298" s="27" t="n">
        <x:v>46376</x:v>
      </x:c>
      <x:c r="AA298" s="27" t="str">
        <x:v>P</x:v>
      </x:c>
      <x:c r="AB298" s="27" t="n">
        <x:v>132.16</x:v>
      </x:c>
      <x:c r="AC298" s="27" t="n">
        <x:v>112</x:v>
      </x:c>
      <x:c r="AD298" s="27" t="n">
        <x:v>-214110</x:v>
      </x:c>
      <x:c r="AE298" s="27" t="str">
        <x:v>Public-safe anonymized industry-style SA-CCR sample</x:v>
      </x:c>
      <x:c r="AF298" s="27" t="str">
        <x:v>ANON-000295</x:v>
      </x:c>
      <x:c r="AG298" s="27" t="str">
        <x:v>Equity Index Option</x:v>
      </x:c>
      <x:c r="AH298" s="27"/>
      <x:c r="AI298" s="27" t="str">
        <x:v>Equity Index</x:v>
      </x:c>
      <x:c r="AJ298" s="27" t="n">
        <x:v>899</x:v>
      </x:c>
      <x:c r="AK298" s="27" t="n">
        <x:v>2.463013698630137</x:v>
      </x:c>
      <x:c r="AL298" s="27" t="str">
        <x:v>1Y-5Y</x:v>
      </x:c>
      <x:c r="AM298" s="27"/>
      <x:c r="AN298" s="27" t="str">
        <x:v>Index</x:v>
      </x:c>
      <x:c r="AO298" s="27" t="str">
        <x:v>EQUITY_INDEX_15</x:v>
      </x:c>
      <x:c r="AP298" s="27" t="str">
        <x:v>M</x:v>
      </x:c>
      <x:c r="AQ298" s="27" t="n">
        <x:v>0.2</x:v>
      </x:c>
      <x:c r="AR298" s="27" t="n">
        <x:v>1</x:v>
      </x:c>
      <x:c r="AS298" s="27" t="n">
        <x:v>0.2</x:v>
      </x:c>
      <x:c r="AT298" s="27" t="n">
        <x:v>0.8</x:v>
      </x:c>
      <x:c r="AU298" s="27" t="n">
        <x:v>1</x:v>
      </x:c>
      <x:c r="AV298" s="27" t="n">
        <x:v>39000000</x:v>
      </x:c>
      <x:c r="AW298" s="27" t="n">
        <x:v>0.75</x:v>
      </x:c>
      <x:c r="AX298" s="27" t="n">
        <x:v>-0.36422769935676247</x:v>
      </x:c>
      <x:c r="AY298" s="27" t="n">
        <x:v>0.30000000000000004</x:v>
      </x:c>
      <x:c r="AZ298" s="27" t="n">
        <x:v>-4261464.082474121</x:v>
      </x:c>
    </x:row>
    <x:row r="299">
      <x:c r="A299" s="27" t="n">
        <x:v>45702</x:v>
      </x:c>
      <x:c r="B299" s="27" t="str">
        <x:v>IND_REGIONAL_BANK_001</x:v>
      </x:c>
      <x:c r="C299" s="27" t="n">
        <x:v>3194</x:v>
      </x:c>
      <x:c r="D299" s="27" t="str">
        <x:v>IND-000296</x:v>
      </x:c>
      <x:c r="E299" s="27" t="str">
        <x:v>Equity Index Option</x:v>
      </x:c>
      <x:c r="F299" s="27" t="str">
        <x:v>Equity</x:v>
      </x:c>
      <x:c r="G299" s="27" t="str">
        <x:v>Index</x:v>
      </x:c>
      <x:c r="H299" s="27" t="str">
        <x:v>USD</x:v>
      </x:c>
      <x:c r="I299" s="27"/>
      <x:c r="J299" s="27" t="str">
        <x:v>USD</x:v>
      </x:c>
      <x:c r="K299" s="27"/>
      <x:c r="L299" s="27"/>
      <x:c r="M299" s="27" t="str">
        <x:v>EQUITY_INDEX_05</x:v>
      </x:c>
      <x:c r="N299" s="27" t="str">
        <x:v>Index</x:v>
      </x:c>
      <x:c r="O299" s="27"/>
      <x:c r="P299" s="27" t="n">
        <x:v>46181</x:v>
      </x:c>
      <x:c r="Q299" s="27" t="n">
        <x:v>45257</x:v>
      </x:c>
      <x:c r="R299" s="27" t="n">
        <x:v>46181</x:v>
      </x:c>
      <x:c r="S299" s="27" t="n">
        <x:v>48300000</x:v>
      </x:c>
      <x:c r="T299" s="27" t="n">
        <x:v>0</x:v>
      </x:c>
      <x:c r="U299" s="27" t="n">
        <x:v>48300000</x:v>
      </x:c>
      <x:c r="V299" s="27" t="str">
        <x:v>M</x:v>
      </x:c>
      <x:c r="W299" s="27" t="str">
        <x:v>N</x:v>
      </x:c>
      <x:c r="X299" s="27" t="n">
        <x:v>10</x:v>
      </x:c>
      <x:c r="Y299" s="27" t="str">
        <x:v>B</x:v>
      </x:c>
      <x:c r="Z299" s="27" t="n">
        <x:v>46061</x:v>
      </x:c>
      <x:c r="AA299" s="27" t="str">
        <x:v>C</x:v>
      </x:c>
      <x:c r="AB299" s="27" t="n">
        <x:v>111.625</x:v>
      </x:c>
      <x:c r="AC299" s="27" t="n">
        <x:v>125</x:v>
      </x:c>
      <x:c r="AD299" s="27" t="n">
        <x:v>-136930.5</x:v>
      </x:c>
      <x:c r="AE299" s="27" t="str">
        <x:v>Public-safe anonymized industry-style SA-CCR sample</x:v>
      </x:c>
      <x:c r="AF299" s="27" t="str">
        <x:v>ANON-000296</x:v>
      </x:c>
      <x:c r="AG299" s="27" t="str">
        <x:v>Equity Index Option</x:v>
      </x:c>
      <x:c r="AH299" s="27"/>
      <x:c r="AI299" s="27" t="str">
        <x:v>Equity Index</x:v>
      </x:c>
      <x:c r="AJ299" s="27" t="n">
        <x:v>479</x:v>
      </x:c>
      <x:c r="AK299" s="27" t="n">
        <x:v>1.3123287671232877</x:v>
      </x:c>
      <x:c r="AL299" s="27" t="str">
        <x:v>1Y-5Y</x:v>
      </x:c>
      <x:c r="AM299" s="27"/>
      <x:c r="AN299" s="27" t="str">
        <x:v>Index</x:v>
      </x:c>
      <x:c r="AO299" s="27" t="str">
        <x:v>EQUITY_INDEX_05</x:v>
      </x:c>
      <x:c r="AP299" s="27" t="str">
        <x:v>M</x:v>
      </x:c>
      <x:c r="AQ299" s="27" t="n">
        <x:v>0.2</x:v>
      </x:c>
      <x:c r="AR299" s="27" t="n">
        <x:v>1</x:v>
      </x:c>
      <x:c r="AS299" s="27" t="n">
        <x:v>0.2</x:v>
      </x:c>
      <x:c r="AT299" s="27" t="n">
        <x:v>0.8</x:v>
      </x:c>
      <x:c r="AU299" s="27" t="n">
        <x:v>1</x:v>
      </x:c>
      <x:c r="AV299" s="27" t="n">
        <x:v>48300000</x:v>
      </x:c>
      <x:c r="AW299" s="27" t="n">
        <x:v>0.75</x:v>
      </x:c>
      <x:c r="AX299" s="27" t="n">
        <x:v>0.6998789324215098</x:v>
      </x:c>
      <x:c r="AY299" s="27" t="n">
        <x:v>0.30000000000000004</x:v>
      </x:c>
      <x:c r="AZ299" s="27" t="n">
        <x:v>10141245.730787678</x:v>
      </x:c>
    </x:row>
    <x:row r="300">
      <x:c r="A300" s="27" t="n">
        <x:v>45702</x:v>
      </x:c>
      <x:c r="B300" s="27" t="str">
        <x:v>IND_INSURER_001</x:v>
      </x:c>
      <x:c r="C300" s="27" t="n">
        <x:v>3390</x:v>
      </x:c>
      <x:c r="D300" s="27" t="str">
        <x:v>IND-000297</x:v>
      </x:c>
      <x:c r="E300" s="27" t="str">
        <x:v>Equity Index Option</x:v>
      </x:c>
      <x:c r="F300" s="27" t="str">
        <x:v>Equity</x:v>
      </x:c>
      <x:c r="G300" s="27" t="str">
        <x:v>Index</x:v>
      </x:c>
      <x:c r="H300" s="27" t="str">
        <x:v>USD</x:v>
      </x:c>
      <x:c r="I300" s="27"/>
      <x:c r="J300" s="27" t="str">
        <x:v>USD</x:v>
      </x:c>
      <x:c r="K300" s="27"/>
      <x:c r="L300" s="27"/>
      <x:c r="M300" s="27" t="str">
        <x:v>EQUITY_INDEX_25</x:v>
      </x:c>
      <x:c r="N300" s="27" t="str">
        <x:v>Index</x:v>
      </x:c>
      <x:c r="O300" s="27"/>
      <x:c r="P300" s="27" t="n">
        <x:v>46373</x:v>
      </x:c>
      <x:c r="Q300" s="27" t="n">
        <x:v>45170</x:v>
      </x:c>
      <x:c r="R300" s="27" t="n">
        <x:v>46373</x:v>
      </x:c>
      <x:c r="S300" s="27" t="n">
        <x:v>79400000</x:v>
      </x:c>
      <x:c r="T300" s="27" t="n">
        <x:v>0</x:v>
      </x:c>
      <x:c r="U300" s="27" t="n">
        <x:v>79400000</x:v>
      </x:c>
      <x:c r="V300" s="27" t="str">
        <x:v>U</x:v>
      </x:c>
      <x:c r="W300" s="27" t="str">
        <x:v>N</x:v>
      </x:c>
      <x:c r="X300" s="27"/>
      <x:c r="Y300" s="27" t="str">
        <x:v>S</x:v>
      </x:c>
      <x:c r="Z300" s="27" t="n">
        <x:v>46205</x:v>
      </x:c>
      <x:c r="AA300" s="27" t="str">
        <x:v>C</x:v>
      </x:c>
      <x:c r="AB300" s="27" t="n">
        <x:v>118.784</x:v>
      </x:c>
      <x:c r="AC300" s="27" t="n">
        <x:v>116</x:v>
      </x:c>
      <x:c r="AD300" s="27" t="n">
        <x:v>3237138</x:v>
      </x:c>
      <x:c r="AE300" s="27" t="str">
        <x:v>Public-safe anonymized industry-style SA-CCR sample</x:v>
      </x:c>
      <x:c r="AF300" s="27" t="str">
        <x:v>ANON-000297</x:v>
      </x:c>
      <x:c r="AG300" s="27" t="str">
        <x:v>Equity Index Option</x:v>
      </x:c>
      <x:c r="AH300" s="27"/>
      <x:c r="AI300" s="27" t="str">
        <x:v>Equity Index</x:v>
      </x:c>
      <x:c r="AJ300" s="27" t="n">
        <x:v>671</x:v>
      </x:c>
      <x:c r="AK300" s="27" t="n">
        <x:v>1.8383561643835618</x:v>
      </x:c>
      <x:c r="AL300" s="27" t="str">
        <x:v>1Y-5Y</x:v>
      </x:c>
      <x:c r="AM300" s="27"/>
      <x:c r="AN300" s="27" t="str">
        <x:v>Index</x:v>
      </x:c>
      <x:c r="AO300" s="27" t="str">
        <x:v>EQUITY_INDEX_25</x:v>
      </x:c>
      <x:c r="AP300" s="27" t="str">
        <x:v>U</x:v>
      </x:c>
      <x:c r="AQ300" s="27" t="n">
        <x:v>0.2</x:v>
      </x:c>
      <x:c r="AR300" s="27" t="n">
        <x:v>1</x:v>
      </x:c>
      <x:c r="AS300" s="27" t="n">
        <x:v>0.2</x:v>
      </x:c>
      <x:c r="AT300" s="27" t="n">
        <x:v>0.8</x:v>
      </x:c>
      <x:c r="AU300" s="27" t="n">
        <x:v>1</x:v>
      </x:c>
      <x:c r="AV300" s="27" t="n">
        <x:v>79400000</x:v>
      </x:c>
      <x:c r="AW300" s="27" t="n">
        <x:v>0.75</x:v>
      </x:c>
      <x:c r="AX300" s="27" t="n">
        <x:v>-0.6602999397273812</x:v>
      </x:c>
      <x:c r="AY300" s="27" t="n">
        <x:v>1</x:v>
      </x:c>
      <x:c r="AZ300" s="27" t="n">
        <x:v>-52427815.21435407</x:v>
      </x:c>
    </x:row>
    <x:row r="301">
      <x:c r="A301" s="27" t="n">
        <x:v>45702</x:v>
      </x:c>
      <x:c r="B301" s="27" t="str">
        <x:v>IND_BANK_002</x:v>
      </x:c>
      <x:c r="C301" s="27" t="n">
        <x:v>3386</x:v>
      </x:c>
      <x:c r="D301" s="27" t="str">
        <x:v>IND-000298</x:v>
      </x:c>
      <x:c r="E301" s="27" t="str">
        <x:v>Equity Index Option</x:v>
      </x:c>
      <x:c r="F301" s="27" t="str">
        <x:v>Equity</x:v>
      </x:c>
      <x:c r="G301" s="27" t="str">
        <x:v>Index</x:v>
      </x:c>
      <x:c r="H301" s="27" t="str">
        <x:v>USD</x:v>
      </x:c>
      <x:c r="I301" s="27"/>
      <x:c r="J301" s="27" t="str">
        <x:v>USD</x:v>
      </x:c>
      <x:c r="K301" s="27"/>
      <x:c r="L301" s="27"/>
      <x:c r="M301" s="27" t="str">
        <x:v>EQUITY_INDEX_01</x:v>
      </x:c>
      <x:c r="N301" s="27" t="str">
        <x:v>Index</x:v>
      </x:c>
      <x:c r="O301" s="27"/>
      <x:c r="P301" s="27" t="n">
        <x:v>47370</x:v>
      </x:c>
      <x:c r="Q301" s="27" t="n">
        <x:v>45520</x:v>
      </x:c>
      <x:c r="R301" s="27" t="n">
        <x:v>47370</x:v>
      </x:c>
      <x:c r="S301" s="27" t="n">
        <x:v>12800000</x:v>
      </x:c>
      <x:c r="T301" s="27" t="n">
        <x:v>0</x:v>
      </x:c>
      <x:c r="U301" s="27" t="n">
        <x:v>12800000</x:v>
      </x:c>
      <x:c r="V301" s="27" t="str">
        <x:v>M</x:v>
      </x:c>
      <x:c r="W301" s="27" t="str">
        <x:v>N</x:v>
      </x:c>
      <x:c r="X301" s="27" t="n">
        <x:v>10</x:v>
      </x:c>
      <x:c r="Y301" s="27" t="str">
        <x:v>B</x:v>
      </x:c>
      <x:c r="Z301" s="27" t="n">
        <x:v>46953</x:v>
      </x:c>
      <x:c r="AA301" s="27" t="str">
        <x:v>C</x:v>
      </x:c>
      <x:c r="AB301" s="27" t="n">
        <x:v>97.328</x:v>
      </x:c>
      <x:c r="AC301" s="27" t="n">
        <x:v>112</x:v>
      </x:c>
      <x:c r="AD301" s="27" t="n">
        <x:v>-511488</x:v>
      </x:c>
      <x:c r="AE301" s="27" t="str">
        <x:v>Public-safe anonymized industry-style SA-CCR sample</x:v>
      </x:c>
      <x:c r="AF301" s="27" t="str">
        <x:v>ANON-000298</x:v>
      </x:c>
      <x:c r="AG301" s="27" t="str">
        <x:v>Equity Index Option</x:v>
      </x:c>
      <x:c r="AH301" s="27"/>
      <x:c r="AI301" s="27" t="str">
        <x:v>Equity Index</x:v>
      </x:c>
      <x:c r="AJ301" s="27" t="n">
        <x:v>1668</x:v>
      </x:c>
      <x:c r="AK301" s="27" t="n">
        <x:v>4.5698630136986305</x:v>
      </x:c>
      <x:c r="AL301" s="27" t="str">
        <x:v>1Y-5Y</x:v>
      </x:c>
      <x:c r="AM301" s="27"/>
      <x:c r="AN301" s="27" t="str">
        <x:v>Index</x:v>
      </x:c>
      <x:c r="AO301" s="27" t="str">
        <x:v>EQUITY_INDEX_01</x:v>
      </x:c>
      <x:c r="AP301" s="27" t="str">
        <x:v>M</x:v>
      </x:c>
      <x:c r="AQ301" s="27" t="n">
        <x:v>0.2</x:v>
      </x:c>
      <x:c r="AR301" s="27" t="n">
        <x:v>1</x:v>
      </x:c>
      <x:c r="AS301" s="27" t="n">
        <x:v>0.2</x:v>
      </x:c>
      <x:c r="AT301" s="27" t="n">
        <x:v>0.8</x:v>
      </x:c>
      <x:c r="AU301" s="27" t="n">
        <x:v>1</x:v>
      </x:c>
      <x:c r="AV301" s="27" t="n">
        <x:v>12800000</x:v>
      </x:c>
      <x:c r="AW301" s="27" t="n">
        <x:v>0.75</x:v>
      </x:c>
      <x:c r="AX301" s="27" t="n">
        <x:v>0.7868013678693941</x:v>
      </x:c>
      <x:c r="AY301" s="27" t="n">
        <x:v>0.30000000000000004</x:v>
      </x:c>
      <x:c r="AZ301" s="27" t="n">
        <x:v>3021317.252618474</x:v>
      </x:c>
    </x:row>
  </x:sheetData>
  <x:mergeCells>
    <x:mergeCell ref="A1:AZ1"/>
  </x:mergeCells>
  <x:pageMargins left="0.7" right="0.7" top="0.75" bottom="0.75" header="0.3" footer="0.3"/>
  <x:tableParts count="1">
    <x:tablePart xmlns:r="http://schemas.openxmlformats.org/officeDocument/2006/relationships" r:id="Rf68970cce2da46e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2.5" customHeight="1">
      <x:c r="A1" s="26" t="str">
        <x:v>Python_AddOn_Output</x:v>
      </x:c>
      <x:c r="B1" s="26" t="str">
        <x:v>Python_AddOn_Output</x:v>
      </x:c>
      <x:c r="C1" s="26" t="str">
        <x:v>Python_AddOn_Output</x:v>
      </x:c>
      <x:c r="D1" s="26" t="str">
        <x:v>Python_AddOn_Output</x:v>
      </x:c>
      <x:c r="E1" s="26" t="str">
        <x:v>Python_AddOn_Output</x:v>
      </x:c>
      <x:c r="F1" s="26" t="str">
        <x:v>Python_AddOn_Output</x:v>
      </x:c>
      <x:c r="G1" s="26" t="str">
        <x:v>Python_AddOn_Output</x:v>
      </x:c>
    </x:row>
    <x:row r="2">
      <x:c r="A2" s="27"/>
      <x:c r="B2" s="27"/>
      <x:c r="C2" s="27"/>
      <x:c r="D2" s="27"/>
      <x:c r="E2" s="27"/>
      <x:c r="F2" s="27"/>
      <x:c r="G2" s="27"/>
    </x:row>
    <x:row r="3">
      <x:c r="A3" s="28" t="str">
        <x:v>Counterparty ID</x:v>
      </x:c>
      <x:c r="B3" s="28" t="str">
        <x:v>Netting Set ID</x:v>
      </x:c>
      <x:c r="C3" s="28" t="str">
        <x:v>Asset Class</x:v>
      </x:c>
      <x:c r="D3" s="28" t="str">
        <x:v>Hedging Set</x:v>
      </x:c>
      <x:c r="E3" s="28" t="str">
        <x:v>Aggregation Level</x:v>
      </x:c>
      <x:c r="F3" s="28" t="str">
        <x:v>Aggregated Effective Notional</x:v>
      </x:c>
      <x:c r="G3" s="28" t="str">
        <x:v>AddOn Exposure</x:v>
      </x:c>
    </x:row>
    <x:row r="4">
      <x:c r="A4" s="27" t="str">
        <x:v>IND_ASSET_MANAGER_001</x:v>
      </x:c>
      <x:c r="B4" s="27" t="n">
        <x:v>3050</x:v>
      </x:c>
      <x:c r="C4" s="27" t="str">
        <x:v>Interest Rate</x:v>
      </x:c>
      <x:c r="D4" s="27" t="str">
        <x:v>CNY</x:v>
      </x:c>
      <x:c r="E4" s="27" t="str">
        <x:v>IR currency and maturity bucket</x:v>
      </x:c>
      <x:c r="F4" s="27" t="n">
        <x:v>18380764.38704565</x:v>
      </x:c>
      <x:c r="G4" s="27" t="n">
        <x:v>91903.82193522826</x:v>
      </x:c>
    </x:row>
    <x:row r="5">
      <x:c r="A5" s="27" t="str">
        <x:v>IND_ASSET_MANAGER_001</x:v>
      </x:c>
      <x:c r="B5" s="27" t="n">
        <x:v>3050</x:v>
      </x:c>
      <x:c r="C5" s="27" t="str">
        <x:v>Interest Rate</x:v>
      </x:c>
      <x:c r="D5" s="27" t="str">
        <x:v>JPY</x:v>
      </x:c>
      <x:c r="E5" s="27" t="str">
        <x:v>IR currency and maturity bucket</x:v>
      </x:c>
      <x:c r="F5" s="27" t="n">
        <x:v>11085757.053639669</x:v>
      </x:c>
      <x:c r="G5" s="27" t="n">
        <x:v>55428.78526819835</x:v>
      </x:c>
    </x:row>
    <x:row r="6">
      <x:c r="A6" s="27" t="str">
        <x:v>IND_ASSET_MANAGER_001</x:v>
      </x:c>
      <x:c r="B6" s="27" t="n">
        <x:v>3050</x:v>
      </x:c>
      <x:c r="C6" s="27" t="str">
        <x:v>Interest Rate</x:v>
      </x:c>
      <x:c r="D6" s="27" t="str">
        <x:v>USD</x:v>
      </x:c>
      <x:c r="E6" s="27" t="str">
        <x:v>IR currency and maturity bucket</x:v>
      </x:c>
      <x:c r="F6" s="27" t="n">
        <x:v>789380563.7077526</x:v>
      </x:c>
      <x:c r="G6" s="27" t="n">
        <x:v>3946902.818538763</x:v>
      </x:c>
    </x:row>
    <x:row r="7">
      <x:c r="A7" s="27" t="str">
        <x:v>IND_ASSET_MANAGER_001</x:v>
      </x:c>
      <x:c r="B7" s="27" t="n">
        <x:v>3222</x:v>
      </x:c>
      <x:c r="C7" s="27" t="str">
        <x:v>Interest Rate</x:v>
      </x:c>
      <x:c r="D7" s="27" t="str">
        <x:v>CNY</x:v>
      </x:c>
      <x:c r="E7" s="27" t="str">
        <x:v>IR currency and maturity bucket</x:v>
      </x:c>
      <x:c r="F7" s="27" t="n">
        <x:v>39699830.248940036</x:v>
      </x:c>
      <x:c r="G7" s="27" t="n">
        <x:v>198499.1512447002</x:v>
      </x:c>
    </x:row>
    <x:row r="8">
      <x:c r="A8" s="27" t="str">
        <x:v>IND_ASSET_MANAGER_001</x:v>
      </x:c>
      <x:c r="B8" s="27" t="n">
        <x:v>3222</x:v>
      </x:c>
      <x:c r="C8" s="27" t="str">
        <x:v>Interest Rate</x:v>
      </x:c>
      <x:c r="D8" s="27" t="str">
        <x:v>JPY</x:v>
      </x:c>
      <x:c r="E8" s="27" t="str">
        <x:v>IR currency and maturity bucket</x:v>
      </x:c>
      <x:c r="F8" s="27" t="n">
        <x:v>132293200.62913989</x:v>
      </x:c>
      <x:c r="G8" s="27" t="n">
        <x:v>661466.0031456994</x:v>
      </x:c>
    </x:row>
    <x:row r="9">
      <x:c r="A9" s="27" t="str">
        <x:v>IND_BANK_001</x:v>
      </x:c>
      <x:c r="B9" s="27" t="n">
        <x:v>3219</x:v>
      </x:c>
      <x:c r="C9" s="27" t="str">
        <x:v>Interest Rate</x:v>
      </x:c>
      <x:c r="D9" s="27" t="str">
        <x:v>CNY</x:v>
      </x:c>
      <x:c r="E9" s="27" t="str">
        <x:v>IR currency and maturity bucket</x:v>
      </x:c>
      <x:c r="F9" s="27" t="n">
        <x:v>2030965233.9743264</x:v>
      </x:c>
      <x:c r="G9" s="27" t="n">
        <x:v>10154826.169871632</x:v>
      </x:c>
    </x:row>
    <x:row r="10">
      <x:c r="A10" s="27" t="str">
        <x:v>IND_BANK_001</x:v>
      </x:c>
      <x:c r="B10" s="27" t="n">
        <x:v>3219</x:v>
      </x:c>
      <x:c r="C10" s="27" t="str">
        <x:v>Interest Rate</x:v>
      </x:c>
      <x:c r="D10" s="27" t="str">
        <x:v>CNY_Basis</x:v>
      </x:c>
      <x:c r="E10" s="27" t="str">
        <x:v>IR currency and maturity bucket</x:v>
      </x:c>
      <x:c r="F10" s="27" t="n">
        <x:v>845214791.3644533</x:v>
      </x:c>
      <x:c r="G10" s="27" t="n">
        <x:v>4226073.956822267</x:v>
      </x:c>
    </x:row>
    <x:row r="11">
      <x:c r="A11" s="27" t="str">
        <x:v>IND_BANK_001</x:v>
      </x:c>
      <x:c r="B11" s="27" t="n">
        <x:v>3324</x:v>
      </x:c>
      <x:c r="C11" s="27" t="str">
        <x:v>Interest Rate</x:v>
      </x:c>
      <x:c r="D11" s="27" t="str">
        <x:v>USD</x:v>
      </x:c>
      <x:c r="E11" s="27" t="str">
        <x:v>IR currency and maturity bucket</x:v>
      </x:c>
      <x:c r="F11" s="27" t="n">
        <x:v>160982095.4642525</x:v>
      </x:c>
      <x:c r="G11" s="27" t="n">
        <x:v>804910.4773212625</x:v>
      </x:c>
    </x:row>
    <x:row r="12">
      <x:c r="A12" s="27" t="str">
        <x:v>IND_BANK_002</x:v>
      </x:c>
      <x:c r="B12" s="27" t="n">
        <x:v>3049</x:v>
      </x:c>
      <x:c r="C12" s="27" t="str">
        <x:v>Interest Rate</x:v>
      </x:c>
      <x:c r="D12" s="27" t="str">
        <x:v>EUR</x:v>
      </x:c>
      <x:c r="E12" s="27" t="str">
        <x:v>IR currency and maturity bucket</x:v>
      </x:c>
      <x:c r="F12" s="27" t="n">
        <x:v>929505322.9775077</x:v>
      </x:c>
      <x:c r="G12" s="27" t="n">
        <x:v>4647526.614887538</x:v>
      </x:c>
    </x:row>
    <x:row r="13">
      <x:c r="A13" s="27" t="str">
        <x:v>IND_BANK_002</x:v>
      </x:c>
      <x:c r="B13" s="27" t="n">
        <x:v>3049</x:v>
      </x:c>
      <x:c r="C13" s="27" t="str">
        <x:v>Interest Rate</x:v>
      </x:c>
      <x:c r="D13" s="27" t="str">
        <x:v>USD</x:v>
      </x:c>
      <x:c r="E13" s="27" t="str">
        <x:v>IR currency and maturity bucket</x:v>
      </x:c>
      <x:c r="F13" s="27" t="n">
        <x:v>2934139124.7874913</x:v>
      </x:c>
      <x:c r="G13" s="27" t="n">
        <x:v>14670695.623937458</x:v>
      </x:c>
    </x:row>
    <x:row r="14">
      <x:c r="A14" s="27" t="str">
        <x:v>IND_BANK_002</x:v>
      </x:c>
      <x:c r="B14" s="27" t="n">
        <x:v>3132</x:v>
      </x:c>
      <x:c r="C14" s="27" t="str">
        <x:v>Interest Rate</x:v>
      </x:c>
      <x:c r="D14" s="27" t="str">
        <x:v>USD</x:v>
      </x:c>
      <x:c r="E14" s="27" t="str">
        <x:v>IR currency and maturity bucket</x:v>
      </x:c>
      <x:c r="F14" s="27" t="n">
        <x:v>938907446.5480925</x:v>
      </x:c>
      <x:c r="G14" s="27" t="n">
        <x:v>4694537.232740463</x:v>
      </x:c>
    </x:row>
    <x:row r="15">
      <x:c r="A15" s="27" t="str">
        <x:v>IND_BROKER_001</x:v>
      </x:c>
      <x:c r="B15" s="27" t="n">
        <x:v>3220</x:v>
      </x:c>
      <x:c r="C15" s="27" t="str">
        <x:v>Interest Rate</x:v>
      </x:c>
      <x:c r="D15" s="27" t="str">
        <x:v>EUR</x:v>
      </x:c>
      <x:c r="E15" s="27" t="str">
        <x:v>IR currency and maturity bucket</x:v>
      </x:c>
      <x:c r="F15" s="27" t="n">
        <x:v>193884592.26671505</x:v>
      </x:c>
      <x:c r="G15" s="27" t="n">
        <x:v>969422.9613335753</x:v>
      </x:c>
    </x:row>
    <x:row r="16">
      <x:c r="A16" s="27" t="str">
        <x:v>IND_BROKER_001</x:v>
      </x:c>
      <x:c r="B16" s="27" t="n">
        <x:v>3332</x:v>
      </x:c>
      <x:c r="C16" s="27" t="str">
        <x:v>Interest Rate</x:v>
      </x:c>
      <x:c r="D16" s="27" t="str">
        <x:v>CNY</x:v>
      </x:c>
      <x:c r="E16" s="27" t="str">
        <x:v>IR currency and maturity bucket</x:v>
      </x:c>
      <x:c r="F16" s="27" t="n">
        <x:v>7195002.098357229</x:v>
      </x:c>
      <x:c r="G16" s="27" t="n">
        <x:v>35975.010491786146</x:v>
      </x:c>
    </x:row>
    <x:row r="17">
      <x:c r="A17" s="27" t="str">
        <x:v>IND_BROKER_001</x:v>
      </x:c>
      <x:c r="B17" s="27" t="n">
        <x:v>3332</x:v>
      </x:c>
      <x:c r="C17" s="27" t="str">
        <x:v>Interest Rate</x:v>
      </x:c>
      <x:c r="D17" s="27" t="str">
        <x:v>EUR</x:v>
      </x:c>
      <x:c r="E17" s="27" t="str">
        <x:v>IR currency and maturity bucket</x:v>
      </x:c>
      <x:c r="F17" s="27" t="n">
        <x:v>75106504.3969016</x:v>
      </x:c>
      <x:c r="G17" s="27" t="n">
        <x:v>375532.52198450797</x:v>
      </x:c>
    </x:row>
    <x:row r="18">
      <x:c r="A18" s="27" t="str">
        <x:v>IND_BROKER_001</x:v>
      </x:c>
      <x:c r="B18" s="27" t="n">
        <x:v>3332</x:v>
      </x:c>
      <x:c r="C18" s="27" t="str">
        <x:v>Interest Rate</x:v>
      </x:c>
      <x:c r="D18" s="27" t="str">
        <x:v>EUR_Basis</x:v>
      </x:c>
      <x:c r="E18" s="27" t="str">
        <x:v>IR currency and maturity bucket</x:v>
      </x:c>
      <x:c r="F18" s="27" t="n">
        <x:v>6983450.683079381</x:v>
      </x:c>
      <x:c r="G18" s="27" t="n">
        <x:v>34917.2534153969</x:v>
      </x:c>
    </x:row>
    <x:row r="19">
      <x:c r="A19" s="27" t="str">
        <x:v>IND_BROKER_001</x:v>
      </x:c>
      <x:c r="B19" s="27" t="n">
        <x:v>3332</x:v>
      </x:c>
      <x:c r="C19" s="27" t="str">
        <x:v>Interest Rate</x:v>
      </x:c>
      <x:c r="D19" s="27" t="str">
        <x:v>USD</x:v>
      </x:c>
      <x:c r="E19" s="27" t="str">
        <x:v>IR currency and maturity bucket</x:v>
      </x:c>
      <x:c r="F19" s="27" t="n">
        <x:v>22811499.018066037</x:v>
      </x:c>
      <x:c r="G19" s="27" t="n">
        <x:v>114057.4950903302</x:v>
      </x:c>
    </x:row>
    <x:row r="20">
      <x:c r="A20" s="27" t="str">
        <x:v>IND_CLEARING_MEMBER_001</x:v>
      </x:c>
      <x:c r="B20" s="27" t="n">
        <x:v>3020</x:v>
      </x:c>
      <x:c r="C20" s="27" t="str">
        <x:v>Interest Rate</x:v>
      </x:c>
      <x:c r="D20" s="27" t="str">
        <x:v>EUR</x:v>
      </x:c>
      <x:c r="E20" s="27" t="str">
        <x:v>IR currency and maturity bucket</x:v>
      </x:c>
      <x:c r="F20" s="27" t="n">
        <x:v>3705740035.424672</x:v>
      </x:c>
      <x:c r="G20" s="27" t="n">
        <x:v>18528700.17712336</x:v>
      </x:c>
    </x:row>
    <x:row r="21">
      <x:c r="A21" s="27" t="str">
        <x:v>IND_CLEARING_MEMBER_001</x:v>
      </x:c>
      <x:c r="B21" s="27" t="n">
        <x:v>3020</x:v>
      </x:c>
      <x:c r="C21" s="27" t="str">
        <x:v>Interest Rate</x:v>
      </x:c>
      <x:c r="D21" s="27" t="str">
        <x:v>USD</x:v>
      </x:c>
      <x:c r="E21" s="27" t="str">
        <x:v>IR currency and maturity bucket</x:v>
      </x:c>
      <x:c r="F21" s="27" t="n">
        <x:v>4842657.310076798</x:v>
      </x:c>
      <x:c r="G21" s="27" t="n">
        <x:v>24213.286550383993</x:v>
      </x:c>
    </x:row>
    <x:row r="22">
      <x:c r="A22" s="27" t="str">
        <x:v>IND_CLEARING_MEMBER_001</x:v>
      </x:c>
      <x:c r="B22" s="27" t="n">
        <x:v>3399</x:v>
      </x:c>
      <x:c r="C22" s="27" t="str">
        <x:v>Interest Rate</x:v>
      </x:c>
      <x:c r="D22" s="27" t="str">
        <x:v>EUR</x:v>
      </x:c>
      <x:c r="E22" s="27" t="str">
        <x:v>IR currency and maturity bucket</x:v>
      </x:c>
      <x:c r="F22" s="27" t="n">
        <x:v>580534779.3418994</x:v>
      </x:c>
      <x:c r="G22" s="27" t="n">
        <x:v>2902673.896709497</x:v>
      </x:c>
    </x:row>
    <x:row r="23">
      <x:c r="A23" s="27" t="str">
        <x:v>IND_CLEARING_MEMBER_001</x:v>
      </x:c>
      <x:c r="B23" s="27" t="n">
        <x:v>3399</x:v>
      </x:c>
      <x:c r="C23" s="27" t="str">
        <x:v>Interest Rate</x:v>
      </x:c>
      <x:c r="D23" s="27" t="str">
        <x:v>USD</x:v>
      </x:c>
      <x:c r="E23" s="27" t="str">
        <x:v>IR currency and maturity bucket</x:v>
      </x:c>
      <x:c r="F23" s="27" t="n">
        <x:v>624066122.1914761</x:v>
      </x:c>
      <x:c r="G23" s="27" t="n">
        <x:v>3120330.6109573804</x:v>
      </x:c>
    </x:row>
    <x:row r="24">
      <x:c r="A24" s="27" t="str">
        <x:v>IND_CORPORATE_001</x:v>
      </x:c>
      <x:c r="B24" s="27" t="n">
        <x:v>3004</x:v>
      </x:c>
      <x:c r="C24" s="27" t="str">
        <x:v>Interest Rate</x:v>
      </x:c>
      <x:c r="D24" s="27" t="str">
        <x:v>EUR</x:v>
      </x:c>
      <x:c r="E24" s="27" t="str">
        <x:v>IR currency and maturity bucket</x:v>
      </x:c>
      <x:c r="F24" s="27" t="n">
        <x:v>220191742.70947608</x:v>
      </x:c>
      <x:c r="G24" s="27" t="n">
        <x:v>1100958.7135473804</x:v>
      </x:c>
    </x:row>
    <x:row r="25">
      <x:c r="A25" s="27" t="str">
        <x:v>IND_CORPORATE_001</x:v>
      </x:c>
      <x:c r="B25" s="27" t="n">
        <x:v>3161</x:v>
      </x:c>
      <x:c r="C25" s="27" t="str">
        <x:v>Interest Rate</x:v>
      </x:c>
      <x:c r="D25" s="27" t="str">
        <x:v>USD</x:v>
      </x:c>
      <x:c r="E25" s="27" t="str">
        <x:v>IR currency and maturity bucket</x:v>
      </x:c>
      <x:c r="F25" s="27" t="n">
        <x:v>1658904188.4095516</x:v>
      </x:c>
      <x:c r="G25" s="27" t="n">
        <x:v>8294520.942047758</x:v>
      </x:c>
    </x:row>
    <x:row r="26">
      <x:c r="A26" s="27" t="str">
        <x:v>IND_CORPORATE_002</x:v>
      </x:c>
      <x:c r="B26" s="27" t="n">
        <x:v>3074</x:v>
      </x:c>
      <x:c r="C26" s="27" t="str">
        <x:v>Interest Rate</x:v>
      </x:c>
      <x:c r="D26" s="27" t="str">
        <x:v>CNY</x:v>
      </x:c>
      <x:c r="E26" s="27" t="str">
        <x:v>IR currency and maturity bucket</x:v>
      </x:c>
      <x:c r="F26" s="27" t="n">
        <x:v>69878080.68185832</x:v>
      </x:c>
      <x:c r="G26" s="27" t="n">
        <x:v>349390.4034092916</x:v>
      </x:c>
    </x:row>
    <x:row r="27">
      <x:c r="A27" s="27" t="str">
        <x:v>IND_CORPORATE_002</x:v>
      </x:c>
      <x:c r="B27" s="27" t="n">
        <x:v>3074</x:v>
      </x:c>
      <x:c r="C27" s="27" t="str">
        <x:v>Interest Rate</x:v>
      </x:c>
      <x:c r="D27" s="27" t="str">
        <x:v>EUR</x:v>
      </x:c>
      <x:c r="E27" s="27" t="str">
        <x:v>IR currency and maturity bucket</x:v>
      </x:c>
      <x:c r="F27" s="27" t="n">
        <x:v>2320916233.294082</x:v>
      </x:c>
      <x:c r="G27" s="27" t="n">
        <x:v>11604581.16647041</x:v>
      </x:c>
    </x:row>
    <x:row r="28">
      <x:c r="A28" s="27" t="str">
        <x:v>IND_CORPORATE_002</x:v>
      </x:c>
      <x:c r="B28" s="27" t="n">
        <x:v>3074</x:v>
      </x:c>
      <x:c r="C28" s="27" t="str">
        <x:v>Interest Rate</x:v>
      </x:c>
      <x:c r="D28" s="27" t="str">
        <x:v>USD</x:v>
      </x:c>
      <x:c r="E28" s="27" t="str">
        <x:v>IR currency and maturity bucket</x:v>
      </x:c>
      <x:c r="F28" s="27" t="n">
        <x:v>2917382608.0047393</x:v>
      </x:c>
      <x:c r="G28" s="27" t="n">
        <x:v>14586913.040023698</x:v>
      </x:c>
    </x:row>
    <x:row r="29">
      <x:c r="A29" s="27" t="str">
        <x:v>IND_CORPORATE_002</x:v>
      </x:c>
      <x:c r="B29" s="27" t="n">
        <x:v>3273</x:v>
      </x:c>
      <x:c r="C29" s="27" t="str">
        <x:v>Interest Rate</x:v>
      </x:c>
      <x:c r="D29" s="27" t="str">
        <x:v>EUR</x:v>
      </x:c>
      <x:c r="E29" s="27" t="str">
        <x:v>IR currency and maturity bucket</x:v>
      </x:c>
      <x:c r="F29" s="27" t="n">
        <x:v>2301189652.8412814</x:v>
      </x:c>
      <x:c r="G29" s="27" t="n">
        <x:v>11505948.264206408</x:v>
      </x:c>
    </x:row>
    <x:row r="30">
      <x:c r="A30" s="27" t="str">
        <x:v>IND_HEDGE_FUND_001</x:v>
      </x:c>
      <x:c r="B30" s="27" t="n">
        <x:v>3012</x:v>
      </x:c>
      <x:c r="C30" s="27" t="str">
        <x:v>Interest Rate</x:v>
      </x:c>
      <x:c r="D30" s="27" t="str">
        <x:v>CNY</x:v>
      </x:c>
      <x:c r="E30" s="27" t="str">
        <x:v>IR currency and maturity bucket</x:v>
      </x:c>
      <x:c r="F30" s="27" t="n">
        <x:v>7247359621.944686</x:v>
      </x:c>
      <x:c r="G30" s="27" t="n">
        <x:v>36236798.109723434</x:v>
      </x:c>
    </x:row>
    <x:row r="31">
      <x:c r="A31" s="27" t="str">
        <x:v>IND_HEDGE_FUND_001</x:v>
      </x:c>
      <x:c r="B31" s="27" t="n">
        <x:v>3345</x:v>
      </x:c>
      <x:c r="C31" s="27" t="str">
        <x:v>Interest Rate</x:v>
      </x:c>
      <x:c r="D31" s="27" t="str">
        <x:v>CNY</x:v>
      </x:c>
      <x:c r="E31" s="27" t="str">
        <x:v>IR currency and maturity bucket</x:v>
      </x:c>
      <x:c r="F31" s="27" t="n">
        <x:v>1017126240.3698025</x:v>
      </x:c>
      <x:c r="G31" s="27" t="n">
        <x:v>5085631.201849013</x:v>
      </x:c>
    </x:row>
    <x:row r="32">
      <x:c r="A32" s="27" t="str">
        <x:v>IND_HEDGE_FUND_001</x:v>
      </x:c>
      <x:c r="B32" s="27" t="n">
        <x:v>3345</x:v>
      </x:c>
      <x:c r="C32" s="27" t="str">
        <x:v>Interest Rate</x:v>
      </x:c>
      <x:c r="D32" s="27" t="str">
        <x:v>USD</x:v>
      </x:c>
      <x:c r="E32" s="27" t="str">
        <x:v>IR currency and maturity bucket</x:v>
      </x:c>
      <x:c r="F32" s="27" t="n">
        <x:v>1651539970.8812766</x:v>
      </x:c>
      <x:c r="G32" s="27" t="n">
        <x:v>8257699.854406383</x:v>
      </x:c>
    </x:row>
    <x:row r="33">
      <x:c r="A33" s="27" t="str">
        <x:v>IND_INSURER_001</x:v>
      </x:c>
      <x:c r="B33" s="27" t="n">
        <x:v>3048</x:v>
      </x:c>
      <x:c r="C33" s="27" t="str">
        <x:v>Interest Rate</x:v>
      </x:c>
      <x:c r="D33" s="27" t="str">
        <x:v>JPY</x:v>
      </x:c>
      <x:c r="E33" s="27" t="str">
        <x:v>IR currency and maturity bucket</x:v>
      </x:c>
      <x:c r="F33" s="27" t="n">
        <x:v>6342343919.6972065</x:v>
      </x:c>
      <x:c r="G33" s="27" t="n">
        <x:v>31711719.598486032</x:v>
      </x:c>
    </x:row>
    <x:row r="34">
      <x:c r="A34" s="27" t="str">
        <x:v>IND_INSURER_001</x:v>
      </x:c>
      <x:c r="B34" s="27" t="n">
        <x:v>3048</x:v>
      </x:c>
      <x:c r="C34" s="27" t="str">
        <x:v>Interest Rate</x:v>
      </x:c>
      <x:c r="D34" s="27" t="str">
        <x:v>USD</x:v>
      </x:c>
      <x:c r="E34" s="27" t="str">
        <x:v>IR currency and maturity bucket</x:v>
      </x:c>
      <x:c r="F34" s="27" t="n">
        <x:v>14517824.928881163</x:v>
      </x:c>
      <x:c r="G34" s="27" t="n">
        <x:v>72589.12464440582</x:v>
      </x:c>
    </x:row>
    <x:row r="35">
      <x:c r="A35" s="27" t="str">
        <x:v>IND_INSURER_001</x:v>
      </x:c>
      <x:c r="B35" s="27" t="n">
        <x:v>3297</x:v>
      </x:c>
      <x:c r="C35" s="27" t="str">
        <x:v>Interest Rate</x:v>
      </x:c>
      <x:c r="D35" s="27" t="str">
        <x:v>EUR</x:v>
      </x:c>
      <x:c r="E35" s="27" t="str">
        <x:v>IR currency and maturity bucket</x:v>
      </x:c>
      <x:c r="F35" s="27" t="n">
        <x:v>1148673875.2994518</x:v>
      </x:c>
      <x:c r="G35" s="27" t="n">
        <x:v>5743369.376497259</x:v>
      </x:c>
    </x:row>
    <x:row r="36">
      <x:c r="A36" s="27" t="str">
        <x:v>IND_INSURER_001</x:v>
      </x:c>
      <x:c r="B36" s="27" t="n">
        <x:v>3297</x:v>
      </x:c>
      <x:c r="C36" s="27" t="str">
        <x:v>Interest Rate</x:v>
      </x:c>
      <x:c r="D36" s="27" t="str">
        <x:v>JPY</x:v>
      </x:c>
      <x:c r="E36" s="27" t="str">
        <x:v>IR currency and maturity bucket</x:v>
      </x:c>
      <x:c r="F36" s="27" t="n">
        <x:v>2587521148.047681</x:v>
      </x:c>
      <x:c r="G36" s="27" t="n">
        <x:v>12937605.740238404</x:v>
      </x:c>
    </x:row>
    <x:row r="37">
      <x:c r="A37" s="27" t="str">
        <x:v>IND_INSURER_001</x:v>
      </x:c>
      <x:c r="B37" s="27" t="n">
        <x:v>3297</x:v>
      </x:c>
      <x:c r="C37" s="27" t="str">
        <x:v>Interest Rate</x:v>
      </x:c>
      <x:c r="D37" s="27" t="str">
        <x:v>USD</x:v>
      </x:c>
      <x:c r="E37" s="27" t="str">
        <x:v>IR currency and maturity bucket</x:v>
      </x:c>
      <x:c r="F37" s="27" t="n">
        <x:v>25858612.064280033</x:v>
      </x:c>
      <x:c r="G37" s="27" t="n">
        <x:v>129293.06032140017</x:v>
      </x:c>
    </x:row>
    <x:row r="38">
      <x:c r="A38" s="27" t="str">
        <x:v>IND_PENSION_001</x:v>
      </x:c>
      <x:c r="B38" s="27" t="n">
        <x:v>3103</x:v>
      </x:c>
      <x:c r="C38" s="27" t="str">
        <x:v>Interest Rate</x:v>
      </x:c>
      <x:c r="D38" s="27" t="str">
        <x:v>CNY</x:v>
      </x:c>
      <x:c r="E38" s="27" t="str">
        <x:v>IR currency and maturity bucket</x:v>
      </x:c>
      <x:c r="F38" s="27" t="n">
        <x:v>26935012.172801778</x:v>
      </x:c>
      <x:c r="G38" s="27" t="n">
        <x:v>134675.0608640089</x:v>
      </x:c>
    </x:row>
    <x:row r="39">
      <x:c r="A39" s="27" t="str">
        <x:v>IND_PENSION_001</x:v>
      </x:c>
      <x:c r="B39" s="27" t="n">
        <x:v>3103</x:v>
      </x:c>
      <x:c r="C39" s="27" t="str">
        <x:v>Interest Rate</x:v>
      </x:c>
      <x:c r="D39" s="27" t="str">
        <x:v>USD</x:v>
      </x:c>
      <x:c r="E39" s="27" t="str">
        <x:v>IR currency and maturity bucket</x:v>
      </x:c>
      <x:c r="F39" s="27" t="n">
        <x:v>1721534657.1553342</x:v>
      </x:c>
      <x:c r="G39" s="27" t="n">
        <x:v>8607673.285776671</x:v>
      </x:c>
    </x:row>
    <x:row r="40">
      <x:c r="A40" s="27" t="str">
        <x:v>IND_PENSION_001</x:v>
      </x:c>
      <x:c r="B40" s="27" t="n">
        <x:v>3174</x:v>
      </x:c>
      <x:c r="C40" s="27" t="str">
        <x:v>Interest Rate</x:v>
      </x:c>
      <x:c r="D40" s="27" t="str">
        <x:v>CNY</x:v>
      </x:c>
      <x:c r="E40" s="27" t="str">
        <x:v>IR currency and maturity bucket</x:v>
      </x:c>
      <x:c r="F40" s="27" t="n">
        <x:v>63101369.38524069</x:v>
      </x:c>
      <x:c r="G40" s="27" t="n">
        <x:v>315506.84692620346</x:v>
      </x:c>
    </x:row>
    <x:row r="41">
      <x:c r="A41" s="27" t="str">
        <x:v>IND_REGIONAL_BANK_001</x:v>
      </x:c>
      <x:c r="B41" s="27" t="n">
        <x:v>3054</x:v>
      </x:c>
      <x:c r="C41" s="27" t="str">
        <x:v>Interest Rate</x:v>
      </x:c>
      <x:c r="D41" s="27" t="str">
        <x:v>EUR</x:v>
      </x:c>
      <x:c r="E41" s="27" t="str">
        <x:v>IR currency and maturity bucket</x:v>
      </x:c>
      <x:c r="F41" s="27" t="n">
        <x:v>442886069.54357845</x:v>
      </x:c>
      <x:c r="G41" s="27" t="n">
        <x:v>2214430.3477178924</x:v>
      </x:c>
    </x:row>
    <x:row r="42">
      <x:c r="A42" s="27" t="str">
        <x:v>IND_REGIONAL_BANK_001</x:v>
      </x:c>
      <x:c r="B42" s="27" t="n">
        <x:v>3054</x:v>
      </x:c>
      <x:c r="C42" s="27" t="str">
        <x:v>Interest Rate</x:v>
      </x:c>
      <x:c r="D42" s="27" t="str">
        <x:v>JPY</x:v>
      </x:c>
      <x:c r="E42" s="27" t="str">
        <x:v>IR currency and maturity bucket</x:v>
      </x:c>
      <x:c r="F42" s="27" t="n">
        <x:v>2613293148.7051926</x:v>
      </x:c>
      <x:c r="G42" s="27" t="n">
        <x:v>13066465.743525963</x:v>
      </x:c>
    </x:row>
    <x:row r="43">
      <x:c r="A43" s="27" t="str">
        <x:v>IND_REGIONAL_BANK_001</x:v>
      </x:c>
      <x:c r="B43" s="27" t="n">
        <x:v>3315</x:v>
      </x:c>
      <x:c r="C43" s="27" t="str">
        <x:v>Interest Rate</x:v>
      </x:c>
      <x:c r="D43" s="27" t="str">
        <x:v>CNY</x:v>
      </x:c>
      <x:c r="E43" s="27" t="str">
        <x:v>IR currency and maturity bucket</x:v>
      </x:c>
      <x:c r="F43" s="27" t="n">
        <x:v>201994052.1461008</x:v>
      </x:c>
      <x:c r="G43" s="27" t="n">
        <x:v>1009970.260730504</x:v>
      </x:c>
    </x:row>
    <x:row r="44">
      <x:c r="A44" s="27" t="str">
        <x:v>IND_REGIONAL_BANK_001</x:v>
      </x:c>
      <x:c r="B44" s="27" t="n">
        <x:v>3315</x:v>
      </x:c>
      <x:c r="C44" s="27" t="str">
        <x:v>Interest Rate</x:v>
      </x:c>
      <x:c r="D44" s="27" t="str">
        <x:v>EUR</x:v>
      </x:c>
      <x:c r="E44" s="27" t="str">
        <x:v>IR currency and maturity bucket</x:v>
      </x:c>
      <x:c r="F44" s="27" t="n">
        <x:v>68729063.15481716</x:v>
      </x:c>
      <x:c r="G44" s="27" t="n">
        <x:v>343645.3157740858</x:v>
      </x:c>
    </x:row>
    <x:row r="45">
      <x:c r="A45" s="27" t="str">
        <x:v>IND_REGIONAL_BANK_001</x:v>
      </x:c>
      <x:c r="B45" s="27" t="n">
        <x:v>3315</x:v>
      </x:c>
      <x:c r="C45" s="27" t="str">
        <x:v>Interest Rate</x:v>
      </x:c>
      <x:c r="D45" s="27" t="str">
        <x:v>JPY</x:v>
      </x:c>
      <x:c r="E45" s="27" t="str">
        <x:v>IR currency and maturity bucket</x:v>
      </x:c>
      <x:c r="F45" s="27" t="n">
        <x:v>172865853.25970322</x:v>
      </x:c>
      <x:c r="G45" s="27" t="n">
        <x:v>864329.2662985161</x:v>
      </x:c>
    </x:row>
    <x:row r="46">
      <x:c r="A46" s="27" t="str">
        <x:v>IND_REGIONAL_BANK_001</x:v>
      </x:c>
      <x:c r="B46" s="27" t="n">
        <x:v>3315</x:v>
      </x:c>
      <x:c r="C46" s="27" t="str">
        <x:v>Interest Rate</x:v>
      </x:c>
      <x:c r="D46" s="27" t="str">
        <x:v>USD</x:v>
      </x:c>
      <x:c r="E46" s="27" t="str">
        <x:v>IR currency and maturity bucket</x:v>
      </x:c>
      <x:c r="F46" s="27" t="n">
        <x:v>240932423.41781145</x:v>
      </x:c>
      <x:c r="G46" s="27" t="n">
        <x:v>1204662.1170890573</x:v>
      </x:c>
    </x:row>
    <x:row r="47">
      <x:c r="A47" s="27" t="str">
        <x:v>IND_SOVEREIGN_001</x:v>
      </x:c>
      <x:c r="B47" s="27" t="n">
        <x:v>3065</x:v>
      </x:c>
      <x:c r="C47" s="27" t="str">
        <x:v>Interest Rate</x:v>
      </x:c>
      <x:c r="D47" s="27" t="str">
        <x:v>CNY_Basis</x:v>
      </x:c>
      <x:c r="E47" s="27" t="str">
        <x:v>IR currency and maturity bucket</x:v>
      </x:c>
      <x:c r="F47" s="27" t="n">
        <x:v>967753430.619494</x:v>
      </x:c>
      <x:c r="G47" s="27" t="n">
        <x:v>4838767.15309747</x:v>
      </x:c>
    </x:row>
    <x:row r="48">
      <x:c r="A48" s="27" t="str">
        <x:v>IND_SOVEREIGN_001</x:v>
      </x:c>
      <x:c r="B48" s="27" t="n">
        <x:v>3065</x:v>
      </x:c>
      <x:c r="C48" s="27" t="str">
        <x:v>Interest Rate</x:v>
      </x:c>
      <x:c r="D48" s="27" t="str">
        <x:v>EUR</x:v>
      </x:c>
      <x:c r="E48" s="27" t="str">
        <x:v>IR currency and maturity bucket</x:v>
      </x:c>
      <x:c r="F48" s="27" t="n">
        <x:v>123949789.03015296</x:v>
      </x:c>
      <x:c r="G48" s="27" t="n">
        <x:v>619748.9451507648</x:v>
      </x:c>
    </x:row>
    <x:row r="49">
      <x:c r="A49" s="27" t="str">
        <x:v>IND_SOVEREIGN_001</x:v>
      </x:c>
      <x:c r="B49" s="27" t="n">
        <x:v>3065</x:v>
      </x:c>
      <x:c r="C49" s="27" t="str">
        <x:v>Interest Rate</x:v>
      </x:c>
      <x:c r="D49" s="27" t="str">
        <x:v>USD</x:v>
      </x:c>
      <x:c r="E49" s="27" t="str">
        <x:v>IR currency and maturity bucket</x:v>
      </x:c>
      <x:c r="F49" s="27" t="n">
        <x:v>1166138086.7462137</x:v>
      </x:c>
      <x:c r="G49" s="27" t="n">
        <x:v>5830690.433731069</x:v>
      </x:c>
    </x:row>
    <x:row r="50">
      <x:c r="A50" s="27" t="str">
        <x:v>IND_SOVEREIGN_001</x:v>
      </x:c>
      <x:c r="B50" s="27" t="n">
        <x:v>3246</x:v>
      </x:c>
      <x:c r="C50" s="27" t="str">
        <x:v>Interest Rate</x:v>
      </x:c>
      <x:c r="D50" s="27" t="str">
        <x:v>CNY</x:v>
      </x:c>
      <x:c r="E50" s="27" t="str">
        <x:v>IR currency and maturity bucket</x:v>
      </x:c>
      <x:c r="F50" s="27" t="n">
        <x:v>4213003971.747692</x:v>
      </x:c>
      <x:c r="G50" s="27" t="n">
        <x:v>21065019.85873846</x:v>
      </x:c>
    </x:row>
    <x:row r="51">
      <x:c r="A51" s="27" t="str">
        <x:v>IND_SOVEREIGN_001</x:v>
      </x:c>
      <x:c r="B51" s="27" t="n">
        <x:v>3246</x:v>
      </x:c>
      <x:c r="C51" s="27" t="str">
        <x:v>Interest Rate</x:v>
      </x:c>
      <x:c r="D51" s="27" t="str">
        <x:v>EUR</x:v>
      </x:c>
      <x:c r="E51" s="27" t="str">
        <x:v>IR currency and maturity bucket</x:v>
      </x:c>
      <x:c r="F51" s="27" t="n">
        <x:v>29093499.610572867</x:v>
      </x:c>
      <x:c r="G51" s="27" t="n">
        <x:v>145467.49805286434</x:v>
      </x:c>
    </x:row>
    <x:row r="52">
      <x:c r="A52" s="27" t="str">
        <x:v>IND_ASSET_MANAGER_001</x:v>
      </x:c>
      <x:c r="B52" s="27" t="n">
        <x:v>3127</x:v>
      </x:c>
      <x:c r="C52" s="27" t="str">
        <x:v>FX</x:v>
      </x:c>
      <x:c r="D52" s="27" t="str">
        <x:v>CNH/USD</x:v>
      </x:c>
      <x:c r="E52" s="27" t="str">
        <x:v>FX currency pair</x:v>
      </x:c>
      <x:c r="F52" s="27" t="n">
        <x:v>61200000.00000001</x:v>
      </x:c>
      <x:c r="G52" s="27" t="n">
        <x:v>2448000.0000000005</x:v>
      </x:c>
    </x:row>
    <x:row r="53">
      <x:c r="A53" s="27" t="str">
        <x:v>IND_ASSET_MANAGER_001</x:v>
      </x:c>
      <x:c r="B53" s="27" t="n">
        <x:v>3127</x:v>
      </x:c>
      <x:c r="C53" s="27" t="str">
        <x:v>FX</x:v>
      </x:c>
      <x:c r="D53" s="27" t="str">
        <x:v>CNY/USD</x:v>
      </x:c>
      <x:c r="E53" s="27" t="str">
        <x:v>FX currency pair</x:v>
      </x:c>
      <x:c r="F53" s="27" t="n">
        <x:v>16020000.000000002</x:v>
      </x:c>
      <x:c r="G53" s="27" t="n">
        <x:v>640800.0000000001</x:v>
      </x:c>
    </x:row>
    <x:row r="54">
      <x:c r="A54" s="27" t="str">
        <x:v>IND_ASSET_MANAGER_001</x:v>
      </x:c>
      <x:c r="B54" s="27" t="n">
        <x:v>3127</x:v>
      </x:c>
      <x:c r="C54" s="27" t="str">
        <x:v>FX</x:v>
      </x:c>
      <x:c r="D54" s="27" t="str">
        <x:v>GBP/USD</x:v>
      </x:c>
      <x:c r="E54" s="27" t="str">
        <x:v>FX currency pair</x:v>
      </x:c>
      <x:c r="F54" s="27" t="n">
        <x:v>46800000.00000001</x:v>
      </x:c>
      <x:c r="G54" s="27" t="n">
        <x:v>1872000.0000000002</x:v>
      </x:c>
    </x:row>
    <x:row r="55">
      <x:c r="A55" s="27" t="str">
        <x:v>IND_ASSET_MANAGER_001</x:v>
      </x:c>
      <x:c r="B55" s="27" t="n">
        <x:v>3127</x:v>
      </x:c>
      <x:c r="C55" s="27" t="str">
        <x:v>FX</x:v>
      </x:c>
      <x:c r="D55" s="27" t="str">
        <x:v>JPY/USD</x:v>
      </x:c>
      <x:c r="E55" s="27" t="str">
        <x:v>FX currency pair</x:v>
      </x:c>
      <x:c r="F55" s="27" t="n">
        <x:v>328575.73984195443</x:v>
      </x:c>
      <x:c r="G55" s="27" t="n">
        <x:v>13143.029593678177</x:v>
      </x:c>
    </x:row>
    <x:row r="56">
      <x:c r="A56" s="27" t="str">
        <x:v>IND_ASSET_MANAGER_001</x:v>
      </x:c>
      <x:c r="B56" s="27" t="n">
        <x:v>3257</x:v>
      </x:c>
      <x:c r="C56" s="27" t="str">
        <x:v>FX</x:v>
      </x:c>
      <x:c r="D56" s="27" t="str">
        <x:v>CNH/USD</x:v>
      </x:c>
      <x:c r="E56" s="27" t="str">
        <x:v>FX currency pair</x:v>
      </x:c>
      <x:c r="F56" s="27" t="n">
        <x:v>12900000</x:v>
      </x:c>
      <x:c r="G56" s="27" t="n">
        <x:v>516000</x:v>
      </x:c>
    </x:row>
    <x:row r="57">
      <x:c r="A57" s="27" t="str">
        <x:v>IND_BANK_001</x:v>
      </x:c>
      <x:c r="B57" s="27" t="n">
        <x:v>3142</x:v>
      </x:c>
      <x:c r="C57" s="27" t="str">
        <x:v>FX</x:v>
      </x:c>
      <x:c r="D57" s="27" t="str">
        <x:v>CNY/USD</x:v>
      </x:c>
      <x:c r="E57" s="27" t="str">
        <x:v>FX currency pair</x:v>
      </x:c>
      <x:c r="F57" s="27" t="n">
        <x:v>3279661.3589120884</x:v>
      </x:c>
      <x:c r="G57" s="27" t="n">
        <x:v>131186.45435648353</x:v>
      </x:c>
    </x:row>
    <x:row r="58">
      <x:c r="A58" s="27" t="str">
        <x:v>IND_BANK_001</x:v>
      </x:c>
      <x:c r="B58" s="27" t="n">
        <x:v>3142</x:v>
      </x:c>
      <x:c r="C58" s="27" t="str">
        <x:v>FX</x:v>
      </x:c>
      <x:c r="D58" s="27" t="str">
        <x:v>GBP/USD</x:v>
      </x:c>
      <x:c r="E58" s="27" t="str">
        <x:v>FX currency pair</x:v>
      </x:c>
      <x:c r="F58" s="27" t="n">
        <x:v>30300000.000000004</x:v>
      </x:c>
      <x:c r="G58" s="27" t="n">
        <x:v>1212000.0000000002</x:v>
      </x:c>
    </x:row>
    <x:row r="59">
      <x:c r="A59" s="27" t="str">
        <x:v>IND_BANK_001</x:v>
      </x:c>
      <x:c r="B59" s="27" t="n">
        <x:v>3142</x:v>
      </x:c>
      <x:c r="C59" s="27" t="str">
        <x:v>FX</x:v>
      </x:c>
      <x:c r="D59" s="27" t="str">
        <x:v>JPY/USD</x:v>
      </x:c>
      <x:c r="E59" s="27" t="str">
        <x:v>FX currency pair</x:v>
      </x:c>
      <x:c r="F59" s="27" t="n">
        <x:v>300000.00000000006</x:v>
      </x:c>
      <x:c r="G59" s="27" t="n">
        <x:v>12000.000000000002</x:v>
      </x:c>
    </x:row>
    <x:row r="60">
      <x:c r="A60" s="27" t="str">
        <x:v>IND_BANK_001</x:v>
      </x:c>
      <x:c r="B60" s="27" t="n">
        <x:v>3214</x:v>
      </x:c>
      <x:c r="C60" s="27" t="str">
        <x:v>FX</x:v>
      </x:c>
      <x:c r="D60" s="27" t="str">
        <x:v>AUD/USD</x:v>
      </x:c>
      <x:c r="E60" s="27" t="str">
        <x:v>FX currency pair</x:v>
      </x:c>
      <x:c r="F60" s="27" t="n">
        <x:v>34600000</x:v>
      </x:c>
      <x:c r="G60" s="27" t="n">
        <x:v>1384000</x:v>
      </x:c>
    </x:row>
    <x:row r="61">
      <x:c r="A61" s="27" t="str">
        <x:v>IND_BANK_001</x:v>
      </x:c>
      <x:c r="B61" s="27" t="n">
        <x:v>3214</x:v>
      </x:c>
      <x:c r="C61" s="27" t="str">
        <x:v>FX</x:v>
      </x:c>
      <x:c r="D61" s="27" t="str">
        <x:v>CNY/USD</x:v>
      </x:c>
      <x:c r="E61" s="27" t="str">
        <x:v>FX currency pair</x:v>
      </x:c>
      <x:c r="F61" s="27" t="n">
        <x:v>89303536.92034441</x:v>
      </x:c>
      <x:c r="G61" s="27" t="n">
        <x:v>3572141.4768137764</x:v>
      </x:c>
    </x:row>
    <x:row r="62">
      <x:c r="A62" s="27" t="str">
        <x:v>IND_BANK_001</x:v>
      </x:c>
      <x:c r="B62" s="27" t="n">
        <x:v>3214</x:v>
      </x:c>
      <x:c r="C62" s="27" t="str">
        <x:v>FX</x:v>
      </x:c>
      <x:c r="D62" s="27" t="str">
        <x:v>EUR/USD</x:v>
      </x:c>
      <x:c r="E62" s="27" t="str">
        <x:v>FX currency pair</x:v>
      </x:c>
      <x:c r="F62" s="27" t="n">
        <x:v>22100000</x:v>
      </x:c>
      <x:c r="G62" s="27" t="n">
        <x:v>884000</x:v>
      </x:c>
    </x:row>
    <x:row r="63">
      <x:c r="A63" s="27" t="str">
        <x:v>IND_BANK_002</x:v>
      </x:c>
      <x:c r="B63" s="27" t="n">
        <x:v>3318</x:v>
      </x:c>
      <x:c r="C63" s="27" t="str">
        <x:v>FX</x:v>
      </x:c>
      <x:c r="D63" s="27" t="str">
        <x:v>EUR/USD</x:v>
      </x:c>
      <x:c r="E63" s="27" t="str">
        <x:v>FX currency pair</x:v>
      </x:c>
      <x:c r="F63" s="27" t="n">
        <x:v>114522287.24686104</x:v>
      </x:c>
      <x:c r="G63" s="27" t="n">
        <x:v>4580891.489874442</x:v>
      </x:c>
    </x:row>
    <x:row r="64">
      <x:c r="A64" s="27" t="str">
        <x:v>IND_BANK_002</x:v>
      </x:c>
      <x:c r="B64" s="27" t="n">
        <x:v>3331</x:v>
      </x:c>
      <x:c r="C64" s="27" t="str">
        <x:v>FX</x:v>
      </x:c>
      <x:c r="D64" s="27" t="str">
        <x:v>AUD/USD</x:v>
      </x:c>
      <x:c r="E64" s="27" t="str">
        <x:v>FX currency pair</x:v>
      </x:c>
      <x:c r="F64" s="27" t="n">
        <x:v>6780000.000000001</x:v>
      </x:c>
      <x:c r="G64" s="27" t="n">
        <x:v>271200.00000000006</x:v>
      </x:c>
    </x:row>
    <x:row r="65">
      <x:c r="A65" s="27" t="str">
        <x:v>IND_BANK_002</x:v>
      </x:c>
      <x:c r="B65" s="27" t="n">
        <x:v>3331</x:v>
      </x:c>
      <x:c r="C65" s="27" t="str">
        <x:v>FX</x:v>
      </x:c>
      <x:c r="D65" s="27" t="str">
        <x:v>CNY/USD</x:v>
      </x:c>
      <x:c r="E65" s="27" t="str">
        <x:v>FX currency pair</x:v>
      </x:c>
      <x:c r="F65" s="27" t="n">
        <x:v>38700000.00000001</x:v>
      </x:c>
      <x:c r="G65" s="27" t="n">
        <x:v>1548000.0000000002</x:v>
      </x:c>
    </x:row>
    <x:row r="66">
      <x:c r="A66" s="27" t="str">
        <x:v>IND_BANK_002</x:v>
      </x:c>
      <x:c r="B66" s="27" t="n">
        <x:v>3331</x:v>
      </x:c>
      <x:c r="C66" s="27" t="str">
        <x:v>FX</x:v>
      </x:c>
      <x:c r="D66" s="27" t="str">
        <x:v>EUR/USD</x:v>
      </x:c>
      <x:c r="E66" s="27" t="str">
        <x:v>FX currency pair</x:v>
      </x:c>
      <x:c r="F66" s="27" t="n">
        <x:v>57562626.28399405</x:v>
      </x:c>
      <x:c r="G66" s="27" t="n">
        <x:v>2302505.051359762</x:v>
      </x:c>
    </x:row>
    <x:row r="67">
      <x:c r="A67" s="27" t="str">
        <x:v>IND_BANK_002</x:v>
      </x:c>
      <x:c r="B67" s="27" t="n">
        <x:v>3331</x:v>
      </x:c>
      <x:c r="C67" s="27" t="str">
        <x:v>FX</x:v>
      </x:c>
      <x:c r="D67" s="27" t="str">
        <x:v>JPY/USD</x:v>
      </x:c>
      <x:c r="E67" s="27" t="str">
        <x:v>FX currency pair</x:v>
      </x:c>
      <x:c r="F67" s="27" t="n">
        <x:v>36900000.00000001</x:v>
      </x:c>
      <x:c r="G67" s="27" t="n">
        <x:v>1476000.0000000002</x:v>
      </x:c>
    </x:row>
    <x:row r="68">
      <x:c r="A68" s="27" t="str">
        <x:v>IND_BROKER_001</x:v>
      </x:c>
      <x:c r="B68" s="27" t="n">
        <x:v>3276</x:v>
      </x:c>
      <x:c r="C68" s="27" t="str">
        <x:v>FX</x:v>
      </x:c>
      <x:c r="D68" s="27" t="str">
        <x:v>GBP/USD</x:v>
      </x:c>
      <x:c r="E68" s="27" t="str">
        <x:v>FX currency pair</x:v>
      </x:c>
      <x:c r="F68" s="27" t="n">
        <x:v>26783969.97094254</x:v>
      </x:c>
      <x:c r="G68" s="27" t="n">
        <x:v>1071358.7988377016</x:v>
      </x:c>
    </x:row>
    <x:row r="69">
      <x:c r="A69" s="27" t="str">
        <x:v>IND_BROKER_001</x:v>
      </x:c>
      <x:c r="B69" s="27" t="n">
        <x:v>3276</x:v>
      </x:c>
      <x:c r="C69" s="27" t="str">
        <x:v>FX</x:v>
      </x:c>
      <x:c r="D69" s="27" t="str">
        <x:v>JPY/USD</x:v>
      </x:c>
      <x:c r="E69" s="27" t="str">
        <x:v>FX currency pair</x:v>
      </x:c>
      <x:c r="F69" s="27" t="n">
        <x:v>18000000.000000004</x:v>
      </x:c>
      <x:c r="G69" s="27" t="n">
        <x:v>720000.0000000001</x:v>
      </x:c>
    </x:row>
    <x:row r="70">
      <x:c r="A70" s="27" t="str">
        <x:v>IND_BROKER_001</x:v>
      </x:c>
      <x:c r="B70" s="27" t="n">
        <x:v>3384</x:v>
      </x:c>
      <x:c r="C70" s="27" t="str">
        <x:v>FX</x:v>
      </x:c>
      <x:c r="D70" s="27" t="str">
        <x:v>CNY/USD</x:v>
      </x:c>
      <x:c r="E70" s="27" t="str">
        <x:v>FX currency pair</x:v>
      </x:c>
      <x:c r="F70" s="27" t="n">
        <x:v>9400000</x:v>
      </x:c>
      <x:c r="G70" s="27" t="n">
        <x:v>376000</x:v>
      </x:c>
    </x:row>
    <x:row r="71">
      <x:c r="A71" s="27" t="str">
        <x:v>IND_BROKER_001</x:v>
      </x:c>
      <x:c r="B71" s="27" t="n">
        <x:v>3384</x:v>
      </x:c>
      <x:c r="C71" s="27" t="str">
        <x:v>FX</x:v>
      </x:c>
      <x:c r="D71" s="27" t="str">
        <x:v>GBP/USD</x:v>
      </x:c>
      <x:c r="E71" s="27" t="str">
        <x:v>FX currency pair</x:v>
      </x:c>
      <x:c r="F71" s="27" t="n">
        <x:v>26964728.927722123</x:v>
      </x:c>
      <x:c r="G71" s="27" t="n">
        <x:v>1078589.157108885</x:v>
      </x:c>
    </x:row>
    <x:row r="72">
      <x:c r="A72" s="27" t="str">
        <x:v>IND_CLEARING_MEMBER_001</x:v>
      </x:c>
      <x:c r="B72" s="27" t="n">
        <x:v>3206</x:v>
      </x:c>
      <x:c r="C72" s="27" t="str">
        <x:v>FX</x:v>
      </x:c>
      <x:c r="D72" s="27" t="str">
        <x:v>CNY/USD</x:v>
      </x:c>
      <x:c r="E72" s="27" t="str">
        <x:v>FX currency pair</x:v>
      </x:c>
      <x:c r="F72" s="27" t="n">
        <x:v>3930000.0000000005</x:v>
      </x:c>
      <x:c r="G72" s="27" t="n">
        <x:v>157200.00000000003</x:v>
      </x:c>
    </x:row>
    <x:row r="73">
      <x:c r="A73" s="27" t="str">
        <x:v>IND_CLEARING_MEMBER_001</x:v>
      </x:c>
      <x:c r="B73" s="27" t="n">
        <x:v>3206</x:v>
      </x:c>
      <x:c r="C73" s="27" t="str">
        <x:v>FX</x:v>
      </x:c>
      <x:c r="D73" s="27" t="str">
        <x:v>GBP/USD</x:v>
      </x:c>
      <x:c r="E73" s="27" t="str">
        <x:v>FX currency pair</x:v>
      </x:c>
      <x:c r="F73" s="27" t="n">
        <x:v>18739976.23762832</x:v>
      </x:c>
      <x:c r="G73" s="27" t="n">
        <x:v>749599.0495051327</x:v>
      </x:c>
    </x:row>
    <x:row r="74">
      <x:c r="A74" s="27" t="str">
        <x:v>IND_CLEARING_MEMBER_001</x:v>
      </x:c>
      <x:c r="B74" s="27" t="n">
        <x:v>3206</x:v>
      </x:c>
      <x:c r="C74" s="27" t="str">
        <x:v>FX</x:v>
      </x:c>
      <x:c r="D74" s="27" t="str">
        <x:v>JPY/USD</x:v>
      </x:c>
      <x:c r="E74" s="27" t="str">
        <x:v>FX currency pair</x:v>
      </x:c>
      <x:c r="F74" s="27" t="n">
        <x:v>8100000.000000006</x:v>
      </x:c>
      <x:c r="G74" s="27" t="n">
        <x:v>324000.00000000023</x:v>
      </x:c>
    </x:row>
    <x:row r="75">
      <x:c r="A75" s="27" t="str">
        <x:v>IND_CLEARING_MEMBER_001</x:v>
      </x:c>
      <x:c r="B75" s="27" t="n">
        <x:v>3288</x:v>
      </x:c>
      <x:c r="C75" s="27" t="str">
        <x:v>FX</x:v>
      </x:c>
      <x:c r="D75" s="27" t="str">
        <x:v>GBP/USD</x:v>
      </x:c>
      <x:c r="E75" s="27" t="str">
        <x:v>FX currency pair</x:v>
      </x:c>
      <x:c r="F75" s="27" t="n">
        <x:v>87863464.53111973</x:v>
      </x:c>
      <x:c r="G75" s="27" t="n">
        <x:v>3514538.5812447895</x:v>
      </x:c>
    </x:row>
    <x:row r="76">
      <x:c r="A76" s="27" t="str">
        <x:v>IND_CORPORATE_001</x:v>
      </x:c>
      <x:c r="B76" s="27" t="n">
        <x:v>3040</x:v>
      </x:c>
      <x:c r="C76" s="27" t="str">
        <x:v>FX</x:v>
      </x:c>
      <x:c r="D76" s="27" t="str">
        <x:v>EUR/USD</x:v>
      </x:c>
      <x:c r="E76" s="27" t="str">
        <x:v>FX currency pair</x:v>
      </x:c>
      <x:c r="F76" s="27" t="n">
        <x:v>16814756.719340503</x:v>
      </x:c>
      <x:c r="G76" s="27" t="n">
        <x:v>672590.2687736201</x:v>
      </x:c>
    </x:row>
    <x:row r="77">
      <x:c r="A77" s="27" t="str">
        <x:v>IND_CORPORATE_001</x:v>
      </x:c>
      <x:c r="B77" s="27" t="n">
        <x:v>3040</x:v>
      </x:c>
      <x:c r="C77" s="27" t="str">
        <x:v>FX</x:v>
      </x:c>
      <x:c r="D77" s="27" t="str">
        <x:v>JPY/USD</x:v>
      </x:c>
      <x:c r="E77" s="27" t="str">
        <x:v>FX currency pair</x:v>
      </x:c>
      <x:c r="F77" s="27" t="n">
        <x:v>300000.00000000006</x:v>
      </x:c>
      <x:c r="G77" s="27" t="n">
        <x:v>12000.000000000002</x:v>
      </x:c>
    </x:row>
    <x:row r="78">
      <x:c r="A78" s="27" t="str">
        <x:v>IND_CORPORATE_001</x:v>
      </x:c>
      <x:c r="B78" s="27" t="n">
        <x:v>3092</x:v>
      </x:c>
      <x:c r="C78" s="27" t="str">
        <x:v>FX</x:v>
      </x:c>
      <x:c r="D78" s="27" t="str">
        <x:v>EUR/USD</x:v>
      </x:c>
      <x:c r="E78" s="27" t="str">
        <x:v>FX currency pair</x:v>
      </x:c>
      <x:c r="F78" s="27" t="n">
        <x:v>17892440.027011592</x:v>
      </x:c>
      <x:c r="G78" s="27" t="n">
        <x:v>715697.6010804637</x:v>
      </x:c>
    </x:row>
    <x:row r="79">
      <x:c r="A79" s="27" t="str">
        <x:v>IND_CORPORATE_001</x:v>
      </x:c>
      <x:c r="B79" s="27" t="n">
        <x:v>3092</x:v>
      </x:c>
      <x:c r="C79" s="27" t="str">
        <x:v>FX</x:v>
      </x:c>
      <x:c r="D79" s="27" t="str">
        <x:v>GBP/USD</x:v>
      </x:c>
      <x:c r="E79" s="27" t="str">
        <x:v>FX currency pair</x:v>
      </x:c>
      <x:c r="F79" s="27" t="n">
        <x:v>57800000</x:v>
      </x:c>
      <x:c r="G79" s="27" t="n">
        <x:v>2312000</x:v>
      </x:c>
    </x:row>
    <x:row r="80">
      <x:c r="A80" s="27" t="str">
        <x:v>IND_CORPORATE_002</x:v>
      </x:c>
      <x:c r="B80" s="27" t="n">
        <x:v>3187</x:v>
      </x:c>
      <x:c r="C80" s="27" t="str">
        <x:v>FX</x:v>
      </x:c>
      <x:c r="D80" s="27" t="str">
        <x:v>EUR/USD</x:v>
      </x:c>
      <x:c r="E80" s="27" t="str">
        <x:v>FX currency pair</x:v>
      </x:c>
      <x:c r="F80" s="27" t="n">
        <x:v>23600000</x:v>
      </x:c>
      <x:c r="G80" s="27" t="n">
        <x:v>944000</x:v>
      </x:c>
    </x:row>
    <x:row r="81">
      <x:c r="A81" s="27" t="str">
        <x:v>IND_CORPORATE_002</x:v>
      </x:c>
      <x:c r="B81" s="27" t="n">
        <x:v>3187</x:v>
      </x:c>
      <x:c r="C81" s="27" t="str">
        <x:v>FX</x:v>
      </x:c>
      <x:c r="D81" s="27" t="str">
        <x:v>GBP/USD</x:v>
      </x:c>
      <x:c r="E81" s="27" t="str">
        <x:v>FX currency pair</x:v>
      </x:c>
      <x:c r="F81" s="27" t="n">
        <x:v>8890088.004275344</x:v>
      </x:c>
      <x:c r="G81" s="27" t="n">
        <x:v>355603.5201710138</x:v>
      </x:c>
    </x:row>
    <x:row r="82">
      <x:c r="A82" s="27" t="str">
        <x:v>IND_CORPORATE_002</x:v>
      </x:c>
      <x:c r="B82" s="27" t="n">
        <x:v>3346</x:v>
      </x:c>
      <x:c r="C82" s="27" t="str">
        <x:v>FX</x:v>
      </x:c>
      <x:c r="D82" s="27" t="str">
        <x:v>AUD/USD</x:v>
      </x:c>
      <x:c r="E82" s="27" t="str">
        <x:v>FX currency pair</x:v>
      </x:c>
      <x:c r="F82" s="27" t="n">
        <x:v>25800000.000000004</x:v>
      </x:c>
      <x:c r="G82" s="27" t="n">
        <x:v>1032000.0000000001</x:v>
      </x:c>
    </x:row>
    <x:row r="83">
      <x:c r="A83" s="27" t="str">
        <x:v>IND_CORPORATE_002</x:v>
      </x:c>
      <x:c r="B83" s="27" t="n">
        <x:v>3346</x:v>
      </x:c>
      <x:c r="C83" s="27" t="str">
        <x:v>FX</x:v>
      </x:c>
      <x:c r="D83" s="27" t="str">
        <x:v>CNY/USD</x:v>
      </x:c>
      <x:c r="E83" s="27" t="str">
        <x:v>FX currency pair</x:v>
      </x:c>
      <x:c r="F83" s="27" t="n">
        <x:v>20940000.000000004</x:v>
      </x:c>
      <x:c r="G83" s="27" t="n">
        <x:v>837600.0000000001</x:v>
      </x:c>
    </x:row>
    <x:row r="84">
      <x:c r="A84" s="27" t="str">
        <x:v>IND_CORPORATE_002</x:v>
      </x:c>
      <x:c r="B84" s="27" t="n">
        <x:v>3346</x:v>
      </x:c>
      <x:c r="C84" s="27" t="str">
        <x:v>FX</x:v>
      </x:c>
      <x:c r="D84" s="27" t="str">
        <x:v>GBP/USD</x:v>
      </x:c>
      <x:c r="E84" s="27" t="str">
        <x:v>FX currency pair</x:v>
      </x:c>
      <x:c r="F84" s="27" t="n">
        <x:v>18828663.153719813</x:v>
      </x:c>
      <x:c r="G84" s="27" t="n">
        <x:v>753146.5261487925</x:v>
      </x:c>
    </x:row>
    <x:row r="85">
      <x:c r="A85" s="27" t="str">
        <x:v>IND_CORPORATE_002</x:v>
      </x:c>
      <x:c r="B85" s="27" t="n">
        <x:v>3346</x:v>
      </x:c>
      <x:c r="C85" s="27" t="str">
        <x:v>FX</x:v>
      </x:c>
      <x:c r="D85" s="27" t="str">
        <x:v>JPY/USD</x:v>
      </x:c>
      <x:c r="E85" s="27" t="str">
        <x:v>FX currency pair</x:v>
      </x:c>
      <x:c r="F85" s="27" t="n">
        <x:v>31230000.000000007</x:v>
      </x:c>
      <x:c r="G85" s="27" t="n">
        <x:v>1249200.0000000002</x:v>
      </x:c>
    </x:row>
    <x:row r="86">
      <x:c r="A86" s="27" t="str">
        <x:v>IND_HEDGE_FUND_001</x:v>
      </x:c>
      <x:c r="B86" s="27" t="n">
        <x:v>3040</x:v>
      </x:c>
      <x:c r="C86" s="27" t="str">
        <x:v>FX</x:v>
      </x:c>
      <x:c r="D86" s="27" t="str">
        <x:v>CNY/USD</x:v>
      </x:c>
      <x:c r="E86" s="27" t="str">
        <x:v>FX currency pair</x:v>
      </x:c>
      <x:c r="F86" s="27" t="n">
        <x:v>15811665.479333796</x:v>
      </x:c>
      <x:c r="G86" s="27" t="n">
        <x:v>632466.6191733518</x:v>
      </x:c>
    </x:row>
    <x:row r="87">
      <x:c r="A87" s="27" t="str">
        <x:v>IND_HEDGE_FUND_001</x:v>
      </x:c>
      <x:c r="B87" s="27" t="n">
        <x:v>3205</x:v>
      </x:c>
      <x:c r="C87" s="27" t="str">
        <x:v>FX</x:v>
      </x:c>
      <x:c r="D87" s="27" t="str">
        <x:v>AUD/USD</x:v>
      </x:c>
      <x:c r="E87" s="27" t="str">
        <x:v>FX currency pair</x:v>
      </x:c>
      <x:c r="F87" s="27" t="n">
        <x:v>7530000.000000001</x:v>
      </x:c>
      <x:c r="G87" s="27" t="n">
        <x:v>301200.00000000006</x:v>
      </x:c>
    </x:row>
    <x:row r="88">
      <x:c r="A88" s="27" t="str">
        <x:v>IND_HEDGE_FUND_001</x:v>
      </x:c>
      <x:c r="B88" s="27" t="n">
        <x:v>3205</x:v>
      </x:c>
      <x:c r="C88" s="27" t="str">
        <x:v>FX</x:v>
      </x:c>
      <x:c r="D88" s="27" t="str">
        <x:v>CNY/USD</x:v>
      </x:c>
      <x:c r="E88" s="27" t="str">
        <x:v>FX currency pair</x:v>
      </x:c>
      <x:c r="F88" s="27" t="n">
        <x:v>6528736.885732142</x:v>
      </x:c>
      <x:c r="G88" s="27" t="n">
        <x:v>261149.4754292857</x:v>
      </x:c>
    </x:row>
    <x:row r="89">
      <x:c r="A89" s="27" t="str">
        <x:v>IND_HEDGE_FUND_001</x:v>
      </x:c>
      <x:c r="B89" s="27" t="n">
        <x:v>3205</x:v>
      </x:c>
      <x:c r="C89" s="27" t="str">
        <x:v>FX</x:v>
      </x:c>
      <x:c r="D89" s="27" t="str">
        <x:v>JPY/USD</x:v>
      </x:c>
      <x:c r="E89" s="27" t="str">
        <x:v>FX currency pair</x:v>
      </x:c>
      <x:c r="F89" s="27" t="n">
        <x:v>480000.00000000006</x:v>
      </x:c>
      <x:c r="G89" s="27" t="n">
        <x:v>19200.000000000004</x:v>
      </x:c>
    </x:row>
    <x:row r="90">
      <x:c r="A90" s="27" t="str">
        <x:v>IND_INSURER_001</x:v>
      </x:c>
      <x:c r="B90" s="27" t="n">
        <x:v>3094</x:v>
      </x:c>
      <x:c r="C90" s="27" t="str">
        <x:v>FX</x:v>
      </x:c>
      <x:c r="D90" s="27" t="str">
        <x:v>CNH/USD</x:v>
      </x:c>
      <x:c r="E90" s="27" t="str">
        <x:v>FX currency pair</x:v>
      </x:c>
      <x:c r="F90" s="27" t="n">
        <x:v>31585500.401551947</x:v>
      </x:c>
      <x:c r="G90" s="27" t="n">
        <x:v>1263420.0160620778</x:v>
      </x:c>
    </x:row>
    <x:row r="91">
      <x:c r="A91" s="27" t="str">
        <x:v>IND_INSURER_001</x:v>
      </x:c>
      <x:c r="B91" s="27" t="n">
        <x:v>3094</x:v>
      </x:c>
      <x:c r="C91" s="27" t="str">
        <x:v>FX</x:v>
      </x:c>
      <x:c r="D91" s="27" t="str">
        <x:v>GBP/USD</x:v>
      </x:c>
      <x:c r="E91" s="27" t="str">
        <x:v>FX currency pair</x:v>
      </x:c>
      <x:c r="F91" s="27" t="n">
        <x:v>59600000</x:v>
      </x:c>
      <x:c r="G91" s="27" t="n">
        <x:v>2384000</x:v>
      </x:c>
    </x:row>
    <x:row r="92">
      <x:c r="A92" s="27" t="str">
        <x:v>IND_INSURER_001</x:v>
      </x:c>
      <x:c r="B92" s="27" t="n">
        <x:v>3094</x:v>
      </x:c>
      <x:c r="C92" s="27" t="str">
        <x:v>FX</x:v>
      </x:c>
      <x:c r="D92" s="27" t="str">
        <x:v>JPY/USD</x:v>
      </x:c>
      <x:c r="E92" s="27" t="str">
        <x:v>FX currency pair</x:v>
      </x:c>
      <x:c r="F92" s="27" t="n">
        <x:v>19881341.77952966</x:v>
      </x:c>
      <x:c r="G92" s="27" t="n">
        <x:v>795253.6711811865</x:v>
      </x:c>
    </x:row>
    <x:row r="93">
      <x:c r="A93" s="27" t="str">
        <x:v>IND_INSURER_001</x:v>
      </x:c>
      <x:c r="B93" s="27" t="n">
        <x:v>3122</x:v>
      </x:c>
      <x:c r="C93" s="27" t="str">
        <x:v>FX</x:v>
      </x:c>
      <x:c r="D93" s="27" t="str">
        <x:v>AUD/USD</x:v>
      </x:c>
      <x:c r="E93" s="27" t="str">
        <x:v>FX currency pair</x:v>
      </x:c>
      <x:c r="F93" s="27" t="n">
        <x:v>45300000.00000001</x:v>
      </x:c>
      <x:c r="G93" s="27" t="n">
        <x:v>1812000.0000000002</x:v>
      </x:c>
    </x:row>
    <x:row r="94">
      <x:c r="A94" s="27" t="str">
        <x:v>IND_INSURER_001</x:v>
      </x:c>
      <x:c r="B94" s="27" t="n">
        <x:v>3122</x:v>
      </x:c>
      <x:c r="C94" s="27" t="str">
        <x:v>FX</x:v>
      </x:c>
      <x:c r="D94" s="27" t="str">
        <x:v>JPY/USD</x:v>
      </x:c>
      <x:c r="E94" s="27" t="str">
        <x:v>FX currency pair</x:v>
      </x:c>
      <x:c r="F94" s="27" t="n">
        <x:v>37200000.00000001</x:v>
      </x:c>
      <x:c r="G94" s="27" t="n">
        <x:v>1488000.0000000002</x:v>
      </x:c>
    </x:row>
    <x:row r="95">
      <x:c r="A95" s="27" t="str">
        <x:v>IND_PENSION_001</x:v>
      </x:c>
      <x:c r="B95" s="27" t="n">
        <x:v>3254</x:v>
      </x:c>
      <x:c r="C95" s="27" t="str">
        <x:v>FX</x:v>
      </x:c>
      <x:c r="D95" s="27" t="str">
        <x:v>EUR/USD</x:v>
      </x:c>
      <x:c r="E95" s="27" t="str">
        <x:v>FX currency pair</x:v>
      </x:c>
      <x:c r="F95" s="27" t="n">
        <x:v>58705360.1902628</x:v>
      </x:c>
      <x:c r="G95" s="27" t="n">
        <x:v>2348214.4076105123</x:v>
      </x:c>
    </x:row>
    <x:row r="96">
      <x:c r="A96" s="27" t="str">
        <x:v>IND_PENSION_001</x:v>
      </x:c>
      <x:c r="B96" s="27" t="n">
        <x:v>3254</x:v>
      </x:c>
      <x:c r="C96" s="27" t="str">
        <x:v>FX</x:v>
      </x:c>
      <x:c r="D96" s="27" t="str">
        <x:v>JPY/USD</x:v>
      </x:c>
      <x:c r="E96" s="27" t="str">
        <x:v>FX currency pair</x:v>
      </x:c>
      <x:c r="F96" s="27" t="n">
        <x:v>1400000</x:v>
      </x:c>
      <x:c r="G96" s="27" t="n">
        <x:v>56000</x:v>
      </x:c>
    </x:row>
    <x:row r="97">
      <x:c r="A97" s="27" t="str">
        <x:v>IND_PENSION_001</x:v>
      </x:c>
      <x:c r="B97" s="27" t="n">
        <x:v>3294</x:v>
      </x:c>
      <x:c r="C97" s="27" t="str">
        <x:v>FX</x:v>
      </x:c>
      <x:c r="D97" s="27" t="str">
        <x:v>EUR/USD</x:v>
      </x:c>
      <x:c r="E97" s="27" t="str">
        <x:v>FX currency pair</x:v>
      </x:c>
      <x:c r="F97" s="27" t="n">
        <x:v>67320000.00000001</x:v>
      </x:c>
      <x:c r="G97" s="27" t="n">
        <x:v>2692800.0000000005</x:v>
      </x:c>
    </x:row>
    <x:row r="98">
      <x:c r="A98" s="27" t="str">
        <x:v>IND_PENSION_001</x:v>
      </x:c>
      <x:c r="B98" s="27" t="n">
        <x:v>3294</x:v>
      </x:c>
      <x:c r="C98" s="27" t="str">
        <x:v>FX</x:v>
      </x:c>
      <x:c r="D98" s="27" t="str">
        <x:v>JPY/USD</x:v>
      </x:c>
      <x:c r="E98" s="27" t="str">
        <x:v>FX currency pair</x:v>
      </x:c>
      <x:c r="F98" s="27" t="n">
        <x:v>27090000.000000004</x:v>
      </x:c>
      <x:c r="G98" s="27" t="n">
        <x:v>1083600.0000000002</x:v>
      </x:c>
    </x:row>
    <x:row r="99">
      <x:c r="A99" s="27" t="str">
        <x:v>IND_REGIONAL_BANK_001</x:v>
      </x:c>
      <x:c r="B99" s="27" t="n">
        <x:v>3210</x:v>
      </x:c>
      <x:c r="C99" s="27" t="str">
        <x:v>FX</x:v>
      </x:c>
      <x:c r="D99" s="27" t="str">
        <x:v>AUD/USD</x:v>
      </x:c>
      <x:c r="E99" s="27" t="str">
        <x:v>FX currency pair</x:v>
      </x:c>
      <x:c r="F99" s="27" t="n">
        <x:v>21420000.000000004</x:v>
      </x:c>
      <x:c r="G99" s="27" t="n">
        <x:v>856800.0000000001</x:v>
      </x:c>
    </x:row>
    <x:row r="100">
      <x:c r="A100" s="27" t="str">
        <x:v>IND_REGIONAL_BANK_001</x:v>
      </x:c>
      <x:c r="B100" s="27" t="n">
        <x:v>3210</x:v>
      </x:c>
      <x:c r="C100" s="27" t="str">
        <x:v>FX</x:v>
      </x:c>
      <x:c r="D100" s="27" t="str">
        <x:v>CNH/USD</x:v>
      </x:c>
      <x:c r="E100" s="27" t="str">
        <x:v>FX currency pair</x:v>
      </x:c>
      <x:c r="F100" s="27" t="n">
        <x:v>18780000.000000004</x:v>
      </x:c>
      <x:c r="G100" s="27" t="n">
        <x:v>751200.0000000001</x:v>
      </x:c>
    </x:row>
    <x:row r="101">
      <x:c r="A101" s="27" t="str">
        <x:v>IND_REGIONAL_BANK_001</x:v>
      </x:c>
      <x:c r="B101" s="27" t="n">
        <x:v>3210</x:v>
      </x:c>
      <x:c r="C101" s="27" t="str">
        <x:v>FX</x:v>
      </x:c>
      <x:c r="D101" s="27" t="str">
        <x:v>EUR/USD</x:v>
      </x:c>
      <x:c r="E101" s="27" t="str">
        <x:v>FX currency pair</x:v>
      </x:c>
      <x:c r="F101" s="27" t="n">
        <x:v>3390000.0000000005</x:v>
      </x:c>
      <x:c r="G101" s="27" t="n">
        <x:v>135600.00000000003</x:v>
      </x:c>
    </x:row>
    <x:row r="102">
      <x:c r="A102" s="27" t="str">
        <x:v>IND_REGIONAL_BANK_001</x:v>
      </x:c>
      <x:c r="B102" s="27" t="n">
        <x:v>3210</x:v>
      </x:c>
      <x:c r="C102" s="27" t="str">
        <x:v>FX</x:v>
      </x:c>
      <x:c r="D102" s="27" t="str">
        <x:v>JPY/USD</x:v>
      </x:c>
      <x:c r="E102" s="27" t="str">
        <x:v>FX currency pair</x:v>
      </x:c>
      <x:c r="F102" s="27" t="n">
        <x:v>10854340.917670866</x:v>
      </x:c>
      <x:c r="G102" s="27" t="n">
        <x:v>434173.63670683466</x:v>
      </x:c>
    </x:row>
    <x:row r="103">
      <x:c r="A103" s="27" t="str">
        <x:v>IND_REGIONAL_BANK_001</x:v>
      </x:c>
      <x:c r="B103" s="27" t="n">
        <x:v>3245</x:v>
      </x:c>
      <x:c r="C103" s="27" t="str">
        <x:v>FX</x:v>
      </x:c>
      <x:c r="D103" s="27" t="str">
        <x:v>CNH/USD</x:v>
      </x:c>
      <x:c r="E103" s="27" t="str">
        <x:v>FX currency pair</x:v>
      </x:c>
      <x:c r="F103" s="27" t="n">
        <x:v>2100000</x:v>
      </x:c>
      <x:c r="G103" s="27" t="n">
        <x:v>84000</x:v>
      </x:c>
    </x:row>
    <x:row r="104">
      <x:c r="A104" s="27" t="str">
        <x:v>IND_REGIONAL_BANK_001</x:v>
      </x:c>
      <x:c r="B104" s="27" t="n">
        <x:v>3245</x:v>
      </x:c>
      <x:c r="C104" s="27" t="str">
        <x:v>FX</x:v>
      </x:c>
      <x:c r="D104" s="27" t="str">
        <x:v>GBP/USD</x:v>
      </x:c>
      <x:c r="E104" s="27" t="str">
        <x:v>FX currency pair</x:v>
      </x:c>
      <x:c r="F104" s="27" t="n">
        <x:v>118100000</x:v>
      </x:c>
      <x:c r="G104" s="27" t="n">
        <x:v>4724000</x:v>
      </x:c>
    </x:row>
    <x:row r="105">
      <x:c r="A105" s="27" t="str">
        <x:v>IND_SOVEREIGN_001</x:v>
      </x:c>
      <x:c r="B105" s="27" t="n">
        <x:v>3084</x:v>
      </x:c>
      <x:c r="C105" s="27" t="str">
        <x:v>FX</x:v>
      </x:c>
      <x:c r="D105" s="27" t="str">
        <x:v>CNY/USD</x:v>
      </x:c>
      <x:c r="E105" s="27" t="str">
        <x:v>FX currency pair</x:v>
      </x:c>
      <x:c r="F105" s="27" t="n">
        <x:v>2971136.1793324403</x:v>
      </x:c>
      <x:c r="G105" s="27" t="n">
        <x:v>118845.44717329761</x:v>
      </x:c>
    </x:row>
    <x:row r="106">
      <x:c r="A106" s="27" t="str">
        <x:v>IND_SOVEREIGN_001</x:v>
      </x:c>
      <x:c r="B106" s="27" t="n">
        <x:v>3084</x:v>
      </x:c>
      <x:c r="C106" s="27" t="str">
        <x:v>FX</x:v>
      </x:c>
      <x:c r="D106" s="27" t="str">
        <x:v>GBP/USD</x:v>
      </x:c>
      <x:c r="E106" s="27" t="str">
        <x:v>FX currency pair</x:v>
      </x:c>
      <x:c r="F106" s="27" t="n">
        <x:v>48659679.23817053</x:v>
      </x:c>
      <x:c r="G106" s="27" t="n">
        <x:v>1946387.169526821</x:v>
      </x:c>
    </x:row>
    <x:row r="107">
      <x:c r="A107" s="27" t="str">
        <x:v>IND_SOVEREIGN_001</x:v>
      </x:c>
      <x:c r="B107" s="27" t="n">
        <x:v>3390</x:v>
      </x:c>
      <x:c r="C107" s="27" t="str">
        <x:v>FX</x:v>
      </x:c>
      <x:c r="D107" s="27" t="str">
        <x:v>CNY/USD</x:v>
      </x:c>
      <x:c r="E107" s="27" t="str">
        <x:v>FX currency pair</x:v>
      </x:c>
      <x:c r="F107" s="27" t="n">
        <x:v>63529253.56106241</x:v>
      </x:c>
      <x:c r="G107" s="27" t="n">
        <x:v>2541170.1424424965</x:v>
      </x:c>
    </x:row>
    <x:row r="108">
      <x:c r="A108" s="27" t="str">
        <x:v>IND_SOVEREIGN_001</x:v>
      </x:c>
      <x:c r="B108" s="27" t="n">
        <x:v>3390</x:v>
      </x:c>
      <x:c r="C108" s="27" t="str">
        <x:v>FX</x:v>
      </x:c>
      <x:c r="D108" s="27" t="str">
        <x:v>JPY/USD</x:v>
      </x:c>
      <x:c r="E108" s="27" t="str">
        <x:v>FX currency pair</x:v>
      </x:c>
      <x:c r="F108" s="27" t="n">
        <x:v>25020000.000000004</x:v>
      </x:c>
      <x:c r="G108" s="27" t="n">
        <x:v>1000800.0000000001</x:v>
      </x:c>
    </x:row>
    <x:row r="109">
      <x:c r="A109" s="27" t="str">
        <x:v>IND_ASSET_MANAGER_001</x:v>
      </x:c>
      <x:c r="B109" s="27" t="n">
        <x:v>3277</x:v>
      </x:c>
      <x:c r="C109" s="27" t="str">
        <x:v>Credit</x:v>
      </x:c>
      <x:c r="D109" s="27" t="str">
        <x:v>Credit</x:v>
      </x:c>
      <x:c r="E109" s="27" t="str">
        <x:v>Credit entity correlation</x:v>
      </x:c>
      <x:c r="F109" s="27"/>
      <x:c r="G109" s="27" t="n">
        <x:v>1034965.2168045277</x:v>
      </x:c>
    </x:row>
    <x:row r="110">
      <x:c r="A110" s="27" t="str">
        <x:v>IND_BANK_001</x:v>
      </x:c>
      <x:c r="B110" s="27" t="n">
        <x:v>3372</x:v>
      </x:c>
      <x:c r="C110" s="27" t="str">
        <x:v>Credit</x:v>
      </x:c>
      <x:c r="D110" s="27" t="str">
        <x:v>Credit</x:v>
      </x:c>
      <x:c r="E110" s="27" t="str">
        <x:v>Credit entity correlation</x:v>
      </x:c>
      <x:c r="F110" s="27"/>
      <x:c r="G110" s="27" t="n">
        <x:v>623711.9947243913</x:v>
      </x:c>
    </x:row>
    <x:row r="111">
      <x:c r="A111" s="27" t="str">
        <x:v>IND_BANK_002</x:v>
      </x:c>
      <x:c r="B111" s="27" t="n">
        <x:v>3341</x:v>
      </x:c>
      <x:c r="C111" s="27" t="str">
        <x:v>Credit</x:v>
      </x:c>
      <x:c r="D111" s="27" t="str">
        <x:v>Credit</x:v>
      </x:c>
      <x:c r="E111" s="27" t="str">
        <x:v>Credit entity correlation</x:v>
      </x:c>
      <x:c r="F111" s="27"/>
      <x:c r="G111" s="27" t="n">
        <x:v>345016.94634811947</x:v>
      </x:c>
    </x:row>
    <x:row r="112">
      <x:c r="A112" s="27" t="str">
        <x:v>IND_CLEARING_MEMBER_001</x:v>
      </x:c>
      <x:c r="B112" s="27" t="n">
        <x:v>3116</x:v>
      </x:c>
      <x:c r="C112" s="27" t="str">
        <x:v>Credit</x:v>
      </x:c>
      <x:c r="D112" s="27" t="str">
        <x:v>Credit</x:v>
      </x:c>
      <x:c r="E112" s="27" t="str">
        <x:v>Credit entity correlation</x:v>
      </x:c>
      <x:c r="F112" s="27"/>
      <x:c r="G112" s="27" t="n">
        <x:v>918128.9373543155</x:v>
      </x:c>
    </x:row>
    <x:row r="113">
      <x:c r="A113" s="27" t="str">
        <x:v>IND_CORPORATE_001</x:v>
      </x:c>
      <x:c r="B113" s="27" t="n">
        <x:v>3015</x:v>
      </x:c>
      <x:c r="C113" s="27" t="str">
        <x:v>Credit</x:v>
      </x:c>
      <x:c r="D113" s="27" t="str">
        <x:v>Credit</x:v>
      </x:c>
      <x:c r="E113" s="27" t="str">
        <x:v>Credit entity correlation</x:v>
      </x:c>
      <x:c r="F113" s="27"/>
      <x:c r="G113" s="27" t="n">
        <x:v>501106.2636925688</x:v>
      </x:c>
    </x:row>
    <x:row r="114">
      <x:c r="A114" s="27" t="str">
        <x:v>IND_CORPORATE_001</x:v>
      </x:c>
      <x:c r="B114" s="27" t="n">
        <x:v>3041</x:v>
      </x:c>
      <x:c r="C114" s="27" t="str">
        <x:v>Credit</x:v>
      </x:c>
      <x:c r="D114" s="27" t="str">
        <x:v>Credit</x:v>
      </x:c>
      <x:c r="E114" s="27" t="str">
        <x:v>Credit entity correlation</x:v>
      </x:c>
      <x:c r="F114" s="27"/>
      <x:c r="G114" s="27" t="n">
        <x:v>3309924.8238075697</x:v>
      </x:c>
    </x:row>
    <x:row r="115">
      <x:c r="A115" s="27" t="str">
        <x:v>IND_CORPORATE_002</x:v>
      </x:c>
      <x:c r="B115" s="27" t="n">
        <x:v>3389</x:v>
      </x:c>
      <x:c r="C115" s="27" t="str">
        <x:v>Credit</x:v>
      </x:c>
      <x:c r="D115" s="27" t="str">
        <x:v>Credit</x:v>
      </x:c>
      <x:c r="E115" s="27" t="str">
        <x:v>Credit entity correlation</x:v>
      </x:c>
      <x:c r="F115" s="27"/>
      <x:c r="G115" s="27" t="n">
        <x:v>722821.3848213615</x:v>
      </x:c>
    </x:row>
    <x:row r="116">
      <x:c r="A116" s="27" t="str">
        <x:v>IND_HEDGE_FUND_001</x:v>
      </x:c>
      <x:c r="B116" s="27" t="n">
        <x:v>3289</x:v>
      </x:c>
      <x:c r="C116" s="27" t="str">
        <x:v>Credit</x:v>
      </x:c>
      <x:c r="D116" s="27" t="str">
        <x:v>Credit</x:v>
      </x:c>
      <x:c r="E116" s="27" t="str">
        <x:v>Credit entity correlation</x:v>
      </x:c>
      <x:c r="F116" s="27"/>
      <x:c r="G116" s="27" t="n">
        <x:v>1149164.5220523034</x:v>
      </x:c>
    </x:row>
    <x:row r="117">
      <x:c r="A117" s="27" t="str">
        <x:v>IND_HEDGE_FUND_001</x:v>
      </x:c>
      <x:c r="B117" s="27" t="n">
        <x:v>3338</x:v>
      </x:c>
      <x:c r="C117" s="27" t="str">
        <x:v>Credit</x:v>
      </x:c>
      <x:c r="D117" s="27" t="str">
        <x:v>Credit</x:v>
      </x:c>
      <x:c r="E117" s="27" t="str">
        <x:v>Credit entity correlation</x:v>
      </x:c>
      <x:c r="F117" s="27"/>
      <x:c r="G117" s="27" t="n">
        <x:v>1069871.4367438597</x:v>
      </x:c>
    </x:row>
    <x:row r="118">
      <x:c r="A118" s="27" t="str">
        <x:v>IND_INSURER_001</x:v>
      </x:c>
      <x:c r="B118" s="27" t="n">
        <x:v>3338</x:v>
      </x:c>
      <x:c r="C118" s="27" t="str">
        <x:v>Credit</x:v>
      </x:c>
      <x:c r="D118" s="27" t="str">
        <x:v>Credit</x:v>
      </x:c>
      <x:c r="E118" s="27" t="str">
        <x:v>Credit entity correlation</x:v>
      </x:c>
      <x:c r="F118" s="27"/>
      <x:c r="G118" s="27" t="n">
        <x:v>616257.7716211872</x:v>
      </x:c>
    </x:row>
    <x:row r="119">
      <x:c r="A119" s="27" t="str">
        <x:v>IND_PENSION_001</x:v>
      </x:c>
      <x:c r="B119" s="27" t="n">
        <x:v>3036</x:v>
      </x:c>
      <x:c r="C119" s="27" t="str">
        <x:v>Credit</x:v>
      </x:c>
      <x:c r="D119" s="27" t="str">
        <x:v>Credit</x:v>
      </x:c>
      <x:c r="E119" s="27" t="str">
        <x:v>Credit entity correlation</x:v>
      </x:c>
      <x:c r="F119" s="27"/>
      <x:c r="G119" s="27" t="n">
        <x:v>1590701.8220125777</x:v>
      </x:c>
    </x:row>
    <x:row r="120">
      <x:c r="A120" s="27" t="str">
        <x:v>IND_PENSION_001</x:v>
      </x:c>
      <x:c r="B120" s="27" t="n">
        <x:v>3242</x:v>
      </x:c>
      <x:c r="C120" s="27" t="str">
        <x:v>Credit</x:v>
      </x:c>
      <x:c r="D120" s="27" t="str">
        <x:v>Credit</x:v>
      </x:c>
      <x:c r="E120" s="27" t="str">
        <x:v>Credit entity correlation</x:v>
      </x:c>
      <x:c r="F120" s="27"/>
      <x:c r="G120" s="27" t="n">
        <x:v>131933.83642557342</x:v>
      </x:c>
    </x:row>
    <x:row r="121">
      <x:c r="A121" s="27" t="str">
        <x:v>IND_REGIONAL_BANK_001</x:v>
      </x:c>
      <x:c r="B121" s="27" t="n">
        <x:v>3161</x:v>
      </x:c>
      <x:c r="C121" s="27" t="str">
        <x:v>Credit</x:v>
      </x:c>
      <x:c r="D121" s="27" t="str">
        <x:v>Credit</x:v>
      </x:c>
      <x:c r="E121" s="27" t="str">
        <x:v>Credit entity correlation</x:v>
      </x:c>
      <x:c r="F121" s="27"/>
      <x:c r="G121" s="27" t="n">
        <x:v>5649459.236787042</x:v>
      </x:c>
    </x:row>
    <x:row r="122">
      <x:c r="A122" s="27" t="str">
        <x:v>IND_REGIONAL_BANK_001</x:v>
      </x:c>
      <x:c r="B122" s="27" t="n">
        <x:v>3237</x:v>
      </x:c>
      <x:c r="C122" s="27" t="str">
        <x:v>Credit</x:v>
      </x:c>
      <x:c r="D122" s="27" t="str">
        <x:v>Credit</x:v>
      </x:c>
      <x:c r="E122" s="27" t="str">
        <x:v>Credit entity correlation</x:v>
      </x:c>
      <x:c r="F122" s="27"/>
      <x:c r="G122" s="27" t="n">
        <x:v>3924087.3539465335</x:v>
      </x:c>
    </x:row>
    <x:row r="123">
      <x:c r="A123" s="27" t="str">
        <x:v>IND_SOVEREIGN_001</x:v>
      </x:c>
      <x:c r="B123" s="27" t="n">
        <x:v>3042</x:v>
      </x:c>
      <x:c r="C123" s="27" t="str">
        <x:v>Credit</x:v>
      </x:c>
      <x:c r="D123" s="27" t="str">
        <x:v>Credit</x:v>
      </x:c>
      <x:c r="E123" s="27" t="str">
        <x:v>Credit entity correlation</x:v>
      </x:c>
      <x:c r="F123" s="27"/>
      <x:c r="G123" s="27" t="n">
        <x:v>450320.6895615736</x:v>
      </x:c>
    </x:row>
    <x:row r="124">
      <x:c r="A124" s="27" t="str">
        <x:v>IND_SOVEREIGN_001</x:v>
      </x:c>
      <x:c r="B124" s="27" t="n">
        <x:v>3281</x:v>
      </x:c>
      <x:c r="C124" s="27" t="str">
        <x:v>Credit</x:v>
      </x:c>
      <x:c r="D124" s="27" t="str">
        <x:v>Credit</x:v>
      </x:c>
      <x:c r="E124" s="27" t="str">
        <x:v>Credit entity correlation</x:v>
      </x:c>
      <x:c r="F124" s="27"/>
      <x:c r="G124" s="27" t="n">
        <x:v>1578667.5370825392</x:v>
      </x:c>
    </x:row>
    <x:row r="125">
      <x:c r="A125" s="27" t="str">
        <x:v>IND_ASSET_MANAGER_001</x:v>
      </x:c>
      <x:c r="B125" s="27" t="n">
        <x:v>3167</x:v>
      </x:c>
      <x:c r="C125" s="27" t="str">
        <x:v>Equity</x:v>
      </x:c>
      <x:c r="D125" s="27" t="str">
        <x:v>Equity</x:v>
      </x:c>
      <x:c r="E125" s="27" t="str">
        <x:v>Equity entity correlation</x:v>
      </x:c>
      <x:c r="F125" s="27"/>
      <x:c r="G125" s="27" t="n">
        <x:v>852292.8164948242</x:v>
      </x:c>
    </x:row>
    <x:row r="126">
      <x:c r="A126" s="27" t="str">
        <x:v>IND_BANK_002</x:v>
      </x:c>
      <x:c r="B126" s="27" t="n">
        <x:v>3090</x:v>
      </x:c>
      <x:c r="C126" s="27" t="str">
        <x:v>Equity</x:v>
      </x:c>
      <x:c r="D126" s="27" t="str">
        <x:v>Equity</x:v>
      </x:c>
      <x:c r="E126" s="27" t="str">
        <x:v>Equity entity correlation</x:v>
      </x:c>
      <x:c r="F126" s="27"/>
      <x:c r="G126" s="27" t="n">
        <x:v>5866361.313090214</x:v>
      </x:c>
    </x:row>
    <x:row r="127">
      <x:c r="A127" s="27" t="str">
        <x:v>IND_BANK_002</x:v>
      </x:c>
      <x:c r="B127" s="27" t="n">
        <x:v>3386</x:v>
      </x:c>
      <x:c r="C127" s="27" t="str">
        <x:v>Equity</x:v>
      </x:c>
      <x:c r="D127" s="27" t="str">
        <x:v>Equity</x:v>
      </x:c>
      <x:c r="E127" s="27" t="str">
        <x:v>Equity entity correlation</x:v>
      </x:c>
      <x:c r="F127" s="27"/>
      <x:c r="G127" s="27" t="n">
        <x:v>3187826.7476575486</x:v>
      </x:c>
    </x:row>
    <x:row r="128">
      <x:c r="A128" s="27" t="str">
        <x:v>IND_BROKER_001</x:v>
      </x:c>
      <x:c r="B128" s="27" t="n">
        <x:v>3195</x:v>
      </x:c>
      <x:c r="C128" s="27" t="str">
        <x:v>Equity</x:v>
      </x:c>
      <x:c r="D128" s="27" t="str">
        <x:v>Equity</x:v>
      </x:c>
      <x:c r="E128" s="27" t="str">
        <x:v>Equity entity correlation</x:v>
      </x:c>
      <x:c r="F128" s="27"/>
      <x:c r="G128" s="27" t="n">
        <x:v>4156800.0000000005</x:v>
      </x:c>
    </x:row>
    <x:row r="129">
      <x:c r="A129" s="27" t="str">
        <x:v>IND_BROKER_001</x:v>
      </x:c>
      <x:c r="B129" s="27" t="n">
        <x:v>3276</x:v>
      </x:c>
      <x:c r="C129" s="27" t="str">
        <x:v>Equity</x:v>
      </x:c>
      <x:c r="D129" s="27" t="str">
        <x:v>Equity</x:v>
      </x:c>
      <x:c r="E129" s="27" t="str">
        <x:v>Equity entity correlation</x:v>
      </x:c>
      <x:c r="F129" s="27"/>
      <x:c r="G129" s="27" t="n">
        <x:v>14209385.609053489</x:v>
      </x:c>
    </x:row>
    <x:row r="130">
      <x:c r="A130" s="27" t="str">
        <x:v>IND_CLEARING_MEMBER_001</x:v>
      </x:c>
      <x:c r="B130" s="27" t="n">
        <x:v>3108</x:v>
      </x:c>
      <x:c r="C130" s="27" t="str">
        <x:v>Equity</x:v>
      </x:c>
      <x:c r="D130" s="27" t="str">
        <x:v>Equity</x:v>
      </x:c>
      <x:c r="E130" s="27" t="str">
        <x:v>Equity entity correlation</x:v>
      </x:c>
      <x:c r="F130" s="27"/>
      <x:c r="G130" s="27" t="n">
        <x:v>7669750.998970759</x:v>
      </x:c>
    </x:row>
    <x:row r="131">
      <x:c r="A131" s="27" t="str">
        <x:v>IND_CLEARING_MEMBER_001</x:v>
      </x:c>
      <x:c r="B131" s="27" t="n">
        <x:v>3161</x:v>
      </x:c>
      <x:c r="C131" s="27" t="str">
        <x:v>Equity</x:v>
      </x:c>
      <x:c r="D131" s="27" t="str">
        <x:v>Equity</x:v>
      </x:c>
      <x:c r="E131" s="27" t="str">
        <x:v>Equity entity correlation</x:v>
      </x:c>
      <x:c r="F131" s="27"/>
      <x:c r="G131" s="27" t="n">
        <x:v>15305903.0927465</x:v>
      </x:c>
    </x:row>
    <x:row r="132">
      <x:c r="A132" s="27" t="str">
        <x:v>IND_CORPORATE_001</x:v>
      </x:c>
      <x:c r="B132" s="27" t="n">
        <x:v>3380</x:v>
      </x:c>
      <x:c r="C132" s="27" t="str">
        <x:v>Equity</x:v>
      </x:c>
      <x:c r="D132" s="27" t="str">
        <x:v>Equity</x:v>
      </x:c>
      <x:c r="E132" s="27" t="str">
        <x:v>Equity entity correlation</x:v>
      </x:c>
      <x:c r="F132" s="27"/>
      <x:c r="G132" s="27" t="n">
        <x:v>480000</x:v>
      </x:c>
    </x:row>
    <x:row r="133">
      <x:c r="A133" s="27" t="str">
        <x:v>IND_CORPORATE_002</x:v>
      </x:c>
      <x:c r="B133" s="27" t="n">
        <x:v>3331</x:v>
      </x:c>
      <x:c r="C133" s="27" t="str">
        <x:v>Equity</x:v>
      </x:c>
      <x:c r="D133" s="27" t="str">
        <x:v>Equity</x:v>
      </x:c>
      <x:c r="E133" s="27" t="str">
        <x:v>Equity entity correlation</x:v>
      </x:c>
      <x:c r="F133" s="27"/>
      <x:c r="G133" s="27" t="n">
        <x:v>124177.7084060515</x:v>
      </x:c>
    </x:row>
    <x:row r="134">
      <x:c r="A134" s="27" t="str">
        <x:v>IND_HEDGE_FUND_001</x:v>
      </x:c>
      <x:c r="B134" s="27" t="n">
        <x:v>3040</x:v>
      </x:c>
      <x:c r="C134" s="27" t="str">
        <x:v>Equity</x:v>
      </x:c>
      <x:c r="D134" s="27" t="str">
        <x:v>Equity</x:v>
      </x:c>
      <x:c r="E134" s="27" t="str">
        <x:v>Equity entity correlation</x:v>
      </x:c>
      <x:c r="F134" s="27"/>
      <x:c r="G134" s="27" t="n">
        <x:v>2620800.0000000005</x:v>
      </x:c>
    </x:row>
    <x:row r="135">
      <x:c r="A135" s="27" t="str">
        <x:v>IND_INSURER_001</x:v>
      </x:c>
      <x:c r="B135" s="27" t="n">
        <x:v>3390</x:v>
      </x:c>
      <x:c r="C135" s="27" t="str">
        <x:v>Equity</x:v>
      </x:c>
      <x:c r="D135" s="27" t="str">
        <x:v>Equity</x:v>
      </x:c>
      <x:c r="E135" s="27" t="str">
        <x:v>Equity entity correlation</x:v>
      </x:c>
      <x:c r="F135" s="27"/>
      <x:c r="G135" s="27" t="n">
        <x:v>10485563.042870814</x:v>
      </x:c>
    </x:row>
    <x:row r="136">
      <x:c r="A136" s="27" t="str">
        <x:v>IND_PENSION_001</x:v>
      </x:c>
      <x:c r="B136" s="27" t="n">
        <x:v>3121</x:v>
      </x:c>
      <x:c r="C136" s="27" t="str">
        <x:v>Equity</x:v>
      </x:c>
      <x:c r="D136" s="27" t="str">
        <x:v>Equity</x:v>
      </x:c>
      <x:c r="E136" s="27" t="str">
        <x:v>Equity entity correlation</x:v>
      </x:c>
      <x:c r="F136" s="27"/>
      <x:c r="G136" s="27" t="n">
        <x:v>3688087.1139386073</x:v>
      </x:c>
    </x:row>
    <x:row r="137">
      <x:c r="A137" s="27" t="str">
        <x:v>IND_REGIONAL_BANK_001</x:v>
      </x:c>
      <x:c r="B137" s="27" t="n">
        <x:v>3194</x:v>
      </x:c>
      <x:c r="C137" s="27" t="str">
        <x:v>Equity</x:v>
      </x:c>
      <x:c r="D137" s="27" t="str">
        <x:v>Equity</x:v>
      </x:c>
      <x:c r="E137" s="27" t="str">
        <x:v>Equity entity correlation</x:v>
      </x:c>
      <x:c r="F137" s="27"/>
      <x:c r="G137" s="27" t="n">
        <x:v>3590830.188077495</x:v>
      </x:c>
    </x:row>
    <x:row r="138">
      <x:c r="A138" s="27" t="str">
        <x:v>IND_SOVEREIGN_001</x:v>
      </x:c>
      <x:c r="B138" s="27" t="n">
        <x:v>3296</x:v>
      </x:c>
      <x:c r="C138" s="27" t="str">
        <x:v>Equity</x:v>
      </x:c>
      <x:c r="D138" s="27" t="str">
        <x:v>Equity</x:v>
      </x:c>
      <x:c r="E138" s="27" t="str">
        <x:v>Equity entity correlation</x:v>
      </x:c>
      <x:c r="F138" s="27"/>
      <x:c r="G138" s="27" t="n">
        <x:v>3974400.0000000005</x:v>
      </x:c>
    </x:row>
    <x:row r="139">
      <x:c r="A139" s="27" t="str">
        <x:v>IND_ASSET_MANAGER_001</x:v>
      </x:c>
      <x:c r="B139" s="27" t="n">
        <x:v>3205</x:v>
      </x:c>
      <x:c r="C139" s="27" t="str">
        <x:v>Commodity</x:v>
      </x:c>
      <x:c r="D139" s="27" t="str">
        <x:v>Energy</x:v>
      </x:c>
      <x:c r="E139" s="27" t="str">
        <x:v>Commodity group/type correlation</x:v>
      </x:c>
      <x:c r="F139" s="27"/>
      <x:c r="G139" s="27" t="n">
        <x:v>7776000</x:v>
      </x:c>
    </x:row>
    <x:row r="140">
      <x:c r="A140" s="27" t="str">
        <x:v>IND_ASSET_MANAGER_001</x:v>
      </x:c>
      <x:c r="B140" s="27" t="n">
        <x:v>3205</x:v>
      </x:c>
      <x:c r="C140" s="27" t="str">
        <x:v>Commodity</x:v>
      </x:c>
      <x:c r="D140" s="27" t="str">
        <x:v>Metals</x:v>
      </x:c>
      <x:c r="E140" s="27" t="str">
        <x:v>Commodity group/type correlation</x:v>
      </x:c>
      <x:c r="F140" s="27"/>
      <x:c r="G140" s="27" t="n">
        <x:v>16182000</x:v>
      </x:c>
    </x:row>
    <x:row r="141">
      <x:c r="A141" s="27" t="str">
        <x:v>IND_ASSET_MANAGER_001</x:v>
      </x:c>
      <x:c r="B141" s="27" t="n">
        <x:v>3331</x:v>
      </x:c>
      <x:c r="C141" s="27" t="str">
        <x:v>Commodity</x:v>
      </x:c>
      <x:c r="D141" s="27" t="str">
        <x:v>Energy</x:v>
      </x:c>
      <x:c r="E141" s="27" t="str">
        <x:v>Commodity group/type correlation</x:v>
      </x:c>
      <x:c r="F141" s="27"/>
      <x:c r="G141" s="27" t="n">
        <x:v>845176.9613518817</x:v>
      </x:c>
    </x:row>
    <x:row r="142">
      <x:c r="A142" s="27" t="str">
        <x:v>IND_ASSET_MANAGER_001</x:v>
      </x:c>
      <x:c r="B142" s="27" t="n">
        <x:v>3331</x:v>
      </x:c>
      <x:c r="C142" s="27" t="str">
        <x:v>Commodity</x:v>
      </x:c>
      <x:c r="D142" s="27" t="str">
        <x:v>Metals</x:v>
      </x:c>
      <x:c r="E142" s="27" t="str">
        <x:v>Commodity group/type correlation</x:v>
      </x:c>
      <x:c r="F142" s="27"/>
      <x:c r="G142" s="27" t="n">
        <x:v>1766677.1206203538</x:v>
      </x:c>
    </x:row>
    <x:row r="143">
      <x:c r="A143" s="27" t="str">
        <x:v>IND_BANK_001</x:v>
      </x:c>
      <x:c r="B143" s="27" t="n">
        <x:v>3172</x:v>
      </x:c>
      <x:c r="C143" s="27" t="str">
        <x:v>Commodity</x:v>
      </x:c>
      <x:c r="D143" s="27" t="str">
        <x:v>Energy</x:v>
      </x:c>
      <x:c r="E143" s="27" t="str">
        <x:v>Commodity group/type correlation</x:v>
      </x:c>
      <x:c r="F143" s="27"/>
      <x:c r="G143" s="27" t="n">
        <x:v>5688000.000000001</x:v>
      </x:c>
    </x:row>
    <x:row r="144">
      <x:c r="A144" s="27" t="str">
        <x:v>IND_BANK_001</x:v>
      </x:c>
      <x:c r="B144" s="27" t="n">
        <x:v>3172</x:v>
      </x:c>
      <x:c r="C144" s="27" t="str">
        <x:v>Commodity</x:v>
      </x:c>
      <x:c r="D144" s="27" t="str">
        <x:v>Metals</x:v>
      </x:c>
      <x:c r="E144" s="27" t="str">
        <x:v>Commodity group/type correlation</x:v>
      </x:c>
      <x:c r="F144" s="27"/>
      <x:c r="G144" s="27" t="n">
        <x:v>1020600.0000000001</x:v>
      </x:c>
    </x:row>
    <x:row r="145">
      <x:c r="A145" s="27" t="str">
        <x:v>IND_BANK_001</x:v>
      </x:c>
      <x:c r="B145" s="27" t="n">
        <x:v>3348</x:v>
      </x:c>
      <x:c r="C145" s="27" t="str">
        <x:v>Commodity</x:v>
      </x:c>
      <x:c r="D145" s="27" t="str">
        <x:v>Metals</x:v>
      </x:c>
      <x:c r="E145" s="27" t="str">
        <x:v>Commodity group/type correlation</x:v>
      </x:c>
      <x:c r="F145" s="27"/>
      <x:c r="G145" s="27" t="n">
        <x:v>9288000</x:v>
      </x:c>
    </x:row>
    <x:row r="146">
      <x:c r="A146" s="27" t="str">
        <x:v>IND_BANK_002</x:v>
      </x:c>
      <x:c r="B146" s="27" t="n">
        <x:v>3259</x:v>
      </x:c>
      <x:c r="C146" s="27" t="str">
        <x:v>Commodity</x:v>
      </x:c>
      <x:c r="D146" s="27" t="str">
        <x:v>Energy</x:v>
      </x:c>
      <x:c r="E146" s="27" t="str">
        <x:v>Commodity group/type correlation</x:v>
      </x:c>
      <x:c r="F146" s="27"/>
      <x:c r="G146" s="27" t="n">
        <x:v>729000</x:v>
      </x:c>
    </x:row>
    <x:row r="147">
      <x:c r="A147" s="27" t="str">
        <x:v>IND_BANK_002</x:v>
      </x:c>
      <x:c r="B147" s="27" t="n">
        <x:v>3259</x:v>
      </x:c>
      <x:c r="C147" s="27" t="str">
        <x:v>Commodity</x:v>
      </x:c>
      <x:c r="D147" s="27" t="str">
        <x:v>Metals</x:v>
      </x:c>
      <x:c r="E147" s="27" t="str">
        <x:v>Commodity group/type correlation</x:v>
      </x:c>
      <x:c r="F147" s="27"/>
      <x:c r="G147" s="27" t="n">
        <x:v>4189074.667346969</x:v>
      </x:c>
    </x:row>
    <x:row r="148">
      <x:c r="A148" s="27" t="str">
        <x:v>IND_BANK_002</x:v>
      </x:c>
      <x:c r="B148" s="27" t="n">
        <x:v>3323</x:v>
      </x:c>
      <x:c r="C148" s="27" t="str">
        <x:v>Commodity</x:v>
      </x:c>
      <x:c r="D148" s="27" t="str">
        <x:v>Metals</x:v>
      </x:c>
      <x:c r="E148" s="27" t="str">
        <x:v>Commodity group/type correlation</x:v>
      </x:c>
      <x:c r="F148" s="27"/>
      <x:c r="G148" s="27" t="n">
        <x:v>1116000</x:v>
      </x:c>
    </x:row>
    <x:row r="149">
      <x:c r="A149" s="27" t="str">
        <x:v>IND_CLEARING_MEMBER_001</x:v>
      </x:c>
      <x:c r="B149" s="27" t="n">
        <x:v>3186</x:v>
      </x:c>
      <x:c r="C149" s="27" t="str">
        <x:v>Commodity</x:v>
      </x:c>
      <x:c r="D149" s="27" t="str">
        <x:v>Energy</x:v>
      </x:c>
      <x:c r="E149" s="27" t="str">
        <x:v>Commodity group/type correlation</x:v>
      </x:c>
      <x:c r="F149" s="27"/>
      <x:c r="G149" s="27" t="n">
        <x:v>3384000</x:v>
      </x:c>
    </x:row>
    <x:row r="150">
      <x:c r="A150" s="27" t="str">
        <x:v>IND_CLEARING_MEMBER_001</x:v>
      </x:c>
      <x:c r="B150" s="27" t="n">
        <x:v>3186</x:v>
      </x:c>
      <x:c r="C150" s="27" t="str">
        <x:v>Commodity</x:v>
      </x:c>
      <x:c r="D150" s="27" t="str">
        <x:v>Metals</x:v>
      </x:c>
      <x:c r="E150" s="27" t="str">
        <x:v>Commodity group/type correlation</x:v>
      </x:c>
      <x:c r="F150" s="27"/>
      <x:c r="G150" s="27" t="n">
        <x:v>2369829.4346181867</x:v>
      </x:c>
    </x:row>
    <x:row r="151">
      <x:c r="A151" s="27" t="str">
        <x:v>IND_CLEARING_MEMBER_001</x:v>
      </x:c>
      <x:c r="B151" s="27" t="n">
        <x:v>3340</x:v>
      </x:c>
      <x:c r="C151" s="27" t="str">
        <x:v>Commodity</x:v>
      </x:c>
      <x:c r="D151" s="27" t="str">
        <x:v>Energy</x:v>
      </x:c>
      <x:c r="E151" s="27" t="str">
        <x:v>Commodity group/type correlation</x:v>
      </x:c>
      <x:c r="F151" s="27"/>
      <x:c r="G151" s="27" t="n">
        <x:v>1272000.0000000002</x:v>
      </x:c>
    </x:row>
    <x:row r="152">
      <x:c r="A152" s="27" t="str">
        <x:v>IND_CLEARING_MEMBER_001</x:v>
      </x:c>
      <x:c r="B152" s="27" t="n">
        <x:v>3340</x:v>
      </x:c>
      <x:c r="C152" s="27" t="str">
        <x:v>Commodity</x:v>
      </x:c>
      <x:c r="D152" s="27" t="str">
        <x:v>Metals</x:v>
      </x:c>
      <x:c r="E152" s="27" t="str">
        <x:v>Commodity group/type correlation</x:v>
      </x:c>
      <x:c r="F152" s="27"/>
      <x:c r="G152" s="27" t="n">
        <x:v>162000.00000000003</x:v>
      </x:c>
    </x:row>
    <x:row r="153">
      <x:c r="A153" s="27" t="str">
        <x:v>IND_CORPORATE_001</x:v>
      </x:c>
      <x:c r="B153" s="27" t="n">
        <x:v>3100</x:v>
      </x:c>
      <x:c r="C153" s="27" t="str">
        <x:v>Commodity</x:v>
      </x:c>
      <x:c r="D153" s="27" t="str">
        <x:v>Energy</x:v>
      </x:c>
      <x:c r="E153" s="27" t="str">
        <x:v>Commodity group/type correlation</x:v>
      </x:c>
      <x:c r="F153" s="27"/>
      <x:c r="G153" s="27" t="n">
        <x:v>286200.00000000006</x:v>
      </x:c>
    </x:row>
    <x:row r="154">
      <x:c r="A154" s="27" t="str">
        <x:v>IND_CORPORATE_001</x:v>
      </x:c>
      <x:c r="B154" s="27" t="n">
        <x:v>3100</x:v>
      </x:c>
      <x:c r="C154" s="27" t="str">
        <x:v>Commodity</x:v>
      </x:c>
      <x:c r="D154" s="27" t="str">
        <x:v>Metals</x:v>
      </x:c>
      <x:c r="E154" s="27" t="str">
        <x:v>Commodity group/type correlation</x:v>
      </x:c>
      <x:c r="F154" s="27"/>
      <x:c r="G154" s="27" t="n">
        <x:v>675000</x:v>
      </x:c>
    </x:row>
    <x:row r="155">
      <x:c r="A155" s="27" t="str">
        <x:v>IND_CORPORATE_001</x:v>
      </x:c>
      <x:c r="B155" s="27" t="n">
        <x:v>3358</x:v>
      </x:c>
      <x:c r="C155" s="27" t="str">
        <x:v>Commodity</x:v>
      </x:c>
      <x:c r="D155" s="27" t="str">
        <x:v>Metals</x:v>
      </x:c>
      <x:c r="E155" s="27" t="str">
        <x:v>Commodity group/type correlation</x:v>
      </x:c>
      <x:c r="F155" s="27"/>
      <x:c r="G155" s="27" t="n">
        <x:v>1836000</x:v>
      </x:c>
    </x:row>
    <x:row r="156">
      <x:c r="A156" s="27" t="str">
        <x:v>IND_CORPORATE_002</x:v>
      </x:c>
      <x:c r="B156" s="27" t="n">
        <x:v>3126</x:v>
      </x:c>
      <x:c r="C156" s="27" t="str">
        <x:v>Commodity</x:v>
      </x:c>
      <x:c r="D156" s="27" t="str">
        <x:v>Energy</x:v>
      </x:c>
      <x:c r="E156" s="27" t="str">
        <x:v>Commodity group/type correlation</x:v>
      </x:c>
      <x:c r="F156" s="27"/>
      <x:c r="G156" s="27" t="n">
        <x:v>1657800.0000000002</x:v>
      </x:c>
    </x:row>
    <x:row r="157">
      <x:c r="A157" s="27" t="str">
        <x:v>IND_CORPORATE_002</x:v>
      </x:c>
      <x:c r="B157" s="27" t="n">
        <x:v>3126</x:v>
      </x:c>
      <x:c r="C157" s="27" t="str">
        <x:v>Commodity</x:v>
      </x:c>
      <x:c r="D157" s="27" t="str">
        <x:v>Metals</x:v>
      </x:c>
      <x:c r="E157" s="27" t="str">
        <x:v>Commodity group/type correlation</x:v>
      </x:c>
      <x:c r="F157" s="27"/>
      <x:c r="G157" s="27" t="n">
        <x:v>394200.00000000006</x:v>
      </x:c>
    </x:row>
    <x:row r="158">
      <x:c r="A158" s="27" t="str">
        <x:v>IND_CORPORATE_002</x:v>
      </x:c>
      <x:c r="B158" s="27" t="n">
        <x:v>3130</x:v>
      </x:c>
      <x:c r="C158" s="27" t="str">
        <x:v>Commodity</x:v>
      </x:c>
      <x:c r="D158" s="27" t="str">
        <x:v>Metals</x:v>
      </x:c>
      <x:c r="E158" s="27" t="str">
        <x:v>Commodity group/type correlation</x:v>
      </x:c>
      <x:c r="F158" s="27"/>
      <x:c r="G158" s="27" t="n">
        <x:v>2184539.3680102364</x:v>
      </x:c>
    </x:row>
    <x:row r="159">
      <x:c r="A159" s="27" t="str">
        <x:v>IND_HEDGE_FUND_001</x:v>
      </x:c>
      <x:c r="B159" s="27" t="n">
        <x:v>3109</x:v>
      </x:c>
      <x:c r="C159" s="27" t="str">
        <x:v>Commodity</x:v>
      </x:c>
      <x:c r="D159" s="27" t="str">
        <x:v>Energy</x:v>
      </x:c>
      <x:c r="E159" s="27" t="str">
        <x:v>Commodity group/type correlation</x:v>
      </x:c>
      <x:c r="F159" s="27"/>
      <x:c r="G159" s="27" t="n">
        <x:v>59400.00000000001</x:v>
      </x:c>
    </x:row>
    <x:row r="160">
      <x:c r="A160" s="27" t="str">
        <x:v>IND_HEDGE_FUND_001</x:v>
      </x:c>
      <x:c r="B160" s="27" t="n">
        <x:v>3109</x:v>
      </x:c>
      <x:c r="C160" s="27" t="str">
        <x:v>Commodity</x:v>
      </x:c>
      <x:c r="D160" s="27" t="str">
        <x:v>Metals</x:v>
      </x:c>
      <x:c r="E160" s="27" t="str">
        <x:v>Commodity group/type correlation</x:v>
      </x:c>
      <x:c r="F160" s="27"/>
      <x:c r="G160" s="27" t="n">
        <x:v>3510551.5764041524</x:v>
      </x:c>
    </x:row>
    <x:row r="161">
      <x:c r="A161" s="27" t="str">
        <x:v>IND_INSURER_001</x:v>
      </x:c>
      <x:c r="B161" s="27" t="n">
        <x:v>3257</x:v>
      </x:c>
      <x:c r="C161" s="27" t="str">
        <x:v>Commodity</x:v>
      </x:c>
      <x:c r="D161" s="27" t="str">
        <x:v>Energy</x:v>
      </x:c>
      <x:c r="E161" s="27" t="str">
        <x:v>Commodity group/type correlation</x:v>
      </x:c>
      <x:c r="F161" s="27"/>
      <x:c r="G161" s="27" t="n">
        <x:v>259200.00000000003</x:v>
      </x:c>
    </x:row>
    <x:row r="162">
      <x:c r="A162" s="27" t="str">
        <x:v>IND_INSURER_001</x:v>
      </x:c>
      <x:c r="B162" s="27" t="n">
        <x:v>3257</x:v>
      </x:c>
      <x:c r="C162" s="27" t="str">
        <x:v>Commodity</x:v>
      </x:c>
      <x:c r="D162" s="27" t="str">
        <x:v>Metals</x:v>
      </x:c>
      <x:c r="E162" s="27" t="str">
        <x:v>Commodity group/type correlation</x:v>
      </x:c>
      <x:c r="F162" s="27"/>
      <x:c r="G162" s="27" t="n">
        <x:v>3780000.0000000005</x:v>
      </x:c>
    </x:row>
    <x:row r="163">
      <x:c r="A163" s="27" t="str">
        <x:v>IND_PENSION_001</x:v>
      </x:c>
      <x:c r="B163" s="27" t="n">
        <x:v>3060</x:v>
      </x:c>
      <x:c r="C163" s="27" t="str">
        <x:v>Commodity</x:v>
      </x:c>
      <x:c r="D163" s="27" t="str">
        <x:v>Metals</x:v>
      </x:c>
      <x:c r="E163" s="27" t="str">
        <x:v>Commodity group/type correlation</x:v>
      </x:c>
      <x:c r="F163" s="27"/>
      <x:c r="G163" s="27" t="n">
        <x:v>19759924.511900373</x:v>
      </x:c>
    </x:row>
    <x:row r="164">
      <x:c r="A164" s="27" t="str">
        <x:v>IND_PENSION_001</x:v>
      </x:c>
      <x:c r="B164" s="27" t="n">
        <x:v>3113</x:v>
      </x:c>
      <x:c r="C164" s="27" t="str">
        <x:v>Commodity</x:v>
      </x:c>
      <x:c r="D164" s="27" t="str">
        <x:v>Energy</x:v>
      </x:c>
      <x:c r="E164" s="27" t="str">
        <x:v>Commodity group/type correlation</x:v>
      </x:c>
      <x:c r="F164" s="27"/>
      <x:c r="G164" s="27" t="n">
        <x:v>264600.00000000006</x:v>
      </x:c>
    </x:row>
    <x:row r="165">
      <x:c r="A165" s="27" t="str">
        <x:v>IND_PENSION_001</x:v>
      </x:c>
      <x:c r="B165" s="27" t="n">
        <x:v>3113</x:v>
      </x:c>
      <x:c r="C165" s="27" t="str">
        <x:v>Commodity</x:v>
      </x:c>
      <x:c r="D165" s="27" t="str">
        <x:v>Metals</x:v>
      </x:c>
      <x:c r="E165" s="27" t="str">
        <x:v>Commodity group/type correlation</x:v>
      </x:c>
      <x:c r="F165" s="27"/>
      <x:c r="G165" s="27" t="n">
        <x:v>9644400.000000002</x:v>
      </x:c>
    </x:row>
    <x:row r="166">
      <x:c r="A166" s="27" t="str">
        <x:v>IND_REGIONAL_BANK_001</x:v>
      </x:c>
      <x:c r="B166" s="27" t="n">
        <x:v>3082</x:v>
      </x:c>
      <x:c r="C166" s="27" t="str">
        <x:v>Commodity</x:v>
      </x:c>
      <x:c r="D166" s="27" t="str">
        <x:v>Energy</x:v>
      </x:c>
      <x:c r="E166" s="27" t="str">
        <x:v>Commodity group/type correlation</x:v>
      </x:c>
      <x:c r="F166" s="27"/>
      <x:c r="G166" s="27" t="n">
        <x:v>852000.0000000002</x:v>
      </x:c>
    </x:row>
    <x:row r="167">
      <x:c r="A167" s="27" t="str">
        <x:v>IND_REGIONAL_BANK_001</x:v>
      </x:c>
      <x:c r="B167" s="27" t="n">
        <x:v>3082</x:v>
      </x:c>
      <x:c r="C167" s="27" t="str">
        <x:v>Commodity</x:v>
      </x:c>
      <x:c r="D167" s="27" t="str">
        <x:v>Metals</x:v>
      </x:c>
      <x:c r="E167" s="27" t="str">
        <x:v>Commodity group/type correlation</x:v>
      </x:c>
      <x:c r="F167" s="27"/>
      <x:c r="G167" s="27" t="n">
        <x:v>5351400.000000001</x:v>
      </x:c>
    </x:row>
    <x:row r="168">
      <x:c r="A168" s="27" t="str">
        <x:v>IND_SOVEREIGN_001</x:v>
      </x:c>
      <x:c r="B168" s="27" t="n">
        <x:v>3126</x:v>
      </x:c>
      <x:c r="C168" s="27" t="str">
        <x:v>Commodity</x:v>
      </x:c>
      <x:c r="D168" s="27" t="str">
        <x:v>Energy</x:v>
      </x:c>
      <x:c r="E168" s="27" t="str">
        <x:v>Commodity group/type correlation</x:v>
      </x:c>
      <x:c r="F168" s="27"/>
      <x:c r="G168" s="27" t="n">
        <x:v>6720000</x:v>
      </x:c>
    </x:row>
    <x:row r="169">
      <x:c r="A169" s="27" t="str">
        <x:v>IND_SOVEREIGN_001</x:v>
      </x:c>
      <x:c r="B169" s="27" t="n">
        <x:v>3126</x:v>
      </x:c>
      <x:c r="C169" s="27" t="str">
        <x:v>Commodity</x:v>
      </x:c>
      <x:c r="D169" s="27" t="str">
        <x:v>Metals</x:v>
      </x:c>
      <x:c r="E169" s="27" t="str">
        <x:v>Commodity group/type correlation</x:v>
      </x:c>
      <x:c r="F169" s="27"/>
      <x:c r="G169" s="27" t="n">
        <x:v>3008085.273896614</x:v>
      </x:c>
    </x:row>
    <x:row r="170">
      <x:c r="A170" s="27" t="str">
        <x:v>IND_SOVEREIGN_001</x:v>
      </x:c>
      <x:c r="B170" s="27" t="n">
        <x:v>3357</x:v>
      </x:c>
      <x:c r="C170" s="27" t="str">
        <x:v>Commodity</x:v>
      </x:c>
      <x:c r="D170" s="27" t="str">
        <x:v>Energy</x:v>
      </x:c>
      <x:c r="E170" s="27" t="str">
        <x:v>Commodity group/type correlation</x:v>
      </x:c>
      <x:c r="F170" s="27"/>
      <x:c r="G170" s="27" t="n">
        <x:v>6288000.000000001</x:v>
      </x:c>
    </x:row>
    <x:row r="171">
      <x:c r="A171" s="27" t="str">
        <x:v>IND_SOVEREIGN_001</x:v>
      </x:c>
      <x:c r="B171" s="27" t="n">
        <x:v>3357</x:v>
      </x:c>
      <x:c r="C171" s="27" t="str">
        <x:v>Commodity</x:v>
      </x:c>
      <x:c r="D171" s="27" t="str">
        <x:v>Metals</x:v>
      </x:c>
      <x:c r="E171" s="27" t="str">
        <x:v>Commodity group/type correlation</x:v>
      </x:c>
      <x:c r="F171" s="27"/>
      <x:c r="G171" s="27" t="n">
        <x:v>284488.50217092683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4553696750747a9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1" ht="22.5" customHeight="1">
      <x:c r="A1" s="26" t="str">
        <x:v>Python_Asset_Output</x:v>
      </x:c>
      <x:c r="B1" s="26" t="str">
        <x:v>Python_Asset_Output</x:v>
      </x:c>
      <x:c r="C1" s="26" t="str">
        <x:v>Python_Asset_Output</x:v>
      </x:c>
      <x:c r="D1" s="26" t="str">
        <x:v>Python_Asset_Output</x:v>
      </x:c>
    </x:row>
    <x:row r="2">
      <x:c r="A2" s="27"/>
      <x:c r="B2" s="27"/>
      <x:c r="C2" s="27"/>
      <x:c r="D2" s="27"/>
    </x:row>
    <x:row r="3">
      <x:c r="A3" s="28" t="str">
        <x:v>Counterparty ID</x:v>
      </x:c>
      <x:c r="B3" s="28" t="str">
        <x:v>Netting Set ID</x:v>
      </x:c>
      <x:c r="C3" s="28" t="str">
        <x:v>Asset Class</x:v>
      </x:c>
      <x:c r="D3" s="28" t="str">
        <x:v>AddOn Exposure</x:v>
      </x:c>
    </x:row>
    <x:row r="4">
      <x:c r="A4" s="27" t="str">
        <x:v>IND_ASSET_MANAGER_001</x:v>
      </x:c>
      <x:c r="B4" s="27" t="n">
        <x:v>3050</x:v>
      </x:c>
      <x:c r="C4" s="27" t="str">
        <x:v>Interest Rate</x:v>
      </x:c>
      <x:c r="D4" s="27" t="n">
        <x:v>4094235.42574219</x:v>
      </x:c>
    </x:row>
    <x:row r="5">
      <x:c r="A5" s="27" t="str">
        <x:v>IND_ASSET_MANAGER_001</x:v>
      </x:c>
      <x:c r="B5" s="27" t="n">
        <x:v>3127</x:v>
      </x:c>
      <x:c r="C5" s="27" t="str">
        <x:v>FX</x:v>
      </x:c>
      <x:c r="D5" s="27" t="n">
        <x:v>4973943.029593679</x:v>
      </x:c>
    </x:row>
    <x:row r="6">
      <x:c r="A6" s="27" t="str">
        <x:v>IND_ASSET_MANAGER_001</x:v>
      </x:c>
      <x:c r="B6" s="27" t="n">
        <x:v>3167</x:v>
      </x:c>
      <x:c r="C6" s="27" t="str">
        <x:v>Equity</x:v>
      </x:c>
      <x:c r="D6" s="27" t="n">
        <x:v>852292.8164948242</x:v>
      </x:c>
    </x:row>
    <x:row r="7">
      <x:c r="A7" s="27" t="str">
        <x:v>IND_ASSET_MANAGER_001</x:v>
      </x:c>
      <x:c r="B7" s="27" t="n">
        <x:v>3205</x:v>
      </x:c>
      <x:c r="C7" s="27" t="str">
        <x:v>Commodity</x:v>
      </x:c>
      <x:c r="D7" s="27" t="n">
        <x:v>23958000</x:v>
      </x:c>
    </x:row>
    <x:row r="8">
      <x:c r="A8" s="27" t="str">
        <x:v>IND_ASSET_MANAGER_001</x:v>
      </x:c>
      <x:c r="B8" s="27" t="n">
        <x:v>3222</x:v>
      </x:c>
      <x:c r="C8" s="27" t="str">
        <x:v>Interest Rate</x:v>
      </x:c>
      <x:c r="D8" s="27" t="n">
        <x:v>859965.1543903996</x:v>
      </x:c>
    </x:row>
    <x:row r="9">
      <x:c r="A9" s="27" t="str">
        <x:v>IND_ASSET_MANAGER_001</x:v>
      </x:c>
      <x:c r="B9" s="27" t="n">
        <x:v>3257</x:v>
      </x:c>
      <x:c r="C9" s="27" t="str">
        <x:v>FX</x:v>
      </x:c>
      <x:c r="D9" s="27" t="n">
        <x:v>516000</x:v>
      </x:c>
    </x:row>
    <x:row r="10">
      <x:c r="A10" s="27" t="str">
        <x:v>IND_ASSET_MANAGER_001</x:v>
      </x:c>
      <x:c r="B10" s="27" t="n">
        <x:v>3277</x:v>
      </x:c>
      <x:c r="C10" s="27" t="str">
        <x:v>Credit</x:v>
      </x:c>
      <x:c r="D10" s="27" t="n">
        <x:v>1034965.2168045277</x:v>
      </x:c>
    </x:row>
    <x:row r="11">
      <x:c r="A11" s="27" t="str">
        <x:v>IND_ASSET_MANAGER_001</x:v>
      </x:c>
      <x:c r="B11" s="27" t="n">
        <x:v>3331</x:v>
      </x:c>
      <x:c r="C11" s="27" t="str">
        <x:v>Commodity</x:v>
      </x:c>
      <x:c r="D11" s="27" t="n">
        <x:v>2611854.081972236</x:v>
      </x:c>
    </x:row>
    <x:row r="12">
      <x:c r="A12" s="27" t="str">
        <x:v>IND_BANK_001</x:v>
      </x:c>
      <x:c r="B12" s="27" t="n">
        <x:v>3142</x:v>
      </x:c>
      <x:c r="C12" s="27" t="str">
        <x:v>FX</x:v>
      </x:c>
      <x:c r="D12" s="27" t="n">
        <x:v>1355186.4543564839</x:v>
      </x:c>
    </x:row>
    <x:row r="13">
      <x:c r="A13" s="27" t="str">
        <x:v>IND_BANK_001</x:v>
      </x:c>
      <x:c r="B13" s="27" t="n">
        <x:v>3172</x:v>
      </x:c>
      <x:c r="C13" s="27" t="str">
        <x:v>Commodity</x:v>
      </x:c>
      <x:c r="D13" s="27" t="n">
        <x:v>6708600.000000001</x:v>
      </x:c>
    </x:row>
    <x:row r="14">
      <x:c r="A14" s="27" t="str">
        <x:v>IND_BANK_001</x:v>
      </x:c>
      <x:c r="B14" s="27" t="n">
        <x:v>3214</x:v>
      </x:c>
      <x:c r="C14" s="27" t="str">
        <x:v>FX</x:v>
      </x:c>
      <x:c r="D14" s="27" t="n">
        <x:v>5840141.476813776</x:v>
      </x:c>
    </x:row>
    <x:row r="15">
      <x:c r="A15" s="27" t="str">
        <x:v>IND_BANK_001</x:v>
      </x:c>
      <x:c r="B15" s="27" t="n">
        <x:v>3219</x:v>
      </x:c>
      <x:c r="C15" s="27" t="str">
        <x:v>Interest Rate</x:v>
      </x:c>
      <x:c r="D15" s="27" t="n">
        <x:v>14380900.126693899</x:v>
      </x:c>
    </x:row>
    <x:row r="16">
      <x:c r="A16" s="27" t="str">
        <x:v>IND_BANK_001</x:v>
      </x:c>
      <x:c r="B16" s="27" t="n">
        <x:v>3324</x:v>
      </x:c>
      <x:c r="C16" s="27" t="str">
        <x:v>Interest Rate</x:v>
      </x:c>
      <x:c r="D16" s="27" t="n">
        <x:v>804910.4773212625</x:v>
      </x:c>
    </x:row>
    <x:row r="17">
      <x:c r="A17" s="27" t="str">
        <x:v>IND_BANK_001</x:v>
      </x:c>
      <x:c r="B17" s="27" t="n">
        <x:v>3348</x:v>
      </x:c>
      <x:c r="C17" s="27" t="str">
        <x:v>Commodity</x:v>
      </x:c>
      <x:c r="D17" s="27" t="n">
        <x:v>9288000</x:v>
      </x:c>
    </x:row>
    <x:row r="18">
      <x:c r="A18" s="27" t="str">
        <x:v>IND_BANK_001</x:v>
      </x:c>
      <x:c r="B18" s="27" t="n">
        <x:v>3372</x:v>
      </x:c>
      <x:c r="C18" s="27" t="str">
        <x:v>Credit</x:v>
      </x:c>
      <x:c r="D18" s="27" t="n">
        <x:v>623711.9947243913</x:v>
      </x:c>
    </x:row>
    <x:row r="19">
      <x:c r="A19" s="27" t="str">
        <x:v>IND_BANK_002</x:v>
      </x:c>
      <x:c r="B19" s="27" t="n">
        <x:v>3049</x:v>
      </x:c>
      <x:c r="C19" s="27" t="str">
        <x:v>Interest Rate</x:v>
      </x:c>
      <x:c r="D19" s="27" t="n">
        <x:v>19318222.238824997</x:v>
      </x:c>
    </x:row>
    <x:row r="20">
      <x:c r="A20" s="27" t="str">
        <x:v>IND_BANK_002</x:v>
      </x:c>
      <x:c r="B20" s="27" t="n">
        <x:v>3090</x:v>
      </x:c>
      <x:c r="C20" s="27" t="str">
        <x:v>Equity</x:v>
      </x:c>
      <x:c r="D20" s="27" t="n">
        <x:v>5866361.313090214</x:v>
      </x:c>
    </x:row>
    <x:row r="21">
      <x:c r="A21" s="27" t="str">
        <x:v>IND_BANK_002</x:v>
      </x:c>
      <x:c r="B21" s="27" t="n">
        <x:v>3132</x:v>
      </x:c>
      <x:c r="C21" s="27" t="str">
        <x:v>Interest Rate</x:v>
      </x:c>
      <x:c r="D21" s="27" t="n">
        <x:v>4694537.232740463</x:v>
      </x:c>
    </x:row>
    <x:row r="22">
      <x:c r="A22" s="27" t="str">
        <x:v>IND_BANK_002</x:v>
      </x:c>
      <x:c r="B22" s="27" t="n">
        <x:v>3259</x:v>
      </x:c>
      <x:c r="C22" s="27" t="str">
        <x:v>Commodity</x:v>
      </x:c>
      <x:c r="D22" s="27" t="n">
        <x:v>4918074.667346969</x:v>
      </x:c>
    </x:row>
    <x:row r="23">
      <x:c r="A23" s="27" t="str">
        <x:v>IND_BANK_002</x:v>
      </x:c>
      <x:c r="B23" s="27" t="n">
        <x:v>3318</x:v>
      </x:c>
      <x:c r="C23" s="27" t="str">
        <x:v>FX</x:v>
      </x:c>
      <x:c r="D23" s="27" t="n">
        <x:v>4580891.489874442</x:v>
      </x:c>
    </x:row>
    <x:row r="24">
      <x:c r="A24" s="27" t="str">
        <x:v>IND_BANK_002</x:v>
      </x:c>
      <x:c r="B24" s="27" t="n">
        <x:v>3323</x:v>
      </x:c>
      <x:c r="C24" s="27" t="str">
        <x:v>Commodity</x:v>
      </x:c>
      <x:c r="D24" s="27" t="n">
        <x:v>1116000</x:v>
      </x:c>
    </x:row>
    <x:row r="25">
      <x:c r="A25" s="27" t="str">
        <x:v>IND_BANK_002</x:v>
      </x:c>
      <x:c r="B25" s="27" t="n">
        <x:v>3331</x:v>
      </x:c>
      <x:c r="C25" s="27" t="str">
        <x:v>FX</x:v>
      </x:c>
      <x:c r="D25" s="27" t="n">
        <x:v>5597705.051359762</x:v>
      </x:c>
    </x:row>
    <x:row r="26">
      <x:c r="A26" s="27" t="str">
        <x:v>IND_BANK_002</x:v>
      </x:c>
      <x:c r="B26" s="27" t="n">
        <x:v>3341</x:v>
      </x:c>
      <x:c r="C26" s="27" t="str">
        <x:v>Credit</x:v>
      </x:c>
      <x:c r="D26" s="27" t="n">
        <x:v>345016.94634811947</x:v>
      </x:c>
    </x:row>
    <x:row r="27">
      <x:c r="A27" s="27" t="str">
        <x:v>IND_BANK_002</x:v>
      </x:c>
      <x:c r="B27" s="27" t="n">
        <x:v>3386</x:v>
      </x:c>
      <x:c r="C27" s="27" t="str">
        <x:v>Equity</x:v>
      </x:c>
      <x:c r="D27" s="27" t="n">
        <x:v>3187826.7476575486</x:v>
      </x:c>
    </x:row>
    <x:row r="28">
      <x:c r="A28" s="27" t="str">
        <x:v>IND_BROKER_001</x:v>
      </x:c>
      <x:c r="B28" s="27" t="n">
        <x:v>3195</x:v>
      </x:c>
      <x:c r="C28" s="27" t="str">
        <x:v>Equity</x:v>
      </x:c>
      <x:c r="D28" s="27" t="n">
        <x:v>4156800.0000000005</x:v>
      </x:c>
    </x:row>
    <x:row r="29">
      <x:c r="A29" s="27" t="str">
        <x:v>IND_BROKER_001</x:v>
      </x:c>
      <x:c r="B29" s="27" t="n">
        <x:v>3220</x:v>
      </x:c>
      <x:c r="C29" s="27" t="str">
        <x:v>Interest Rate</x:v>
      </x:c>
      <x:c r="D29" s="27" t="n">
        <x:v>969422.9613335753</x:v>
      </x:c>
    </x:row>
    <x:row r="30">
      <x:c r="A30" s="27" t="str">
        <x:v>IND_BROKER_001</x:v>
      </x:c>
      <x:c r="B30" s="27" t="n">
        <x:v>3276</x:v>
      </x:c>
      <x:c r="C30" s="27" t="str">
        <x:v>Equity</x:v>
      </x:c>
      <x:c r="D30" s="27" t="n">
        <x:v>14209385.609053489</x:v>
      </x:c>
    </x:row>
    <x:row r="31">
      <x:c r="A31" s="27" t="str">
        <x:v>IND_BROKER_001</x:v>
      </x:c>
      <x:c r="B31" s="27" t="n">
        <x:v>3276</x:v>
      </x:c>
      <x:c r="C31" s="27" t="str">
        <x:v>FX</x:v>
      </x:c>
      <x:c r="D31" s="27" t="n">
        <x:v>1791358.7988377018</x:v>
      </x:c>
    </x:row>
    <x:row r="32">
      <x:c r="A32" s="27" t="str">
        <x:v>IND_BROKER_001</x:v>
      </x:c>
      <x:c r="B32" s="27" t="n">
        <x:v>3332</x:v>
      </x:c>
      <x:c r="C32" s="27" t="str">
        <x:v>Interest Rate</x:v>
      </x:c>
      <x:c r="D32" s="27" t="n">
        <x:v>560482.2809820212</x:v>
      </x:c>
    </x:row>
    <x:row r="33">
      <x:c r="A33" s="27" t="str">
        <x:v>IND_BROKER_001</x:v>
      </x:c>
      <x:c r="B33" s="27" t="n">
        <x:v>3384</x:v>
      </x:c>
      <x:c r="C33" s="27" t="str">
        <x:v>FX</x:v>
      </x:c>
      <x:c r="D33" s="27" t="n">
        <x:v>1454589.157108885</x:v>
      </x:c>
    </x:row>
    <x:row r="34">
      <x:c r="A34" s="27" t="str">
        <x:v>IND_CLEARING_MEMBER_001</x:v>
      </x:c>
      <x:c r="B34" s="27" t="n">
        <x:v>3020</x:v>
      </x:c>
      <x:c r="C34" s="27" t="str">
        <x:v>Interest Rate</x:v>
      </x:c>
      <x:c r="D34" s="27" t="n">
        <x:v>18552913.463673744</x:v>
      </x:c>
    </x:row>
    <x:row r="35">
      <x:c r="A35" s="27" t="str">
        <x:v>IND_CLEARING_MEMBER_001</x:v>
      </x:c>
      <x:c r="B35" s="27" t="n">
        <x:v>3108</x:v>
      </x:c>
      <x:c r="C35" s="27" t="str">
        <x:v>Equity</x:v>
      </x:c>
      <x:c r="D35" s="27" t="n">
        <x:v>7669750.998970759</x:v>
      </x:c>
    </x:row>
    <x:row r="36">
      <x:c r="A36" s="27" t="str">
        <x:v>IND_CLEARING_MEMBER_001</x:v>
      </x:c>
      <x:c r="B36" s="27" t="n">
        <x:v>3116</x:v>
      </x:c>
      <x:c r="C36" s="27" t="str">
        <x:v>Credit</x:v>
      </x:c>
      <x:c r="D36" s="27" t="n">
        <x:v>918128.9373543155</x:v>
      </x:c>
    </x:row>
    <x:row r="37">
      <x:c r="A37" s="27" t="str">
        <x:v>IND_CLEARING_MEMBER_001</x:v>
      </x:c>
      <x:c r="B37" s="27" t="n">
        <x:v>3161</x:v>
      </x:c>
      <x:c r="C37" s="27" t="str">
        <x:v>Equity</x:v>
      </x:c>
      <x:c r="D37" s="27" t="n">
        <x:v>15305903.0927465</x:v>
      </x:c>
    </x:row>
    <x:row r="38">
      <x:c r="A38" s="27" t="str">
        <x:v>IND_CLEARING_MEMBER_001</x:v>
      </x:c>
      <x:c r="B38" s="27" t="n">
        <x:v>3186</x:v>
      </x:c>
      <x:c r="C38" s="27" t="str">
        <x:v>Commodity</x:v>
      </x:c>
      <x:c r="D38" s="27" t="n">
        <x:v>5753829.434618186</x:v>
      </x:c>
    </x:row>
    <x:row r="39">
      <x:c r="A39" s="27" t="str">
        <x:v>IND_CLEARING_MEMBER_001</x:v>
      </x:c>
      <x:c r="B39" s="27" t="n">
        <x:v>3206</x:v>
      </x:c>
      <x:c r="C39" s="27" t="str">
        <x:v>FX</x:v>
      </x:c>
      <x:c r="D39" s="27" t="n">
        <x:v>1230799.049505133</x:v>
      </x:c>
    </x:row>
    <x:row r="40">
      <x:c r="A40" s="27" t="str">
        <x:v>IND_CLEARING_MEMBER_001</x:v>
      </x:c>
      <x:c r="B40" s="27" t="n">
        <x:v>3288</x:v>
      </x:c>
      <x:c r="C40" s="27" t="str">
        <x:v>FX</x:v>
      </x:c>
      <x:c r="D40" s="27" t="n">
        <x:v>3514538.5812447895</x:v>
      </x:c>
    </x:row>
    <x:row r="41">
      <x:c r="A41" s="27" t="str">
        <x:v>IND_CLEARING_MEMBER_001</x:v>
      </x:c>
      <x:c r="B41" s="27" t="n">
        <x:v>3340</x:v>
      </x:c>
      <x:c r="C41" s="27" t="str">
        <x:v>Commodity</x:v>
      </x:c>
      <x:c r="D41" s="27" t="n">
        <x:v>1434000.0000000002</x:v>
      </x:c>
    </x:row>
    <x:row r="42">
      <x:c r="A42" s="27" t="str">
        <x:v>IND_CLEARING_MEMBER_001</x:v>
      </x:c>
      <x:c r="B42" s="27" t="n">
        <x:v>3399</x:v>
      </x:c>
      <x:c r="C42" s="27" t="str">
        <x:v>Interest Rate</x:v>
      </x:c>
      <x:c r="D42" s="27" t="n">
        <x:v>6023004.5076668775</x:v>
      </x:c>
    </x:row>
    <x:row r="43">
      <x:c r="A43" s="27" t="str">
        <x:v>IND_CORPORATE_001</x:v>
      </x:c>
      <x:c r="B43" s="27" t="n">
        <x:v>3004</x:v>
      </x:c>
      <x:c r="C43" s="27" t="str">
        <x:v>Interest Rate</x:v>
      </x:c>
      <x:c r="D43" s="27" t="n">
        <x:v>1100958.7135473804</x:v>
      </x:c>
    </x:row>
    <x:row r="44">
      <x:c r="A44" s="27" t="str">
        <x:v>IND_CORPORATE_001</x:v>
      </x:c>
      <x:c r="B44" s="27" t="n">
        <x:v>3015</x:v>
      </x:c>
      <x:c r="C44" s="27" t="str">
        <x:v>Credit</x:v>
      </x:c>
      <x:c r="D44" s="27" t="n">
        <x:v>501106.2636925688</x:v>
      </x:c>
    </x:row>
    <x:row r="45">
      <x:c r="A45" s="27" t="str">
        <x:v>IND_CORPORATE_001</x:v>
      </x:c>
      <x:c r="B45" s="27" t="n">
        <x:v>3040</x:v>
      </x:c>
      <x:c r="C45" s="27" t="str">
        <x:v>FX</x:v>
      </x:c>
      <x:c r="D45" s="27" t="n">
        <x:v>684590.2687736201</x:v>
      </x:c>
    </x:row>
    <x:row r="46">
      <x:c r="A46" s="27" t="str">
        <x:v>IND_CORPORATE_001</x:v>
      </x:c>
      <x:c r="B46" s="27" t="n">
        <x:v>3041</x:v>
      </x:c>
      <x:c r="C46" s="27" t="str">
        <x:v>Credit</x:v>
      </x:c>
      <x:c r="D46" s="27" t="n">
        <x:v>3309924.8238075697</x:v>
      </x:c>
    </x:row>
    <x:row r="47">
      <x:c r="A47" s="27" t="str">
        <x:v>IND_CORPORATE_001</x:v>
      </x:c>
      <x:c r="B47" s="27" t="n">
        <x:v>3092</x:v>
      </x:c>
      <x:c r="C47" s="27" t="str">
        <x:v>FX</x:v>
      </x:c>
      <x:c r="D47" s="27" t="n">
        <x:v>3027697.6010804637</x:v>
      </x:c>
    </x:row>
    <x:row r="48">
      <x:c r="A48" s="27" t="str">
        <x:v>IND_CORPORATE_001</x:v>
      </x:c>
      <x:c r="B48" s="27" t="n">
        <x:v>3100</x:v>
      </x:c>
      <x:c r="C48" s="27" t="str">
        <x:v>Commodity</x:v>
      </x:c>
      <x:c r="D48" s="27" t="n">
        <x:v>961200</x:v>
      </x:c>
    </x:row>
    <x:row r="49">
      <x:c r="A49" s="27" t="str">
        <x:v>IND_CORPORATE_001</x:v>
      </x:c>
      <x:c r="B49" s="27" t="n">
        <x:v>3161</x:v>
      </x:c>
      <x:c r="C49" s="27" t="str">
        <x:v>Interest Rate</x:v>
      </x:c>
      <x:c r="D49" s="27" t="n">
        <x:v>8294520.942047758</x:v>
      </x:c>
    </x:row>
    <x:row r="50">
      <x:c r="A50" s="27" t="str">
        <x:v>IND_CORPORATE_001</x:v>
      </x:c>
      <x:c r="B50" s="27" t="n">
        <x:v>3358</x:v>
      </x:c>
      <x:c r="C50" s="27" t="str">
        <x:v>Commodity</x:v>
      </x:c>
      <x:c r="D50" s="27" t="n">
        <x:v>1836000</x:v>
      </x:c>
    </x:row>
    <x:row r="51">
      <x:c r="A51" s="27" t="str">
        <x:v>IND_CORPORATE_001</x:v>
      </x:c>
      <x:c r="B51" s="27" t="n">
        <x:v>3380</x:v>
      </x:c>
      <x:c r="C51" s="27" t="str">
        <x:v>Equity</x:v>
      </x:c>
      <x:c r="D51" s="27" t="n">
        <x:v>480000</x:v>
      </x:c>
    </x:row>
    <x:row r="52">
      <x:c r="A52" s="27" t="str">
        <x:v>IND_CORPORATE_002</x:v>
      </x:c>
      <x:c r="B52" s="27" t="n">
        <x:v>3074</x:v>
      </x:c>
      <x:c r="C52" s="27" t="str">
        <x:v>Interest Rate</x:v>
      </x:c>
      <x:c r="D52" s="27" t="n">
        <x:v>26540884.6099034</x:v>
      </x:c>
    </x:row>
    <x:row r="53">
      <x:c r="A53" s="27" t="str">
        <x:v>IND_CORPORATE_002</x:v>
      </x:c>
      <x:c r="B53" s="27" t="n">
        <x:v>3126</x:v>
      </x:c>
      <x:c r="C53" s="27" t="str">
        <x:v>Commodity</x:v>
      </x:c>
      <x:c r="D53" s="27" t="n">
        <x:v>2052000.0000000002</x:v>
      </x:c>
    </x:row>
    <x:row r="54">
      <x:c r="A54" s="27" t="str">
        <x:v>IND_CORPORATE_002</x:v>
      </x:c>
      <x:c r="B54" s="27" t="n">
        <x:v>3130</x:v>
      </x:c>
      <x:c r="C54" s="27" t="str">
        <x:v>Commodity</x:v>
      </x:c>
      <x:c r="D54" s="27" t="n">
        <x:v>2184539.3680102364</x:v>
      </x:c>
    </x:row>
    <x:row r="55">
      <x:c r="A55" s="27" t="str">
        <x:v>IND_CORPORATE_002</x:v>
      </x:c>
      <x:c r="B55" s="27" t="n">
        <x:v>3187</x:v>
      </x:c>
      <x:c r="C55" s="27" t="str">
        <x:v>FX</x:v>
      </x:c>
      <x:c r="D55" s="27" t="n">
        <x:v>1299603.5201710137</x:v>
      </x:c>
    </x:row>
    <x:row r="56">
      <x:c r="A56" s="27" t="str">
        <x:v>IND_CORPORATE_002</x:v>
      </x:c>
      <x:c r="B56" s="27" t="n">
        <x:v>3273</x:v>
      </x:c>
      <x:c r="C56" s="27" t="str">
        <x:v>Interest Rate</x:v>
      </x:c>
      <x:c r="D56" s="27" t="n">
        <x:v>11505948.264206408</x:v>
      </x:c>
    </x:row>
    <x:row r="57">
      <x:c r="A57" s="27" t="str">
        <x:v>IND_CORPORATE_002</x:v>
      </x:c>
      <x:c r="B57" s="27" t="n">
        <x:v>3331</x:v>
      </x:c>
      <x:c r="C57" s="27" t="str">
        <x:v>Equity</x:v>
      </x:c>
      <x:c r="D57" s="27" t="n">
        <x:v>124177.7084060515</x:v>
      </x:c>
    </x:row>
    <x:row r="58">
      <x:c r="A58" s="27" t="str">
        <x:v>IND_CORPORATE_002</x:v>
      </x:c>
      <x:c r="B58" s="27" t="n">
        <x:v>3346</x:v>
      </x:c>
      <x:c r="C58" s="27" t="str">
        <x:v>FX</x:v>
      </x:c>
      <x:c r="D58" s="27" t="n">
        <x:v>3871946.526148793</x:v>
      </x:c>
    </x:row>
    <x:row r="59">
      <x:c r="A59" s="27" t="str">
        <x:v>IND_CORPORATE_002</x:v>
      </x:c>
      <x:c r="B59" s="27" t="n">
        <x:v>3389</x:v>
      </x:c>
      <x:c r="C59" s="27" t="str">
        <x:v>Credit</x:v>
      </x:c>
      <x:c r="D59" s="27" t="n">
        <x:v>722821.3848213615</x:v>
      </x:c>
    </x:row>
    <x:row r="60">
      <x:c r="A60" s="27" t="str">
        <x:v>IND_HEDGE_FUND_001</x:v>
      </x:c>
      <x:c r="B60" s="27" t="n">
        <x:v>3012</x:v>
      </x:c>
      <x:c r="C60" s="27" t="str">
        <x:v>Interest Rate</x:v>
      </x:c>
      <x:c r="D60" s="27" t="n">
        <x:v>36236798.109723434</x:v>
      </x:c>
    </x:row>
    <x:row r="61">
      <x:c r="A61" s="27" t="str">
        <x:v>IND_HEDGE_FUND_001</x:v>
      </x:c>
      <x:c r="B61" s="27" t="n">
        <x:v>3040</x:v>
      </x:c>
      <x:c r="C61" s="27" t="str">
        <x:v>Equity</x:v>
      </x:c>
      <x:c r="D61" s="27" t="n">
        <x:v>2620800.0000000005</x:v>
      </x:c>
    </x:row>
    <x:row r="62">
      <x:c r="A62" s="27" t="str">
        <x:v>IND_HEDGE_FUND_001</x:v>
      </x:c>
      <x:c r="B62" s="27" t="n">
        <x:v>3040</x:v>
      </x:c>
      <x:c r="C62" s="27" t="str">
        <x:v>FX</x:v>
      </x:c>
      <x:c r="D62" s="27" t="n">
        <x:v>632466.6191733518</x:v>
      </x:c>
    </x:row>
    <x:row r="63">
      <x:c r="A63" s="27" t="str">
        <x:v>IND_HEDGE_FUND_001</x:v>
      </x:c>
      <x:c r="B63" s="27" t="n">
        <x:v>3109</x:v>
      </x:c>
      <x:c r="C63" s="27" t="str">
        <x:v>Commodity</x:v>
      </x:c>
      <x:c r="D63" s="27" t="n">
        <x:v>3569951.5764041524</x:v>
      </x:c>
    </x:row>
    <x:row r="64">
      <x:c r="A64" s="27" t="str">
        <x:v>IND_HEDGE_FUND_001</x:v>
      </x:c>
      <x:c r="B64" s="27" t="n">
        <x:v>3205</x:v>
      </x:c>
      <x:c r="C64" s="27" t="str">
        <x:v>FX</x:v>
      </x:c>
      <x:c r="D64" s="27" t="n">
        <x:v>581549.4754292858</x:v>
      </x:c>
    </x:row>
    <x:row r="65">
      <x:c r="A65" s="27" t="str">
        <x:v>IND_HEDGE_FUND_001</x:v>
      </x:c>
      <x:c r="B65" s="27" t="n">
        <x:v>3289</x:v>
      </x:c>
      <x:c r="C65" s="27" t="str">
        <x:v>Credit</x:v>
      </x:c>
      <x:c r="D65" s="27" t="n">
        <x:v>1149164.5220523034</x:v>
      </x:c>
    </x:row>
    <x:row r="66">
      <x:c r="A66" s="27" t="str">
        <x:v>IND_HEDGE_FUND_001</x:v>
      </x:c>
      <x:c r="B66" s="27" t="n">
        <x:v>3338</x:v>
      </x:c>
      <x:c r="C66" s="27" t="str">
        <x:v>Credit</x:v>
      </x:c>
      <x:c r="D66" s="27" t="n">
        <x:v>1069871.4367438597</x:v>
      </x:c>
    </x:row>
    <x:row r="67">
      <x:c r="A67" s="27" t="str">
        <x:v>IND_HEDGE_FUND_001</x:v>
      </x:c>
      <x:c r="B67" s="27" t="n">
        <x:v>3345</x:v>
      </x:c>
      <x:c r="C67" s="27" t="str">
        <x:v>Interest Rate</x:v>
      </x:c>
      <x:c r="D67" s="27" t="n">
        <x:v>13343331.056255396</x:v>
      </x:c>
    </x:row>
    <x:row r="68">
      <x:c r="A68" s="27" t="str">
        <x:v>IND_INSURER_001</x:v>
      </x:c>
      <x:c r="B68" s="27" t="n">
        <x:v>3048</x:v>
      </x:c>
      <x:c r="C68" s="27" t="str">
        <x:v>Interest Rate</x:v>
      </x:c>
      <x:c r="D68" s="27" t="n">
        <x:v>31784308.72313044</x:v>
      </x:c>
    </x:row>
    <x:row r="69">
      <x:c r="A69" s="27" t="str">
        <x:v>IND_INSURER_001</x:v>
      </x:c>
      <x:c r="B69" s="27" t="n">
        <x:v>3094</x:v>
      </x:c>
      <x:c r="C69" s="27" t="str">
        <x:v>FX</x:v>
      </x:c>
      <x:c r="D69" s="27" t="n">
        <x:v>4442673.687243264</x:v>
      </x:c>
    </x:row>
    <x:row r="70">
      <x:c r="A70" s="27" t="str">
        <x:v>IND_INSURER_001</x:v>
      </x:c>
      <x:c r="B70" s="27" t="n">
        <x:v>3122</x:v>
      </x:c>
      <x:c r="C70" s="27" t="str">
        <x:v>FX</x:v>
      </x:c>
      <x:c r="D70" s="27" t="n">
        <x:v>3300000.0000000005</x:v>
      </x:c>
    </x:row>
    <x:row r="71">
      <x:c r="A71" s="27" t="str">
        <x:v>IND_INSURER_001</x:v>
      </x:c>
      <x:c r="B71" s="27" t="n">
        <x:v>3257</x:v>
      </x:c>
      <x:c r="C71" s="27" t="str">
        <x:v>Commodity</x:v>
      </x:c>
      <x:c r="D71" s="27" t="n">
        <x:v>4039200.0000000005</x:v>
      </x:c>
    </x:row>
    <x:row r="72">
      <x:c r="A72" s="27" t="str">
        <x:v>IND_INSURER_001</x:v>
      </x:c>
      <x:c r="B72" s="27" t="n">
        <x:v>3297</x:v>
      </x:c>
      <x:c r="C72" s="27" t="str">
        <x:v>Interest Rate</x:v>
      </x:c>
      <x:c r="D72" s="27" t="n">
        <x:v>18810268.177057065</x:v>
      </x:c>
    </x:row>
    <x:row r="73">
      <x:c r="A73" s="27" t="str">
        <x:v>IND_INSURER_001</x:v>
      </x:c>
      <x:c r="B73" s="27" t="n">
        <x:v>3338</x:v>
      </x:c>
      <x:c r="C73" s="27" t="str">
        <x:v>Credit</x:v>
      </x:c>
      <x:c r="D73" s="27" t="n">
        <x:v>616257.7716211872</x:v>
      </x:c>
    </x:row>
    <x:row r="74">
      <x:c r="A74" s="27" t="str">
        <x:v>IND_INSURER_001</x:v>
      </x:c>
      <x:c r="B74" s="27" t="n">
        <x:v>3390</x:v>
      </x:c>
      <x:c r="C74" s="27" t="str">
        <x:v>Equity</x:v>
      </x:c>
      <x:c r="D74" s="27" t="n">
        <x:v>10485563.042870814</x:v>
      </x:c>
    </x:row>
    <x:row r="75">
      <x:c r="A75" s="27" t="str">
        <x:v>IND_PENSION_001</x:v>
      </x:c>
      <x:c r="B75" s="27" t="n">
        <x:v>3036</x:v>
      </x:c>
      <x:c r="C75" s="27" t="str">
        <x:v>Credit</x:v>
      </x:c>
      <x:c r="D75" s="27" t="n">
        <x:v>1590701.8220125777</x:v>
      </x:c>
    </x:row>
    <x:row r="76">
      <x:c r="A76" s="27" t="str">
        <x:v>IND_PENSION_001</x:v>
      </x:c>
      <x:c r="B76" s="27" t="n">
        <x:v>3060</x:v>
      </x:c>
      <x:c r="C76" s="27" t="str">
        <x:v>Commodity</x:v>
      </x:c>
      <x:c r="D76" s="27" t="n">
        <x:v>19759924.511900373</x:v>
      </x:c>
    </x:row>
    <x:row r="77">
      <x:c r="A77" s="27" t="str">
        <x:v>IND_PENSION_001</x:v>
      </x:c>
      <x:c r="B77" s="27" t="n">
        <x:v>3103</x:v>
      </x:c>
      <x:c r="C77" s="27" t="str">
        <x:v>Interest Rate</x:v>
      </x:c>
      <x:c r="D77" s="27" t="n">
        <x:v>8742348.34664068</x:v>
      </x:c>
    </x:row>
    <x:row r="78">
      <x:c r="A78" s="27" t="str">
        <x:v>IND_PENSION_001</x:v>
      </x:c>
      <x:c r="B78" s="27" t="n">
        <x:v>3113</x:v>
      </x:c>
      <x:c r="C78" s="27" t="str">
        <x:v>Commodity</x:v>
      </x:c>
      <x:c r="D78" s="27" t="n">
        <x:v>9909000.000000002</x:v>
      </x:c>
    </x:row>
    <x:row r="79">
      <x:c r="A79" s="27" t="str">
        <x:v>IND_PENSION_001</x:v>
      </x:c>
      <x:c r="B79" s="27" t="n">
        <x:v>3121</x:v>
      </x:c>
      <x:c r="C79" s="27" t="str">
        <x:v>Equity</x:v>
      </x:c>
      <x:c r="D79" s="27" t="n">
        <x:v>3688087.1139386073</x:v>
      </x:c>
    </x:row>
    <x:row r="80">
      <x:c r="A80" s="27" t="str">
        <x:v>IND_PENSION_001</x:v>
      </x:c>
      <x:c r="B80" s="27" t="n">
        <x:v>3174</x:v>
      </x:c>
      <x:c r="C80" s="27" t="str">
        <x:v>Interest Rate</x:v>
      </x:c>
      <x:c r="D80" s="27" t="n">
        <x:v>315506.84692620346</x:v>
      </x:c>
    </x:row>
    <x:row r="81">
      <x:c r="A81" s="27" t="str">
        <x:v>IND_PENSION_001</x:v>
      </x:c>
      <x:c r="B81" s="27" t="n">
        <x:v>3242</x:v>
      </x:c>
      <x:c r="C81" s="27" t="str">
        <x:v>Credit</x:v>
      </x:c>
      <x:c r="D81" s="27" t="n">
        <x:v>131933.83642557342</x:v>
      </x:c>
    </x:row>
    <x:row r="82">
      <x:c r="A82" s="27" t="str">
        <x:v>IND_PENSION_001</x:v>
      </x:c>
      <x:c r="B82" s="27" t="n">
        <x:v>3254</x:v>
      </x:c>
      <x:c r="C82" s="27" t="str">
        <x:v>FX</x:v>
      </x:c>
      <x:c r="D82" s="27" t="n">
        <x:v>2404214.4076105123</x:v>
      </x:c>
    </x:row>
    <x:row r="83">
      <x:c r="A83" s="27" t="str">
        <x:v>IND_PENSION_001</x:v>
      </x:c>
      <x:c r="B83" s="27" t="n">
        <x:v>3294</x:v>
      </x:c>
      <x:c r="C83" s="27" t="str">
        <x:v>FX</x:v>
      </x:c>
      <x:c r="D83" s="27" t="n">
        <x:v>3776400.000000001</x:v>
      </x:c>
    </x:row>
    <x:row r="84">
      <x:c r="A84" s="27" t="str">
        <x:v>IND_REGIONAL_BANK_001</x:v>
      </x:c>
      <x:c r="B84" s="27" t="n">
        <x:v>3054</x:v>
      </x:c>
      <x:c r="C84" s="27" t="str">
        <x:v>Interest Rate</x:v>
      </x:c>
      <x:c r="D84" s="27" t="n">
        <x:v>15280896.091243856</x:v>
      </x:c>
    </x:row>
    <x:row r="85">
      <x:c r="A85" s="27" t="str">
        <x:v>IND_REGIONAL_BANK_001</x:v>
      </x:c>
      <x:c r="B85" s="27" t="n">
        <x:v>3082</x:v>
      </x:c>
      <x:c r="C85" s="27" t="str">
        <x:v>Commodity</x:v>
      </x:c>
      <x:c r="D85" s="27" t="n">
        <x:v>6203400.000000001</x:v>
      </x:c>
    </x:row>
    <x:row r="86">
      <x:c r="A86" s="27" t="str">
        <x:v>IND_REGIONAL_BANK_001</x:v>
      </x:c>
      <x:c r="B86" s="27" t="n">
        <x:v>3161</x:v>
      </x:c>
      <x:c r="C86" s="27" t="str">
        <x:v>Credit</x:v>
      </x:c>
      <x:c r="D86" s="27" t="n">
        <x:v>5649459.236787042</x:v>
      </x:c>
    </x:row>
    <x:row r="87">
      <x:c r="A87" s="27" t="str">
        <x:v>IND_REGIONAL_BANK_001</x:v>
      </x:c>
      <x:c r="B87" s="27" t="n">
        <x:v>3194</x:v>
      </x:c>
      <x:c r="C87" s="27" t="str">
        <x:v>Equity</x:v>
      </x:c>
      <x:c r="D87" s="27" t="n">
        <x:v>3590830.188077495</x:v>
      </x:c>
    </x:row>
    <x:row r="88">
      <x:c r="A88" s="27" t="str">
        <x:v>IND_REGIONAL_BANK_001</x:v>
      </x:c>
      <x:c r="B88" s="27" t="n">
        <x:v>3210</x:v>
      </x:c>
      <x:c r="C88" s="27" t="str">
        <x:v>FX</x:v>
      </x:c>
      <x:c r="D88" s="27" t="n">
        <x:v>2177773.6367068347</x:v>
      </x:c>
    </x:row>
    <x:row r="89">
      <x:c r="A89" s="27" t="str">
        <x:v>IND_REGIONAL_BANK_001</x:v>
      </x:c>
      <x:c r="B89" s="27" t="n">
        <x:v>3237</x:v>
      </x:c>
      <x:c r="C89" s="27" t="str">
        <x:v>Credit</x:v>
      </x:c>
      <x:c r="D89" s="27" t="n">
        <x:v>3924087.3539465335</x:v>
      </x:c>
    </x:row>
    <x:row r="90">
      <x:c r="A90" s="27" t="str">
        <x:v>IND_REGIONAL_BANK_001</x:v>
      </x:c>
      <x:c r="B90" s="27" t="n">
        <x:v>3245</x:v>
      </x:c>
      <x:c r="C90" s="27" t="str">
        <x:v>FX</x:v>
      </x:c>
      <x:c r="D90" s="27" t="n">
        <x:v>4808000</x:v>
      </x:c>
    </x:row>
    <x:row r="91">
      <x:c r="A91" s="27" t="str">
        <x:v>IND_REGIONAL_BANK_001</x:v>
      </x:c>
      <x:c r="B91" s="27" t="n">
        <x:v>3315</x:v>
      </x:c>
      <x:c r="C91" s="27" t="str">
        <x:v>Interest Rate</x:v>
      </x:c>
      <x:c r="D91" s="27" t="n">
        <x:v>3422606.959892163</x:v>
      </x:c>
    </x:row>
    <x:row r="92">
      <x:c r="A92" s="27" t="str">
        <x:v>IND_SOVEREIGN_001</x:v>
      </x:c>
      <x:c r="B92" s="27" t="n">
        <x:v>3042</x:v>
      </x:c>
      <x:c r="C92" s="27" t="str">
        <x:v>Credit</x:v>
      </x:c>
      <x:c r="D92" s="27" t="n">
        <x:v>450320.6895615736</x:v>
      </x:c>
    </x:row>
    <x:row r="93">
      <x:c r="A93" s="27" t="str">
        <x:v>IND_SOVEREIGN_001</x:v>
      </x:c>
      <x:c r="B93" s="27" t="n">
        <x:v>3065</x:v>
      </x:c>
      <x:c r="C93" s="27" t="str">
        <x:v>Interest Rate</x:v>
      </x:c>
      <x:c r="D93" s="27" t="n">
        <x:v>11289206.531979304</x:v>
      </x:c>
    </x:row>
    <x:row r="94">
      <x:c r="A94" s="27" t="str">
        <x:v>IND_SOVEREIGN_001</x:v>
      </x:c>
      <x:c r="B94" s="27" t="n">
        <x:v>3084</x:v>
      </x:c>
      <x:c r="C94" s="27" t="str">
        <x:v>FX</x:v>
      </x:c>
      <x:c r="D94" s="27" t="n">
        <x:v>2065232.6167001186</x:v>
      </x:c>
    </x:row>
    <x:row r="95">
      <x:c r="A95" s="27" t="str">
        <x:v>IND_SOVEREIGN_001</x:v>
      </x:c>
      <x:c r="B95" s="27" t="n">
        <x:v>3126</x:v>
      </x:c>
      <x:c r="C95" s="27" t="str">
        <x:v>Commodity</x:v>
      </x:c>
      <x:c r="D95" s="27" t="n">
        <x:v>9728085.273896614</x:v>
      </x:c>
    </x:row>
    <x:row r="96">
      <x:c r="A96" s="27" t="str">
        <x:v>IND_SOVEREIGN_001</x:v>
      </x:c>
      <x:c r="B96" s="27" t="n">
        <x:v>3246</x:v>
      </x:c>
      <x:c r="C96" s="27" t="str">
        <x:v>Interest Rate</x:v>
      </x:c>
      <x:c r="D96" s="27" t="n">
        <x:v>21210487.356791325</x:v>
      </x:c>
    </x:row>
    <x:row r="97">
      <x:c r="A97" s="27" t="str">
        <x:v>IND_SOVEREIGN_001</x:v>
      </x:c>
      <x:c r="B97" s="27" t="n">
        <x:v>3281</x:v>
      </x:c>
      <x:c r="C97" s="27" t="str">
        <x:v>Credit</x:v>
      </x:c>
      <x:c r="D97" s="27" t="n">
        <x:v>1578667.5370825392</x:v>
      </x:c>
    </x:row>
    <x:row r="98">
      <x:c r="A98" s="27" t="str">
        <x:v>IND_SOVEREIGN_001</x:v>
      </x:c>
      <x:c r="B98" s="27" t="n">
        <x:v>3296</x:v>
      </x:c>
      <x:c r="C98" s="27" t="str">
        <x:v>Equity</x:v>
      </x:c>
      <x:c r="D98" s="27" t="n">
        <x:v>3974400.0000000005</x:v>
      </x:c>
    </x:row>
    <x:row r="99">
      <x:c r="A99" s="27" t="str">
        <x:v>IND_SOVEREIGN_001</x:v>
      </x:c>
      <x:c r="B99" s="27" t="n">
        <x:v>3357</x:v>
      </x:c>
      <x:c r="C99" s="27" t="str">
        <x:v>Commodity</x:v>
      </x:c>
      <x:c r="D99" s="27" t="n">
        <x:v>6572488.502170928</x:v>
      </x:c>
    </x:row>
    <x:row r="100">
      <x:c r="A100" s="27" t="str">
        <x:v>IND_SOVEREIGN_001</x:v>
      </x:c>
      <x:c r="B100" s="27" t="n">
        <x:v>3390</x:v>
      </x:c>
      <x:c r="C100" s="27" t="str">
        <x:v>FX</x:v>
      </x:c>
      <x:c r="D100" s="27" t="n">
        <x:v>3541970.1424424965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3a639dde4c674c09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22.5" customHeight="1">
      <x:c r="A1" s="26" t="str">
        <x:v>Python_Netting_Output</x:v>
      </x:c>
      <x:c r="B1" s="26" t="str">
        <x:v>Python_Netting_Output</x:v>
      </x:c>
      <x:c r="C1" s="26" t="str">
        <x:v>Python_Netting_Output</x:v>
      </x:c>
      <x:c r="D1" s="26" t="str">
        <x:v>Python_Netting_Output</x:v>
      </x:c>
      <x:c r="E1" s="26" t="str">
        <x:v>Python_Netting_Output</x:v>
      </x:c>
      <x:c r="F1" s="26" t="str">
        <x:v>Python_Netting_Output</x:v>
      </x:c>
      <x:c r="G1" s="26" t="str">
        <x:v>Python_Netting_Output</x:v>
      </x:c>
      <x:c r="H1" s="26" t="str">
        <x:v>Python_Netting_Output</x:v>
      </x:c>
      <x:c r="I1" s="26" t="str">
        <x:v>Python_Netting_Output</x:v>
      </x:c>
      <x:c r="J1" s="26" t="str">
        <x:v>Python_Netting_Output</x:v>
      </x:c>
      <x:c r="K1" s="26" t="str">
        <x:v>Python_Netting_Output</x:v>
      </x:c>
      <x:c r="L1" s="26" t="str">
        <x:v>Python_Netting_Output</x:v>
      </x:c>
      <x:c r="M1" s="26" t="str">
        <x:v>Python_Netting_Output</x:v>
      </x:c>
      <x:c r="N1" s="26" t="str">
        <x:v>Python_Netting_Output</x:v>
      </x:c>
      <x:c r="O1" s="26" t="str">
        <x:v>Python_Netting_Output</x:v>
      </x:c>
      <x:c r="P1" s="26" t="str">
        <x:v>Python_Netting_Output</x:v>
      </x:c>
      <x:c r="Q1" s="26" t="str">
        <x:v>Python_Netting_Output</x:v>
      </x:c>
      <x:c r="R1" s="26" t="str">
        <x:v>Python_Netting_Output</x:v>
      </x:c>
      <x:c r="S1" s="26" t="str">
        <x:v>Python_Netting_Output</x:v>
      </x:c>
      <x:c r="T1" s="26" t="str">
        <x:v>Python_Netting_Output</x:v>
      </x:c>
      <x:c r="U1" s="26" t="str">
        <x:v>Python_Netting_Output</x:v>
      </x:c>
      <x:c r="V1" s="26" t="str">
        <x:v>Python_Netting_Output</x:v>
      </x:c>
      <x:c r="W1" s="26" t="str">
        <x:v>Python_Netting_Output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</x:row>
    <x:row r="3">
      <x:c r="A3" s="28" t="str">
        <x:v>Counterparty ID</x:v>
      </x:c>
      <x:c r="B3" s="28" t="str">
        <x:v>Netting Set ID</x:v>
      </x:c>
      <x:c r="C3" s="28" t="str">
        <x:v>Net MtM</x:v>
      </x:c>
      <x:c r="D3" s="28" t="str">
        <x:v>Margin Agreement</x:v>
      </x:c>
      <x:c r="E3" s="28" t="str">
        <x:v>Collateral Amount</x:v>
      </x:c>
      <x:c r="F3" s="28" t="str">
        <x:v>Threshold Amount</x:v>
      </x:c>
      <x:c r="G3" s="28" t="str">
        <x:v>Minimum Transfer Amount</x:v>
      </x:c>
      <x:c r="H3" s="28" t="str">
        <x:v>Net Independent Collateral Amount</x:v>
      </x:c>
      <x:c r="I3" s="28" t="str">
        <x:v>Margin Agreement ID</x:v>
      </x:c>
      <x:c r="J3" s="28" t="str">
        <x:v>RC</x:v>
      </x:c>
      <x:c r="K3" s="28" t="str">
        <x:v>RC Formula</x:v>
      </x:c>
      <x:c r="L3" s="28" t="str">
        <x:v>AddOn Aggregate</x:v>
      </x:c>
      <x:c r="M3" s="28" t="str">
        <x:v>Multiplier</x:v>
      </x:c>
      <x:c r="N3" s="28" t="str">
        <x:v>PFE</x:v>
      </x:c>
      <x:c r="O3" s="28" t="str">
        <x:v>EAD</x:v>
      </x:c>
      <x:c r="P3" s="28" t="str">
        <x:v>Counterparty Type</x:v>
      </x:c>
      <x:c r="Q3" s="28" t="str">
        <x:v>Credit Rating</x:v>
      </x:c>
      <x:c r="R3" s="28" t="str">
        <x:v>Risk Weight</x:v>
      </x:c>
      <x:c r="S3" s="28" t="str">
        <x:v>RWA</x:v>
      </x:c>
      <x:c r="T3" s="28" t="str">
        <x:v>Unmargined EAD Cap</x:v>
      </x:c>
      <x:c r="U3" s="28" t="str">
        <x:v>EAD Before Cap</x:v>
      </x:c>
      <x:c r="V3" s="28" t="str">
        <x:v>EAD Cap Applied</x:v>
      </x:c>
      <x:c r="W3" s="28" t="str">
        <x:v>RWA Before Cap</x:v>
      </x:c>
    </x:row>
    <x:row r="4">
      <x:c r="A4" s="27" t="str">
        <x:v>IND_ASSET_MANAGER_001</x:v>
      </x:c>
      <x:c r="B4" s="27" t="n">
        <x:v>3050</x:v>
      </x:c>
      <x:c r="C4" s="27" t="n">
        <x:v>10782385.5</x:v>
      </x:c>
      <x:c r="D4" s="27" t="str">
        <x:v>M</x:v>
      </x:c>
      <x:c r="E4" s="27" t="n">
        <x:v>134975000</x:v>
      </x:c>
      <x:c r="F4" s="27" t="n">
        <x:v>6748750</x:v>
      </x:c>
      <x:c r="G4" s="27" t="n">
        <x:v>2699500</x:v>
      </x:c>
      <x:c r="H4" s="27" t="n">
        <x:v>26995000</x:v>
      </x:c>
      <x:c r="I4" s="27" t="str">
        <x:v>CSA-IND-3050</x:v>
      </x:c>
      <x:c r="J4" s="27" t="n">
        <x:v>0</x:v>
      </x:c>
      <x:c r="K4" s="27" t="str">
        <x:v>max(V-C, TH+MTA-NICA, 0)</x:v>
      </x:c>
      <x:c r="L4" s="27" t="n">
        <x:v>4094235.42574219</x:v>
      </x:c>
      <x:c r="M4" s="27" t="n">
        <x:v>0.05000011071469476</x:v>
      </x:c>
      <x:c r="N4" s="27" t="n">
        <x:v>204712.22457913493</x:v>
      </x:c>
      <x:c r="O4" s="27" t="n">
        <x:v>286597.11441078887</x:v>
      </x:c>
      <x:c r="P4" s="27" t="str">
        <x:v>Asset Manager</x:v>
      </x:c>
      <x:c r="Q4" s="27" t="str">
        <x:v>A</x:v>
      </x:c>
      <x:c r="R4" s="27" t="n">
        <x:v>0.5</x:v>
      </x:c>
      <x:c r="S4" s="27" t="n">
        <x:v>143298.55720539443</x:v>
      </x:c>
      <x:c r="T4" s="27" t="n">
        <x:v>13079139.698575804</x:v>
      </x:c>
      <x:c r="U4" s="27" t="n">
        <x:v>286597.11441078887</x:v>
      </x:c>
      <x:c r="V4" s="45" t="b">
        <x:v>0</x:v>
      </x:c>
      <x:c r="W4" s="27" t="n">
        <x:v>143298.55720539443</x:v>
      </x:c>
    </x:row>
    <x:row r="5">
      <x:c r="A5" s="27" t="str">
        <x:v>IND_ASSET_MANAGER_001</x:v>
      </x:c>
      <x:c r="B5" s="27" t="n">
        <x:v>3127</x:v>
      </x:c>
      <x:c r="C5" s="27" t="n">
        <x:v>2169912</x:v>
      </x:c>
      <x:c r="D5" s="27" t="str">
        <x:v>M</x:v>
      </x:c>
      <x:c r="E5" s="27" t="n">
        <x:v>41620000</x:v>
      </x:c>
      <x:c r="F5" s="27" t="n">
        <x:v>1040500</x:v>
      </x:c>
      <x:c r="G5" s="27" t="n">
        <x:v>416200</x:v>
      </x:c>
      <x:c r="H5" s="27" t="n">
        <x:v>4162000</x:v>
      </x:c>
      <x:c r="I5" s="27" t="str">
        <x:v>CSA-IND-3127</x:v>
      </x:c>
      <x:c r="J5" s="27" t="n">
        <x:v>0</x:v>
      </x:c>
      <x:c r="K5" s="27" t="str">
        <x:v>max(V-C, TH+MTA-NICA, 0)</x:v>
      </x:c>
      <x:c r="L5" s="27" t="n">
        <x:v>4973943.029593679</x:v>
      </x:c>
      <x:c r="M5" s="27" t="n">
        <x:v>0.06461526782482532</x:v>
      </x:c>
      <x:c r="N5" s="27" t="n">
        <x:v>321392.66100261867</x:v>
      </x:c>
      <x:c r="O5" s="27" t="n">
        <x:v>449949.7254036661</x:v>
      </x:c>
      <x:c r="P5" s="27" t="str">
        <x:v>Asset Manager</x:v>
      </x:c>
      <x:c r="Q5" s="27" t="str">
        <x:v>A</x:v>
      </x:c>
      <x:c r="R5" s="27" t="n">
        <x:v>0.5</x:v>
      </x:c>
      <x:c r="S5" s="27" t="n">
        <x:v>224974.86270183304</x:v>
      </x:c>
      <x:c r="T5" s="27" t="n">
        <x:v>16678507.610301336</x:v>
      </x:c>
      <x:c r="U5" s="27" t="n">
        <x:v>449949.7254036661</x:v>
      </x:c>
      <x:c r="V5" s="45" t="b">
        <x:v>0</x:v>
      </x:c>
      <x:c r="W5" s="27" t="n">
        <x:v>224974.86270183304</x:v>
      </x:c>
    </x:row>
    <x:row r="6">
      <x:c r="A6" s="27" t="str">
        <x:v>IND_ASSET_MANAGER_001</x:v>
      </x:c>
      <x:c r="B6" s="27" t="n">
        <x:v>3167</x:v>
      </x:c>
      <x:c r="C6" s="27" t="n">
        <x:v>-214110</x:v>
      </x:c>
      <x:c r="D6" s="27" t="str">
        <x:v>M</x:v>
      </x:c>
      <x:c r="E6" s="27" t="n">
        <x:v>1950000</x:v>
      </x:c>
      <x:c r="F6" s="27" t="n">
        <x:v>390000</x:v>
      </x:c>
      <x:c r="G6" s="27" t="n">
        <x:v>39000</x:v>
      </x:c>
      <x:c r="H6" s="27" t="n">
        <x:v>0</x:v>
      </x:c>
      <x:c r="I6" s="27" t="str">
        <x:v>CSA-IND-3167</x:v>
      </x:c>
      <x:c r="J6" s="27" t="n">
        <x:v>429000</x:v>
      </x:c>
      <x:c r="K6" s="27" t="str">
        <x:v>max(V-C, TH+MTA-NICA, 0)</x:v>
      </x:c>
      <x:c r="L6" s="27" t="n">
        <x:v>852292.8164948242</x:v>
      </x:c>
      <x:c r="M6" s="27" t="n">
        <x:v>0.2996501763357737</x:v>
      </x:c>
      <x:c r="N6" s="27" t="n">
        <x:v>255389.6927523873</x:v>
      </x:c>
      <x:c r="O6" s="27" t="n">
        <x:v>958145.5698533421</x:v>
      </x:c>
      <x:c r="P6" s="27" t="str">
        <x:v>Asset Manager</x:v>
      </x:c>
      <x:c r="Q6" s="27" t="str">
        <x:v>A</x:v>
      </x:c>
      <x:c r="R6" s="27" t="n">
        <x:v>0.5</x:v>
      </x:c>
      <x:c r="S6" s="27" t="n">
        <x:v>479072.78492667107</x:v>
      </x:c>
      <x:c r="T6" s="27" t="n">
        <x:v>3830423.0541203953</x:v>
      </x:c>
      <x:c r="U6" s="27" t="n">
        <x:v>958145.5698533421</x:v>
      </x:c>
      <x:c r="V6" s="45" t="b">
        <x:v>0</x:v>
      </x:c>
      <x:c r="W6" s="27" t="n">
        <x:v>479072.78492667107</x:v>
      </x:c>
    </x:row>
    <x:row r="7">
      <x:c r="A7" s="27" t="str">
        <x:v>IND_ASSET_MANAGER_001</x:v>
      </x:c>
      <x:c r="B7" s="27" t="n">
        <x:v>3205</x:v>
      </x:c>
      <x:c r="C7" s="27" t="n">
        <x:v>-2836758</x:v>
      </x:c>
      <x:c r="D7" s="27" t="str">
        <x:v>U</x:v>
      </x:c>
      <x:c r="E7" s="27" t="n">
        <x:v>0</x:v>
      </x:c>
      <x:c r="F7" s="27" t="n">
        <x:v>0</x:v>
      </x:c>
      <x:c r="G7" s="27" t="n">
        <x:v>0</x:v>
      </x:c>
      <x:c r="H7" s="27" t="n">
        <x:v>0</x:v>
      </x:c>
      <x:c r="I7" s="27"/>
      <x:c r="J7" s="27" t="n">
        <x:v>0</x:v>
      </x:c>
      <x:c r="K7" s="27" t="str">
        <x:v>max(V-C, 0)</x:v>
      </x:c>
      <x:c r="L7" s="27" t="n">
        <x:v>23958000</x:v>
      </x:c>
      <x:c r="M7" s="27" t="n">
        <x:v>0.942604257244558</x:v>
      </x:c>
      <x:c r="N7" s="27" t="n">
        <x:v>22582912.79506512</x:v>
      </x:c>
      <x:c r="O7" s="27" t="n">
        <x:v>31616077.913091164</x:v>
      </x:c>
      <x:c r="P7" s="27" t="str">
        <x:v>Asset Manager</x:v>
      </x:c>
      <x:c r="Q7" s="27" t="str">
        <x:v>A</x:v>
      </x:c>
      <x:c r="R7" s="27" t="n">
        <x:v>0.5</x:v>
      </x:c>
      <x:c r="S7" s="27" t="n">
        <x:v>15808038.956545582</x:v>
      </x:c>
      <x:c r="T7" s="27" t="n">
        <x:v>31616077.913091164</x:v>
      </x:c>
      <x:c r="U7" s="27" t="n">
        <x:v>31616077.913091164</x:v>
      </x:c>
      <x:c r="V7" s="45" t="b">
        <x:v>0</x:v>
      </x:c>
      <x:c r="W7" s="27" t="n">
        <x:v>15808038.956545582</x:v>
      </x:c>
    </x:row>
    <x:row r="8">
      <x:c r="A8" s="27" t="str">
        <x:v>IND_ASSET_MANAGER_001</x:v>
      </x:c>
      <x:c r="B8" s="27" t="n">
        <x:v>3222</x:v>
      </x:c>
      <x:c r="C8" s="27" t="n">
        <x:v>-565826.4</x:v>
      </x:c>
      <x:c r="D8" s="27" t="str">
        <x:v>U</x:v>
      </x:c>
      <x:c r="E8" s="27" t="n">
        <x:v>0</x:v>
      </x:c>
      <x:c r="F8" s="27" t="n">
        <x:v>0</x:v>
      </x:c>
      <x:c r="G8" s="27" t="n">
        <x:v>0</x:v>
      </x:c>
      <x:c r="H8" s="27" t="n">
        <x:v>0</x:v>
      </x:c>
      <x:c r="I8" s="27"/>
      <x:c r="J8" s="27" t="n">
        <x:v>0</x:v>
      </x:c>
      <x:c r="K8" s="27" t="str">
        <x:v>max(V-C, 0)</x:v>
      </x:c>
      <x:c r="L8" s="27" t="n">
        <x:v>859965.1543903996</x:v>
      </x:c>
      <x:c r="M8" s="27" t="n">
        <x:v>0.721937255749605</x:v>
      </x:c>
      <x:c r="N8" s="27" t="n">
        <x:v>620840.8836008904</x:v>
      </x:c>
      <x:c r="O8" s="27" t="n">
        <x:v>869177.2370412465</x:v>
      </x:c>
      <x:c r="P8" s="27" t="str">
        <x:v>Asset Manager</x:v>
      </x:c>
      <x:c r="Q8" s="27" t="str">
        <x:v>A</x:v>
      </x:c>
      <x:c r="R8" s="27" t="n">
        <x:v>0.5</x:v>
      </x:c>
      <x:c r="S8" s="27" t="n">
        <x:v>434588.61852062325</x:v>
      </x:c>
      <x:c r="T8" s="27" t="n">
        <x:v>869177.2370412465</x:v>
      </x:c>
      <x:c r="U8" s="27" t="n">
        <x:v>869177.2370412465</x:v>
      </x:c>
      <x:c r="V8" s="45" t="b">
        <x:v>0</x:v>
      </x:c>
      <x:c r="W8" s="27" t="n">
        <x:v>434588.61852062325</x:v>
      </x:c>
    </x:row>
    <x:row r="9">
      <x:c r="A9" s="27" t="str">
        <x:v>IND_ASSET_MANAGER_001</x:v>
      </x:c>
      <x:c r="B9" s="27" t="n">
        <x:v>3257</x:v>
      </x:c>
      <x:c r="C9" s="27" t="n">
        <x:v>-121389</x:v>
      </x:c>
      <x:c r="D9" s="27" t="str">
        <x:v>U</x:v>
      </x:c>
      <x:c r="E9" s="27" t="n">
        <x:v>0</x:v>
      </x:c>
      <x:c r="F9" s="27" t="n">
        <x:v>0</x:v>
      </x:c>
      <x:c r="G9" s="27" t="n">
        <x:v>0</x:v>
      </x:c>
      <x:c r="H9" s="27" t="n">
        <x:v>0</x:v>
      </x:c>
      <x:c r="I9" s="27"/>
      <x:c r="J9" s="27" t="n">
        <x:v>0</x:v>
      </x:c>
      <x:c r="K9" s="27" t="str">
        <x:v>max(V-C, 0)</x:v>
      </x:c>
      <x:c r="L9" s="27" t="n">
        <x:v>516000</x:v>
      </x:c>
      <x:c r="M9" s="27" t="n">
        <x:v>0.8893654545503303</x:v>
      </x:c>
      <x:c r="N9" s="27" t="n">
        <x:v>458912.57454797043</x:v>
      </x:c>
      <x:c r="O9" s="27" t="n">
        <x:v>642477.6043671586</x:v>
      </x:c>
      <x:c r="P9" s="27" t="str">
        <x:v>Asset Manager</x:v>
      </x:c>
      <x:c r="Q9" s="27" t="str">
        <x:v>A</x:v>
      </x:c>
      <x:c r="R9" s="27" t="n">
        <x:v>0.5</x:v>
      </x:c>
      <x:c r="S9" s="27" t="n">
        <x:v>321238.8021835793</x:v>
      </x:c>
      <x:c r="T9" s="27" t="n">
        <x:v>642477.6043671586</x:v>
      </x:c>
      <x:c r="U9" s="27" t="n">
        <x:v>642477.6043671586</x:v>
      </x:c>
      <x:c r="V9" s="45" t="b">
        <x:v>0</x:v>
      </x:c>
      <x:c r="W9" s="27" t="n">
        <x:v>321238.8021835793</x:v>
      </x:c>
    </x:row>
    <x:row r="10">
      <x:c r="A10" s="27" t="str">
        <x:v>IND_ASSET_MANAGER_001</x:v>
      </x:c>
      <x:c r="B10" s="27" t="n">
        <x:v>3277</x:v>
      </x:c>
      <x:c r="C10" s="27" t="n">
        <x:v>528520</x:v>
      </x:c>
      <x:c r="D10" s="27" t="str">
        <x:v>U</x:v>
      </x:c>
      <x:c r="E10" s="27" t="n">
        <x:v>0</x:v>
      </x:c>
      <x:c r="F10" s="27" t="n">
        <x:v>0</x:v>
      </x:c>
      <x:c r="G10" s="27" t="n">
        <x:v>0</x:v>
      </x:c>
      <x:c r="H10" s="27" t="n">
        <x:v>0</x:v>
      </x:c>
      <x:c r="I10" s="27"/>
      <x:c r="J10" s="27" t="n">
        <x:v>528520</x:v>
      </x:c>
      <x:c r="K10" s="27" t="str">
        <x:v>max(V-C, 0)</x:v>
      </x:c>
      <x:c r="L10" s="27" t="n">
        <x:v>1034965.2168045277</x:v>
      </x:c>
      <x:c r="M10" s="27" t="n">
        <x:v>1</x:v>
      </x:c>
      <x:c r="N10" s="27" t="n">
        <x:v>1034965.2168045277</x:v>
      </x:c>
      <x:c r="O10" s="27" t="n">
        <x:v>2188879.3035263387</x:v>
      </x:c>
      <x:c r="P10" s="27" t="str">
        <x:v>Asset Manager</x:v>
      </x:c>
      <x:c r="Q10" s="27" t="str">
        <x:v>A</x:v>
      </x:c>
      <x:c r="R10" s="27" t="n">
        <x:v>0.5</x:v>
      </x:c>
      <x:c r="S10" s="27" t="n">
        <x:v>1094439.6517631693</x:v>
      </x:c>
      <x:c r="T10" s="27" t="n">
        <x:v>2188879.3035263387</x:v>
      </x:c>
      <x:c r="U10" s="27" t="n">
        <x:v>2188879.3035263387</x:v>
      </x:c>
      <x:c r="V10" s="45" t="b">
        <x:v>0</x:v>
      </x:c>
      <x:c r="W10" s="27" t="n">
        <x:v>1094439.6517631693</x:v>
      </x:c>
    </x:row>
    <x:row r="11">
      <x:c r="A11" s="27" t="str">
        <x:v>IND_ASSET_MANAGER_001</x:v>
      </x:c>
      <x:c r="B11" s="27" t="n">
        <x:v>3331</x:v>
      </x:c>
      <x:c r="C11" s="27" t="n">
        <x:v>-830065.5</x:v>
      </x:c>
      <x:c r="D11" s="27" t="str">
        <x:v>M</x:v>
      </x:c>
      <x:c r="E11" s="27" t="n">
        <x:v>2044000</x:v>
      </x:c>
      <x:c r="F11" s="27" t="n">
        <x:v>511000</x:v>
      </x:c>
      <x:c r="G11" s="27" t="n">
        <x:v>102200</x:v>
      </x:c>
      <x:c r="H11" s="27" t="n">
        <x:v>0</x:v>
      </x:c>
      <x:c r="I11" s="27" t="str">
        <x:v>CSA-IND-3331</x:v>
      </x:c>
      <x:c r="J11" s="27" t="n">
        <x:v>613200</x:v>
      </x:c>
      <x:c r="K11" s="27" t="str">
        <x:v>max(V-C, TH+MTA-NICA, 0)</x:v>
      </x:c>
      <x:c r="L11" s="27" t="n">
        <x:v>2611854.081972236</x:v>
      </x:c>
      <x:c r="M11" s="27" t="n">
        <x:v>0.5823535650269585</x:v>
      </x:c>
      <x:c r="N11" s="27" t="n">
        <x:v>1521022.5359667453</x:v>
      </x:c>
      <x:c r="O11" s="27" t="n">
        <x:v>2987911.5503534437</x:v>
      </x:c>
      <x:c r="P11" s="27" t="str">
        <x:v>Asset Manager</x:v>
      </x:c>
      <x:c r="Q11" s="27" t="str">
        <x:v>A</x:v>
      </x:c>
      <x:c r="R11" s="27" t="n">
        <x:v>0.5</x:v>
      </x:c>
      <x:c r="S11" s="27" t="n">
        <x:v>1493955.7751767219</x:v>
      </x:c>
      <x:c r="T11" s="27" t="n">
        <x:v>11612081.154536188</x:v>
      </x:c>
      <x:c r="U11" s="27" t="n">
        <x:v>2987911.5503534437</x:v>
      </x:c>
      <x:c r="V11" s="45" t="b">
        <x:v>0</x:v>
      </x:c>
      <x:c r="W11" s="27" t="n">
        <x:v>1493955.7751767219</x:v>
      </x:c>
    </x:row>
    <x:row r="12">
      <x:c r="A12" s="27" t="str">
        <x:v>IND_BANK_001</x:v>
      </x:c>
      <x:c r="B12" s="27" t="n">
        <x:v>3142</x:v>
      </x:c>
      <x:c r="C12" s="27" t="n">
        <x:v>1041717.5</x:v>
      </x:c>
      <x:c r="D12" s="27" t="str">
        <x:v>M</x:v>
      </x:c>
      <x:c r="E12" s="27" t="n">
        <x:v>6375000</x:v>
      </x:c>
      <x:c r="F12" s="27" t="n">
        <x:v>318750</x:v>
      </x:c>
      <x:c r="G12" s="27" t="n">
        <x:v>127500</x:v>
      </x:c>
      <x:c r="H12" s="27" t="n">
        <x:v>0</x:v>
      </x:c>
      <x:c r="I12" s="27" t="str">
        <x:v>CSA-IND-3142</x:v>
      </x:c>
      <x:c r="J12" s="27" t="n">
        <x:v>446250</x:v>
      </x:c>
      <x:c r="K12" s="27" t="str">
        <x:v>max(V-C, TH+MTA-NICA, 0)</x:v>
      </x:c>
      <x:c r="L12" s="27" t="n">
        <x:v>1355186.4543564839</x:v>
      </x:c>
      <x:c r="M12" s="27" t="n">
        <x:v>0.16972136518381264</x:v>
      </x:c>
      <x:c r="N12" s="27" t="n">
        <x:v>230004.09511199305</x:v>
      </x:c>
      <x:c r="O12" s="27" t="n">
        <x:v>946755.7331567901</x:v>
      </x:c>
      <x:c r="P12" s="27" t="str">
        <x:v>Bank</x:v>
      </x:c>
      <x:c r="Q12" s="27" t="str">
        <x:v>A</x:v>
      </x:c>
      <x:c r="R12" s="27" t="n">
        <x:v>0.5</x:v>
      </x:c>
      <x:c r="S12" s="27" t="n">
        <x:v>473377.8665783951</x:v>
      </x:c>
      <x:c r="T12" s="27" t="n">
        <x:v>7779244.172965758</x:v>
      </x:c>
      <x:c r="U12" s="27" t="n">
        <x:v>946755.7331567901</x:v>
      </x:c>
      <x:c r="V12" s="45" t="b">
        <x:v>0</x:v>
      </x:c>
      <x:c r="W12" s="27" t="n">
        <x:v>473377.8665783951</x:v>
      </x:c>
    </x:row>
    <x:row r="13">
      <x:c r="A13" s="27" t="str">
        <x:v>IND_BANK_001</x:v>
      </x:c>
      <x:c r="B13" s="27" t="n">
        <x:v>3172</x:v>
      </x:c>
      <x:c r="C13" s="27" t="n">
        <x:v>-1253955</x:v>
      </x:c>
      <x:c r="D13" s="27" t="str">
        <x:v>M</x:v>
      </x:c>
      <x:c r="E13" s="27" t="n">
        <x:v>11685000</x:v>
      </x:c>
      <x:c r="F13" s="27" t="n">
        <x:v>779000</x:v>
      </x:c>
      <x:c r="G13" s="27" t="n">
        <x:v>77900</x:v>
      </x:c>
      <x:c r="H13" s="27" t="n">
        <x:v>1558000</x:v>
      </x:c>
      <x:c r="I13" s="27" t="str">
        <x:v>CSA-IND-3172</x:v>
      </x:c>
      <x:c r="J13" s="27" t="n">
        <x:v>0</x:v>
      </x:c>
      <x:c r="K13" s="27" t="str">
        <x:v>max(V-C, TH+MTA-NICA, 0)</x:v>
      </x:c>
      <x:c r="L13" s="27" t="n">
        <x:v>6708600.000000001</x:v>
      </x:c>
      <x:c r="M13" s="27" t="n">
        <x:v>0.39424395856966193</x:v>
      </x:c>
      <x:c r="N13" s="27" t="n">
        <x:v>2644825.0204604343</x:v>
      </x:c>
      <x:c r="O13" s="27" t="n">
        <x:v>3702755.028644608</x:v>
      </x:c>
      <x:c r="P13" s="27" t="str">
        <x:v>Bank</x:v>
      </x:c>
      <x:c r="Q13" s="27" t="str">
        <x:v>A</x:v>
      </x:c>
      <x:c r="R13" s="27" t="n">
        <x:v>0.5</x:v>
      </x:c>
      <x:c r="S13" s="27" t="n">
        <x:v>1851377.514322304</x:v>
      </x:c>
      <x:c r="T13" s="27" t="n">
        <x:v>29545030.29463887</x:v>
      </x:c>
      <x:c r="U13" s="27" t="n">
        <x:v>3702755.028644608</x:v>
      </x:c>
      <x:c r="V13" s="45" t="b">
        <x:v>0</x:v>
      </x:c>
      <x:c r="W13" s="27" t="n">
        <x:v>1851377.514322304</x:v>
      </x:c>
    </x:row>
    <x:row r="14">
      <x:c r="A14" s="27" t="str">
        <x:v>IND_BANK_001</x:v>
      </x:c>
      <x:c r="B14" s="27" t="n">
        <x:v>3214</x:v>
      </x:c>
      <x:c r="C14" s="27" t="n">
        <x:v>-80709</x:v>
      </x:c>
      <x:c r="D14" s="27" t="str">
        <x:v>U</x:v>
      </x:c>
      <x:c r="E14" s="27" t="n">
        <x:v>0</x:v>
      </x:c>
      <x:c r="F14" s="27" t="n">
        <x:v>0</x:v>
      </x:c>
      <x:c r="G14" s="27" t="n">
        <x:v>0</x:v>
      </x:c>
      <x:c r="H14" s="27" t="n">
        <x:v>0</x:v>
      </x:c>
      <x:c r="I14" s="27"/>
      <x:c r="J14" s="27" t="n">
        <x:v>0</x:v>
      </x:c>
      <x:c r="K14" s="27" t="str">
        <x:v>max(V-C, 0)</x:v>
      </x:c>
      <x:c r="L14" s="27" t="n">
        <x:v>5840141.476813776</x:v>
      </x:c>
      <x:c r="M14" s="27" t="n">
        <x:v>0.9931152189410558</x:v>
      </x:c>
      <x:c r="N14" s="27" t="n">
        <x:v>5799933.381392655</x:v>
      </x:c>
      <x:c r="O14" s="27" t="n">
        <x:v>8119906.733949716</x:v>
      </x:c>
      <x:c r="P14" s="27" t="str">
        <x:v>Bank</x:v>
      </x:c>
      <x:c r="Q14" s="27" t="str">
        <x:v>A</x:v>
      </x:c>
      <x:c r="R14" s="27" t="n">
        <x:v>0.5</x:v>
      </x:c>
      <x:c r="S14" s="27" t="n">
        <x:v>4059953.366974858</x:v>
      </x:c>
      <x:c r="T14" s="27" t="n">
        <x:v>8119906.733949716</x:v>
      </x:c>
      <x:c r="U14" s="27" t="n">
        <x:v>8119906.733949716</x:v>
      </x:c>
      <x:c r="V14" s="45" t="b">
        <x:v>0</x:v>
      </x:c>
      <x:c r="W14" s="27" t="n">
        <x:v>4059953.366974858</x:v>
      </x:c>
    </x:row>
    <x:row r="15">
      <x:c r="A15" s="27" t="str">
        <x:v>IND_BANK_001</x:v>
      </x:c>
      <x:c r="B15" s="27" t="n">
        <x:v>3219</x:v>
      </x:c>
      <x:c r="C15" s="27" t="n">
        <x:v>3848778</x:v>
      </x:c>
      <x:c r="D15" s="27" t="str">
        <x:v>M</x:v>
      </x:c>
      <x:c r="E15" s="27" t="n">
        <x:v>95020000</x:v>
      </x:c>
      <x:c r="F15" s="27" t="n">
        <x:v>47510000</x:v>
      </x:c>
      <x:c r="G15" s="27" t="n">
        <x:v>4751000</x:v>
      </x:c>
      <x:c r="H15" s="27" t="n">
        <x:v>95020000</x:v>
      </x:c>
      <x:c r="I15" s="27" t="str">
        <x:v>CSA-IND-3219</x:v>
      </x:c>
      <x:c r="J15" s="27" t="n">
        <x:v>0</x:v>
      </x:c>
      <x:c r="K15" s="27" t="str">
        <x:v>max(V-C, TH+MTA-NICA, 0)</x:v>
      </x:c>
      <x:c r="L15" s="27" t="n">
        <x:v>14380900.126693899</x:v>
      </x:c>
      <x:c r="M15" s="27" t="n">
        <x:v>0.08377614339896522</x:v>
      </x:c>
      <x:c r="N15" s="27" t="n">
        <x:v>1204776.351220105</x:v>
      </x:c>
      <x:c r="O15" s="27" t="n">
        <x:v>1686686.891708147</x:v>
      </x:c>
      <x:c r="P15" s="27" t="str">
        <x:v>Bank</x:v>
      </x:c>
      <x:c r="Q15" s="27" t="str">
        <x:v>A</x:v>
      </x:c>
      <x:c r="R15" s="27" t="n">
        <x:v>0.5</x:v>
      </x:c>
      <x:c r="S15" s="27" t="n">
        <x:v>843343.4458540735</x:v>
      </x:c>
      <x:c r="T15" s="27" t="n">
        <x:v>26801444.573607754</x:v>
      </x:c>
      <x:c r="U15" s="27" t="n">
        <x:v>1686686.891708147</x:v>
      </x:c>
      <x:c r="V15" s="45" t="b">
        <x:v>0</x:v>
      </x:c>
      <x:c r="W15" s="27" t="n">
        <x:v>843343.4458540735</x:v>
      </x:c>
    </x:row>
    <x:row r="16">
      <x:c r="A16" s="27" t="str">
        <x:v>IND_BANK_001</x:v>
      </x:c>
      <x:c r="B16" s="27" t="n">
        <x:v>3324</x:v>
      </x:c>
      <x:c r="C16" s="27" t="n">
        <x:v>-176277</x:v>
      </x:c>
      <x:c r="D16" s="27" t="str">
        <x:v>U</x:v>
      </x:c>
      <x:c r="E16" s="27" t="n">
        <x:v>0</x:v>
      </x:c>
      <x:c r="F16" s="27" t="n">
        <x:v>0</x:v>
      </x:c>
      <x:c r="G16" s="27" t="n">
        <x:v>0</x:v>
      </x:c>
      <x:c r="H16" s="27" t="n">
        <x:v>0</x:v>
      </x:c>
      <x:c r="I16" s="27"/>
      <x:c r="J16" s="27" t="n">
        <x:v>0</x:v>
      </x:c>
      <x:c r="K16" s="27" t="str">
        <x:v>max(V-C, 0)</x:v>
      </x:c>
      <x:c r="L16" s="27" t="n">
        <x:v>804910.4773212625</x:v>
      </x:c>
      <x:c r="M16" s="27" t="n">
        <x:v>0.8965741357734278</x:v>
      </x:c>
      <x:c r="N16" s="27" t="n">
        <x:v>721661.9155792882</x:v>
      </x:c>
      <x:c r="O16" s="27" t="n">
        <x:v>1010326.6818110034</x:v>
      </x:c>
      <x:c r="P16" s="27" t="str">
        <x:v>Bank</x:v>
      </x:c>
      <x:c r="Q16" s="27" t="str">
        <x:v>A</x:v>
      </x:c>
      <x:c r="R16" s="27" t="n">
        <x:v>0.5</x:v>
      </x:c>
      <x:c r="S16" s="27" t="n">
        <x:v>505163.3409055017</x:v>
      </x:c>
      <x:c r="T16" s="27" t="n">
        <x:v>1010326.6818110034</x:v>
      </x:c>
      <x:c r="U16" s="27" t="n">
        <x:v>1010326.6818110034</x:v>
      </x:c>
      <x:c r="V16" s="45" t="b">
        <x:v>0</x:v>
      </x:c>
      <x:c r="W16" s="27" t="n">
        <x:v>505163.3409055017</x:v>
      </x:c>
    </x:row>
    <x:row r="17">
      <x:c r="A17" s="27" t="str">
        <x:v>IND_BANK_001</x:v>
      </x:c>
      <x:c r="B17" s="27" t="n">
        <x:v>3348</x:v>
      </x:c>
      <x:c r="C17" s="27" t="n">
        <x:v>-958212</x:v>
      </x:c>
      <x:c r="D17" s="27" t="str">
        <x:v>U</x:v>
      </x:c>
      <x:c r="E17" s="27" t="n">
        <x:v>0</x:v>
      </x:c>
      <x:c r="F17" s="27" t="n">
        <x:v>0</x:v>
      </x:c>
      <x:c r="G17" s="27" t="n">
        <x:v>0</x:v>
      </x:c>
      <x:c r="H17" s="27" t="n">
        <x:v>0</x:v>
      </x:c>
      <x:c r="I17" s="27"/>
      <x:c r="J17" s="27" t="n">
        <x:v>0</x:v>
      </x:c>
      <x:c r="K17" s="27" t="str">
        <x:v>max(V-C, 0)</x:v>
      </x:c>
      <x:c r="L17" s="27" t="n">
        <x:v>9288000</x:v>
      </x:c>
      <x:c r="M17" s="27" t="n">
        <x:v>0.9497921021062785</x:v>
      </x:c>
      <x:c r="N17" s="27" t="n">
        <x:v>8821669.044363115</x:v>
      </x:c>
      <x:c r="O17" s="27" t="n">
        <x:v>12350336.66210836</x:v>
      </x:c>
      <x:c r="P17" s="27" t="str">
        <x:v>Bank</x:v>
      </x:c>
      <x:c r="Q17" s="27" t="str">
        <x:v>A</x:v>
      </x:c>
      <x:c r="R17" s="27" t="n">
        <x:v>0.5</x:v>
      </x:c>
      <x:c r="S17" s="27" t="n">
        <x:v>6175168.33105418</x:v>
      </x:c>
      <x:c r="T17" s="27" t="n">
        <x:v>12350336.66210836</x:v>
      </x:c>
      <x:c r="U17" s="27" t="n">
        <x:v>12350336.66210836</x:v>
      </x:c>
      <x:c r="V17" s="45" t="b">
        <x:v>0</x:v>
      </x:c>
      <x:c r="W17" s="27" t="n">
        <x:v>6175168.33105418</x:v>
      </x:c>
    </x:row>
    <x:row r="18">
      <x:c r="A18" s="27" t="str">
        <x:v>IND_BANK_001</x:v>
      </x:c>
      <x:c r="B18" s="27" t="n">
        <x:v>3372</x:v>
      </x:c>
      <x:c r="C18" s="27" t="n">
        <x:v>-2306880</x:v>
      </x:c>
      <x:c r="D18" s="27" t="str">
        <x:v>M</x:v>
      </x:c>
      <x:c r="E18" s="27" t="n">
        <x:v>14400000</x:v>
      </x:c>
      <x:c r="F18" s="27" t="n">
        <x:v>360000</x:v>
      </x:c>
      <x:c r="G18" s="27" t="n">
        <x:v>144000</x:v>
      </x:c>
      <x:c r="H18" s="27" t="n">
        <x:v>0</x:v>
      </x:c>
      <x:c r="I18" s="27" t="str">
        <x:v>CSA-IND-3372</x:v>
      </x:c>
      <x:c r="J18" s="27" t="n">
        <x:v>504000</x:v>
      </x:c>
      <x:c r="K18" s="27" t="str">
        <x:v>max(V-C, TH+MTA-NICA, 0)</x:v>
      </x:c>
      <x:c r="L18" s="27" t="n">
        <x:v>623711.9947243913</x:v>
      </x:c>
      <x:c r="M18" s="27" t="n">
        <x:v>0.0500007162058862</x:v>
      </x:c>
      <x:c r="N18" s="27" t="n">
        <x:v>31186.046442421477</x:v>
      </x:c>
      <x:c r="O18" s="27" t="n">
        <x:v>749260.4650193901</x:v>
      </x:c>
      <x:c r="P18" s="27" t="str">
        <x:v>Bank</x:v>
      </x:c>
      <x:c r="Q18" s="27" t="str">
        <x:v>A</x:v>
      </x:c>
      <x:c r="R18" s="27" t="n">
        <x:v>0.5</x:v>
      </x:c>
      <x:c r="S18" s="27" t="n">
        <x:v>374630.23250969505</x:v>
      </x:c>
      <x:c r="T18" s="27" t="n">
        <x:v>1687549.2523803895</x:v>
      </x:c>
      <x:c r="U18" s="27" t="n">
        <x:v>749260.4650193901</x:v>
      </x:c>
      <x:c r="V18" s="45" t="b">
        <x:v>0</x:v>
      </x:c>
      <x:c r="W18" s="27" t="n">
        <x:v>374630.23250969505</x:v>
      </x:c>
    </x:row>
    <x:row r="19">
      <x:c r="A19" s="27" t="str">
        <x:v>IND_BANK_002</x:v>
      </x:c>
      <x:c r="B19" s="27" t="n">
        <x:v>3049</x:v>
      </x:c>
      <x:c r="C19" s="27" t="n">
        <x:v>-981302.3999999999</x:v>
      </x:c>
      <x:c r="D19" s="27" t="str">
        <x:v>M</x:v>
      </x:c>
      <x:c r="E19" s="27" t="n">
        <x:v>51438000</x:v>
      </x:c>
      <x:c r="F19" s="27" t="n">
        <x:v>25719000</x:v>
      </x:c>
      <x:c r="G19" s="27" t="n">
        <x:v>2571900</x:v>
      </x:c>
      <x:c r="H19" s="27" t="n">
        <x:v>0</x:v>
      </x:c>
      <x:c r="I19" s="27" t="str">
        <x:v>CSA-IND-3049</x:v>
      </x:c>
      <x:c r="J19" s="27" t="n">
        <x:v>28290900</x:v>
      </x:c>
      <x:c r="K19" s="27" t="str">
        <x:v>max(V-C, TH+MTA-NICA, 0)</x:v>
      </x:c>
      <x:c r="L19" s="27" t="n">
        <x:v>19318222.238824997</x:v>
      </x:c>
      <x:c r="M19" s="27" t="n">
        <x:v>0.2777669570167599</x:v>
      </x:c>
      <x:c r="N19" s="27" t="n">
        <x:v>5365963.806251918</x:v>
      </x:c>
      <x:c r="O19" s="27" t="n">
        <x:v>47119609.32875269</x:v>
      </x:c>
      <x:c r="P19" s="27" t="str">
        <x:v>Bank</x:v>
      </x:c>
      <x:c r="Q19" s="27" t="str">
        <x:v>BBB</x:v>
      </x:c>
      <x:c r="R19" s="27" t="n">
        <x:v>0.5</x:v>
      </x:c>
      <x:c r="S19" s="27" t="n">
        <x:v>23559804.664376345</x:v>
      </x:c>
      <x:c r="T19" s="27" t="n">
        <x:v>97728622.52323109</x:v>
      </x:c>
      <x:c r="U19" s="27" t="n">
        <x:v>47119609.32875269</x:v>
      </x:c>
      <x:c r="V19" s="45" t="b">
        <x:v>0</x:v>
      </x:c>
      <x:c r="W19" s="27" t="n">
        <x:v>23559804.664376345</x:v>
      </x:c>
    </x:row>
    <x:row r="20">
      <x:c r="A20" s="27" t="str">
        <x:v>IND_BANK_002</x:v>
      </x:c>
      <x:c r="B20" s="27" t="n">
        <x:v>3090</x:v>
      </x:c>
      <x:c r="C20" s="27" t="n">
        <x:v>708240</x:v>
      </x:c>
      <x:c r="D20" s="27" t="str">
        <x:v>U</x:v>
      </x:c>
      <x:c r="E20" s="27" t="n">
        <x:v>0</x:v>
      </x:c>
      <x:c r="F20" s="27" t="n">
        <x:v>0</x:v>
      </x:c>
      <x:c r="G20" s="27" t="n">
        <x:v>0</x:v>
      </x:c>
      <x:c r="H20" s="27" t="n">
        <x:v>0</x:v>
      </x:c>
      <x:c r="I20" s="27"/>
      <x:c r="J20" s="27" t="n">
        <x:v>708240</x:v>
      </x:c>
      <x:c r="K20" s="27" t="str">
        <x:v>max(V-C, 0)</x:v>
      </x:c>
      <x:c r="L20" s="27" t="n">
        <x:v>5866361.313090214</x:v>
      </x:c>
      <x:c r="M20" s="27" t="n">
        <x:v>1</x:v>
      </x:c>
      <x:c r="N20" s="27" t="n">
        <x:v>5866361.313090214</x:v>
      </x:c>
      <x:c r="O20" s="27" t="n">
        <x:v>9204441.838326298</x:v>
      </x:c>
      <x:c r="P20" s="27" t="str">
        <x:v>Bank</x:v>
      </x:c>
      <x:c r="Q20" s="27" t="str">
        <x:v>BBB</x:v>
      </x:c>
      <x:c r="R20" s="27" t="n">
        <x:v>0.5</x:v>
      </x:c>
      <x:c r="S20" s="27" t="n">
        <x:v>4602220.919163149</x:v>
      </x:c>
      <x:c r="T20" s="27" t="n">
        <x:v>9204441.838326298</x:v>
      </x:c>
      <x:c r="U20" s="27" t="n">
        <x:v>9204441.838326298</x:v>
      </x:c>
      <x:c r="V20" s="45" t="b">
        <x:v>0</x:v>
      </x:c>
      <x:c r="W20" s="27" t="n">
        <x:v>4602220.919163149</x:v>
      </x:c>
    </x:row>
    <x:row r="21">
      <x:c r="A21" s="27" t="str">
        <x:v>IND_BANK_002</x:v>
      </x:c>
      <x:c r="B21" s="27" t="n">
        <x:v>3132</x:v>
      </x:c>
      <x:c r="C21" s="27" t="n">
        <x:v>-1851450.3</x:v>
      </x:c>
      <x:c r="D21" s="27" t="str">
        <x:v>U</x:v>
      </x:c>
      <x:c r="E21" s="27" t="n">
        <x:v>0</x:v>
      </x:c>
      <x:c r="F21" s="27" t="n">
        <x:v>0</x:v>
      </x:c>
      <x:c r="G21" s="27" t="n">
        <x:v>0</x:v>
      </x:c>
      <x:c r="H21" s="27" t="n">
        <x:v>0</x:v>
      </x:c>
      <x:c r="I21" s="27"/>
      <x:c r="J21" s="27" t="n">
        <x:v>0</x:v>
      </x:c>
      <x:c r="K21" s="27" t="str">
        <x:v>max(V-C, 0)</x:v>
      </x:c>
      <x:c r="L21" s="27" t="n">
        <x:v>4694537.232740463</x:v>
      </x:c>
      <x:c r="M21" s="27" t="n">
        <x:v>0.8219281427479299</x:v>
      </x:c>
      <x:c r="N21" s="27" t="n">
        <x:v>3858572.268767375</x:v>
      </x:c>
      <x:c r="O21" s="27" t="n">
        <x:v>5402001.176274325</x:v>
      </x:c>
      <x:c r="P21" s="27" t="str">
        <x:v>Bank</x:v>
      </x:c>
      <x:c r="Q21" s="27" t="str">
        <x:v>BBB</x:v>
      </x:c>
      <x:c r="R21" s="27" t="n">
        <x:v>0.5</x:v>
      </x:c>
      <x:c r="S21" s="27" t="n">
        <x:v>2701000.5881371624</x:v>
      </x:c>
      <x:c r="T21" s="27" t="n">
        <x:v>5402001.176274325</x:v>
      </x:c>
      <x:c r="U21" s="27" t="n">
        <x:v>5402001.176274325</x:v>
      </x:c>
      <x:c r="V21" s="45" t="b">
        <x:v>0</x:v>
      </x:c>
      <x:c r="W21" s="27" t="n">
        <x:v>2701000.5881371624</x:v>
      </x:c>
    </x:row>
    <x:row r="22">
      <x:c r="A22" s="27" t="str">
        <x:v>IND_BANK_002</x:v>
      </x:c>
      <x:c r="B22" s="27" t="n">
        <x:v>3259</x:v>
      </x:c>
      <x:c r="C22" s="27" t="n">
        <x:v>-1159536</x:v>
      </x:c>
      <x:c r="D22" s="27" t="str">
        <x:v>M</x:v>
      </x:c>
      <x:c r="E22" s="27" t="n">
        <x:v>5305000</x:v>
      </x:c>
      <x:c r="F22" s="27" t="n">
        <x:v>265250</x:v>
      </x:c>
      <x:c r="G22" s="27" t="n">
        <x:v>106100</x:v>
      </x:c>
      <x:c r="H22" s="27" t="n">
        <x:v>2122000</x:v>
      </x:c>
      <x:c r="I22" s="27" t="str">
        <x:v>CSA-IND-3259</x:v>
      </x:c>
      <x:c r="J22" s="27" t="n">
        <x:v>0</x:v>
      </x:c>
      <x:c r="K22" s="27" t="str">
        <x:v>max(V-C, TH+MTA-NICA, 0)</x:v>
      </x:c>
      <x:c r="L22" s="27" t="n">
        <x:v>4918074.667346969</x:v>
      </x:c>
      <x:c r="M22" s="27" t="n">
        <x:v>0.5256342188114796</x:v>
      </x:c>
      <x:c r="N22" s="27" t="n">
        <x:v>2585108.3358274517</x:v>
      </x:c>
      <x:c r="O22" s="27" t="n">
        <x:v>3619151.6701584323</x:v>
      </x:c>
      <x:c r="P22" s="27" t="str">
        <x:v>Bank</x:v>
      </x:c>
      <x:c r="Q22" s="27" t="str">
        <x:v>BBB</x:v>
      </x:c>
      <x:c r="R22" s="27" t="n">
        <x:v>0.5</x:v>
      </x:c>
      <x:c r="S22" s="27" t="n">
        <x:v>1809575.8350792162</x:v>
      </x:c>
      <x:c r="T22" s="27" t="n">
        <x:v>19254388.25767449</x:v>
      </x:c>
      <x:c r="U22" s="27" t="n">
        <x:v>3619151.6701584323</x:v>
      </x:c>
      <x:c r="V22" s="45" t="b">
        <x:v>0</x:v>
      </x:c>
      <x:c r="W22" s="27" t="n">
        <x:v>1809575.8350792162</x:v>
      </x:c>
    </x:row>
    <x:row r="23">
      <x:c r="A23" s="27" t="str">
        <x:v>IND_BANK_002</x:v>
      </x:c>
      <x:c r="B23" s="27" t="n">
        <x:v>3318</x:v>
      </x:c>
      <x:c r="C23" s="27" t="n">
        <x:v>2882250</x:v>
      </x:c>
      <x:c r="D23" s="27" t="str">
        <x:v>U</x:v>
      </x:c>
      <x:c r="E23" s="27" t="n">
        <x:v>0</x:v>
      </x:c>
      <x:c r="F23" s="27" t="n">
        <x:v>0</x:v>
      </x:c>
      <x:c r="G23" s="27" t="n">
        <x:v>0</x:v>
      </x:c>
      <x:c r="H23" s="27" t="n">
        <x:v>0</x:v>
      </x:c>
      <x:c r="I23" s="27"/>
      <x:c r="J23" s="27" t="n">
        <x:v>2882250</x:v>
      </x:c>
      <x:c r="K23" s="27" t="str">
        <x:v>max(V-C, 0)</x:v>
      </x:c>
      <x:c r="L23" s="27" t="n">
        <x:v>4580891.489874442</x:v>
      </x:c>
      <x:c r="M23" s="27" t="n">
        <x:v>1</x:v>
      </x:c>
      <x:c r="N23" s="27" t="n">
        <x:v>4580891.489874442</x:v>
      </x:c>
      <x:c r="O23" s="27" t="n">
        <x:v>10448398.085824218</x:v>
      </x:c>
      <x:c r="P23" s="27" t="str">
        <x:v>Bank</x:v>
      </x:c>
      <x:c r="Q23" s="27" t="str">
        <x:v>BBB</x:v>
      </x:c>
      <x:c r="R23" s="27" t="n">
        <x:v>0.5</x:v>
      </x:c>
      <x:c r="S23" s="27" t="n">
        <x:v>5224199.042912109</x:v>
      </x:c>
      <x:c r="T23" s="27" t="n">
        <x:v>10448398.085824218</x:v>
      </x:c>
      <x:c r="U23" s="27" t="n">
        <x:v>10448398.085824218</x:v>
      </x:c>
      <x:c r="V23" s="45" t="b">
        <x:v>0</x:v>
      </x:c>
      <x:c r="W23" s="27" t="n">
        <x:v>5224199.042912109</x:v>
      </x:c>
    </x:row>
    <x:row r="24">
      <x:c r="A24" s="27" t="str">
        <x:v>IND_BANK_002</x:v>
      </x:c>
      <x:c r="B24" s="27" t="n">
        <x:v>3323</x:v>
      </x:c>
      <x:c r="C24" s="27" t="n">
        <x:v>158100</x:v>
      </x:c>
      <x:c r="D24" s="27" t="str">
        <x:v>U</x:v>
      </x:c>
      <x:c r="E24" s="27" t="n">
        <x:v>0</x:v>
      </x:c>
      <x:c r="F24" s="27" t="n">
        <x:v>0</x:v>
      </x:c>
      <x:c r="G24" s="27" t="n">
        <x:v>0</x:v>
      </x:c>
      <x:c r="H24" s="27" t="n">
        <x:v>0</x:v>
      </x:c>
      <x:c r="I24" s="27"/>
      <x:c r="J24" s="27" t="n">
        <x:v>158100</x:v>
      </x:c>
      <x:c r="K24" s="27" t="str">
        <x:v>max(V-C, 0)</x:v>
      </x:c>
      <x:c r="L24" s="27" t="n">
        <x:v>1116000</x:v>
      </x:c>
      <x:c r="M24" s="27" t="n">
        <x:v>1</x:v>
      </x:c>
      <x:c r="N24" s="27" t="n">
        <x:v>1116000</x:v>
      </x:c>
      <x:c r="O24" s="27" t="n">
        <x:v>1783740</x:v>
      </x:c>
      <x:c r="P24" s="27" t="str">
        <x:v>Bank</x:v>
      </x:c>
      <x:c r="Q24" s="27" t="str">
        <x:v>BBB</x:v>
      </x:c>
      <x:c r="R24" s="27" t="n">
        <x:v>0.5</x:v>
      </x:c>
      <x:c r="S24" s="27" t="n">
        <x:v>891870</x:v>
      </x:c>
      <x:c r="T24" s="27" t="n">
        <x:v>1783740</x:v>
      </x:c>
      <x:c r="U24" s="27" t="n">
        <x:v>1783740</x:v>
      </x:c>
      <x:c r="V24" s="45" t="b">
        <x:v>0</x:v>
      </x:c>
      <x:c r="W24" s="27" t="n">
        <x:v>891870</x:v>
      </x:c>
    </x:row>
    <x:row r="25">
      <x:c r="A25" s="27" t="str">
        <x:v>IND_BANK_002</x:v>
      </x:c>
      <x:c r="B25" s="27" t="n">
        <x:v>3331</x:v>
      </x:c>
      <x:c r="C25" s="27" t="n">
        <x:v>-2767308</x:v>
      </x:c>
      <x:c r="D25" s="27" t="str">
        <x:v>M</x:v>
      </x:c>
      <x:c r="E25" s="27" t="n">
        <x:v>86070000</x:v>
      </x:c>
      <x:c r="F25" s="27" t="n">
        <x:v>1434500</x:v>
      </x:c>
      <x:c r="G25" s="27" t="n">
        <x:v>573800</x:v>
      </x:c>
      <x:c r="H25" s="27" t="n">
        <x:v>5738000</x:v>
      </x:c>
      <x:c r="I25" s="27" t="str">
        <x:v>CSA-IND-3331</x:v>
      </x:c>
      <x:c r="J25" s="27" t="n">
        <x:v>0</x:v>
      </x:c>
      <x:c r="K25" s="27" t="str">
        <x:v>max(V-C, TH+MTA-NICA, 0)</x:v>
      </x:c>
      <x:c r="L25" s="27" t="n">
        <x:v>5597705.051359762</x:v>
      </x:c>
      <x:c r="M25" s="27" t="n">
        <x:v>0.050223950071860105</x:v>
      </x:c>
      <x:c r="N25" s="27" t="n">
        <x:v>281138.8590164918</x:v>
      </x:c>
      <x:c r="O25" s="27" t="n">
        <x:v>393594.4026230885</x:v>
      </x:c>
      <x:c r="P25" s="27" t="str">
        <x:v>Bank</x:v>
      </x:c>
      <x:c r="Q25" s="27" t="str">
        <x:v>BBB</x:v>
      </x:c>
      <x:c r="R25" s="27" t="n">
        <x:v>0.5</x:v>
      </x:c>
      <x:c r="S25" s="27" t="n">
        <x:v>196797.20131154425</x:v>
      </x:c>
      <x:c r="T25" s="27" t="n">
        <x:v>15968036.807158347</x:v>
      </x:c>
      <x:c r="U25" s="27" t="n">
        <x:v>393594.4026230885</x:v>
      </x:c>
      <x:c r="V25" s="45" t="b">
        <x:v>0</x:v>
      </x:c>
      <x:c r="W25" s="27" t="n">
        <x:v>196797.20131154425</x:v>
      </x:c>
    </x:row>
    <x:row r="26">
      <x:c r="A26" s="27" t="str">
        <x:v>IND_BANK_002</x:v>
      </x:c>
      <x:c r="B26" s="27" t="n">
        <x:v>3341</x:v>
      </x:c>
      <x:c r="C26" s="27" t="n">
        <x:v>-1420072</x:v>
      </x:c>
      <x:c r="D26" s="27" t="str">
        <x:v>M</x:v>
      </x:c>
      <x:c r="E26" s="27" t="n">
        <x:v>43020000</x:v>
      </x:c>
      <x:c r="F26" s="27" t="n">
        <x:v>717000</x:v>
      </x:c>
      <x:c r="G26" s="27" t="n">
        <x:v>286800</x:v>
      </x:c>
      <x:c r="H26" s="27" t="n">
        <x:v>5736000</x:v>
      </x:c>
      <x:c r="I26" s="27" t="str">
        <x:v>CSA-IND-3341</x:v>
      </x:c>
      <x:c r="J26" s="27" t="n">
        <x:v>0</x:v>
      </x:c>
      <x:c r="K26" s="27" t="str">
        <x:v>max(V-C, TH+MTA-NICA, 0)</x:v>
      </x:c>
      <x:c r="L26" s="27" t="n">
        <x:v>345016.94634811947</x:v>
      </x:c>
      <x:c r="M26" s="27" t="n">
        <x:v>0.05</x:v>
      </x:c>
      <x:c r="N26" s="27" t="n">
        <x:v>17250.847317405973</x:v>
      </x:c>
      <x:c r="O26" s="27" t="n">
        <x:v>24151.18624436836</x:v>
      </x:c>
      <x:c r="P26" s="27" t="str">
        <x:v>Bank</x:v>
      </x:c>
      <x:c r="Q26" s="27" t="str">
        <x:v>BBB</x:v>
      </x:c>
      <x:c r="R26" s="27" t="n">
        <x:v>0.5</x:v>
      </x:c>
      <x:c r="S26" s="27" t="n">
        <x:v>12075.59312218418</x:v>
      </x:c>
      <x:c r="T26" s="27" t="n">
        <x:v>147031.41429528873</x:v>
      </x:c>
      <x:c r="U26" s="27" t="n">
        <x:v>24151.18624436836</x:v>
      </x:c>
      <x:c r="V26" s="45" t="b">
        <x:v>0</x:v>
      </x:c>
      <x:c r="W26" s="27" t="n">
        <x:v>12075.59312218418</x:v>
      </x:c>
    </x:row>
    <x:row r="27">
      <x:c r="A27" s="27" t="str">
        <x:v>IND_BANK_002</x:v>
      </x:c>
      <x:c r="B27" s="27" t="n">
        <x:v>3386</x:v>
      </x:c>
      <x:c r="C27" s="27" t="n">
        <x:v>-190863</x:v>
      </x:c>
      <x:c r="D27" s="27" t="str">
        <x:v>M</x:v>
      </x:c>
      <x:c r="E27" s="27" t="n">
        <x:v>8630000</x:v>
      </x:c>
      <x:c r="F27" s="27" t="n">
        <x:v>215750</x:v>
      </x:c>
      <x:c r="G27" s="27" t="n">
        <x:v>86300</x:v>
      </x:c>
      <x:c r="H27" s="27" t="n">
        <x:v>0</x:v>
      </x:c>
      <x:c r="I27" s="27" t="str">
        <x:v>CSA-IND-3386</x:v>
      </x:c>
      <x:c r="J27" s="27" t="n">
        <x:v>302050</x:v>
      </x:c>
      <x:c r="K27" s="27" t="str">
        <x:v>max(V-C, TH+MTA-NICA, 0)</x:v>
      </x:c>
      <x:c r="L27" s="27" t="n">
        <x:v>3187826.7476575486</x:v>
      </x:c>
      <x:c r="M27" s="27" t="n">
        <x:v>0.27143343519243046</x:v>
      </x:c>
      <x:c r="N27" s="27" t="n">
        <x:v>865282.7649150016</x:v>
      </x:c>
      <x:c r="O27" s="27" t="n">
        <x:v>1634265.8708810022</x:v>
      </x:c>
      <x:c r="P27" s="27" t="str">
        <x:v>Bank</x:v>
      </x:c>
      <x:c r="Q27" s="27" t="str">
        <x:v>BBB</x:v>
      </x:c>
      <x:c r="R27" s="27" t="n">
        <x:v>0.5</x:v>
      </x:c>
      <x:c r="S27" s="27" t="n">
        <x:v>817132.9354405011</x:v>
      </x:c>
      <x:c r="T27" s="27" t="n">
        <x:v>14743550.253250306</x:v>
      </x:c>
      <x:c r="U27" s="27" t="n">
        <x:v>1634265.8708810022</x:v>
      </x:c>
      <x:c r="V27" s="45" t="b">
        <x:v>0</x:v>
      </x:c>
      <x:c r="W27" s="27" t="n">
        <x:v>817132.9354405011</x:v>
      </x:c>
    </x:row>
    <x:row r="28">
      <x:c r="A28" s="27" t="str">
        <x:v>IND_BROKER_001</x:v>
      </x:c>
      <x:c r="B28" s="27" t="n">
        <x:v>3195</x:v>
      </x:c>
      <x:c r="C28" s="27" t="n">
        <x:v>969054</x:v>
      </x:c>
      <x:c r="D28" s="27" t="str">
        <x:v>M</x:v>
      </x:c>
      <x:c r="E28" s="27" t="n">
        <x:v>2165000</x:v>
      </x:c>
      <x:c r="F28" s="27" t="n">
        <x:v>216500</x:v>
      </x:c>
      <x:c r="G28" s="27" t="n">
        <x:v>43300</x:v>
      </x:c>
      <x:c r="H28" s="27" t="n">
        <x:v>0</x:v>
      </x:c>
      <x:c r="I28" s="27" t="str">
        <x:v>CSA-IND-3195</x:v>
      </x:c>
      <x:c r="J28" s="27" t="n">
        <x:v>259800</x:v>
      </x:c>
      <x:c r="K28" s="27" t="str">
        <x:v>max(V-C, TH+MTA-NICA, 0)</x:v>
      </x:c>
      <x:c r="L28" s="27" t="n">
        <x:v>4156800.0000000005</x:v>
      </x:c>
      <x:c r="M28" s="27" t="n">
        <x:v>0.8665078658621436</x:v>
      </x:c>
      <x:c r="N28" s="27" t="n">
        <x:v>3601899.8968157587</x:v>
      </x:c>
      <x:c r="O28" s="27" t="n">
        <x:v>5406379.855542062</x:v>
      </x:c>
      <x:c r="P28" s="27" t="str">
        <x:v>Broker Dealer</x:v>
      </x:c>
      <x:c r="Q28" s="27" t="str">
        <x:v>BBB</x:v>
      </x:c>
      <x:c r="R28" s="27" t="n">
        <x:v>0.5</x:v>
      </x:c>
      <x:c r="S28" s="27" t="n">
        <x:v>2703189.927771031</x:v>
      </x:c>
      <x:c r="T28" s="27" t="n">
        <x:v>20755075.599999998</x:v>
      </x:c>
      <x:c r="U28" s="27" t="n">
        <x:v>5406379.855542062</x:v>
      </x:c>
      <x:c r="V28" s="45" t="b">
        <x:v>0</x:v>
      </x:c>
      <x:c r="W28" s="27" t="n">
        <x:v>2703189.927771031</x:v>
      </x:c>
    </x:row>
    <x:row r="29">
      <x:c r="A29" s="27" t="str">
        <x:v>IND_BROKER_001</x:v>
      </x:c>
      <x:c r="B29" s="27" t="n">
        <x:v>3220</x:v>
      </x:c>
      <x:c r="C29" s="27" t="n">
        <x:v>-1425708</x:v>
      </x:c>
      <x:c r="D29" s="27" t="str">
        <x:v>U</x:v>
      </x:c>
      <x:c r="E29" s="27" t="n">
        <x:v>0</x:v>
      </x:c>
      <x:c r="F29" s="27" t="n">
        <x:v>0</x:v>
      </x:c>
      <x:c r="G29" s="27" t="n">
        <x:v>0</x:v>
      </x:c>
      <x:c r="H29" s="27" t="n">
        <x:v>0</x:v>
      </x:c>
      <x:c r="I29" s="27"/>
      <x:c r="J29" s="27" t="n">
        <x:v>0</x:v>
      </x:c>
      <x:c r="K29" s="27" t="str">
        <x:v>max(V-C, 0)</x:v>
      </x:c>
      <x:c r="L29" s="27" t="n">
        <x:v>969422.9613335753</x:v>
      </x:c>
      <x:c r="M29" s="27" t="n">
        <x:v>0.4880887374545816</x:v>
      </x:c>
      <x:c r="N29" s="27" t="n">
        <x:v>473164.4292567864</x:v>
      </x:c>
      <x:c r="O29" s="27" t="n">
        <x:v>662430.200959501</x:v>
      </x:c>
      <x:c r="P29" s="27" t="str">
        <x:v>Broker Dealer</x:v>
      </x:c>
      <x:c r="Q29" s="27" t="str">
        <x:v>BBB</x:v>
      </x:c>
      <x:c r="R29" s="27" t="n">
        <x:v>0.5</x:v>
      </x:c>
      <x:c r="S29" s="27" t="n">
        <x:v>331215.1004797505</x:v>
      </x:c>
      <x:c r="T29" s="27" t="n">
        <x:v>662430.200959501</x:v>
      </x:c>
      <x:c r="U29" s="27" t="n">
        <x:v>662430.200959501</x:v>
      </x:c>
      <x:c r="V29" s="45" t="b">
        <x:v>0</x:v>
      </x:c>
      <x:c r="W29" s="27" t="n">
        <x:v>331215.1004797505</x:v>
      </x:c>
    </x:row>
    <x:row r="30">
      <x:c r="A30" s="27" t="str">
        <x:v>IND_BROKER_001</x:v>
      </x:c>
      <x:c r="B30" s="27" t="n">
        <x:v>3276</x:v>
      </x:c>
      <x:c r="C30" s="27" t="n">
        <x:v>1694394</x:v>
      </x:c>
      <x:c r="D30" s="27" t="str">
        <x:v>M</x:v>
      </x:c>
      <x:c r="E30" s="27" t="n">
        <x:v>15395000</x:v>
      </x:c>
      <x:c r="F30" s="27" t="n">
        <x:v>3079000</x:v>
      </x:c>
      <x:c r="G30" s="27" t="n">
        <x:v>307900</x:v>
      </x:c>
      <x:c r="H30" s="27" t="n">
        <x:v>6158000</x:v>
      </x:c>
      <x:c r="I30" s="27" t="str">
        <x:v>CSA-IND-3276</x:v>
      </x:c>
      <x:c r="J30" s="27" t="n">
        <x:v>0</x:v>
      </x:c>
      <x:c r="K30" s="27" t="str">
        <x:v>max(V-C, TH+MTA-NICA, 0)</x:v>
      </x:c>
      <x:c r="L30" s="27" t="n">
        <x:v>16000744.407891192</x:v>
      </x:c>
      <x:c r="M30" s="27" t="n">
        <x:v>0.65534898272606</x:v>
      </x:c>
      <x:c r="N30" s="27" t="n">
        <x:v>10486071.570571186</x:v>
      </x:c>
      <x:c r="O30" s="27" t="n">
        <x:v>14680500.198799659</x:v>
      </x:c>
      <x:c r="P30" s="27" t="str">
        <x:v>Broker Dealer</x:v>
      </x:c>
      <x:c r="Q30" s="27" t="str">
        <x:v>BBB</x:v>
      </x:c>
      <x:c r="R30" s="27" t="n">
        <x:v>0.5</x:v>
      </x:c>
      <x:c r="S30" s="27" t="n">
        <x:v>7340250.099399829</x:v>
      </x:c>
      <x:c r="T30" s="27" t="n">
        <x:v>25303299.984400127</x:v>
      </x:c>
      <x:c r="U30" s="27" t="n">
        <x:v>14680500.198799659</x:v>
      </x:c>
      <x:c r="V30" s="45" t="b">
        <x:v>0</x:v>
      </x:c>
      <x:c r="W30" s="27" t="n">
        <x:v>7340250.099399829</x:v>
      </x:c>
    </x:row>
    <x:row r="31">
      <x:c r="A31" s="27" t="str">
        <x:v>IND_BROKER_001</x:v>
      </x:c>
      <x:c r="B31" s="27" t="n">
        <x:v>3332</x:v>
      </x:c>
      <x:c r="C31" s="27" t="n">
        <x:v>-2481122.4</x:v>
      </x:c>
      <x:c r="D31" s="27" t="str">
        <x:v>M</x:v>
      </x:c>
      <x:c r="E31" s="27" t="n">
        <x:v>7224000</x:v>
      </x:c>
      <x:c r="F31" s="27" t="n">
        <x:v>1806000</x:v>
      </x:c>
      <x:c r="G31" s="27" t="n">
        <x:v>361200</x:v>
      </x:c>
      <x:c r="H31" s="27" t="n">
        <x:v>3612000</x:v>
      </x:c>
      <x:c r="I31" s="27" t="str">
        <x:v>CSA-IND-3332</x:v>
      </x:c>
      <x:c r="J31" s="27" t="n">
        <x:v>0</x:v>
      </x:c>
      <x:c r="K31" s="27" t="str">
        <x:v>max(V-C, TH+MTA-NICA, 0)</x:v>
      </x:c>
      <x:c r="L31" s="27" t="n">
        <x:v>560482.2809820212</x:v>
      </x:c>
      <x:c r="M31" s="27" t="n">
        <x:v>0.050104659301071004</x:v>
      </x:c>
      <x:c r="N31" s="27" t="n">
        <x:v>28082.773732891324</x:v>
      </x:c>
      <x:c r="O31" s="27" t="n">
        <x:v>39315.88322604785</x:v>
      </x:c>
      <x:c r="P31" s="27" t="str">
        <x:v>Broker Dealer</x:v>
      </x:c>
      <x:c r="Q31" s="27" t="str">
        <x:v>BBB</x:v>
      </x:c>
      <x:c r="R31" s="27" t="n">
        <x:v>0.5</x:v>
      </x:c>
      <x:c r="S31" s="27" t="n">
        <x:v>19657.941613023926</x:v>
      </x:c>
      <x:c r="T31" s="27" t="n">
        <x:v>1010958.7710014201</x:v>
      </x:c>
      <x:c r="U31" s="27" t="n">
        <x:v>39315.88322604785</x:v>
      </x:c>
      <x:c r="V31" s="45" t="b">
        <x:v>0</x:v>
      </x:c>
      <x:c r="W31" s="27" t="n">
        <x:v>19657.941613023926</x:v>
      </x:c>
    </x:row>
    <x:row r="32">
      <x:c r="A32" s="27" t="str">
        <x:v>IND_BROKER_001</x:v>
      </x:c>
      <x:c r="B32" s="27" t="n">
        <x:v>3384</x:v>
      </x:c>
      <x:c r="C32" s="27" t="n">
        <x:v>-687152.5</x:v>
      </x:c>
      <x:c r="D32" s="27" t="str">
        <x:v>U</x:v>
      </x:c>
      <x:c r="E32" s="27" t="n">
        <x:v>0</x:v>
      </x:c>
      <x:c r="F32" s="27" t="n">
        <x:v>0</x:v>
      </x:c>
      <x:c r="G32" s="27" t="n">
        <x:v>0</x:v>
      </x:c>
      <x:c r="H32" s="27" t="n">
        <x:v>0</x:v>
      </x:c>
      <x:c r="I32" s="27"/>
      <x:c r="J32" s="27" t="n">
        <x:v>0</x:v>
      </x:c>
      <x:c r="K32" s="27" t="str">
        <x:v>max(V-C, 0)</x:v>
      </x:c>
      <x:c r="L32" s="27" t="n">
        <x:v>1454589.157108885</x:v>
      </x:c>
      <x:c r="M32" s="27" t="n">
        <x:v>0.7908726496242694</x:v>
      </x:c>
      <x:c r="N32" s="27" t="n">
        <x:v>1150394.7807974366</x:v>
      </x:c>
      <x:c r="O32" s="27" t="n">
        <x:v>1610552.693116411</x:v>
      </x:c>
      <x:c r="P32" s="27" t="str">
        <x:v>Broker Dealer</x:v>
      </x:c>
      <x:c r="Q32" s="27" t="str">
        <x:v>BBB</x:v>
      </x:c>
      <x:c r="R32" s="27" t="n">
        <x:v>0.5</x:v>
      </x:c>
      <x:c r="S32" s="27" t="n">
        <x:v>805276.3465582056</x:v>
      </x:c>
      <x:c r="T32" s="27" t="n">
        <x:v>1610552.693116411</x:v>
      </x:c>
      <x:c r="U32" s="27" t="n">
        <x:v>1610552.693116411</x:v>
      </x:c>
      <x:c r="V32" s="45" t="b">
        <x:v>0</x:v>
      </x:c>
      <x:c r="W32" s="27" t="n">
        <x:v>805276.3465582056</x:v>
      </x:c>
    </x:row>
    <x:row r="33">
      <x:c r="A33" s="27" t="str">
        <x:v>IND_CLEARING_MEMBER_001</x:v>
      </x:c>
      <x:c r="B33" s="27" t="n">
        <x:v>3020</x:v>
      </x:c>
      <x:c r="C33" s="27" t="n">
        <x:v>1403822.4</x:v>
      </x:c>
      <x:c r="D33" s="27" t="str">
        <x:v>M</x:v>
      </x:c>
      <x:c r="E33" s="27" t="n">
        <x:v>38912000</x:v>
      </x:c>
      <x:c r="F33" s="27" t="n">
        <x:v>4864000</x:v>
      </x:c>
      <x:c r="G33" s="27" t="n">
        <x:v>1945600</x:v>
      </x:c>
      <x:c r="H33" s="27" t="n">
        <x:v>19456000</x:v>
      </x:c>
      <x:c r="I33" s="27" t="str">
        <x:v>CSA-IND-3020</x:v>
      </x:c>
      <x:c r="J33" s="27" t="n">
        <x:v>0</x:v>
      </x:c>
      <x:c r="K33" s="27" t="str">
        <x:v>max(V-C, TH+MTA-NICA, 0)</x:v>
      </x:c>
      <x:c r="L33" s="27" t="n">
        <x:v>18552913.463673744</x:v>
      </x:c>
      <x:c r="M33" s="27" t="n">
        <x:v>0.377804166128564</x:v>
      </x:c>
      <x:c r="N33" s="27" t="n">
        <x:v>7009368.000398667</x:v>
      </x:c>
      <x:c r="O33" s="27" t="n">
        <x:v>9813115.200558133</x:v>
      </x:c>
      <x:c r="P33" s="27" t="str">
        <x:v>Clearing Member</x:v>
      </x:c>
      <x:c r="Q33" s="27" t="str">
        <x:v>A</x:v>
      </x:c>
      <x:c r="R33" s="27" t="n">
        <x:v>0.5</x:v>
      </x:c>
      <x:c r="S33" s="27" t="n">
        <x:v>4906557.600279067</x:v>
      </x:c>
      <x:c r="T33" s="27" t="n">
        <x:v>74852339.08474515</x:v>
      </x:c>
      <x:c r="U33" s="27" t="n">
        <x:v>9813115.200558133</x:v>
      </x:c>
      <x:c r="V33" s="45" t="b">
        <x:v>0</x:v>
      </x:c>
      <x:c r="W33" s="27" t="n">
        <x:v>4906557.600279067</x:v>
      </x:c>
    </x:row>
    <x:row r="34">
      <x:c r="A34" s="27" t="str">
        <x:v>IND_CLEARING_MEMBER_001</x:v>
      </x:c>
      <x:c r="B34" s="27" t="n">
        <x:v>3108</x:v>
      </x:c>
      <x:c r="C34" s="27" t="n">
        <x:v>-789748.5</x:v>
      </x:c>
      <x:c r="D34" s="27" t="str">
        <x:v>M</x:v>
      </x:c>
      <x:c r="E34" s="27" t="n">
        <x:v>15640000</x:v>
      </x:c>
      <x:c r="F34" s="27" t="n">
        <x:v>391000</x:v>
      </x:c>
      <x:c r="G34" s="27" t="n">
        <x:v>156400</x:v>
      </x:c>
      <x:c r="H34" s="27" t="n">
        <x:v>1564000</x:v>
      </x:c>
      <x:c r="I34" s="27" t="str">
        <x:v>CSA-IND-3108</x:v>
      </x:c>
      <x:c r="J34" s="27" t="n">
        <x:v>0</x:v>
      </x:c>
      <x:c r="K34" s="27" t="str">
        <x:v>max(V-C, TH+MTA-NICA, 0)</x:v>
      </x:c>
      <x:c r="L34" s="27" t="n">
        <x:v>7669750.998970759</x:v>
      </x:c>
      <x:c r="M34" s="27" t="n">
        <x:v>0.3576661315296329</x:v>
      </x:c>
      <x:c r="N34" s="27" t="n">
        <x:v>2743210.1695974087</x:v>
      </x:c>
      <x:c r="O34" s="27" t="n">
        <x:v>3840494.237436372</x:v>
      </x:c>
      <x:c r="P34" s="27" t="str">
        <x:v>Clearing Member</x:v>
      </x:c>
      <x:c r="Q34" s="27" t="str">
        <x:v>A</x:v>
      </x:c>
      <x:c r="R34" s="27" t="n">
        <x:v>0.5</x:v>
      </x:c>
      <x:c r="S34" s="27" t="n">
        <x:v>1920247.118718186</x:v>
      </x:c>
      <x:c r="T34" s="27" t="n">
        <x:v>32381822.440629803</x:v>
      </x:c>
      <x:c r="U34" s="27" t="n">
        <x:v>3840494.237436372</x:v>
      </x:c>
      <x:c r="V34" s="45" t="b">
        <x:v>0</x:v>
      </x:c>
      <x:c r="W34" s="27" t="n">
        <x:v>1920247.118718186</x:v>
      </x:c>
    </x:row>
    <x:row r="35">
      <x:c r="A35" s="27" t="str">
        <x:v>IND_CLEARING_MEMBER_001</x:v>
      </x:c>
      <x:c r="B35" s="27" t="n">
        <x:v>3116</x:v>
      </x:c>
      <x:c r="C35" s="27" t="n">
        <x:v>-1632000</x:v>
      </x:c>
      <x:c r="D35" s="27" t="str">
        <x:v>M</x:v>
      </x:c>
      <x:c r="E35" s="27" t="n">
        <x:v>5100000</x:v>
      </x:c>
      <x:c r="F35" s="27" t="n">
        <x:v>255000</x:v>
      </x:c>
      <x:c r="G35" s="27" t="n">
        <x:v>102000</x:v>
      </x:c>
      <x:c r="H35" s="27" t="n">
        <x:v>1020000</x:v>
      </x:c>
      <x:c r="I35" s="27" t="str">
        <x:v>CSA-IND-3116</x:v>
      </x:c>
      <x:c r="J35" s="27" t="n">
        <x:v>0</x:v>
      </x:c>
      <x:c r="K35" s="27" t="str">
        <x:v>max(V-C, TH+MTA-NICA, 0)</x:v>
      </x:c>
      <x:c r="L35" s="27" t="n">
        <x:v>918128.9373543155</x:v>
      </x:c>
      <x:c r="M35" s="27" t="n">
        <x:v>0.07003247869731294</x:v>
      </x:c>
      <x:c r="N35" s="27" t="n">
        <x:v>64298.845246652665</x:v>
      </x:c>
      <x:c r="O35" s="27" t="n">
        <x:v>90018.38334531372</x:v>
      </x:c>
      <x:c r="P35" s="27" t="str">
        <x:v>Clearing Member</x:v>
      </x:c>
      <x:c r="Q35" s="27" t="str">
        <x:v>A</x:v>
      </x:c>
      <x:c r="R35" s="27" t="n">
        <x:v>0.5</x:v>
      </x:c>
      <x:c r="S35" s="27" t="n">
        <x:v>45009.19167265686</x:v>
      </x:c>
      <x:c r="T35" s="27" t="n">
        <x:v>2793891.124515191</x:v>
      </x:c>
      <x:c r="U35" s="27" t="n">
        <x:v>90018.38334531372</x:v>
      </x:c>
      <x:c r="V35" s="45" t="b">
        <x:v>0</x:v>
      </x:c>
      <x:c r="W35" s="27" t="n">
        <x:v>45009.19167265686</x:v>
      </x:c>
    </x:row>
    <x:row r="36">
      <x:c r="A36" s="27" t="str">
        <x:v>IND_CLEARING_MEMBER_001</x:v>
      </x:c>
      <x:c r="B36" s="27" t="n">
        <x:v>3161</x:v>
      </x:c>
      <x:c r="C36" s="27" t="n">
        <x:v>490023</x:v>
      </x:c>
      <x:c r="D36" s="27" t="str">
        <x:v>U</x:v>
      </x:c>
      <x:c r="E36" s="27" t="n">
        <x:v>0</x:v>
      </x:c>
      <x:c r="F36" s="27" t="n">
        <x:v>0</x:v>
      </x:c>
      <x:c r="G36" s="27" t="n">
        <x:v>0</x:v>
      </x:c>
      <x:c r="H36" s="27" t="n">
        <x:v>0</x:v>
      </x:c>
      <x:c r="I36" s="27"/>
      <x:c r="J36" s="27" t="n">
        <x:v>490023</x:v>
      </x:c>
      <x:c r="K36" s="27" t="str">
        <x:v>max(V-C, 0)</x:v>
      </x:c>
      <x:c r="L36" s="27" t="n">
        <x:v>15305903.0927465</x:v>
      </x:c>
      <x:c r="M36" s="27" t="n">
        <x:v>1</x:v>
      </x:c>
      <x:c r="N36" s="27" t="n">
        <x:v>15305903.0927465</x:v>
      </x:c>
      <x:c r="O36" s="27" t="n">
        <x:v>22114296.5298451</x:v>
      </x:c>
      <x:c r="P36" s="27" t="str">
        <x:v>Clearing Member</x:v>
      </x:c>
      <x:c r="Q36" s="27" t="str">
        <x:v>A</x:v>
      </x:c>
      <x:c r="R36" s="27" t="n">
        <x:v>0.5</x:v>
      </x:c>
      <x:c r="S36" s="27" t="n">
        <x:v>11057148.26492255</x:v>
      </x:c>
      <x:c r="T36" s="27" t="n">
        <x:v>22114296.5298451</x:v>
      </x:c>
      <x:c r="U36" s="27" t="n">
        <x:v>22114296.5298451</x:v>
      </x:c>
      <x:c r="V36" s="45" t="b">
        <x:v>0</x:v>
      </x:c>
      <x:c r="W36" s="27" t="n">
        <x:v>11057148.26492255</x:v>
      </x:c>
    </x:row>
    <x:row r="37">
      <x:c r="A37" s="27" t="str">
        <x:v>IND_CLEARING_MEMBER_001</x:v>
      </x:c>
      <x:c r="B37" s="27" t="n">
        <x:v>3186</x:v>
      </x:c>
      <x:c r="C37" s="27" t="n">
        <x:v>547615.5</x:v>
      </x:c>
      <x:c r="D37" s="27" t="str">
        <x:v>U</x:v>
      </x:c>
      <x:c r="E37" s="27" t="n">
        <x:v>0</x:v>
      </x:c>
      <x:c r="F37" s="27" t="n">
        <x:v>0</x:v>
      </x:c>
      <x:c r="G37" s="27" t="n">
        <x:v>0</x:v>
      </x:c>
      <x:c r="H37" s="27" t="n">
        <x:v>0</x:v>
      </x:c>
      <x:c r="I37" s="27"/>
      <x:c r="J37" s="27" t="n">
        <x:v>547615.5</x:v>
      </x:c>
      <x:c r="K37" s="27" t="str">
        <x:v>max(V-C, 0)</x:v>
      </x:c>
      <x:c r="L37" s="27" t="n">
        <x:v>5753829.434618186</x:v>
      </x:c>
      <x:c r="M37" s="27" t="n">
        <x:v>1</x:v>
      </x:c>
      <x:c r="N37" s="27" t="n">
        <x:v>5753829.434618186</x:v>
      </x:c>
      <x:c r="O37" s="27" t="n">
        <x:v>8822022.90846546</x:v>
      </x:c>
      <x:c r="P37" s="27" t="str">
        <x:v>Clearing Member</x:v>
      </x:c>
      <x:c r="Q37" s="27" t="str">
        <x:v>A</x:v>
      </x:c>
      <x:c r="R37" s="27" t="n">
        <x:v>0.5</x:v>
      </x:c>
      <x:c r="S37" s="27" t="n">
        <x:v>4411011.45423273</x:v>
      </x:c>
      <x:c r="T37" s="27" t="n">
        <x:v>8822022.90846546</x:v>
      </x:c>
      <x:c r="U37" s="27" t="n">
        <x:v>8822022.90846546</x:v>
      </x:c>
      <x:c r="V37" s="45" t="b">
        <x:v>0</x:v>
      </x:c>
      <x:c r="W37" s="27" t="n">
        <x:v>4411011.45423273</x:v>
      </x:c>
    </x:row>
    <x:row r="38">
      <x:c r="A38" s="27" t="str">
        <x:v>IND_CLEARING_MEMBER_001</x:v>
      </x:c>
      <x:c r="B38" s="27" t="n">
        <x:v>3206</x:v>
      </x:c>
      <x:c r="C38" s="27" t="n">
        <x:v>338060</x:v>
      </x:c>
      <x:c r="D38" s="27" t="str">
        <x:v>M</x:v>
      </x:c>
      <x:c r="E38" s="27" t="n">
        <x:v>7830000</x:v>
      </x:c>
      <x:c r="F38" s="27" t="n">
        <x:v>3915000</x:v>
      </x:c>
      <x:c r="G38" s="27" t="n">
        <x:v>391500</x:v>
      </x:c>
      <x:c r="H38" s="27" t="n">
        <x:v>7830000</x:v>
      </x:c>
      <x:c r="I38" s="27" t="str">
        <x:v>CSA-IND-3206</x:v>
      </x:c>
      <x:c r="J38" s="27" t="n">
        <x:v>0</x:v>
      </x:c>
      <x:c r="K38" s="27" t="str">
        <x:v>max(V-C, TH+MTA-NICA, 0)</x:v>
      </x:c>
      <x:c r="L38" s="27" t="n">
        <x:v>1230799.049505133</x:v>
      </x:c>
      <x:c r="M38" s="27" t="n">
        <x:v>0.08858059661333856</x:v>
      </x:c>
      <x:c r="N38" s="27" t="n">
        <x:v>109024.91411629469</x:v>
      </x:c>
      <x:c r="O38" s="27" t="n">
        <x:v>152634.87976281255</x:v>
      </x:c>
      <x:c r="P38" s="27" t="str">
        <x:v>Clearing Member</x:v>
      </x:c>
      <x:c r="Q38" s="27" t="str">
        <x:v>A</x:v>
      </x:c>
      <x:c r="R38" s="27" t="n">
        <x:v>0.5</x:v>
      </x:c>
      <x:c r="S38" s="27" t="n">
        <x:v>76317.43988140627</x:v>
      </x:c>
      <x:c r="T38" s="27" t="n">
        <x:v>2374132.0934260553</x:v>
      </x:c>
      <x:c r="U38" s="27" t="n">
        <x:v>152634.87976281255</x:v>
      </x:c>
      <x:c r="V38" s="45" t="b">
        <x:v>0</x:v>
      </x:c>
      <x:c r="W38" s="27" t="n">
        <x:v>76317.43988140627</x:v>
      </x:c>
    </x:row>
    <x:row r="39">
      <x:c r="A39" s="27" t="str">
        <x:v>IND_CLEARING_MEMBER_001</x:v>
      </x:c>
      <x:c r="B39" s="27" t="n">
        <x:v>3288</x:v>
      </x:c>
      <x:c r="C39" s="27" t="n">
        <x:v>-144384</x:v>
      </x:c>
      <x:c r="D39" s="27" t="str">
        <x:v>U</x:v>
      </x:c>
      <x:c r="E39" s="27" t="n">
        <x:v>0</x:v>
      </x:c>
      <x:c r="F39" s="27" t="n">
        <x:v>0</x:v>
      </x:c>
      <x:c r="G39" s="27" t="n">
        <x:v>0</x:v>
      </x:c>
      <x:c r="H39" s="27" t="n">
        <x:v>0</x:v>
      </x:c>
      <x:c r="I39" s="27"/>
      <x:c r="J39" s="27" t="n">
        <x:v>0</x:v>
      </x:c>
      <x:c r="K39" s="27" t="str">
        <x:v>max(V-C, 0)</x:v>
      </x:c>
      <x:c r="L39" s="27" t="n">
        <x:v>3514538.5812447895</x:v>
      </x:c>
      <x:c r="M39" s="27" t="n">
        <x:v>0.9796795160538814</x:v>
      </x:c>
      <x:c r="N39" s="27" t="n">
        <x:v>3443121.45642659</x:v>
      </x:c>
      <x:c r="O39" s="27" t="n">
        <x:v>4820370.038997226</x:v>
      </x:c>
      <x:c r="P39" s="27" t="str">
        <x:v>Clearing Member</x:v>
      </x:c>
      <x:c r="Q39" s="27" t="str">
        <x:v>A</x:v>
      </x:c>
      <x:c r="R39" s="27" t="n">
        <x:v>0.5</x:v>
      </x:c>
      <x:c r="S39" s="27" t="n">
        <x:v>2410185.019498613</x:v>
      </x:c>
      <x:c r="T39" s="27" t="n">
        <x:v>4820370.038997226</x:v>
      </x:c>
      <x:c r="U39" s="27" t="n">
        <x:v>4820370.038997226</x:v>
      </x:c>
      <x:c r="V39" s="45" t="b">
        <x:v>0</x:v>
      </x:c>
      <x:c r="W39" s="27" t="n">
        <x:v>2410185.019498613</x:v>
      </x:c>
    </x:row>
    <x:row r="40">
      <x:c r="A40" s="27" t="str">
        <x:v>IND_CLEARING_MEMBER_001</x:v>
      </x:c>
      <x:c r="B40" s="27" t="n">
        <x:v>3340</x:v>
      </x:c>
      <x:c r="C40" s="27" t="n">
        <x:v>31470</x:v>
      </x:c>
      <x:c r="D40" s="27" t="str">
        <x:v>M</x:v>
      </x:c>
      <x:c r="E40" s="27" t="n">
        <x:v>2040000</x:v>
      </x:c>
      <x:c r="F40" s="27" t="n">
        <x:v>68000</x:v>
      </x:c>
      <x:c r="G40" s="27" t="n">
        <x:v>13600</x:v>
      </x:c>
      <x:c r="H40" s="27" t="n">
        <x:v>272000</x:v>
      </x:c>
      <x:c r="I40" s="27" t="str">
        <x:v>CSA-IND-3340</x:v>
      </x:c>
      <x:c r="J40" s="27" t="n">
        <x:v>0</x:v>
      </x:c>
      <x:c r="K40" s="27" t="str">
        <x:v>max(V-C, TH+MTA-NICA, 0)</x:v>
      </x:c>
      <x:c r="L40" s="27" t="n">
        <x:v>1434000.0000000002</x:v>
      </x:c>
      <x:c r="M40" s="27" t="n">
        <x:v>0.5045366483606432</x:v>
      </x:c>
      <x:c r="N40" s="27" t="n">
        <x:v>723505.5537491624</x:v>
      </x:c>
      <x:c r="O40" s="27" t="n">
        <x:v>1012907.7752488272</x:v>
      </x:c>
      <x:c r="P40" s="27" t="str">
        <x:v>Clearing Member</x:v>
      </x:c>
      <x:c r="Q40" s="27" t="str">
        <x:v>A</x:v>
      </x:c>
      <x:c r="R40" s="27" t="n">
        <x:v>0.5</x:v>
      </x:c>
      <x:c r="S40" s="27" t="n">
        <x:v>506453.8876244136</x:v>
      </x:c>
      <x:c r="T40" s="27" t="n">
        <x:v>6525839.036836672</x:v>
      </x:c>
      <x:c r="U40" s="27" t="n">
        <x:v>1012907.7752488272</x:v>
      </x:c>
      <x:c r="V40" s="45" t="b">
        <x:v>0</x:v>
      </x:c>
      <x:c r="W40" s="27" t="n">
        <x:v>506453.8876244136</x:v>
      </x:c>
    </x:row>
    <x:row r="41">
      <x:c r="A41" s="27" t="str">
        <x:v>IND_CLEARING_MEMBER_001</x:v>
      </x:c>
      <x:c r="B41" s="27" t="n">
        <x:v>3399</x:v>
      </x:c>
      <x:c r="C41" s="27" t="n">
        <x:v>2328231</x:v>
      </x:c>
      <x:c r="D41" s="27" t="str">
        <x:v>U</x:v>
      </x:c>
      <x:c r="E41" s="27" t="n">
        <x:v>0</x:v>
      </x:c>
      <x:c r="F41" s="27" t="n">
        <x:v>0</x:v>
      </x:c>
      <x:c r="G41" s="27" t="n">
        <x:v>0</x:v>
      </x:c>
      <x:c r="H41" s="27" t="n">
        <x:v>0</x:v>
      </x:c>
      <x:c r="I41" s="27"/>
      <x:c r="J41" s="27" t="n">
        <x:v>2328231</x:v>
      </x:c>
      <x:c r="K41" s="27" t="str">
        <x:v>max(V-C, 0)</x:v>
      </x:c>
      <x:c r="L41" s="27" t="n">
        <x:v>6023004.5076668775</x:v>
      </x:c>
      <x:c r="M41" s="27" t="n">
        <x:v>1</x:v>
      </x:c>
      <x:c r="N41" s="27" t="n">
        <x:v>6023004.5076668775</x:v>
      </x:c>
      <x:c r="O41" s="27" t="n">
        <x:v>11691729.710733628</x:v>
      </x:c>
      <x:c r="P41" s="27" t="str">
        <x:v>Clearing Member</x:v>
      </x:c>
      <x:c r="Q41" s="27" t="str">
        <x:v>A</x:v>
      </x:c>
      <x:c r="R41" s="27" t="n">
        <x:v>0.5</x:v>
      </x:c>
      <x:c r="S41" s="27" t="n">
        <x:v>5845864.855366814</x:v>
      </x:c>
      <x:c r="T41" s="27" t="n">
        <x:v>11691729.710733628</x:v>
      </x:c>
      <x:c r="U41" s="27" t="n">
        <x:v>11691729.710733628</x:v>
      </x:c>
      <x:c r="V41" s="45" t="b">
        <x:v>0</x:v>
      </x:c>
      <x:c r="W41" s="27" t="n">
        <x:v>5845864.855366814</x:v>
      </x:c>
    </x:row>
    <x:row r="42">
      <x:c r="A42" s="27" t="str">
        <x:v>IND_CORPORATE_001</x:v>
      </x:c>
      <x:c r="B42" s="27" t="n">
        <x:v>3004</x:v>
      </x:c>
      <x:c r="C42" s="27" t="n">
        <x:v>24915</x:v>
      </x:c>
      <x:c r="D42" s="27" t="str">
        <x:v>M</x:v>
      </x:c>
      <x:c r="E42" s="27" t="n">
        <x:v>22510000</x:v>
      </x:c>
      <x:c r="F42" s="27" t="n">
        <x:v>1125500</x:v>
      </x:c>
      <x:c r="G42" s="27" t="n">
        <x:v>450200</x:v>
      </x:c>
      <x:c r="H42" s="27" t="n">
        <x:v>4502000</x:v>
      </x:c>
      <x:c r="I42" s="27" t="str">
        <x:v>CSA-IND-3004</x:v>
      </x:c>
      <x:c r="J42" s="27" t="n">
        <x:v>0</x:v>
      </x:c>
      <x:c r="K42" s="27" t="str">
        <x:v>max(V-C, TH+MTA-NICA, 0)</x:v>
      </x:c>
      <x:c r="L42" s="27" t="n">
        <x:v>1100958.7135473804</x:v>
      </x:c>
      <x:c r="M42" s="27" t="n">
        <x:v>0.05002039259412959</x:v>
      </x:c>
      <x:c r="N42" s="27" t="n">
        <x:v>55070.387081567824</x:v>
      </x:c>
      <x:c r="O42" s="27" t="n">
        <x:v>77098.54191419495</x:v>
      </x:c>
      <x:c r="P42" s="27" t="str">
        <x:v>Corporate</x:v>
      </x:c>
      <x:c r="Q42" s="27" t="str">
        <x:v>BBB</x:v>
      </x:c>
      <x:c r="R42" s="27" t="n">
        <x:v>1</x:v>
      </x:c>
      <x:c r="S42" s="27" t="n">
        <x:v>77098.54191419495</x:v>
      </x:c>
      <x:c r="T42" s="27" t="n">
        <x:v>3525937.9786923537</x:v>
      </x:c>
      <x:c r="U42" s="27" t="n">
        <x:v>77098.54191419495</x:v>
      </x:c>
      <x:c r="V42" s="45" t="b">
        <x:v>0</x:v>
      </x:c>
      <x:c r="W42" s="27" t="n">
        <x:v>77098.54191419495</x:v>
      </x:c>
    </x:row>
    <x:row r="43">
      <x:c r="A43" s="27" t="str">
        <x:v>IND_CORPORATE_001</x:v>
      </x:c>
      <x:c r="B43" s="27" t="n">
        <x:v>3015</x:v>
      </x:c>
      <x:c r="C43" s="27" t="n">
        <x:v>686944</x:v>
      </x:c>
      <x:c r="D43" s="27" t="str">
        <x:v>U</x:v>
      </x:c>
      <x:c r="E43" s="27" t="n">
        <x:v>0</x:v>
      </x:c>
      <x:c r="F43" s="27" t="n">
        <x:v>0</x:v>
      </x:c>
      <x:c r="G43" s="27" t="n">
        <x:v>0</x:v>
      </x:c>
      <x:c r="H43" s="27" t="n">
        <x:v>0</x:v>
      </x:c>
      <x:c r="I43" s="27"/>
      <x:c r="J43" s="27" t="n">
        <x:v>686944</x:v>
      </x:c>
      <x:c r="K43" s="27" t="str">
        <x:v>max(V-C, 0)</x:v>
      </x:c>
      <x:c r="L43" s="27" t="n">
        <x:v>501106.2636925688</x:v>
      </x:c>
      <x:c r="M43" s="27" t="n">
        <x:v>1</x:v>
      </x:c>
      <x:c r="N43" s="27" t="n">
        <x:v>501106.2636925688</x:v>
      </x:c>
      <x:c r="O43" s="27" t="n">
        <x:v>1663270.3691695961</x:v>
      </x:c>
      <x:c r="P43" s="27" t="str">
        <x:v>Corporate</x:v>
      </x:c>
      <x:c r="Q43" s="27" t="str">
        <x:v>BBB</x:v>
      </x:c>
      <x:c r="R43" s="27" t="n">
        <x:v>1</x:v>
      </x:c>
      <x:c r="S43" s="27" t="n">
        <x:v>1663270.3691695961</x:v>
      </x:c>
      <x:c r="T43" s="27" t="n">
        <x:v>1663270.3691695961</x:v>
      </x:c>
      <x:c r="U43" s="27" t="n">
        <x:v>1663270.3691695961</x:v>
      </x:c>
      <x:c r="V43" s="45" t="b">
        <x:v>0</x:v>
      </x:c>
      <x:c r="W43" s="27" t="n">
        <x:v>1663270.3691695961</x:v>
      </x:c>
    </x:row>
    <x:row r="44">
      <x:c r="A44" s="27" t="str">
        <x:v>IND_CORPORATE_001</x:v>
      </x:c>
      <x:c r="B44" s="27" t="n">
        <x:v>3040</x:v>
      </x:c>
      <x:c r="C44" s="27" t="n">
        <x:v>-487116</x:v>
      </x:c>
      <x:c r="D44" s="27" t="str">
        <x:v>M</x:v>
      </x:c>
      <x:c r="E44" s="27" t="n">
        <x:v>6085000</x:v>
      </x:c>
      <x:c r="F44" s="27" t="n">
        <x:v>1217000</x:v>
      </x:c>
      <x:c r="G44" s="27" t="n">
        <x:v>121700</x:v>
      </x:c>
      <x:c r="H44" s="27" t="n">
        <x:v>2434000</x:v>
      </x:c>
      <x:c r="I44" s="27" t="str">
        <x:v>CSA-IND-3040</x:v>
      </x:c>
      <x:c r="J44" s="27" t="n">
        <x:v>0</x:v>
      </x:c>
      <x:c r="K44" s="27" t="str">
        <x:v>max(V-C, TH+MTA-NICA, 0)</x:v>
      </x:c>
      <x:c r="L44" s="27" t="n">
        <x:v>684590.2687736201</x:v>
      </x:c>
      <x:c r="M44" s="27" t="n">
        <x:v>0.05607263377640101</x:v>
      </x:c>
      <x:c r="N44" s="27" t="n">
        <x:v>38386.77942783114</x:v>
      </x:c>
      <x:c r="O44" s="27" t="n">
        <x:v>53741.491198963595</x:v>
      </x:c>
      <x:c r="P44" s="27" t="str">
        <x:v>Corporate</x:v>
      </x:c>
      <x:c r="Q44" s="27" t="str">
        <x:v>BBB</x:v>
      </x:c>
      <x:c r="R44" s="27" t="n">
        <x:v>1</x:v>
      </x:c>
      <x:c r="S44" s="27" t="n">
        <x:v>53741.491198963595</x:v>
      </x:c>
      <x:c r="T44" s="27" t="n">
        <x:v>1648164.3010442026</x:v>
      </x:c>
      <x:c r="U44" s="27" t="n">
        <x:v>53741.491198963595</x:v>
      </x:c>
      <x:c r="V44" s="45" t="b">
        <x:v>0</x:v>
      </x:c>
      <x:c r="W44" s="27" t="n">
        <x:v>53741.491198963595</x:v>
      </x:c>
    </x:row>
    <x:row r="45">
      <x:c r="A45" s="27" t="str">
        <x:v>IND_CORPORATE_001</x:v>
      </x:c>
      <x:c r="B45" s="27" t="n">
        <x:v>3041</x:v>
      </x:c>
      <x:c r="C45" s="27" t="n">
        <x:v>1237294</x:v>
      </x:c>
      <x:c r="D45" s="27" t="str">
        <x:v>M</x:v>
      </x:c>
      <x:c r="E45" s="27" t="n">
        <x:v>46065000</x:v>
      </x:c>
      <x:c r="F45" s="27" t="n">
        <x:v>767750</x:v>
      </x:c>
      <x:c r="G45" s="27" t="n">
        <x:v>307100</x:v>
      </x:c>
      <x:c r="H45" s="27" t="n">
        <x:v>3071000</x:v>
      </x:c>
      <x:c r="I45" s="27" t="str">
        <x:v>CSA-IND-3041</x:v>
      </x:c>
      <x:c r="J45" s="27" t="n">
        <x:v>0</x:v>
      </x:c>
      <x:c r="K45" s="27" t="str">
        <x:v>max(V-C, TH+MTA-NICA, 0)</x:v>
      </x:c>
      <x:c r="L45" s="27" t="n">
        <x:v>3309924.8238075697</x:v>
      </x:c>
      <x:c r="M45" s="27" t="n">
        <x:v>0.050762117579174065</x:v>
      </x:c>
      <x:c r="N45" s="27" t="n">
        <x:v>168018.79308434686</x:v>
      </x:c>
      <x:c r="O45" s="27" t="n">
        <x:v>235226.3103180856</x:v>
      </x:c>
      <x:c r="P45" s="27" t="str">
        <x:v>Corporate</x:v>
      </x:c>
      <x:c r="Q45" s="27" t="str">
        <x:v>BBB</x:v>
      </x:c>
      <x:c r="R45" s="27" t="n">
        <x:v>1</x:v>
      </x:c>
      <x:c r="S45" s="27" t="n">
        <x:v>235226.3103180856</x:v>
      </x:c>
      <x:c r="T45" s="27" t="n">
        <x:v>14217260.467525221</x:v>
      </x:c>
      <x:c r="U45" s="27" t="n">
        <x:v>235226.3103180856</x:v>
      </x:c>
      <x:c r="V45" s="45" t="b">
        <x:v>0</x:v>
      </x:c>
      <x:c r="W45" s="27" t="n">
        <x:v>235226.3103180856</x:v>
      </x:c>
    </x:row>
    <x:row r="46">
      <x:c r="A46" s="27" t="str">
        <x:v>IND_CORPORATE_001</x:v>
      </x:c>
      <x:c r="B46" s="27" t="n">
        <x:v>3092</x:v>
      </x:c>
      <x:c r="C46" s="27" t="n">
        <x:v>512059</x:v>
      </x:c>
      <x:c r="D46" s="27" t="str">
        <x:v>U</x:v>
      </x:c>
      <x:c r="E46" s="27" t="n">
        <x:v>0</x:v>
      </x:c>
      <x:c r="F46" s="27" t="n">
        <x:v>0</x:v>
      </x:c>
      <x:c r="G46" s="27" t="n">
        <x:v>0</x:v>
      </x:c>
      <x:c r="H46" s="27" t="n">
        <x:v>0</x:v>
      </x:c>
      <x:c r="I46" s="27"/>
      <x:c r="J46" s="27" t="n">
        <x:v>512059</x:v>
      </x:c>
      <x:c r="K46" s="27" t="str">
        <x:v>max(V-C, 0)</x:v>
      </x:c>
      <x:c r="L46" s="27" t="n">
        <x:v>3027697.6010804637</x:v>
      </x:c>
      <x:c r="M46" s="27" t="n">
        <x:v>1</x:v>
      </x:c>
      <x:c r="N46" s="27" t="n">
        <x:v>3027697.6010804637</x:v>
      </x:c>
      <x:c r="O46" s="27" t="n">
        <x:v>4955659.241512649</x:v>
      </x:c>
      <x:c r="P46" s="27" t="str">
        <x:v>Corporate</x:v>
      </x:c>
      <x:c r="Q46" s="27" t="str">
        <x:v>BBB</x:v>
      </x:c>
      <x:c r="R46" s="27" t="n">
        <x:v>1</x:v>
      </x:c>
      <x:c r="S46" s="27" t="n">
        <x:v>4955659.241512649</x:v>
      </x:c>
      <x:c r="T46" s="27" t="n">
        <x:v>4955659.241512649</x:v>
      </x:c>
      <x:c r="U46" s="27" t="n">
        <x:v>4955659.241512649</x:v>
      </x:c>
      <x:c r="V46" s="45" t="b">
        <x:v>0</x:v>
      </x:c>
      <x:c r="W46" s="27" t="n">
        <x:v>4955659.241512649</x:v>
      </x:c>
    </x:row>
    <x:row r="47">
      <x:c r="A47" s="27" t="str">
        <x:v>IND_CORPORATE_001</x:v>
      </x:c>
      <x:c r="B47" s="27" t="n">
        <x:v>3100</x:v>
      </x:c>
      <x:c r="C47" s="27" t="n">
        <x:v>831534</x:v>
      </x:c>
      <x:c r="D47" s="27" t="str">
        <x:v>M</x:v>
      </x:c>
      <x:c r="E47" s="27" t="n">
        <x:v>4256000</x:v>
      </x:c>
      <x:c r="F47" s="27" t="n">
        <x:v>1064000</x:v>
      </x:c>
      <x:c r="G47" s="27" t="n">
        <x:v>212800</x:v>
      </x:c>
      <x:c r="H47" s="27" t="n">
        <x:v>4256000</x:v>
      </x:c>
      <x:c r="I47" s="27" t="str">
        <x:v>CSA-IND-3100</x:v>
      </x:c>
      <x:c r="J47" s="27" t="n">
        <x:v>0</x:v>
      </x:c>
      <x:c r="K47" s="27" t="str">
        <x:v>max(V-C, TH+MTA-NICA, 0)</x:v>
      </x:c>
      <x:c r="L47" s="27" t="n">
        <x:v>961200</x:v>
      </x:c>
      <x:c r="M47" s="27" t="n">
        <x:v>0.19567198272082414</x:v>
      </x:c>
      <x:c r="N47" s="27" t="n">
        <x:v>188079.90979125616</x:v>
      </x:c>
      <x:c r="O47" s="27" t="n">
        <x:v>263311.8737077586</x:v>
      </x:c>
      <x:c r="P47" s="27" t="str">
        <x:v>Corporate</x:v>
      </x:c>
      <x:c r="Q47" s="27" t="str">
        <x:v>BBB</x:v>
      </x:c>
      <x:c r="R47" s="27" t="n">
        <x:v>1</x:v>
      </x:c>
      <x:c r="S47" s="27" t="n">
        <x:v>263311.8737077586</x:v>
      </x:c>
      <x:c r="T47" s="27" t="n">
        <x:v>8835593.156023968</x:v>
      </x:c>
      <x:c r="U47" s="27" t="n">
        <x:v>263311.8737077586</x:v>
      </x:c>
      <x:c r="V47" s="45" t="b">
        <x:v>0</x:v>
      </x:c>
      <x:c r="W47" s="27" t="n">
        <x:v>263311.8737077586</x:v>
      </x:c>
    </x:row>
    <x:row r="48">
      <x:c r="A48" s="27" t="str">
        <x:v>IND_CORPORATE_001</x:v>
      </x:c>
      <x:c r="B48" s="27" t="n">
        <x:v>3161</x:v>
      </x:c>
      <x:c r="C48" s="27" t="n">
        <x:v>-314838.6</x:v>
      </x:c>
      <x:c r="D48" s="27" t="str">
        <x:v>U</x:v>
      </x:c>
      <x:c r="E48" s="27" t="n">
        <x:v>0</x:v>
      </x:c>
      <x:c r="F48" s="27" t="n">
        <x:v>0</x:v>
      </x:c>
      <x:c r="G48" s="27" t="n">
        <x:v>0</x:v>
      </x:c>
      <x:c r="H48" s="27" t="n">
        <x:v>0</x:v>
      </x:c>
      <x:c r="I48" s="27"/>
      <x:c r="J48" s="27" t="n">
        <x:v>0</x:v>
      </x:c>
      <x:c r="K48" s="27" t="str">
        <x:v>max(V-C, 0)</x:v>
      </x:c>
      <x:c r="L48" s="27" t="n">
        <x:v>8294520.942047758</x:v>
      </x:c>
      <x:c r="M48" s="27" t="n">
        <x:v>0.9812096091970154</x:v>
      </x:c>
      <x:c r="N48" s="27" t="n">
        <x:v>8138663.65202314</x:v>
      </x:c>
      <x:c r="O48" s="27" t="n">
        <x:v>11394129.112832395</x:v>
      </x:c>
      <x:c r="P48" s="27" t="str">
        <x:v>Corporate</x:v>
      </x:c>
      <x:c r="Q48" s="27" t="str">
        <x:v>BBB</x:v>
      </x:c>
      <x:c r="R48" s="27" t="n">
        <x:v>1</x:v>
      </x:c>
      <x:c r="S48" s="27" t="n">
        <x:v>11394129.112832395</x:v>
      </x:c>
      <x:c r="T48" s="27" t="n">
        <x:v>11394129.112832395</x:v>
      </x:c>
      <x:c r="U48" s="27" t="n">
        <x:v>11394129.112832395</x:v>
      </x:c>
      <x:c r="V48" s="45" t="b">
        <x:v>0</x:v>
      </x:c>
      <x:c r="W48" s="27" t="n">
        <x:v>11394129.112832395</x:v>
      </x:c>
    </x:row>
    <x:row r="49">
      <x:c r="A49" s="27" t="str">
        <x:v>IND_CORPORATE_001</x:v>
      </x:c>
      <x:c r="B49" s="27" t="n">
        <x:v>3358</x:v>
      </x:c>
      <x:c r="C49" s="27" t="n">
        <x:v>300186</x:v>
      </x:c>
      <x:c r="D49" s="27" t="str">
        <x:v>U</x:v>
      </x:c>
      <x:c r="E49" s="27" t="n">
        <x:v>0</x:v>
      </x:c>
      <x:c r="F49" s="27" t="n">
        <x:v>0</x:v>
      </x:c>
      <x:c r="G49" s="27" t="n">
        <x:v>0</x:v>
      </x:c>
      <x:c r="H49" s="27" t="n">
        <x:v>0</x:v>
      </x:c>
      <x:c r="I49" s="27"/>
      <x:c r="J49" s="27" t="n">
        <x:v>300186</x:v>
      </x:c>
      <x:c r="K49" s="27" t="str">
        <x:v>max(V-C, 0)</x:v>
      </x:c>
      <x:c r="L49" s="27" t="n">
        <x:v>1836000</x:v>
      </x:c>
      <x:c r="M49" s="27" t="n">
        <x:v>1</x:v>
      </x:c>
      <x:c r="N49" s="27" t="n">
        <x:v>1836000</x:v>
      </x:c>
      <x:c r="O49" s="27" t="n">
        <x:v>2990660.4</x:v>
      </x:c>
      <x:c r="P49" s="27" t="str">
        <x:v>Corporate</x:v>
      </x:c>
      <x:c r="Q49" s="27" t="str">
        <x:v>BBB</x:v>
      </x:c>
      <x:c r="R49" s="27" t="n">
        <x:v>1</x:v>
      </x:c>
      <x:c r="S49" s="27" t="n">
        <x:v>2990660.4</x:v>
      </x:c>
      <x:c r="T49" s="27" t="n">
        <x:v>2990660.4</x:v>
      </x:c>
      <x:c r="U49" s="27" t="n">
        <x:v>2990660.4</x:v>
      </x:c>
      <x:c r="V49" s="45" t="b">
        <x:v>0</x:v>
      </x:c>
      <x:c r="W49" s="27" t="n">
        <x:v>2990660.4</x:v>
      </x:c>
    </x:row>
    <x:row r="50">
      <x:c r="A50" s="27" t="str">
        <x:v>IND_CORPORATE_001</x:v>
      </x:c>
      <x:c r="B50" s="27" t="n">
        <x:v>3380</x:v>
      </x:c>
      <x:c r="C50" s="27" t="n">
        <x:v>-38655</x:v>
      </x:c>
      <x:c r="D50" s="27" t="str">
        <x:v>U</x:v>
      </x:c>
      <x:c r="E50" s="27" t="n">
        <x:v>0</x:v>
      </x:c>
      <x:c r="F50" s="27" t="n">
        <x:v>0</x:v>
      </x:c>
      <x:c r="G50" s="27" t="n">
        <x:v>0</x:v>
      </x:c>
      <x:c r="H50" s="27" t="n">
        <x:v>0</x:v>
      </x:c>
      <x:c r="I50" s="27"/>
      <x:c r="J50" s="27" t="n">
        <x:v>0</x:v>
      </x:c>
      <x:c r="K50" s="27" t="str">
        <x:v>max(V-C, 0)</x:v>
      </x:c>
      <x:c r="L50" s="27" t="n">
        <x:v>480000</x:v>
      </x:c>
      <x:c r="M50" s="27" t="n">
        <x:v>0.9605757722365713</x:v>
      </x:c>
      <x:c r="N50" s="27" t="n">
        <x:v>461076.37067355425</x:v>
      </x:c>
      <x:c r="O50" s="27" t="n">
        <x:v>645506.9189429759</x:v>
      </x:c>
      <x:c r="P50" s="27" t="str">
        <x:v>Corporate</x:v>
      </x:c>
      <x:c r="Q50" s="27" t="str">
        <x:v>BBB</x:v>
      </x:c>
      <x:c r="R50" s="27" t="n">
        <x:v>1</x:v>
      </x:c>
      <x:c r="S50" s="27" t="n">
        <x:v>645506.9189429759</x:v>
      </x:c>
      <x:c r="T50" s="27" t="n">
        <x:v>645506.9189429759</x:v>
      </x:c>
      <x:c r="U50" s="27" t="n">
        <x:v>645506.9189429759</x:v>
      </x:c>
      <x:c r="V50" s="45" t="b">
        <x:v>0</x:v>
      </x:c>
      <x:c r="W50" s="27" t="n">
        <x:v>645506.9189429759</x:v>
      </x:c>
    </x:row>
    <x:row r="51">
      <x:c r="A51" s="27" t="str">
        <x:v>IND_CORPORATE_002</x:v>
      </x:c>
      <x:c r="B51" s="27" t="n">
        <x:v>3074</x:v>
      </x:c>
      <x:c r="C51" s="27" t="n">
        <x:v>-7862448</x:v>
      </x:c>
      <x:c r="D51" s="27" t="str">
        <x:v>M</x:v>
      </x:c>
      <x:c r="E51" s="27" t="n">
        <x:v>415400000</x:v>
      </x:c>
      <x:c r="F51" s="27" t="n">
        <x:v>20770000</x:v>
      </x:c>
      <x:c r="G51" s="27" t="n">
        <x:v>4154000</x:v>
      </x:c>
      <x:c r="H51" s="27" t="n">
        <x:v>0</x:v>
      </x:c>
      <x:c r="I51" s="27" t="str">
        <x:v>CSA-IND-3074</x:v>
      </x:c>
      <x:c r="J51" s="27" t="n">
        <x:v>24924000</x:v>
      </x:c>
      <x:c r="K51" s="27" t="str">
        <x:v>max(V-C, TH+MTA-NICA, 0)</x:v>
      </x:c>
      <x:c r="L51" s="27" t="n">
        <x:v>26540884.6099034</x:v>
      </x:c>
      <x:c r="M51" s="27" t="n">
        <x:v>0.050215026802693824</x:v>
      </x:c>
      <x:c r="N51" s="27" t="n">
        <x:v>1332751.2320535032</x:v>
      </x:c>
      <x:c r="O51" s="27" t="n">
        <x:v>36759451.7248749</x:v>
      </x:c>
      <x:c r="P51" s="27" t="str">
        <x:v>Corporate</x:v>
      </x:c>
      <x:c r="Q51" s="27" t="str">
        <x:v>BB</x:v>
      </x:c>
      <x:c r="R51" s="27" t="n">
        <x:v>1</x:v>
      </x:c>
      <x:c r="S51" s="27" t="n">
        <x:v>36759451.7248749</x:v>
      </x:c>
      <x:c r="T51" s="27" t="n">
        <x:v>117733744.7284918</x:v>
      </x:c>
      <x:c r="U51" s="27" t="n">
        <x:v>36759451.7248749</x:v>
      </x:c>
      <x:c r="V51" s="45" t="b">
        <x:v>0</x:v>
      </x:c>
      <x:c r="W51" s="27" t="n">
        <x:v>36759451.7248749</x:v>
      </x:c>
    </x:row>
    <x:row r="52">
      <x:c r="A52" s="27" t="str">
        <x:v>IND_CORPORATE_002</x:v>
      </x:c>
      <x:c r="B52" s="27" t="n">
        <x:v>3126</x:v>
      </x:c>
      <x:c r="C52" s="27" t="n">
        <x:v>-823395</x:v>
      </x:c>
      <x:c r="D52" s="27" t="str">
        <x:v>M</x:v>
      </x:c>
      <x:c r="E52" s="27" t="n">
        <x:v>2680000</x:v>
      </x:c>
      <x:c r="F52" s="27" t="n">
        <x:v>134000</x:v>
      </x:c>
      <x:c r="G52" s="27" t="n">
        <x:v>53600</x:v>
      </x:c>
      <x:c r="H52" s="27" t="n">
        <x:v>0</x:v>
      </x:c>
      <x:c r="I52" s="27" t="str">
        <x:v>CSA-IND-3126</x:v>
      </x:c>
      <x:c r="J52" s="27" t="n">
        <x:v>187600</x:v>
      </x:c>
      <x:c r="K52" s="27" t="str">
        <x:v>max(V-C, TH+MTA-NICA, 0)</x:v>
      </x:c>
      <x:c r="L52" s="27" t="n">
        <x:v>2052000.0000000002</x:v>
      </x:c>
      <x:c r="M52" s="27" t="n">
        <x:v>0.43678890817150134</x:v>
      </x:c>
      <x:c r="N52" s="27" t="n">
        <x:v>896290.8395679209</x:v>
      </x:c>
      <x:c r="O52" s="27" t="n">
        <x:v>1517447.1753950892</x:v>
      </x:c>
      <x:c r="P52" s="27" t="str">
        <x:v>Corporate</x:v>
      </x:c>
      <x:c r="Q52" s="27" t="str">
        <x:v>BB</x:v>
      </x:c>
      <x:c r="R52" s="27" t="n">
        <x:v>1</x:v>
      </x:c>
      <x:c r="S52" s="27" t="n">
        <x:v>1517447.1753950892</x:v>
      </x:c>
      <x:c r="T52" s="27" t="n">
        <x:v>9017502.82561762</x:v>
      </x:c>
      <x:c r="U52" s="27" t="n">
        <x:v>1517447.1753950892</x:v>
      </x:c>
      <x:c r="V52" s="45" t="b">
        <x:v>0</x:v>
      </x:c>
      <x:c r="W52" s="27" t="n">
        <x:v>1517447.1753950892</x:v>
      </x:c>
    </x:row>
    <x:row r="53">
      <x:c r="A53" s="27" t="str">
        <x:v>IND_CORPORATE_002</x:v>
      </x:c>
      <x:c r="B53" s="27" t="n">
        <x:v>3130</x:v>
      </x:c>
      <x:c r="C53" s="27" t="n">
        <x:v>1354143</x:v>
      </x:c>
      <x:c r="D53" s="27" t="str">
        <x:v>U</x:v>
      </x:c>
      <x:c r="E53" s="27" t="n">
        <x:v>0</x:v>
      </x:c>
      <x:c r="F53" s="27" t="n">
        <x:v>0</x:v>
      </x:c>
      <x:c r="G53" s="27" t="n">
        <x:v>0</x:v>
      </x:c>
      <x:c r="H53" s="27" t="n">
        <x:v>0</x:v>
      </x:c>
      <x:c r="I53" s="27"/>
      <x:c r="J53" s="27" t="n">
        <x:v>1354143</x:v>
      </x:c>
      <x:c r="K53" s="27" t="str">
        <x:v>max(V-C, 0)</x:v>
      </x:c>
      <x:c r="L53" s="27" t="n">
        <x:v>2184539.3680102364</x:v>
      </x:c>
      <x:c r="M53" s="27" t="n">
        <x:v>1</x:v>
      </x:c>
      <x:c r="N53" s="27" t="n">
        <x:v>2184539.3680102364</x:v>
      </x:c>
      <x:c r="O53" s="27" t="n">
        <x:v>4954155.31521433</x:v>
      </x:c>
      <x:c r="P53" s="27" t="str">
        <x:v>Corporate</x:v>
      </x:c>
      <x:c r="Q53" s="27" t="str">
        <x:v>BB</x:v>
      </x:c>
      <x:c r="R53" s="27" t="n">
        <x:v>1</x:v>
      </x:c>
      <x:c r="S53" s="27" t="n">
        <x:v>4954155.31521433</x:v>
      </x:c>
      <x:c r="T53" s="27" t="n">
        <x:v>4954155.31521433</x:v>
      </x:c>
      <x:c r="U53" s="27" t="n">
        <x:v>4954155.31521433</x:v>
      </x:c>
      <x:c r="V53" s="45" t="b">
        <x:v>0</x:v>
      </x:c>
      <x:c r="W53" s="27" t="n">
        <x:v>4954155.31521433</x:v>
      </x:c>
    </x:row>
    <x:row r="54">
      <x:c r="A54" s="27" t="str">
        <x:v>IND_CORPORATE_002</x:v>
      </x:c>
      <x:c r="B54" s="27" t="n">
        <x:v>3187</x:v>
      </x:c>
      <x:c r="C54" s="27" t="n">
        <x:v>-207683</x:v>
      </x:c>
      <x:c r="D54" s="27" t="str">
        <x:v>U</x:v>
      </x:c>
      <x:c r="E54" s="27" t="n">
        <x:v>0</x:v>
      </x:c>
      <x:c r="F54" s="27" t="n">
        <x:v>0</x:v>
      </x:c>
      <x:c r="G54" s="27" t="n">
        <x:v>0</x:v>
      </x:c>
      <x:c r="H54" s="27" t="n">
        <x:v>0</x:v>
      </x:c>
      <x:c r="I54" s="27"/>
      <x:c r="J54" s="27" t="n">
        <x:v>0</x:v>
      </x:c>
      <x:c r="K54" s="27" t="str">
        <x:v>max(V-C, 0)</x:v>
      </x:c>
      <x:c r="L54" s="27" t="n">
        <x:v>1299603.5201710137</x:v>
      </x:c>
      <x:c r="M54" s="27" t="n">
        <x:v>0.9233655063794518</x:v>
      </x:c>
      <x:c r="N54" s="27" t="n">
        <x:v>1200009.062495226</x:v>
      </x:c>
      <x:c r="O54" s="27" t="n">
        <x:v>1680012.6874933164</x:v>
      </x:c>
      <x:c r="P54" s="27" t="str">
        <x:v>Corporate</x:v>
      </x:c>
      <x:c r="Q54" s="27" t="str">
        <x:v>BB</x:v>
      </x:c>
      <x:c r="R54" s="27" t="n">
        <x:v>1</x:v>
      </x:c>
      <x:c r="S54" s="27" t="n">
        <x:v>1680012.6874933164</x:v>
      </x:c>
      <x:c r="T54" s="27" t="n">
        <x:v>1680012.6874933164</x:v>
      </x:c>
      <x:c r="U54" s="27" t="n">
        <x:v>1680012.6874933164</x:v>
      </x:c>
      <x:c r="V54" s="45" t="b">
        <x:v>0</x:v>
      </x:c>
      <x:c r="W54" s="27" t="n">
        <x:v>1680012.6874933164</x:v>
      </x:c>
    </x:row>
    <x:row r="55">
      <x:c r="A55" s="27" t="str">
        <x:v>IND_CORPORATE_002</x:v>
      </x:c>
      <x:c r="B55" s="27" t="n">
        <x:v>3273</x:v>
      </x:c>
      <x:c r="C55" s="27" t="n">
        <x:v>386130</x:v>
      </x:c>
      <x:c r="D55" s="27" t="str">
        <x:v>U</x:v>
      </x:c>
      <x:c r="E55" s="27" t="n">
        <x:v>0</x:v>
      </x:c>
      <x:c r="F55" s="27" t="n">
        <x:v>0</x:v>
      </x:c>
      <x:c r="G55" s="27" t="n">
        <x:v>0</x:v>
      </x:c>
      <x:c r="H55" s="27" t="n">
        <x:v>0</x:v>
      </x:c>
      <x:c r="I55" s="27"/>
      <x:c r="J55" s="27" t="n">
        <x:v>386130</x:v>
      </x:c>
      <x:c r="K55" s="27" t="str">
        <x:v>max(V-C, 0)</x:v>
      </x:c>
      <x:c r="L55" s="27" t="n">
        <x:v>11505948.264206408</x:v>
      </x:c>
      <x:c r="M55" s="27" t="n">
        <x:v>1</x:v>
      </x:c>
      <x:c r="N55" s="27" t="n">
        <x:v>11505948.264206408</x:v>
      </x:c>
      <x:c r="O55" s="27" t="n">
        <x:v>16648909.56988897</x:v>
      </x:c>
      <x:c r="P55" s="27" t="str">
        <x:v>Corporate</x:v>
      </x:c>
      <x:c r="Q55" s="27" t="str">
        <x:v>BB</x:v>
      </x:c>
      <x:c r="R55" s="27" t="n">
        <x:v>1</x:v>
      </x:c>
      <x:c r="S55" s="27" t="n">
        <x:v>16648909.56988897</x:v>
      </x:c>
      <x:c r="T55" s="27" t="n">
        <x:v>16648909.56988897</x:v>
      </x:c>
      <x:c r="U55" s="27" t="n">
        <x:v>16648909.56988897</x:v>
      </x:c>
      <x:c r="V55" s="45" t="b">
        <x:v>0</x:v>
      </x:c>
      <x:c r="W55" s="27" t="n">
        <x:v>16648909.56988897</x:v>
      </x:c>
    </x:row>
    <x:row r="56">
      <x:c r="A56" s="27" t="str">
        <x:v>IND_CORPORATE_002</x:v>
      </x:c>
      <x:c r="B56" s="27" t="n">
        <x:v>3331</x:v>
      </x:c>
      <x:c r="C56" s="27" t="n">
        <x:v>111321</x:v>
      </x:c>
      <x:c r="D56" s="27" t="str">
        <x:v>M</x:v>
      </x:c>
      <x:c r="E56" s="27" t="n">
        <x:v>155000</x:v>
      </x:c>
      <x:c r="F56" s="27" t="n">
        <x:v>7750</x:v>
      </x:c>
      <x:c r="G56" s="27" t="n">
        <x:v>3100</x:v>
      </x:c>
      <x:c r="H56" s="27" t="n">
        <x:v>0</x:v>
      </x:c>
      <x:c r="I56" s="27" t="str">
        <x:v>CSA-IND-3331</x:v>
      </x:c>
      <x:c r="J56" s="27" t="n">
        <x:v>10850</x:v>
      </x:c>
      <x:c r="K56" s="27" t="str">
        <x:v>max(V-C, TH+MTA-NICA, 0)</x:v>
      </x:c>
      <x:c r="L56" s="27" t="n">
        <x:v>124177.7084060515</x:v>
      </x:c>
      <x:c r="M56" s="27" t="n">
        <x:v>0.839446891341521</x:v>
      </x:c>
      <x:c r="N56" s="27" t="n">
        <x:v>104240.59129537379</x:v>
      </x:c>
      <x:c r="O56" s="27" t="n">
        <x:v>161126.8278135233</x:v>
      </x:c>
      <x:c r="P56" s="27" t="str">
        <x:v>Corporate</x:v>
      </x:c>
      <x:c r="Q56" s="27" t="str">
        <x:v>BB</x:v>
      </x:c>
      <x:c r="R56" s="27" t="n">
        <x:v>1</x:v>
      </x:c>
      <x:c r="S56" s="27" t="n">
        <x:v>161126.8278135233</x:v>
      </x:c>
      <x:c r="T56" s="27" t="n">
        <x:v>735345.3725615734</x:v>
      </x:c>
      <x:c r="U56" s="27" t="n">
        <x:v>161126.8278135233</x:v>
      </x:c>
      <x:c r="V56" s="45" t="b">
        <x:v>0</x:v>
      </x:c>
      <x:c r="W56" s="27" t="n">
        <x:v>161126.8278135233</x:v>
      </x:c>
    </x:row>
    <x:row r="57">
      <x:c r="A57" s="27" t="str">
        <x:v>IND_CORPORATE_002</x:v>
      </x:c>
      <x:c r="B57" s="27" t="n">
        <x:v>3346</x:v>
      </x:c>
      <x:c r="C57" s="27" t="n">
        <x:v>-20294</x:v>
      </x:c>
      <x:c r="D57" s="27" t="str">
        <x:v>M</x:v>
      </x:c>
      <x:c r="E57" s="27" t="n">
        <x:v>67755000</x:v>
      </x:c>
      <x:c r="F57" s="27" t="n">
        <x:v>4517000</x:v>
      </x:c>
      <x:c r="G57" s="27" t="n">
        <x:v>451700</x:v>
      </x:c>
      <x:c r="H57" s="27" t="n">
        <x:v>0</x:v>
      </x:c>
      <x:c r="I57" s="27" t="str">
        <x:v>CSA-IND-3346</x:v>
      </x:c>
      <x:c r="J57" s="27" t="n">
        <x:v>4968700</x:v>
      </x:c>
      <x:c r="K57" s="27" t="str">
        <x:v>max(V-C, TH+MTA-NICA, 0)</x:v>
      </x:c>
      <x:c r="L57" s="27" t="n">
        <x:v>3871946.526148793</x:v>
      </x:c>
      <x:c r="M57" s="27" t="n">
        <x:v>0.05009477302509057</x:v>
      </x:c>
      <x:c r="N57" s="27" t="n">
        <x:v>193964.2823927117</x:v>
      </x:c>
      <x:c r="O57" s="27" t="n">
        <x:v>7227729.995349796</x:v>
      </x:c>
      <x:c r="P57" s="27" t="str">
        <x:v>Corporate</x:v>
      </x:c>
      <x:c r="Q57" s="27" t="str">
        <x:v>BB</x:v>
      </x:c>
      <x:c r="R57" s="27" t="n">
        <x:v>1</x:v>
      </x:c>
      <x:c r="S57" s="27" t="n">
        <x:v>7227729.995349796</x:v>
      </x:c>
      <x:c r="T57" s="27" t="n">
        <x:v>17275800.245122824</x:v>
      </x:c>
      <x:c r="U57" s="27" t="n">
        <x:v>7227729.995349796</x:v>
      </x:c>
      <x:c r="V57" s="45" t="b">
        <x:v>0</x:v>
      </x:c>
      <x:c r="W57" s="27" t="n">
        <x:v>7227729.995349796</x:v>
      </x:c>
    </x:row>
    <x:row r="58">
      <x:c r="A58" s="27" t="str">
        <x:v>IND_CORPORATE_002</x:v>
      </x:c>
      <x:c r="B58" s="27" t="n">
        <x:v>3389</x:v>
      </x:c>
      <x:c r="C58" s="27" t="n">
        <x:v>16800</x:v>
      </x:c>
      <x:c r="D58" s="27" t="str">
        <x:v>M</x:v>
      </x:c>
      <x:c r="E58" s="27" t="n">
        <x:v>18750000</x:v>
      </x:c>
      <x:c r="F58" s="27" t="n">
        <x:v>937500</x:v>
      </x:c>
      <x:c r="G58" s="27" t="n">
        <x:v>375000</x:v>
      </x:c>
      <x:c r="H58" s="27" t="n">
        <x:v>7500000</x:v>
      </x:c>
      <x:c r="I58" s="27" t="str">
        <x:v>CSA-IND-3389</x:v>
      </x:c>
      <x:c r="J58" s="27" t="n">
        <x:v>0</x:v>
      </x:c>
      <x:c r="K58" s="27" t="str">
        <x:v>max(V-C, TH+MTA-NICA, 0)</x:v>
      </x:c>
      <x:c r="L58" s="27" t="n">
        <x:v>722821.3848213615</x:v>
      </x:c>
      <x:c r="M58" s="27" t="n">
        <x:v>0.05000113179943116</x:v>
      </x:c>
      <x:c r="N58" s="27" t="n">
        <x:v>36141.887329900244</x:v>
      </x:c>
      <x:c r="O58" s="27" t="n">
        <x:v>50598.64226186034</x:v>
      </x:c>
      <x:c r="P58" s="27" t="str">
        <x:v>Corporate</x:v>
      </x:c>
      <x:c r="Q58" s="27" t="str">
        <x:v>BB</x:v>
      </x:c>
      <x:c r="R58" s="27" t="n">
        <x:v>1</x:v>
      </x:c>
      <x:c r="S58" s="27" t="n">
        <x:v>50598.64226186034</x:v>
      </x:c>
      <x:c r="T58" s="27" t="n">
        <x:v>793605.2763223018</x:v>
      </x:c>
      <x:c r="U58" s="27" t="n">
        <x:v>50598.64226186034</x:v>
      </x:c>
      <x:c r="V58" s="45" t="b">
        <x:v>0</x:v>
      </x:c>
      <x:c r="W58" s="27" t="n">
        <x:v>50598.64226186034</x:v>
      </x:c>
    </x:row>
    <x:row r="59">
      <x:c r="A59" s="27" t="str">
        <x:v>IND_HEDGE_FUND_001</x:v>
      </x:c>
      <x:c r="B59" s="27" t="n">
        <x:v>3012</x:v>
      </x:c>
      <x:c r="C59" s="27" t="n">
        <x:v>512742</x:v>
      </x:c>
      <x:c r="D59" s="27" t="str">
        <x:v>U</x:v>
      </x:c>
      <x:c r="E59" s="27" t="n">
        <x:v>0</x:v>
      </x:c>
      <x:c r="F59" s="27" t="n">
        <x:v>0</x:v>
      </x:c>
      <x:c r="G59" s="27" t="n">
        <x:v>0</x:v>
      </x:c>
      <x:c r="H59" s="27" t="n">
        <x:v>0</x:v>
      </x:c>
      <x:c r="I59" s="27"/>
      <x:c r="J59" s="27" t="n">
        <x:v>512742</x:v>
      </x:c>
      <x:c r="K59" s="27" t="str">
        <x:v>max(V-C, 0)</x:v>
      </x:c>
      <x:c r="L59" s="27" t="n">
        <x:v>36236798.109723434</x:v>
      </x:c>
      <x:c r="M59" s="27" t="n">
        <x:v>1</x:v>
      </x:c>
      <x:c r="N59" s="27" t="n">
        <x:v>36236798.109723434</x:v>
      </x:c>
      <x:c r="O59" s="27" t="n">
        <x:v>51449356.15361281</x:v>
      </x:c>
      <x:c r="P59" s="27" t="str">
        <x:v>Fund</x:v>
      </x:c>
      <x:c r="Q59" s="27" t="str">
        <x:v>BB</x:v>
      </x:c>
      <x:c r="R59" s="27" t="n">
        <x:v>1</x:v>
      </x:c>
      <x:c r="S59" s="27" t="n">
        <x:v>51449356.15361281</x:v>
      </x:c>
      <x:c r="T59" s="27" t="n">
        <x:v>51449356.15361281</x:v>
      </x:c>
      <x:c r="U59" s="27" t="n">
        <x:v>51449356.15361281</x:v>
      </x:c>
      <x:c r="V59" s="45" t="b">
        <x:v>0</x:v>
      </x:c>
      <x:c r="W59" s="27" t="n">
        <x:v>51449356.15361281</x:v>
      </x:c>
    </x:row>
    <x:row r="60">
      <x:c r="A60" s="27" t="str">
        <x:v>IND_HEDGE_FUND_001</x:v>
      </x:c>
      <x:c r="B60" s="27" t="n">
        <x:v>3040</x:v>
      </x:c>
      <x:c r="C60" s="27" t="n">
        <x:v>1051266</x:v>
      </x:c>
      <x:c r="D60" s="27" t="str">
        <x:v>M</x:v>
      </x:c>
      <x:c r="E60" s="27" t="n">
        <x:v>4708000</x:v>
      </x:c>
      <x:c r="F60" s="27" t="n">
        <x:v>588500</x:v>
      </x:c>
      <x:c r="G60" s="27" t="n">
        <x:v>235400</x:v>
      </x:c>
      <x:c r="H60" s="27" t="n">
        <x:v>4708000</x:v>
      </x:c>
      <x:c r="I60" s="27" t="str">
        <x:v>CSA-IND-3040</x:v>
      </x:c>
      <x:c r="J60" s="27" t="n">
        <x:v>0</x:v>
      </x:c>
      <x:c r="K60" s="27" t="str">
        <x:v>max(V-C, TH+MTA-NICA, 0)</x:v>
      </x:c>
      <x:c r="L60" s="27" t="n">
        <x:v>3253266.619173352</x:v>
      </x:c>
      <x:c r="M60" s="27" t="n">
        <x:v>0.5757747846817793</x:v>
      </x:c>
      <x:c r="N60" s="27" t="n">
        <x:v>1873148.8871669571</x:v>
      </x:c>
      <x:c r="O60" s="27" t="n">
        <x:v>2622408.4420337398</x:v>
      </x:c>
      <x:c r="P60" s="27" t="str">
        <x:v>Fund</x:v>
      </x:c>
      <x:c r="Q60" s="27" t="str">
        <x:v>BB</x:v>
      </x:c>
      <x:c r="R60" s="27" t="n">
        <x:v>1</x:v>
      </x:c>
      <x:c r="S60" s="27" t="n">
        <x:v>2622408.4420337398</x:v>
      </x:c>
      <x:c r="T60" s="27" t="n">
        <x:v>10801948.333212657</x:v>
      </x:c>
      <x:c r="U60" s="27" t="n">
        <x:v>2622408.4420337398</x:v>
      </x:c>
      <x:c r="V60" s="45" t="b">
        <x:v>0</x:v>
      </x:c>
      <x:c r="W60" s="27" t="n">
        <x:v>2622408.4420337398</x:v>
      </x:c>
    </x:row>
    <x:row r="61">
      <x:c r="A61" s="27" t="str">
        <x:v>IND_HEDGE_FUND_001</x:v>
      </x:c>
      <x:c r="B61" s="27" t="n">
        <x:v>3109</x:v>
      </x:c>
      <x:c r="C61" s="27" t="n">
        <x:v>4788855</x:v>
      </x:c>
      <x:c r="D61" s="27" t="str">
        <x:v>M</x:v>
      </x:c>
      <x:c r="E61" s="27" t="n">
        <x:v>23910000</x:v>
      </x:c>
      <x:c r="F61" s="27" t="n">
        <x:v>398500</x:v>
      </x:c>
      <x:c r="G61" s="27" t="n">
        <x:v>159400</x:v>
      </x:c>
      <x:c r="H61" s="27" t="n">
        <x:v>3188000</x:v>
      </x:c>
      <x:c r="I61" s="27" t="str">
        <x:v>CSA-IND-3109</x:v>
      </x:c>
      <x:c r="J61" s="27" t="n">
        <x:v>0</x:v>
      </x:c>
      <x:c r="K61" s="27" t="str">
        <x:v>max(V-C, TH+MTA-NICA, 0)</x:v>
      </x:c>
      <x:c r="L61" s="27" t="n">
        <x:v>3569951.5764041524</x:v>
      </x:c>
      <x:c r="M61" s="27" t="n">
        <x:v>0.10668123523648748</x:v>
      </x:c>
      <x:c r="N61" s="27" t="n">
        <x:v>380846.8439052407</x:v>
      </x:c>
      <x:c r="O61" s="27" t="n">
        <x:v>533185.581467337</x:v>
      </x:c>
      <x:c r="P61" s="27" t="str">
        <x:v>Fund</x:v>
      </x:c>
      <x:c r="Q61" s="27" t="str">
        <x:v>BB</x:v>
      </x:c>
      <x:c r="R61" s="27" t="n">
        <x:v>1</x:v>
      </x:c>
      <x:c r="S61" s="27" t="n">
        <x:v>533185.581467337</x:v>
      </x:c>
      <x:c r="T61" s="27" t="n">
        <x:v>18900971.023219373</x:v>
      </x:c>
      <x:c r="U61" s="27" t="n">
        <x:v>533185.581467337</x:v>
      </x:c>
      <x:c r="V61" s="45" t="b">
        <x:v>0</x:v>
      </x:c>
      <x:c r="W61" s="27" t="n">
        <x:v>533185.581467337</x:v>
      </x:c>
    </x:row>
    <x:row r="62">
      <x:c r="A62" s="27" t="str">
        <x:v>IND_HEDGE_FUND_001</x:v>
      </x:c>
      <x:c r="B62" s="27" t="n">
        <x:v>3205</x:v>
      </x:c>
      <x:c r="C62" s="27" t="n">
        <x:v>-176435</x:v>
      </x:c>
      <x:c r="D62" s="27" t="str">
        <x:v>M</x:v>
      </x:c>
      <x:c r="E62" s="27" t="n">
        <x:v>6690000</x:v>
      </x:c>
      <x:c r="F62" s="27" t="n">
        <x:v>334500</x:v>
      </x:c>
      <x:c r="G62" s="27" t="n">
        <x:v>133800</x:v>
      </x:c>
      <x:c r="H62" s="27" t="n">
        <x:v>2676000</x:v>
      </x:c>
      <x:c r="I62" s="27" t="str">
        <x:v>CSA-IND-3205</x:v>
      </x:c>
      <x:c r="J62" s="27" t="n">
        <x:v>0</x:v>
      </x:c>
      <x:c r="K62" s="27" t="str">
        <x:v>max(V-C, TH+MTA-NICA, 0)</x:v>
      </x:c>
      <x:c r="L62" s="27" t="n">
        <x:v>581549.4754292858</x:v>
      </x:c>
      <x:c r="M62" s="27" t="n">
        <x:v>0.05190061733289126</x:v>
      </x:c>
      <x:c r="N62" s="27" t="n">
        <x:v>30182.776784399008</x:v>
      </x:c>
      <x:c r="O62" s="27" t="n">
        <x:v>42255.887498158605</x:v>
      </x:c>
      <x:c r="P62" s="27" t="str">
        <x:v>Fund</x:v>
      </x:c>
      <x:c r="Q62" s="27" t="str">
        <x:v>BB</x:v>
      </x:c>
      <x:c r="R62" s="27" t="n">
        <x:v>1</x:v>
      </x:c>
      <x:c r="S62" s="27" t="n">
        <x:v>42255.887498158605</x:v>
      </x:c>
      <x:c r="T62" s="27" t="n">
        <x:v>1277040.067692408</x:v>
      </x:c>
      <x:c r="U62" s="27" t="n">
        <x:v>42255.887498158605</x:v>
      </x:c>
      <x:c r="V62" s="45" t="b">
        <x:v>0</x:v>
      </x:c>
      <x:c r="W62" s="27" t="n">
        <x:v>42255.887498158605</x:v>
      </x:c>
    </x:row>
    <x:row r="63">
      <x:c r="A63" s="27" t="str">
        <x:v>IND_HEDGE_FUND_001</x:v>
      </x:c>
      <x:c r="B63" s="27" t="n">
        <x:v>3289</x:v>
      </x:c>
      <x:c r="C63" s="27" t="n">
        <x:v>-433176</x:v>
      </x:c>
      <x:c r="D63" s="27" t="str">
        <x:v>M</x:v>
      </x:c>
      <x:c r="E63" s="27" t="n">
        <x:v>12855000</x:v>
      </x:c>
      <x:c r="F63" s="27" t="n">
        <x:v>1285500</x:v>
      </x:c>
      <x:c r="G63" s="27" t="n">
        <x:v>257100</x:v>
      </x:c>
      <x:c r="H63" s="27" t="n">
        <x:v>0</x:v>
      </x:c>
      <x:c r="I63" s="27" t="str">
        <x:v>CSA-IND-3289</x:v>
      </x:c>
      <x:c r="J63" s="27" t="n">
        <x:v>1542600</x:v>
      </x:c>
      <x:c r="K63" s="27" t="str">
        <x:v>max(V-C, TH+MTA-NICA, 0)</x:v>
      </x:c>
      <x:c r="L63" s="27" t="n">
        <x:v>1149164.5220523034</x:v>
      </x:c>
      <x:c r="M63" s="27" t="n">
        <x:v>0.05216083654096744</x:v>
      </x:c>
      <x:c r="N63" s="27" t="n">
        <x:v>59941.38279344917</x:v>
      </x:c>
      <x:c r="O63" s="27" t="n">
        <x:v>2243557.9359108284</x:v>
      </x:c>
      <x:c r="P63" s="27" t="str">
        <x:v>Fund</x:v>
      </x:c>
      <x:c r="Q63" s="27" t="str">
        <x:v>BB</x:v>
      </x:c>
      <x:c r="R63" s="27" t="n">
        <x:v>1</x:v>
      </x:c>
      <x:c r="S63" s="27" t="n">
        <x:v>2243557.9359108284</x:v>
      </x:c>
      <x:c r="T63" s="27" t="n">
        <x:v>5030918.369169072</x:v>
      </x:c>
      <x:c r="U63" s="27" t="n">
        <x:v>2243557.9359108284</x:v>
      </x:c>
      <x:c r="V63" s="45" t="b">
        <x:v>0</x:v>
      </x:c>
      <x:c r="W63" s="27" t="n">
        <x:v>2243557.9359108284</x:v>
      </x:c>
    </x:row>
    <x:row r="64">
      <x:c r="A64" s="27" t="str">
        <x:v>IND_HEDGE_FUND_001</x:v>
      </x:c>
      <x:c r="B64" s="27" t="n">
        <x:v>3338</x:v>
      </x:c>
      <x:c r="C64" s="27" t="n">
        <x:v>40736</x:v>
      </x:c>
      <x:c r="D64" s="27" t="str">
        <x:v>U</x:v>
      </x:c>
      <x:c r="E64" s="27" t="n">
        <x:v>0</x:v>
      </x:c>
      <x:c r="F64" s="27" t="n">
        <x:v>0</x:v>
      </x:c>
      <x:c r="G64" s="27" t="n">
        <x:v>0</x:v>
      </x:c>
      <x:c r="H64" s="27" t="n">
        <x:v>0</x:v>
      </x:c>
      <x:c r="I64" s="27"/>
      <x:c r="J64" s="27" t="n">
        <x:v>40736</x:v>
      </x:c>
      <x:c r="K64" s="27" t="str">
        <x:v>max(V-C, 0)</x:v>
      </x:c>
      <x:c r="L64" s="27" t="n">
        <x:v>1069871.4367438597</x:v>
      </x:c>
      <x:c r="M64" s="27" t="n">
        <x:v>1</x:v>
      </x:c>
      <x:c r="N64" s="27" t="n">
        <x:v>1069871.4367438597</x:v>
      </x:c>
      <x:c r="O64" s="27" t="n">
        <x:v>1554850.4114414034</x:v>
      </x:c>
      <x:c r="P64" s="27" t="str">
        <x:v>Fund</x:v>
      </x:c>
      <x:c r="Q64" s="27" t="str">
        <x:v>BB</x:v>
      </x:c>
      <x:c r="R64" s="27" t="n">
        <x:v>1</x:v>
      </x:c>
      <x:c r="S64" s="27" t="n">
        <x:v>1554850.4114414034</x:v>
      </x:c>
      <x:c r="T64" s="27" t="n">
        <x:v>1554850.4114414034</x:v>
      </x:c>
      <x:c r="U64" s="27" t="n">
        <x:v>1554850.4114414034</x:v>
      </x:c>
      <x:c r="V64" s="45" t="b">
        <x:v>0</x:v>
      </x:c>
      <x:c r="W64" s="27" t="n">
        <x:v>1554850.4114414034</x:v>
      </x:c>
    </x:row>
    <x:row r="65">
      <x:c r="A65" s="27" t="str">
        <x:v>IND_HEDGE_FUND_001</x:v>
      </x:c>
      <x:c r="B65" s="27" t="n">
        <x:v>3345</x:v>
      </x:c>
      <x:c r="C65" s="27" t="n">
        <x:v>6725697</x:v>
      </x:c>
      <x:c r="D65" s="27" t="str">
        <x:v>M</x:v>
      </x:c>
      <x:c r="E65" s="27" t="n">
        <x:v>962985000</x:v>
      </x:c>
      <x:c r="F65" s="27" t="n">
        <x:v>32099500</x:v>
      </x:c>
      <x:c r="G65" s="27" t="n">
        <x:v>6419900</x:v>
      </x:c>
      <x:c r="H65" s="27" t="n">
        <x:v>128398000</x:v>
      </x:c>
      <x:c r="I65" s="27" t="str">
        <x:v>CSA-IND-3345</x:v>
      </x:c>
      <x:c r="J65" s="27" t="n">
        <x:v>0</x:v>
      </x:c>
      <x:c r="K65" s="27" t="str">
        <x:v>max(V-C, TH+MTA-NICA, 0)</x:v>
      </x:c>
      <x:c r="L65" s="27" t="n">
        <x:v>13343331.056255396</x:v>
      </x:c>
      <x:c r="M65" s="27" t="n">
        <x:v>0.050000000000000044</x:v>
      </x:c>
      <x:c r="N65" s="27" t="n">
        <x:v>667166.5528127704</x:v>
      </x:c>
      <x:c r="O65" s="27" t="n">
        <x:v>934033.1739378785</x:v>
      </x:c>
      <x:c r="P65" s="27" t="str">
        <x:v>Fund</x:v>
      </x:c>
      <x:c r="Q65" s="27" t="str">
        <x:v>BB</x:v>
      </x:c>
      <x:c r="R65" s="27" t="n">
        <x:v>1</x:v>
      </x:c>
      <x:c r="S65" s="27" t="n">
        <x:v>934033.1739378785</x:v>
      </x:c>
      <x:c r="T65" s="27" t="n">
        <x:v>18159424.59419109</x:v>
      </x:c>
      <x:c r="U65" s="27" t="n">
        <x:v>934033.1739378785</x:v>
      </x:c>
      <x:c r="V65" s="45" t="b">
        <x:v>0</x:v>
      </x:c>
      <x:c r="W65" s="27" t="n">
        <x:v>934033.1739378785</x:v>
      </x:c>
    </x:row>
    <x:row r="66">
      <x:c r="A66" s="27" t="str">
        <x:v>IND_INSURER_001</x:v>
      </x:c>
      <x:c r="B66" s="27" t="n">
        <x:v>3048</x:v>
      </x:c>
      <x:c r="C66" s="27" t="n">
        <x:v>4811061.6</x:v>
      </x:c>
      <x:c r="D66" s="27" t="str">
        <x:v>U</x:v>
      </x:c>
      <x:c r="E66" s="27" t="n">
        <x:v>0</x:v>
      </x:c>
      <x:c r="F66" s="27" t="n">
        <x:v>0</x:v>
      </x:c>
      <x:c r="G66" s="27" t="n">
        <x:v>0</x:v>
      </x:c>
      <x:c r="H66" s="27" t="n">
        <x:v>0</x:v>
      </x:c>
      <x:c r="I66" s="27"/>
      <x:c r="J66" s="27" t="n">
        <x:v>4811061.6</x:v>
      </x:c>
      <x:c r="K66" s="27" t="str">
        <x:v>max(V-C, 0)</x:v>
      </x:c>
      <x:c r="L66" s="27" t="n">
        <x:v>31784308.72313044</x:v>
      </x:c>
      <x:c r="M66" s="27" t="n">
        <x:v>1</x:v>
      </x:c>
      <x:c r="N66" s="27" t="n">
        <x:v>31784308.72313044</x:v>
      </x:c>
      <x:c r="O66" s="27" t="n">
        <x:v>51233518.45238261</x:v>
      </x:c>
      <x:c r="P66" s="27" t="str">
        <x:v>Insurance</x:v>
      </x:c>
      <x:c r="Q66" s="27" t="str">
        <x:v>A</x:v>
      </x:c>
      <x:c r="R66" s="27" t="n">
        <x:v>0.5</x:v>
      </x:c>
      <x:c r="S66" s="27" t="n">
        <x:v>25616759.226191305</x:v>
      </x:c>
      <x:c r="T66" s="27" t="n">
        <x:v>51233518.45238261</x:v>
      </x:c>
      <x:c r="U66" s="27" t="n">
        <x:v>51233518.45238261</x:v>
      </x:c>
      <x:c r="V66" s="45" t="b">
        <x:v>0</x:v>
      </x:c>
      <x:c r="W66" s="27" t="n">
        <x:v>25616759.226191305</x:v>
      </x:c>
    </x:row>
    <x:row r="67">
      <x:c r="A67" s="27" t="str">
        <x:v>IND_INSURER_001</x:v>
      </x:c>
      <x:c r="B67" s="27" t="n">
        <x:v>3094</x:v>
      </x:c>
      <x:c r="C67" s="27" t="n">
        <x:v>1496511</x:v>
      </x:c>
      <x:c r="D67" s="27" t="str">
        <x:v>U</x:v>
      </x:c>
      <x:c r="E67" s="27" t="n">
        <x:v>0</x:v>
      </x:c>
      <x:c r="F67" s="27" t="n">
        <x:v>0</x:v>
      </x:c>
      <x:c r="G67" s="27" t="n">
        <x:v>0</x:v>
      </x:c>
      <x:c r="H67" s="27" t="n">
        <x:v>0</x:v>
      </x:c>
      <x:c r="I67" s="27"/>
      <x:c r="J67" s="27" t="n">
        <x:v>1496511</x:v>
      </x:c>
      <x:c r="K67" s="27" t="str">
        <x:v>max(V-C, 0)</x:v>
      </x:c>
      <x:c r="L67" s="27" t="n">
        <x:v>4442673.687243264</x:v>
      </x:c>
      <x:c r="M67" s="27" t="n">
        <x:v>1</x:v>
      </x:c>
      <x:c r="N67" s="27" t="n">
        <x:v>4442673.687243264</x:v>
      </x:c>
      <x:c r="O67" s="27" t="n">
        <x:v>8314858.562140569</x:v>
      </x:c>
      <x:c r="P67" s="27" t="str">
        <x:v>Insurance</x:v>
      </x:c>
      <x:c r="Q67" s="27" t="str">
        <x:v>A</x:v>
      </x:c>
      <x:c r="R67" s="27" t="n">
        <x:v>0.5</x:v>
      </x:c>
      <x:c r="S67" s="27" t="n">
        <x:v>4157429.2810702845</x:v>
      </x:c>
      <x:c r="T67" s="27" t="n">
        <x:v>8314858.562140569</x:v>
      </x:c>
      <x:c r="U67" s="27" t="n">
        <x:v>8314858.562140569</x:v>
      </x:c>
      <x:c r="V67" s="45" t="b">
        <x:v>0</x:v>
      </x:c>
      <x:c r="W67" s="27" t="n">
        <x:v>4157429.2810702845</x:v>
      </x:c>
    </x:row>
    <x:row r="68">
      <x:c r="A68" s="27" t="str">
        <x:v>IND_INSURER_001</x:v>
      </x:c>
      <x:c r="B68" s="27" t="n">
        <x:v>3122</x:v>
      </x:c>
      <x:c r="C68" s="27" t="n">
        <x:v>3420</x:v>
      </x:c>
      <x:c r="D68" s="27" t="str">
        <x:v>M</x:v>
      </x:c>
      <x:c r="E68" s="27" t="n">
        <x:v>5500000</x:v>
      </x:c>
      <x:c r="F68" s="27" t="n">
        <x:v>687500</x:v>
      </x:c>
      <x:c r="G68" s="27" t="n">
        <x:v>275000</x:v>
      </x:c>
      <x:c r="H68" s="27" t="n">
        <x:v>2750000</x:v>
      </x:c>
      <x:c r="I68" s="27" t="str">
        <x:v>CSA-IND-3122</x:v>
      </x:c>
      <x:c r="J68" s="27" t="n">
        <x:v>0</x:v>
      </x:c>
      <x:c r="K68" s="27" t="str">
        <x:v>max(V-C, TH+MTA-NICA, 0)</x:v>
      </x:c>
      <x:c r="L68" s="27" t="n">
        <x:v>3300000.0000000005</x:v>
      </x:c>
      <x:c r="M68" s="27" t="n">
        <x:v>0.44536700364445464</x:v>
      </x:c>
      <x:c r="N68" s="27" t="n">
        <x:v>1469711.1120267005</x:v>
      </x:c>
      <x:c r="O68" s="27" t="n">
        <x:v>2057595.5568373806</x:v>
      </x:c>
      <x:c r="P68" s="27" t="str">
        <x:v>Insurance</x:v>
      </x:c>
      <x:c r="Q68" s="27" t="str">
        <x:v>A</x:v>
      </x:c>
      <x:c r="R68" s="27" t="n">
        <x:v>0.5</x:v>
      </x:c>
      <x:c r="S68" s="27" t="n">
        <x:v>1028797.7784186903</x:v>
      </x:c>
      <x:c r="T68" s="27" t="n">
        <x:v>13598367.170789238</x:v>
      </x:c>
      <x:c r="U68" s="27" t="n">
        <x:v>2057595.5568373806</x:v>
      </x:c>
      <x:c r="V68" s="45" t="b">
        <x:v>0</x:v>
      </x:c>
      <x:c r="W68" s="27" t="n">
        <x:v>1028797.7784186903</x:v>
      </x:c>
    </x:row>
    <x:row r="69">
      <x:c r="A69" s="27" t="str">
        <x:v>IND_INSURER_001</x:v>
      </x:c>
      <x:c r="B69" s="27" t="n">
        <x:v>3257</x:v>
      </x:c>
      <x:c r="C69" s="27" t="n">
        <x:v>1361796</x:v>
      </x:c>
      <x:c r="D69" s="27" t="str">
        <x:v>M</x:v>
      </x:c>
      <x:c r="E69" s="27" t="n">
        <x:v>7480000</x:v>
      </x:c>
      <x:c r="F69" s="27" t="n">
        <x:v>748000</x:v>
      </x:c>
      <x:c r="G69" s="27" t="n">
        <x:v>74800</x:v>
      </x:c>
      <x:c r="H69" s="27" t="n">
        <x:v>0</x:v>
      </x:c>
      <x:c r="I69" s="27" t="str">
        <x:v>CSA-IND-3257</x:v>
      </x:c>
      <x:c r="J69" s="27" t="n">
        <x:v>822800</x:v>
      </x:c>
      <x:c r="K69" s="27" t="str">
        <x:v>max(V-C, TH+MTA-NICA, 0)</x:v>
      </x:c>
      <x:c r="L69" s="27" t="n">
        <x:v>4039200.0000000005</x:v>
      </x:c>
      <x:c r="M69" s="27" t="n">
        <x:v>0.4780533516048635</x:v>
      </x:c>
      <x:c r="N69" s="27" t="n">
        <x:v>1930953.097802365</x:v>
      </x:c>
      <x:c r="O69" s="27" t="n">
        <x:v>3855254.336923311</x:v>
      </x:c>
      <x:c r="P69" s="27" t="str">
        <x:v>Insurance</x:v>
      </x:c>
      <x:c r="Q69" s="27" t="str">
        <x:v>A</x:v>
      </x:c>
      <x:c r="R69" s="27" t="n">
        <x:v>0.5</x:v>
      </x:c>
      <x:c r="S69" s="27" t="n">
        <x:v>1927627.1684616555</x:v>
      </x:c>
      <x:c r="T69" s="27" t="n">
        <x:v>19965119.63871503</x:v>
      </x:c>
      <x:c r="U69" s="27" t="n">
        <x:v>3855254.336923311</x:v>
      </x:c>
      <x:c r="V69" s="45" t="b">
        <x:v>0</x:v>
      </x:c>
      <x:c r="W69" s="27" t="n">
        <x:v>1927627.1684616555</x:v>
      </x:c>
    </x:row>
    <x:row r="70">
      <x:c r="A70" s="27" t="str">
        <x:v>IND_INSURER_001</x:v>
      </x:c>
      <x:c r="B70" s="27" t="n">
        <x:v>3297</x:v>
      </x:c>
      <x:c r="C70" s="27" t="n">
        <x:v>-9968220</x:v>
      </x:c>
      <x:c r="D70" s="27" t="str">
        <x:v>M</x:v>
      </x:c>
      <x:c r="E70" s="27" t="n">
        <x:v>58460000</x:v>
      </x:c>
      <x:c r="F70" s="27" t="n">
        <x:v>7307500</x:v>
      </x:c>
      <x:c r="G70" s="27" t="n">
        <x:v>2923000</x:v>
      </x:c>
      <x:c r="H70" s="27" t="n">
        <x:v>58460000</x:v>
      </x:c>
      <x:c r="I70" s="27" t="str">
        <x:v>CSA-IND-3297</x:v>
      </x:c>
      <x:c r="J70" s="27" t="n">
        <x:v>0</x:v>
      </x:c>
      <x:c r="K70" s="27" t="str">
        <x:v>max(V-C, TH+MTA-NICA, 0)</x:v>
      </x:c>
      <x:c r="L70" s="27" t="n">
        <x:v>18810268.177057065</x:v>
      </x:c>
      <x:c r="M70" s="27" t="n">
        <x:v>0.1900254329736219</x:v>
      </x:c>
      <x:c r="N70" s="27" t="n">
        <x:v>3574429.3546952102</x:v>
      </x:c>
      <x:c r="O70" s="27" t="n">
        <x:v>5004201.096573294</x:v>
      </x:c>
      <x:c r="P70" s="27" t="str">
        <x:v>Insurance</x:v>
      </x:c>
      <x:c r="Q70" s="27" t="str">
        <x:v>A</x:v>
      </x:c>
      <x:c r="R70" s="27" t="n">
        <x:v>0.5</x:v>
      </x:c>
      <x:c r="S70" s="27" t="n">
        <x:v>2502100.548286647</x:v>
      </x:c>
      <x:c r="T70" s="27" t="n">
        <x:v>56261320.01912906</x:v>
      </x:c>
      <x:c r="U70" s="27" t="n">
        <x:v>5004201.096573294</x:v>
      </x:c>
      <x:c r="V70" s="45" t="b">
        <x:v>0</x:v>
      </x:c>
      <x:c r="W70" s="27" t="n">
        <x:v>2502100.548286647</x:v>
      </x:c>
    </x:row>
    <x:row r="71">
      <x:c r="A71" s="27" t="str">
        <x:v>IND_INSURER_001</x:v>
      </x:c>
      <x:c r="B71" s="27" t="n">
        <x:v>3338</x:v>
      </x:c>
      <x:c r="C71" s="27" t="n">
        <x:v>207420</x:v>
      </x:c>
      <x:c r="D71" s="27" t="str">
        <x:v>U</x:v>
      </x:c>
      <x:c r="E71" s="27" t="n">
        <x:v>0</x:v>
      </x:c>
      <x:c r="F71" s="27" t="n">
        <x:v>0</x:v>
      </x:c>
      <x:c r="G71" s="27" t="n">
        <x:v>0</x:v>
      </x:c>
      <x:c r="H71" s="27" t="n">
        <x:v>0</x:v>
      </x:c>
      <x:c r="I71" s="27"/>
      <x:c r="J71" s="27" t="n">
        <x:v>207420</x:v>
      </x:c>
      <x:c r="K71" s="27" t="str">
        <x:v>max(V-C, 0)</x:v>
      </x:c>
      <x:c r="L71" s="27" t="n">
        <x:v>616257.7716211872</x:v>
      </x:c>
      <x:c r="M71" s="27" t="n">
        <x:v>1</x:v>
      </x:c>
      <x:c r="N71" s="27" t="n">
        <x:v>616257.7716211872</x:v>
      </x:c>
      <x:c r="O71" s="27" t="n">
        <x:v>1153148.880269662</x:v>
      </x:c>
      <x:c r="P71" s="27" t="str">
        <x:v>Insurance</x:v>
      </x:c>
      <x:c r="Q71" s="27" t="str">
        <x:v>A</x:v>
      </x:c>
      <x:c r="R71" s="27" t="n">
        <x:v>0.5</x:v>
      </x:c>
      <x:c r="S71" s="27" t="n">
        <x:v>576574.440134831</x:v>
      </x:c>
      <x:c r="T71" s="27" t="n">
        <x:v>1153148.880269662</x:v>
      </x:c>
      <x:c r="U71" s="27" t="n">
        <x:v>1153148.880269662</x:v>
      </x:c>
      <x:c r="V71" s="45" t="b">
        <x:v>0</x:v>
      </x:c>
      <x:c r="W71" s="27" t="n">
        <x:v>576574.440134831</x:v>
      </x:c>
    </x:row>
    <x:row r="72">
      <x:c r="A72" s="27" t="str">
        <x:v>IND_INSURER_001</x:v>
      </x:c>
      <x:c r="B72" s="27" t="n">
        <x:v>3390</x:v>
      </x:c>
      <x:c r="C72" s="27" t="n">
        <x:v>3237138</x:v>
      </x:c>
      <x:c r="D72" s="27" t="str">
        <x:v>U</x:v>
      </x:c>
      <x:c r="E72" s="27" t="n">
        <x:v>0</x:v>
      </x:c>
      <x:c r="F72" s="27" t="n">
        <x:v>0</x:v>
      </x:c>
      <x:c r="G72" s="27" t="n">
        <x:v>0</x:v>
      </x:c>
      <x:c r="H72" s="27" t="n">
        <x:v>0</x:v>
      </x:c>
      <x:c r="I72" s="27"/>
      <x:c r="J72" s="27" t="n">
        <x:v>3237138</x:v>
      </x:c>
      <x:c r="K72" s="27" t="str">
        <x:v>max(V-C, 0)</x:v>
      </x:c>
      <x:c r="L72" s="27" t="n">
        <x:v>10485563.042870814</x:v>
      </x:c>
      <x:c r="M72" s="27" t="n">
        <x:v>1</x:v>
      </x:c>
      <x:c r="N72" s="27" t="n">
        <x:v>10485563.042870814</x:v>
      </x:c>
      <x:c r="O72" s="27" t="n">
        <x:v>19211781.460019138</x:v>
      </x:c>
      <x:c r="P72" s="27" t="str">
        <x:v>Insurance</x:v>
      </x:c>
      <x:c r="Q72" s="27" t="str">
        <x:v>A</x:v>
      </x:c>
      <x:c r="R72" s="27" t="n">
        <x:v>0.5</x:v>
      </x:c>
      <x:c r="S72" s="27" t="n">
        <x:v>9605890.730009569</x:v>
      </x:c>
      <x:c r="T72" s="27" t="n">
        <x:v>19211781.460019138</x:v>
      </x:c>
      <x:c r="U72" s="27" t="n">
        <x:v>19211781.460019138</x:v>
      </x:c>
      <x:c r="V72" s="45" t="b">
        <x:v>0</x:v>
      </x:c>
      <x:c r="W72" s="27" t="n">
        <x:v>9605890.730009569</x:v>
      </x:c>
    </x:row>
    <x:row r="73">
      <x:c r="A73" s="27" t="str">
        <x:v>IND_PENSION_001</x:v>
      </x:c>
      <x:c r="B73" s="27" t="n">
        <x:v>3036</x:v>
      </x:c>
      <x:c r="C73" s="27" t="n">
        <x:v>-1505250</x:v>
      </x:c>
      <x:c r="D73" s="27" t="str">
        <x:v>U</x:v>
      </x:c>
      <x:c r="E73" s="27" t="n">
        <x:v>0</x:v>
      </x:c>
      <x:c r="F73" s="27" t="n">
        <x:v>0</x:v>
      </x:c>
      <x:c r="G73" s="27" t="n">
        <x:v>0</x:v>
      </x:c>
      <x:c r="H73" s="27" t="n">
        <x:v>0</x:v>
      </x:c>
      <x:c r="I73" s="27"/>
      <x:c r="J73" s="27" t="n">
        <x:v>0</x:v>
      </x:c>
      <x:c r="K73" s="27" t="str">
        <x:v>max(V-C, 0)</x:v>
      </x:c>
      <x:c r="L73" s="27" t="n">
        <x:v>1590701.8220125777</x:v>
      </x:c>
      <x:c r="M73" s="27" t="n">
        <x:v>0.6273332490021419</x:v>
      </x:c>
      <x:c r="N73" s="27" t="n">
        <x:v>997900.1421967773</x:v>
      </x:c>
      <x:c r="O73" s="27" t="n">
        <x:v>1397060.1990754881</x:v>
      </x:c>
      <x:c r="P73" s="27" t="str">
        <x:v>Pension</x:v>
      </x:c>
      <x:c r="Q73" s="27" t="str">
        <x:v>A</x:v>
      </x:c>
      <x:c r="R73" s="27" t="n">
        <x:v>0.5</x:v>
      </x:c>
      <x:c r="S73" s="27" t="n">
        <x:v>698530.0995377441</x:v>
      </x:c>
      <x:c r="T73" s="27" t="n">
        <x:v>1397060.1990754881</x:v>
      </x:c>
      <x:c r="U73" s="27" t="n">
        <x:v>1397060.1990754881</x:v>
      </x:c>
      <x:c r="V73" s="45" t="b">
        <x:v>0</x:v>
      </x:c>
      <x:c r="W73" s="27" t="n">
        <x:v>698530.0995377441</x:v>
      </x:c>
    </x:row>
    <x:row r="74">
      <x:c r="A74" s="27" t="str">
        <x:v>IND_PENSION_001</x:v>
      </x:c>
      <x:c r="B74" s="27" t="n">
        <x:v>3060</x:v>
      </x:c>
      <x:c r="C74" s="27" t="n">
        <x:v>-902895</x:v>
      </x:c>
      <x:c r="D74" s="27" t="str">
        <x:v>U</x:v>
      </x:c>
      <x:c r="E74" s="27" t="n">
        <x:v>0</x:v>
      </x:c>
      <x:c r="F74" s="27" t="n">
        <x:v>0</x:v>
      </x:c>
      <x:c r="G74" s="27" t="n">
        <x:v>0</x:v>
      </x:c>
      <x:c r="H74" s="27" t="n">
        <x:v>0</x:v>
      </x:c>
      <x:c r="I74" s="27"/>
      <x:c r="J74" s="27" t="n">
        <x:v>0</x:v>
      </x:c>
      <x:c r="K74" s="27" t="str">
        <x:v>max(V-C, 0)</x:v>
      </x:c>
      <x:c r="L74" s="27" t="n">
        <x:v>19759924.511900373</x:v>
      </x:c>
      <x:c r="M74" s="27" t="n">
        <x:v>0.9774259102825933</x:v>
      </x:c>
      <x:c r="N74" s="27" t="n">
        <x:v>19313862.20315955</x:v>
      </x:c>
      <x:c r="O74" s="27" t="n">
        <x:v>27039407.084423367</x:v>
      </x:c>
      <x:c r="P74" s="27" t="str">
        <x:v>Pension</x:v>
      </x:c>
      <x:c r="Q74" s="27" t="str">
        <x:v>A</x:v>
      </x:c>
      <x:c r="R74" s="27" t="n">
        <x:v>0.5</x:v>
      </x:c>
      <x:c r="S74" s="27" t="n">
        <x:v>13519703.542211683</x:v>
      </x:c>
      <x:c r="T74" s="27" t="n">
        <x:v>27039407.084423367</x:v>
      </x:c>
      <x:c r="U74" s="27" t="n">
        <x:v>27039407.084423367</x:v>
      </x:c>
      <x:c r="V74" s="45" t="b">
        <x:v>0</x:v>
      </x:c>
      <x:c r="W74" s="27" t="n">
        <x:v>13519703.542211683</x:v>
      </x:c>
    </x:row>
    <x:row r="75">
      <x:c r="A75" s="27" t="str">
        <x:v>IND_PENSION_001</x:v>
      </x:c>
      <x:c r="B75" s="27" t="n">
        <x:v>3103</x:v>
      </x:c>
      <x:c r="C75" s="27" t="n">
        <x:v>-1198743.6</x:v>
      </x:c>
      <x:c r="D75" s="27" t="str">
        <x:v>M</x:v>
      </x:c>
      <x:c r="E75" s="27" t="n">
        <x:v>88568000</x:v>
      </x:c>
      <x:c r="F75" s="27" t="n">
        <x:v>44284000</x:v>
      </x:c>
      <x:c r="G75" s="27" t="n">
        <x:v>4428400</x:v>
      </x:c>
      <x:c r="H75" s="27" t="n">
        <x:v>44284000</x:v>
      </x:c>
      <x:c r="I75" s="27" t="str">
        <x:v>CSA-IND-3103</x:v>
      </x:c>
      <x:c r="J75" s="27" t="n">
        <x:v>4428400</x:v>
      </x:c>
      <x:c r="K75" s="27" t="str">
        <x:v>max(V-C, TH+MTA-NICA, 0)</x:v>
      </x:c>
      <x:c r="L75" s="27" t="n">
        <x:v>8742348.34664068</x:v>
      </x:c>
      <x:c r="M75" s="27" t="n">
        <x:v>0.05427264361214063</x:v>
      </x:c>
      <x:c r="N75" s="27" t="n">
        <x:v>474470.35615041654</x:v>
      </x:c>
      <x:c r="O75" s="27" t="n">
        <x:v>6864018.498610583</x:v>
      </x:c>
      <x:c r="P75" s="27" t="str">
        <x:v>Pension</x:v>
      </x:c>
      <x:c r="Q75" s="27" t="str">
        <x:v>A</x:v>
      </x:c>
      <x:c r="R75" s="27" t="n">
        <x:v>0.5</x:v>
      </x:c>
      <x:c r="S75" s="27" t="n">
        <x:v>3432009.2493052916</x:v>
      </x:c>
      <x:c r="T75" s="27" t="n">
        <x:v>25511775.490708712</x:v>
      </x:c>
      <x:c r="U75" s="27" t="n">
        <x:v>6864018.498610583</x:v>
      </x:c>
      <x:c r="V75" s="45" t="b">
        <x:v>0</x:v>
      </x:c>
      <x:c r="W75" s="27" t="n">
        <x:v>3432009.2493052916</x:v>
      </x:c>
    </x:row>
    <x:row r="76">
      <x:c r="A76" s="27" t="str">
        <x:v>IND_PENSION_001</x:v>
      </x:c>
      <x:c r="B76" s="27" t="n">
        <x:v>3113</x:v>
      </x:c>
      <x:c r="C76" s="27" t="n">
        <x:v>986415</x:v>
      </x:c>
      <x:c r="D76" s="27" t="str">
        <x:v>M</x:v>
      </x:c>
      <x:c r="E76" s="27" t="n">
        <x:v>3670000</x:v>
      </x:c>
      <x:c r="F76" s="27" t="n">
        <x:v>917500</x:v>
      </x:c>
      <x:c r="G76" s="27" t="n">
        <x:v>183500</x:v>
      </x:c>
      <x:c r="H76" s="27" t="n">
        <x:v>0</x:v>
      </x:c>
      <x:c r="I76" s="27" t="str">
        <x:v>CSA-IND-3113</x:v>
      </x:c>
      <x:c r="J76" s="27" t="n">
        <x:v>1101000</x:v>
      </x:c>
      <x:c r="K76" s="27" t="str">
        <x:v>max(V-C, TH+MTA-NICA, 0)</x:v>
      </x:c>
      <x:c r="L76" s="27" t="n">
        <x:v>9909000.000000002</x:v>
      </x:c>
      <x:c r="M76" s="27" t="n">
        <x:v>0.8737965295218413</x:v>
      </x:c>
      <x:c r="N76" s="27" t="n">
        <x:v>8658449.811031926</x:v>
      </x:c>
      <x:c r="O76" s="27" t="n">
        <x:v>13663229.735444697</x:v>
      </x:c>
      <x:c r="P76" s="27" t="str">
        <x:v>Pension</x:v>
      </x:c>
      <x:c r="Q76" s="27" t="str">
        <x:v>A</x:v>
      </x:c>
      <x:c r="R76" s="27" t="n">
        <x:v>0.5</x:v>
      </x:c>
      <x:c r="S76" s="27" t="n">
        <x:v>6831614.867722348</x:v>
      </x:c>
      <x:c r="T76" s="27" t="n">
        <x:v>36381990.78255768</x:v>
      </x:c>
      <x:c r="U76" s="27" t="n">
        <x:v>13663229.735444697</x:v>
      </x:c>
      <x:c r="V76" s="45" t="b">
        <x:v>0</x:v>
      </x:c>
      <x:c r="W76" s="27" t="n">
        <x:v>6831614.867722348</x:v>
      </x:c>
    </x:row>
    <x:row r="77">
      <x:c r="A77" s="27" t="str">
        <x:v>IND_PENSION_001</x:v>
      </x:c>
      <x:c r="B77" s="27" t="n">
        <x:v>3121</x:v>
      </x:c>
      <x:c r="C77" s="27" t="n">
        <x:v>644076</x:v>
      </x:c>
      <x:c r="D77" s="27" t="str">
        <x:v>M</x:v>
      </x:c>
      <x:c r="E77" s="27" t="n">
        <x:v>3990000</x:v>
      </x:c>
      <x:c r="F77" s="27" t="n">
        <x:v>399000</x:v>
      </x:c>
      <x:c r="G77" s="27" t="n">
        <x:v>39900</x:v>
      </x:c>
      <x:c r="H77" s="27" t="n">
        <x:v>0</x:v>
      </x:c>
      <x:c r="I77" s="27" t="str">
        <x:v>CSA-IND-3121</x:v>
      </x:c>
      <x:c r="J77" s="27" t="n">
        <x:v>438900</x:v>
      </x:c>
      <x:c r="K77" s="27" t="str">
        <x:v>max(V-C, TH+MTA-NICA, 0)</x:v>
      </x:c>
      <x:c r="L77" s="27" t="n">
        <x:v>3688087.1139386073</x:v>
      </x:c>
      <x:c r="M77" s="27" t="n">
        <x:v>0.6393234954878334</x:v>
      </x:c>
      <x:c r="N77" s="27" t="n">
        <x:v>2357880.7453468656</x:v>
      </x:c>
      <x:c r="O77" s="27" t="n">
        <x:v>3915493.0434856117</x:v>
      </x:c>
      <x:c r="P77" s="27" t="str">
        <x:v>Pension</x:v>
      </x:c>
      <x:c r="Q77" s="27" t="str">
        <x:v>A</x:v>
      </x:c>
      <x:c r="R77" s="27" t="n">
        <x:v>0.5</x:v>
      </x:c>
      <x:c r="S77" s="27" t="n">
        <x:v>1957746.5217428058</x:v>
      </x:c>
      <x:c r="T77" s="27" t="n">
        <x:v>18188315.75547198</x:v>
      </x:c>
      <x:c r="U77" s="27" t="n">
        <x:v>3915493.0434856117</x:v>
      </x:c>
      <x:c r="V77" s="45" t="b">
        <x:v>0</x:v>
      </x:c>
      <x:c r="W77" s="27" t="n">
        <x:v>1957746.5217428058</x:v>
      </x:c>
    </x:row>
    <x:row r="78">
      <x:c r="A78" s="27" t="str">
        <x:v>IND_PENSION_001</x:v>
      </x:c>
      <x:c r="B78" s="27" t="n">
        <x:v>3174</x:v>
      </x:c>
      <x:c r="C78" s="27" t="n">
        <x:v>150660</x:v>
      </x:c>
      <x:c r="D78" s="27" t="str">
        <x:v>U</x:v>
      </x:c>
      <x:c r="E78" s="27" t="n">
        <x:v>0</x:v>
      </x:c>
      <x:c r="F78" s="27" t="n">
        <x:v>0</x:v>
      </x:c>
      <x:c r="G78" s="27" t="n">
        <x:v>0</x:v>
      </x:c>
      <x:c r="H78" s="27" t="n">
        <x:v>0</x:v>
      </x:c>
      <x:c r="I78" s="27"/>
      <x:c r="J78" s="27" t="n">
        <x:v>150660</x:v>
      </x:c>
      <x:c r="K78" s="27" t="str">
        <x:v>max(V-C, 0)</x:v>
      </x:c>
      <x:c r="L78" s="27" t="n">
        <x:v>315506.84692620346</x:v>
      </x:c>
      <x:c r="M78" s="27" t="n">
        <x:v>1</x:v>
      </x:c>
      <x:c r="N78" s="27" t="n">
        <x:v>315506.84692620346</x:v>
      </x:c>
      <x:c r="O78" s="27" t="n">
        <x:v>652633.5856966848</x:v>
      </x:c>
      <x:c r="P78" s="27" t="str">
        <x:v>Pension</x:v>
      </x:c>
      <x:c r="Q78" s="27" t="str">
        <x:v>A</x:v>
      </x:c>
      <x:c r="R78" s="27" t="n">
        <x:v>0.5</x:v>
      </x:c>
      <x:c r="S78" s="27" t="n">
        <x:v>326316.7928483424</x:v>
      </x:c>
      <x:c r="T78" s="27" t="n">
        <x:v>652633.5856966848</x:v>
      </x:c>
      <x:c r="U78" s="27" t="n">
        <x:v>652633.5856966848</x:v>
      </x:c>
      <x:c r="V78" s="45" t="b">
        <x:v>0</x:v>
      </x:c>
      <x:c r="W78" s="27" t="n">
        <x:v>326316.7928483424</x:v>
      </x:c>
    </x:row>
    <x:row r="79">
      <x:c r="A79" s="27" t="str">
        <x:v>IND_PENSION_001</x:v>
      </x:c>
      <x:c r="B79" s="27" t="n">
        <x:v>3242</x:v>
      </x:c>
      <x:c r="C79" s="27" t="n">
        <x:v>356928</x:v>
      </x:c>
      <x:c r="D79" s="27" t="str">
        <x:v>M</x:v>
      </x:c>
      <x:c r="E79" s="27" t="n">
        <x:v>2080000</x:v>
      </x:c>
      <x:c r="F79" s="27" t="n">
        <x:v>416000</x:v>
      </x:c>
      <x:c r="G79" s="27" t="n">
        <x:v>41600</x:v>
      </x:c>
      <x:c r="H79" s="27" t="n">
        <x:v>0</x:v>
      </x:c>
      <x:c r="I79" s="27" t="str">
        <x:v>CSA-IND-3242</x:v>
      </x:c>
      <x:c r="J79" s="27" t="n">
        <x:v>457600</x:v>
      </x:c>
      <x:c r="K79" s="27" t="str">
        <x:v>max(V-C, TH+MTA-NICA, 0)</x:v>
      </x:c>
      <x:c r="L79" s="27" t="n">
        <x:v>131933.83642557342</x:v>
      </x:c>
      <x:c r="M79" s="27" t="n">
        <x:v>0.05098286211537985</x:v>
      </x:c>
      <x:c r="N79" s="27" t="n">
        <x:v>6726.364590838089</x:v>
      </x:c>
      <x:c r="O79" s="27" t="n">
        <x:v>650056.9104271733</x:v>
      </x:c>
      <x:c r="P79" s="27" t="str">
        <x:v>Pension</x:v>
      </x:c>
      <x:c r="Q79" s="27" t="str">
        <x:v>A</x:v>
      </x:c>
      <x:c r="R79" s="27" t="n">
        <x:v>0.5</x:v>
      </x:c>
      <x:c r="S79" s="27" t="n">
        <x:v>325028.4552135866</x:v>
      </x:c>
      <x:c r="T79" s="27" t="n">
        <x:v>1115390.4366526757</x:v>
      </x:c>
      <x:c r="U79" s="27" t="n">
        <x:v>650056.9104271733</x:v>
      </x:c>
      <x:c r="V79" s="45" t="b">
        <x:v>0</x:v>
      </x:c>
      <x:c r="W79" s="27" t="n">
        <x:v>325028.4552135866</x:v>
      </x:c>
    </x:row>
    <x:row r="80">
      <x:c r="A80" s="27" t="str">
        <x:v>IND_PENSION_001</x:v>
      </x:c>
      <x:c r="B80" s="27" t="n">
        <x:v>3254</x:v>
      </x:c>
      <x:c r="C80" s="27" t="n">
        <x:v>-661242</x:v>
      </x:c>
      <x:c r="D80" s="27" t="str">
        <x:v>U</x:v>
      </x:c>
      <x:c r="E80" s="27" t="n">
        <x:v>0</x:v>
      </x:c>
      <x:c r="F80" s="27" t="n">
        <x:v>0</x:v>
      </x:c>
      <x:c r="G80" s="27" t="n">
        <x:v>0</x:v>
      </x:c>
      <x:c r="H80" s="27" t="n">
        <x:v>0</x:v>
      </x:c>
      <x:c r="I80" s="27"/>
      <x:c r="J80" s="27" t="n">
        <x:v>0</x:v>
      </x:c>
      <x:c r="K80" s="27" t="str">
        <x:v>max(V-C, 0)</x:v>
      </x:c>
      <x:c r="L80" s="27" t="n">
        <x:v>2404214.4076105123</x:v>
      </x:c>
      <x:c r="M80" s="27" t="n">
        <x:v>0.8719725204129828</x:v>
      </x:c>
      <x:c r="N80" s="27" t="n">
        <x:v>2096408.8966173448</x:v>
      </x:c>
      <x:c r="O80" s="27" t="n">
        <x:v>2934972.4552642824</x:v>
      </x:c>
      <x:c r="P80" s="27" t="str">
        <x:v>Pension</x:v>
      </x:c>
      <x:c r="Q80" s="27" t="str">
        <x:v>A</x:v>
      </x:c>
      <x:c r="R80" s="27" t="n">
        <x:v>0.5</x:v>
      </x:c>
      <x:c r="S80" s="27" t="n">
        <x:v>1467486.2276321412</x:v>
      </x:c>
      <x:c r="T80" s="27" t="n">
        <x:v>2934972.4552642824</x:v>
      </x:c>
      <x:c r="U80" s="27" t="n">
        <x:v>2934972.4552642824</x:v>
      </x:c>
      <x:c r="V80" s="45" t="b">
        <x:v>0</x:v>
      </x:c>
      <x:c r="W80" s="27" t="n">
        <x:v>1467486.2276321412</x:v>
      </x:c>
    </x:row>
    <x:row r="81">
      <x:c r="A81" s="27" t="str">
        <x:v>IND_PENSION_001</x:v>
      </x:c>
      <x:c r="B81" s="27" t="n">
        <x:v>3294</x:v>
      </x:c>
      <x:c r="C81" s="27" t="n">
        <x:v>1286775</x:v>
      </x:c>
      <x:c r="D81" s="27" t="str">
        <x:v>M</x:v>
      </x:c>
      <x:c r="E81" s="27" t="n">
        <x:v>32390000</x:v>
      </x:c>
      <x:c r="F81" s="27" t="n">
        <x:v>3239000</x:v>
      </x:c>
      <x:c r="G81" s="27" t="n">
        <x:v>323900</x:v>
      </x:c>
      <x:c r="H81" s="27" t="n">
        <x:v>6478000</x:v>
      </x:c>
      <x:c r="I81" s="27" t="str">
        <x:v>CSA-IND-3294</x:v>
      </x:c>
      <x:c r="J81" s="27" t="n">
        <x:v>0</x:v>
      </x:c>
      <x:c r="K81" s="27" t="str">
        <x:v>max(V-C, TH+MTA-NICA, 0)</x:v>
      </x:c>
      <x:c r="L81" s="27" t="n">
        <x:v>3776400.000000001</x:v>
      </x:c>
      <x:c r="M81" s="27" t="n">
        <x:v>0.06244867758646111</x:v>
      </x:c>
      <x:c r="N81" s="27" t="n">
        <x:v>235831.1860375118</x:v>
      </x:c>
      <x:c r="O81" s="27" t="n">
        <x:v>330163.6604525165</x:v>
      </x:c>
      <x:c r="P81" s="27" t="str">
        <x:v>Pension</x:v>
      </x:c>
      <x:c r="Q81" s="27" t="str">
        <x:v>A</x:v>
      </x:c>
      <x:c r="R81" s="27" t="n">
        <x:v>0.5</x:v>
      </x:c>
      <x:c r="S81" s="27" t="n">
        <x:v>165081.83022625826</x:v>
      </x:c>
      <x:c r="T81" s="27" t="n">
        <x:v>14356657.788419347</x:v>
      </x:c>
      <x:c r="U81" s="27" t="n">
        <x:v>330163.6604525165</x:v>
      </x:c>
      <x:c r="V81" s="45" t="b">
        <x:v>0</x:v>
      </x:c>
      <x:c r="W81" s="27" t="n">
        <x:v>165081.83022625826</x:v>
      </x:c>
    </x:row>
    <x:row r="82">
      <x:c r="A82" s="27" t="str">
        <x:v>IND_REGIONAL_BANK_001</x:v>
      </x:c>
      <x:c r="B82" s="27" t="n">
        <x:v>3054</x:v>
      </x:c>
      <x:c r="C82" s="27" t="n">
        <x:v>462794.4</x:v>
      </x:c>
      <x:c r="D82" s="27" t="str">
        <x:v>U</x:v>
      </x:c>
      <x:c r="E82" s="27" t="n">
        <x:v>0</x:v>
      </x:c>
      <x:c r="F82" s="27" t="n">
        <x:v>0</x:v>
      </x:c>
      <x:c r="G82" s="27" t="n">
        <x:v>0</x:v>
      </x:c>
      <x:c r="H82" s="27" t="n">
        <x:v>0</x:v>
      </x:c>
      <x:c r="I82" s="27"/>
      <x:c r="J82" s="27" t="n">
        <x:v>462794.4</x:v>
      </x:c>
      <x:c r="K82" s="27" t="str">
        <x:v>max(V-C, 0)</x:v>
      </x:c>
      <x:c r="L82" s="27" t="n">
        <x:v>15280896.091243856</x:v>
      </x:c>
      <x:c r="M82" s="27" t="n">
        <x:v>1</x:v>
      </x:c>
      <x:c r="N82" s="27" t="n">
        <x:v>15280896.091243856</x:v>
      </x:c>
      <x:c r="O82" s="27" t="n">
        <x:v>22041166.6877414</x:v>
      </x:c>
      <x:c r="P82" s="27" t="str">
        <x:v>Bank</x:v>
      </x:c>
      <x:c r="Q82" s="27" t="str">
        <x:v>BBB</x:v>
      </x:c>
      <x:c r="R82" s="27" t="n">
        <x:v>0.5</x:v>
      </x:c>
      <x:c r="S82" s="27" t="n">
        <x:v>11020583.3438707</x:v>
      </x:c>
      <x:c r="T82" s="27" t="n">
        <x:v>22041166.6877414</x:v>
      </x:c>
      <x:c r="U82" s="27" t="n">
        <x:v>22041166.6877414</x:v>
      </x:c>
      <x:c r="V82" s="45" t="b">
        <x:v>0</x:v>
      </x:c>
      <x:c r="W82" s="27" t="n">
        <x:v>11020583.3438707</x:v>
      </x:c>
    </x:row>
    <x:row r="83">
      <x:c r="A83" s="27" t="str">
        <x:v>IND_REGIONAL_BANK_001</x:v>
      </x:c>
      <x:c r="B83" s="27" t="n">
        <x:v>3082</x:v>
      </x:c>
      <x:c r="C83" s="27" t="n">
        <x:v>-930513</x:v>
      </x:c>
      <x:c r="D83" s="27" t="str">
        <x:v>M</x:v>
      </x:c>
      <x:c r="E83" s="27" t="n">
        <x:v>10620000</x:v>
      </x:c>
      <x:c r="F83" s="27" t="n">
        <x:v>1062000</x:v>
      </x:c>
      <x:c r="G83" s="27" t="n">
        <x:v>106200</x:v>
      </x:c>
      <x:c r="H83" s="27" t="n">
        <x:v>0</x:v>
      </x:c>
      <x:c r="I83" s="27" t="str">
        <x:v>CSA-IND-3082</x:v>
      </x:c>
      <x:c r="J83" s="27" t="n">
        <x:v>1168200</x:v>
      </x:c>
      <x:c r="K83" s="27" t="str">
        <x:v>max(V-C, TH+MTA-NICA, 0)</x:v>
      </x:c>
      <x:c r="L83" s="27" t="n">
        <x:v>6203400.000000001</x:v>
      </x:c>
      <x:c r="M83" s="27" t="n">
        <x:v>0.4065521325144805</x:v>
      </x:c>
      <x:c r="N83" s="27" t="n">
        <x:v>2522005.498840329</x:v>
      </x:c>
      <x:c r="O83" s="27" t="n">
        <x:v>5166287.69837646</x:v>
      </x:c>
      <x:c r="P83" s="27" t="str">
        <x:v>Bank</x:v>
      </x:c>
      <x:c r="Q83" s="27" t="str">
        <x:v>BBB</x:v>
      </x:c>
      <x:c r="R83" s="27" t="n">
        <x:v>0.5</x:v>
      </x:c>
      <x:c r="S83" s="27" t="n">
        <x:v>2583143.84918823</x:v>
      </x:c>
      <x:c r="T83" s="27" t="n">
        <x:v>28235139.07184229</x:v>
      </x:c>
      <x:c r="U83" s="27" t="n">
        <x:v>5166287.69837646</x:v>
      </x:c>
      <x:c r="V83" s="45" t="b">
        <x:v>0</x:v>
      </x:c>
      <x:c r="W83" s="27" t="n">
        <x:v>2583143.84918823</x:v>
      </x:c>
    </x:row>
    <x:row r="84">
      <x:c r="A84" s="27" t="str">
        <x:v>IND_REGIONAL_BANK_001</x:v>
      </x:c>
      <x:c r="B84" s="27" t="n">
        <x:v>3161</x:v>
      </x:c>
      <x:c r="C84" s="27" t="n">
        <x:v>2270800</x:v>
      </x:c>
      <x:c r="D84" s="27" t="str">
        <x:v>U</x:v>
      </x:c>
      <x:c r="E84" s="27" t="n">
        <x:v>0</x:v>
      </x:c>
      <x:c r="F84" s="27" t="n">
        <x:v>0</x:v>
      </x:c>
      <x:c r="G84" s="27" t="n">
        <x:v>0</x:v>
      </x:c>
      <x:c r="H84" s="27" t="n">
        <x:v>0</x:v>
      </x:c>
      <x:c r="I84" s="27"/>
      <x:c r="J84" s="27" t="n">
        <x:v>2270800</x:v>
      </x:c>
      <x:c r="K84" s="27" t="str">
        <x:v>max(V-C, 0)</x:v>
      </x:c>
      <x:c r="L84" s="27" t="n">
        <x:v>5649459.236787042</x:v>
      </x:c>
      <x:c r="M84" s="27" t="n">
        <x:v>1</x:v>
      </x:c>
      <x:c r="N84" s="27" t="n">
        <x:v>5649459.236787042</x:v>
      </x:c>
      <x:c r="O84" s="27" t="n">
        <x:v>11088362.931501858</x:v>
      </x:c>
      <x:c r="P84" s="27" t="str">
        <x:v>Bank</x:v>
      </x:c>
      <x:c r="Q84" s="27" t="str">
        <x:v>BBB</x:v>
      </x:c>
      <x:c r="R84" s="27" t="n">
        <x:v>0.5</x:v>
      </x:c>
      <x:c r="S84" s="27" t="n">
        <x:v>5544181.465750929</x:v>
      </x:c>
      <x:c r="T84" s="27" t="n">
        <x:v>11088362.931501858</x:v>
      </x:c>
      <x:c r="U84" s="27" t="n">
        <x:v>11088362.931501858</x:v>
      </x:c>
      <x:c r="V84" s="45" t="b">
        <x:v>0</x:v>
      </x:c>
      <x:c r="W84" s="27" t="n">
        <x:v>5544181.465750929</x:v>
      </x:c>
    </x:row>
    <x:row r="85">
      <x:c r="A85" s="27" t="str">
        <x:v>IND_REGIONAL_BANK_001</x:v>
      </x:c>
      <x:c r="B85" s="27" t="n">
        <x:v>3194</x:v>
      </x:c>
      <x:c r="C85" s="27" t="n">
        <x:v>838519.5</x:v>
      </x:c>
      <x:c r="D85" s="27" t="str">
        <x:v>M</x:v>
      </x:c>
      <x:c r="E85" s="27" t="n">
        <x:v>1930000</x:v>
      </x:c>
      <x:c r="F85" s="27" t="n">
        <x:v>241250</x:v>
      </x:c>
      <x:c r="G85" s="27" t="n">
        <x:v>96500</x:v>
      </x:c>
      <x:c r="H85" s="27" t="n">
        <x:v>0</x:v>
      </x:c>
      <x:c r="I85" s="27" t="str">
        <x:v>CSA-IND-3194</x:v>
      </x:c>
      <x:c r="J85" s="27" t="n">
        <x:v>337750</x:v>
      </x:c>
      <x:c r="K85" s="27" t="str">
        <x:v>max(V-C, TH+MTA-NICA, 0)</x:v>
      </x:c>
      <x:c r="L85" s="27" t="n">
        <x:v>3590830.188077495</x:v>
      </x:c>
      <x:c r="M85" s="27" t="n">
        <x:v>0.8595522476265955</x:v>
      </x:c>
      <x:c r="N85" s="27" t="n">
        <x:v>3086506.1590074417</x:v>
      </x:c>
      <x:c r="O85" s="27" t="n">
        <x:v>4793958.622610418</x:v>
      </x:c>
      <x:c r="P85" s="27" t="str">
        <x:v>Bank</x:v>
      </x:c>
      <x:c r="Q85" s="27" t="str">
        <x:v>BBB</x:v>
      </x:c>
      <x:c r="R85" s="27" t="n">
        <x:v>0.5</x:v>
      </x:c>
      <x:c r="S85" s="27" t="n">
        <x:v>2396979.311305209</x:v>
      </x:c>
      <x:c r="T85" s="27" t="n">
        <x:v>17931134.84436164</x:v>
      </x:c>
      <x:c r="U85" s="27" t="n">
        <x:v>4793958.622610418</x:v>
      </x:c>
      <x:c r="V85" s="45" t="b">
        <x:v>0</x:v>
      </x:c>
      <x:c r="W85" s="27" t="n">
        <x:v>2396979.311305209</x:v>
      </x:c>
    </x:row>
    <x:row r="86">
      <x:c r="A86" s="27" t="str">
        <x:v>IND_REGIONAL_BANK_001</x:v>
      </x:c>
      <x:c r="B86" s="27" t="n">
        <x:v>3210</x:v>
      </x:c>
      <x:c r="C86" s="27" t="n">
        <x:v>1984431</x:v>
      </x:c>
      <x:c r="D86" s="27" t="str">
        <x:v>M</x:v>
      </x:c>
      <x:c r="E86" s="27" t="n">
        <x:v>21305000</x:v>
      </x:c>
      <x:c r="F86" s="27" t="n">
        <x:v>2130500</x:v>
      </x:c>
      <x:c r="G86" s="27" t="n">
        <x:v>426100</x:v>
      </x:c>
      <x:c r="H86" s="27" t="n">
        <x:v>8522000</x:v>
      </x:c>
      <x:c r="I86" s="27" t="str">
        <x:v>CSA-IND-3210</x:v>
      </x:c>
      <x:c r="J86" s="27" t="n">
        <x:v>0</x:v>
      </x:c>
      <x:c r="K86" s="27" t="str">
        <x:v>max(V-C, TH+MTA-NICA, 0)</x:v>
      </x:c>
      <x:c r="L86" s="27" t="n">
        <x:v>2177773.6367068347</x:v>
      </x:c>
      <x:c r="M86" s="27" t="n">
        <x:v>0.05890971861405444</x:v>
      </x:c>
      <x:c r="N86" s="27" t="n">
        <x:v>128292.03214350565</x:v>
      </x:c>
      <x:c r="O86" s="27" t="n">
        <x:v>179608.8450009079</x:v>
      </x:c>
      <x:c r="P86" s="27" t="str">
        <x:v>Bank</x:v>
      </x:c>
      <x:c r="Q86" s="27" t="str">
        <x:v>BBB</x:v>
      </x:c>
      <x:c r="R86" s="27" t="n">
        <x:v>0.5</x:v>
      </x:c>
      <x:c r="S86" s="27" t="n">
        <x:v>89804.42250045395</x:v>
      </x:c>
      <x:c r="T86" s="27" t="n">
        <x:v>6518374.823152093</x:v>
      </x:c>
      <x:c r="U86" s="27" t="n">
        <x:v>179608.8450009079</x:v>
      </x:c>
      <x:c r="V86" s="45" t="b">
        <x:v>0</x:v>
      </x:c>
      <x:c r="W86" s="27" t="n">
        <x:v>89804.42250045395</x:v>
      </x:c>
    </x:row>
    <x:row r="87">
      <x:c r="A87" s="27" t="str">
        <x:v>IND_REGIONAL_BANK_001</x:v>
      </x:c>
      <x:c r="B87" s="27" t="n">
        <x:v>3237</x:v>
      </x:c>
      <x:c r="C87" s="27" t="n">
        <x:v>-3105184</x:v>
      </x:c>
      <x:c r="D87" s="27" t="str">
        <x:v>M</x:v>
      </x:c>
      <x:c r="E87" s="27" t="n">
        <x:v>27870000</x:v>
      </x:c>
      <x:c r="F87" s="27" t="n">
        <x:v>1858000</x:v>
      </x:c>
      <x:c r="G87" s="27" t="n">
        <x:v>185800</x:v>
      </x:c>
      <x:c r="H87" s="27" t="n">
        <x:v>1858000</x:v>
      </x:c>
      <x:c r="I87" s="27" t="str">
        <x:v>CSA-IND-3237</x:v>
      </x:c>
      <x:c r="J87" s="27" t="n">
        <x:v>185800</x:v>
      </x:c>
      <x:c r="K87" s="27" t="str">
        <x:v>max(V-C, TH+MTA-NICA, 0)</x:v>
      </x:c>
      <x:c r="L87" s="27" t="n">
        <x:v>3924087.3539465335</x:v>
      </x:c>
      <x:c r="M87" s="27" t="n">
        <x:v>0.0649085457286328</x:v>
      </x:c>
      <x:c r="N87" s="27" t="n">
        <x:v>254706.80345678827</x:v>
      </x:c>
      <x:c r="O87" s="27" t="n">
        <x:v>616709.5248395036</x:v>
      </x:c>
      <x:c r="P87" s="27" t="str">
        <x:v>Bank</x:v>
      </x:c>
      <x:c r="Q87" s="27" t="str">
        <x:v>BBB</x:v>
      </x:c>
      <x:c r="R87" s="27" t="n">
        <x:v>0.5</x:v>
      </x:c>
      <x:c r="S87" s="27" t="n">
        <x:v>308354.7624197518</x:v>
      </x:c>
      <x:c r="T87" s="27" t="n">
        <x:v>15163104.730222618</x:v>
      </x:c>
      <x:c r="U87" s="27" t="n">
        <x:v>616709.5248395036</x:v>
      </x:c>
      <x:c r="V87" s="45" t="b">
        <x:v>0</x:v>
      </x:c>
      <x:c r="W87" s="27" t="n">
        <x:v>308354.7624197518</x:v>
      </x:c>
    </x:row>
    <x:row r="88">
      <x:c r="A88" s="27" t="str">
        <x:v>IND_REGIONAL_BANK_001</x:v>
      </x:c>
      <x:c r="B88" s="27" t="n">
        <x:v>3245</x:v>
      </x:c>
      <x:c r="C88" s="27" t="n">
        <x:v>690787</x:v>
      </x:c>
      <x:c r="D88" s="27" t="str">
        <x:v>U</x:v>
      </x:c>
      <x:c r="E88" s="27" t="n">
        <x:v>0</x:v>
      </x:c>
      <x:c r="F88" s="27" t="n">
        <x:v>0</x:v>
      </x:c>
      <x:c r="G88" s="27" t="n">
        <x:v>0</x:v>
      </x:c>
      <x:c r="H88" s="27" t="n">
        <x:v>0</x:v>
      </x:c>
      <x:c r="I88" s="27"/>
      <x:c r="J88" s="27" t="n">
        <x:v>690787</x:v>
      </x:c>
      <x:c r="K88" s="27" t="str">
        <x:v>max(V-C, 0)</x:v>
      </x:c>
      <x:c r="L88" s="27" t="n">
        <x:v>4808000</x:v>
      </x:c>
      <x:c r="M88" s="27" t="n">
        <x:v>1</x:v>
      </x:c>
      <x:c r="N88" s="27" t="n">
        <x:v>4808000</x:v>
      </x:c>
      <x:c r="O88" s="27" t="n">
        <x:v>7698301.8</x:v>
      </x:c>
      <x:c r="P88" s="27" t="str">
        <x:v>Bank</x:v>
      </x:c>
      <x:c r="Q88" s="27" t="str">
        <x:v>BBB</x:v>
      </x:c>
      <x:c r="R88" s="27" t="n">
        <x:v>0.5</x:v>
      </x:c>
      <x:c r="S88" s="27" t="n">
        <x:v>3849150.9</x:v>
      </x:c>
      <x:c r="T88" s="27" t="n">
        <x:v>7698301.8</x:v>
      </x:c>
      <x:c r="U88" s="27" t="n">
        <x:v>7698301.8</x:v>
      </x:c>
      <x:c r="V88" s="45" t="b">
        <x:v>0</x:v>
      </x:c>
      <x:c r="W88" s="27" t="n">
        <x:v>3849150.9</x:v>
      </x:c>
    </x:row>
    <x:row r="89">
      <x:c r="A89" s="27" t="str">
        <x:v>IND_REGIONAL_BANK_001</x:v>
      </x:c>
      <x:c r="B89" s="27" t="n">
        <x:v>3315</x:v>
      </x:c>
      <x:c r="C89" s="27" t="n">
        <x:v>3959677.2</x:v>
      </x:c>
      <x:c r="D89" s="27" t="str">
        <x:v>M</x:v>
      </x:c>
      <x:c r="E89" s="27" t="n">
        <x:v>71830000</x:v>
      </x:c>
      <x:c r="F89" s="27" t="n">
        <x:v>7183000</x:v>
      </x:c>
      <x:c r="G89" s="27" t="n">
        <x:v>1436600</x:v>
      </x:c>
      <x:c r="H89" s="27" t="n">
        <x:v>28732000</x:v>
      </x:c>
      <x:c r="I89" s="27" t="str">
        <x:v>CSA-IND-3315</x:v>
      </x:c>
      <x:c r="J89" s="27" t="n">
        <x:v>0</x:v>
      </x:c>
      <x:c r="K89" s="27" t="str">
        <x:v>max(V-C, TH+MTA-NICA, 0)</x:v>
      </x:c>
      <x:c r="L89" s="27" t="n">
        <x:v>3422606.959892163</x:v>
      </x:c>
      <x:c r="M89" s="27" t="n">
        <x:v>0.05002786498936511</x:v>
      </x:c>
      <x:c r="N89" s="27" t="n">
        <x:v>171225.7189011465</x:v>
      </x:c>
      <x:c r="O89" s="27" t="n">
        <x:v>239716.00646160508</x:v>
      </x:c>
      <x:c r="P89" s="27" t="str">
        <x:v>Bank</x:v>
      </x:c>
      <x:c r="Q89" s="27" t="str">
        <x:v>BBB</x:v>
      </x:c>
      <x:c r="R89" s="27" t="n">
        <x:v>0.5</x:v>
      </x:c>
      <x:c r="S89" s="27" t="n">
        <x:v>119858.00323080254</x:v>
      </x:c>
      <x:c r="T89" s="27" t="n">
        <x:v>6756591.814892225</x:v>
      </x:c>
      <x:c r="U89" s="27" t="n">
        <x:v>239716.00646160508</x:v>
      </x:c>
      <x:c r="V89" s="45" t="b">
        <x:v>0</x:v>
      </x:c>
      <x:c r="W89" s="27" t="n">
        <x:v>119858.00323080254</x:v>
      </x:c>
    </x:row>
    <x:row r="90">
      <x:c r="A90" s="27" t="str">
        <x:v>IND_SOVEREIGN_001</x:v>
      </x:c>
      <x:c r="B90" s="27" t="n">
        <x:v>3042</x:v>
      </x:c>
      <x:c r="C90" s="27" t="n">
        <x:v>517060</x:v>
      </x:c>
      <x:c r="D90" s="27" t="str">
        <x:v>M</x:v>
      </x:c>
      <x:c r="E90" s="27" t="n">
        <x:v>2060000</x:v>
      </x:c>
      <x:c r="F90" s="27" t="n">
        <x:v>1030000</x:v>
      </x:c>
      <x:c r="G90" s="27" t="n">
        <x:v>103000</x:v>
      </x:c>
      <x:c r="H90" s="27" t="n">
        <x:v>0</x:v>
      </x:c>
      <x:c r="I90" s="27" t="str">
        <x:v>CSA-IND-3042</x:v>
      </x:c>
      <x:c r="J90" s="27" t="n">
        <x:v>1133000</x:v>
      </x:c>
      <x:c r="K90" s="27" t="str">
        <x:v>max(V-C, TH+MTA-NICA, 0)</x:v>
      </x:c>
      <x:c r="L90" s="27" t="n">
        <x:v>450320.6895615736</x:v>
      </x:c>
      <x:c r="M90" s="27" t="n">
        <x:v>0.20651297656076023</x:v>
      </x:c>
      <x:c r="N90" s="27" t="n">
        <x:v>92997.06600825464</x:v>
      </x:c>
      <x:c r="O90" s="27" t="n">
        <x:v>1716395.8924115563</x:v>
      </x:c>
      <x:c r="P90" s="27" t="str">
        <x:v>Sovereign</x:v>
      </x:c>
      <x:c r="Q90" s="27" t="str">
        <x:v>AA</x:v>
      </x:c>
      <x:c r="R90" s="27" t="n">
        <x:v>0.2</x:v>
      </x:c>
      <x:c r="S90" s="27" t="n">
        <x:v>343279.1784823113</x:v>
      </x:c>
      <x:c r="T90" s="27" t="n">
        <x:v>2825380.5512873433</x:v>
      </x:c>
      <x:c r="U90" s="27" t="n">
        <x:v>1716395.8924115563</x:v>
      </x:c>
      <x:c r="V90" s="45" t="b">
        <x:v>0</x:v>
      </x:c>
      <x:c r="W90" s="27" t="n">
        <x:v>343279.1784823113</x:v>
      </x:c>
    </x:row>
    <x:row r="91">
      <x:c r="A91" s="27" t="str">
        <x:v>IND_SOVEREIGN_001</x:v>
      </x:c>
      <x:c r="B91" s="27" t="n">
        <x:v>3065</x:v>
      </x:c>
      <x:c r="C91" s="27" t="n">
        <x:v>1521929.4</x:v>
      </x:c>
      <x:c r="D91" s="27" t="str">
        <x:v>U</x:v>
      </x:c>
      <x:c r="E91" s="27" t="n">
        <x:v>0</x:v>
      </x:c>
      <x:c r="F91" s="27" t="n">
        <x:v>0</x:v>
      </x:c>
      <x:c r="G91" s="27" t="n">
        <x:v>0</x:v>
      </x:c>
      <x:c r="H91" s="27" t="n">
        <x:v>0</x:v>
      </x:c>
      <x:c r="I91" s="27"/>
      <x:c r="J91" s="27" t="n">
        <x:v>1521929.4</x:v>
      </x:c>
      <x:c r="K91" s="27" t="str">
        <x:v>max(V-C, 0)</x:v>
      </x:c>
      <x:c r="L91" s="27" t="n">
        <x:v>11289206.531979304</x:v>
      </x:c>
      <x:c r="M91" s="27" t="n">
        <x:v>1</x:v>
      </x:c>
      <x:c r="N91" s="27" t="n">
        <x:v>11289206.531979304</x:v>
      </x:c>
      <x:c r="O91" s="27" t="n">
        <x:v>17935590.304771025</x:v>
      </x:c>
      <x:c r="P91" s="27" t="str">
        <x:v>Sovereign</x:v>
      </x:c>
      <x:c r="Q91" s="27" t="str">
        <x:v>AA</x:v>
      </x:c>
      <x:c r="R91" s="27" t="n">
        <x:v>0.2</x:v>
      </x:c>
      <x:c r="S91" s="27" t="n">
        <x:v>3587118.060954205</x:v>
      </x:c>
      <x:c r="T91" s="27" t="n">
        <x:v>17935590.304771025</x:v>
      </x:c>
      <x:c r="U91" s="27" t="n">
        <x:v>17935590.304771025</x:v>
      </x:c>
      <x:c r="V91" s="45" t="b">
        <x:v>0</x:v>
      </x:c>
      <x:c r="W91" s="27" t="n">
        <x:v>3587118.060954205</x:v>
      </x:c>
    </x:row>
    <x:row r="92">
      <x:c r="A92" s="27" t="str">
        <x:v>IND_SOVEREIGN_001</x:v>
      </x:c>
      <x:c r="B92" s="27" t="n">
        <x:v>3084</x:v>
      </x:c>
      <x:c r="C92" s="27" t="n">
        <x:v>-159810</x:v>
      </x:c>
      <x:c r="D92" s="27" t="str">
        <x:v>U</x:v>
      </x:c>
      <x:c r="E92" s="27" t="n">
        <x:v>0</x:v>
      </x:c>
      <x:c r="F92" s="27" t="n">
        <x:v>0</x:v>
      </x:c>
      <x:c r="G92" s="27" t="n">
        <x:v>0</x:v>
      </x:c>
      <x:c r="H92" s="27" t="n">
        <x:v>0</x:v>
      </x:c>
      <x:c r="I92" s="27"/>
      <x:c r="J92" s="27" t="n">
        <x:v>0</x:v>
      </x:c>
      <x:c r="K92" s="27" t="str">
        <x:v>max(V-C, 0)</x:v>
      </x:c>
      <x:c r="L92" s="27" t="n">
        <x:v>2065232.6167001186</x:v>
      </x:c>
      <x:c r="M92" s="27" t="n">
        <x:v>0.9620867285337151</x:v>
      </x:c>
      <x:c r="N92" s="27" t="n">
        <x:v>1986932.8918621412</x:v>
      </x:c>
      <x:c r="O92" s="27" t="n">
        <x:v>2781706.0486069974</x:v>
      </x:c>
      <x:c r="P92" s="27" t="str">
        <x:v>Sovereign</x:v>
      </x:c>
      <x:c r="Q92" s="27" t="str">
        <x:v>AA</x:v>
      </x:c>
      <x:c r="R92" s="27" t="n">
        <x:v>0.2</x:v>
      </x:c>
      <x:c r="S92" s="27" t="n">
        <x:v>556341.2097213995</x:v>
      </x:c>
      <x:c r="T92" s="27" t="n">
        <x:v>2781706.0486069974</x:v>
      </x:c>
      <x:c r="U92" s="27" t="n">
        <x:v>2781706.0486069974</x:v>
      </x:c>
      <x:c r="V92" s="45" t="b">
        <x:v>0</x:v>
      </x:c>
      <x:c r="W92" s="27" t="n">
        <x:v>556341.2097213995</x:v>
      </x:c>
    </x:row>
    <x:row r="93">
      <x:c r="A93" s="27" t="str">
        <x:v>IND_SOVEREIGN_001</x:v>
      </x:c>
      <x:c r="B93" s="27" t="n">
        <x:v>3126</x:v>
      </x:c>
      <x:c r="C93" s="27" t="n">
        <x:v>21798</x:v>
      </x:c>
      <x:c r="D93" s="27" t="str">
        <x:v>U</x:v>
      </x:c>
      <x:c r="E93" s="27" t="n">
        <x:v>0</x:v>
      </x:c>
      <x:c r="F93" s="27" t="n">
        <x:v>0</x:v>
      </x:c>
      <x:c r="G93" s="27" t="n">
        <x:v>0</x:v>
      </x:c>
      <x:c r="H93" s="27" t="n">
        <x:v>0</x:v>
      </x:c>
      <x:c r="I93" s="27"/>
      <x:c r="J93" s="27" t="n">
        <x:v>21798</x:v>
      </x:c>
      <x:c r="K93" s="27" t="str">
        <x:v>max(V-C, 0)</x:v>
      </x:c>
      <x:c r="L93" s="27" t="n">
        <x:v>9728085.273896614</x:v>
      </x:c>
      <x:c r="M93" s="27" t="n">
        <x:v>1</x:v>
      </x:c>
      <x:c r="N93" s="27" t="n">
        <x:v>9728085.273896614</x:v>
      </x:c>
      <x:c r="O93" s="27" t="n">
        <x:v>13649836.583455259</x:v>
      </x:c>
      <x:c r="P93" s="27" t="str">
        <x:v>Sovereign</x:v>
      </x:c>
      <x:c r="Q93" s="27" t="str">
        <x:v>AA</x:v>
      </x:c>
      <x:c r="R93" s="27" t="n">
        <x:v>0.2</x:v>
      </x:c>
      <x:c r="S93" s="27" t="n">
        <x:v>2729967.316691052</x:v>
      </x:c>
      <x:c r="T93" s="27" t="n">
        <x:v>13649836.583455259</x:v>
      </x:c>
      <x:c r="U93" s="27" t="n">
        <x:v>13649836.583455259</x:v>
      </x:c>
      <x:c r="V93" s="45" t="b">
        <x:v>0</x:v>
      </x:c>
      <x:c r="W93" s="27" t="n">
        <x:v>2729967.316691052</x:v>
      </x:c>
    </x:row>
    <x:row r="94">
      <x:c r="A94" s="27" t="str">
        <x:v>IND_SOVEREIGN_001</x:v>
      </x:c>
      <x:c r="B94" s="27" t="n">
        <x:v>3246</x:v>
      </x:c>
      <x:c r="C94" s="27" t="n">
        <x:v>2946249</x:v>
      </x:c>
      <x:c r="D94" s="27" t="str">
        <x:v>M</x:v>
      </x:c>
      <x:c r="E94" s="27" t="n">
        <x:v>496200000</x:v>
      </x:c>
      <x:c r="F94" s="27" t="n">
        <x:v>8270000</x:v>
      </x:c>
      <x:c r="G94" s="27" t="n">
        <x:v>3308000</x:v>
      </x:c>
      <x:c r="H94" s="27" t="n">
        <x:v>0</x:v>
      </x:c>
      <x:c r="I94" s="27" t="str">
        <x:v>CSA-IND-3246</x:v>
      </x:c>
      <x:c r="J94" s="27" t="n">
        <x:v>11578000</x:v>
      </x:c>
      <x:c r="K94" s="27" t="str">
        <x:v>max(V-C, TH+MTA-NICA, 0)</x:v>
      </x:c>
      <x:c r="L94" s="27" t="n">
        <x:v>21210487.356791325</x:v>
      </x:c>
      <x:c r="M94" s="27" t="n">
        <x:v>0.05000459352457656</x:v>
      </x:c>
      <x:c r="N94" s="27" t="n">
        <x:v>1060621.7987345206</x:v>
      </x:c>
      <x:c r="O94" s="27" t="n">
        <x:v>17694070.518228326</x:v>
      </x:c>
      <x:c r="P94" s="27" t="str">
        <x:v>Sovereign</x:v>
      </x:c>
      <x:c r="Q94" s="27" t="str">
        <x:v>AA</x:v>
      </x:c>
      <x:c r="R94" s="27" t="n">
        <x:v>0.2</x:v>
      </x:c>
      <x:c r="S94" s="27" t="n">
        <x:v>3538814.1036456656</x:v>
      </x:c>
      <x:c r="T94" s="27" t="n">
        <x:v>103149468.91346864</x:v>
      </x:c>
      <x:c r="U94" s="27" t="n">
        <x:v>17694070.518228326</x:v>
      </x:c>
      <x:c r="V94" s="45" t="b">
        <x:v>0</x:v>
      </x:c>
      <x:c r="W94" s="27" t="n">
        <x:v>3538814.1036456656</x:v>
      </x:c>
    </x:row>
    <x:row r="95">
      <x:c r="A95" s="27" t="str">
        <x:v>IND_SOVEREIGN_001</x:v>
      </x:c>
      <x:c r="B95" s="27" t="n">
        <x:v>3281</x:v>
      </x:c>
      <x:c r="C95" s="27" t="n">
        <x:v>-2044640</x:v>
      </x:c>
      <x:c r="D95" s="27" t="str">
        <x:v>U</x:v>
      </x:c>
      <x:c r="E95" s="27" t="n">
        <x:v>0</x:v>
      </x:c>
      <x:c r="F95" s="27" t="n">
        <x:v>0</x:v>
      </x:c>
      <x:c r="G95" s="27" t="n">
        <x:v>0</x:v>
      </x:c>
      <x:c r="H95" s="27" t="n">
        <x:v>0</x:v>
      </x:c>
      <x:c r="I95" s="27"/>
      <x:c r="J95" s="27" t="n">
        <x:v>0</x:v>
      </x:c>
      <x:c r="K95" s="27" t="str">
        <x:v>max(V-C, 0)</x:v>
      </x:c>
      <x:c r="L95" s="27" t="n">
        <x:v>1578667.5370825392</x:v>
      </x:c>
      <x:c r="M95" s="27" t="n">
        <x:v>0.5304842782812508</x:v>
      </x:c>
      <x:c r="N95" s="27" t="n">
        <x:v>837458.3090552705</x:v>
      </x:c>
      <x:c r="O95" s="27" t="n">
        <x:v>1172441.6326773786</x:v>
      </x:c>
      <x:c r="P95" s="27" t="str">
        <x:v>Sovereign</x:v>
      </x:c>
      <x:c r="Q95" s="27" t="str">
        <x:v>AA</x:v>
      </x:c>
      <x:c r="R95" s="27" t="n">
        <x:v>0.2</x:v>
      </x:c>
      <x:c r="S95" s="27" t="n">
        <x:v>234488.32653547573</x:v>
      </x:c>
      <x:c r="T95" s="27" t="n">
        <x:v>1172441.6326773786</x:v>
      </x:c>
      <x:c r="U95" s="27" t="n">
        <x:v>1172441.6326773786</x:v>
      </x:c>
      <x:c r="V95" s="45" t="b">
        <x:v>0</x:v>
      </x:c>
      <x:c r="W95" s="27" t="n">
        <x:v>234488.32653547573</x:v>
      </x:c>
    </x:row>
    <x:row r="96">
      <x:c r="A96" s="27" t="str">
        <x:v>IND_SOVEREIGN_001</x:v>
      </x:c>
      <x:c r="B96" s="27" t="n">
        <x:v>3296</x:v>
      </x:c>
      <x:c r="C96" s="27" t="n">
        <x:v>-952614</x:v>
      </x:c>
      <x:c r="D96" s="27" t="str">
        <x:v>M</x:v>
      </x:c>
      <x:c r="E96" s="27" t="n">
        <x:v>2070000</x:v>
      </x:c>
      <x:c r="F96" s="27" t="n">
        <x:v>103500</x:v>
      </x:c>
      <x:c r="G96" s="27" t="n">
        <x:v>41400</x:v>
      </x:c>
      <x:c r="H96" s="27" t="n">
        <x:v>828000</x:v>
      </x:c>
      <x:c r="I96" s="27" t="str">
        <x:v>CSA-IND-3296</x:v>
      </x:c>
      <x:c r="J96" s="27" t="n">
        <x:v>0</x:v>
      </x:c>
      <x:c r="K96" s="27" t="str">
        <x:v>max(V-C, TH+MTA-NICA, 0)</x:v>
      </x:c>
      <x:c r="L96" s="27" t="n">
        <x:v>3974400.0000000005</x:v>
      </x:c>
      <x:c r="M96" s="27" t="n">
        <x:v>0.6866295051454657</x:v>
      </x:c>
      <x:c r="N96" s="27" t="n">
        <x:v>2728940.3052501394</x:v>
      </x:c>
      <x:c r="O96" s="27" t="n">
        <x:v>3820516.427350195</x:v>
      </x:c>
      <x:c r="P96" s="27" t="str">
        <x:v>Sovereign</x:v>
      </x:c>
      <x:c r="Q96" s="27" t="str">
        <x:v>AA</x:v>
      </x:c>
      <x:c r="R96" s="27" t="n">
        <x:v>0.2</x:v>
      </x:c>
      <x:c r="S96" s="27" t="n">
        <x:v>764103.2854700391</x:v>
      </x:c>
      <x:c r="T96" s="27" t="n">
        <x:v>17343835.07457494</x:v>
      </x:c>
      <x:c r="U96" s="27" t="n">
        <x:v>3820516.427350195</x:v>
      </x:c>
      <x:c r="V96" s="45" t="b">
        <x:v>0</x:v>
      </x:c>
      <x:c r="W96" s="27" t="n">
        <x:v>764103.2854700391</x:v>
      </x:c>
    </x:row>
    <x:row r="97">
      <x:c r="A97" s="27" t="str">
        <x:v>IND_SOVEREIGN_001</x:v>
      </x:c>
      <x:c r="B97" s="27" t="n">
        <x:v>3357</x:v>
      </x:c>
      <x:c r="C97" s="27" t="n">
        <x:v>436720.5</x:v>
      </x:c>
      <x:c r="D97" s="27" t="str">
        <x:v>M</x:v>
      </x:c>
      <x:c r="E97" s="27" t="n">
        <x:v>1194000</x:v>
      </x:c>
      <x:c r="F97" s="27" t="n">
        <x:v>298500</x:v>
      </x:c>
      <x:c r="G97" s="27" t="n">
        <x:v>59700</x:v>
      </x:c>
      <x:c r="H97" s="27" t="n">
        <x:v>1194000</x:v>
      </x:c>
      <x:c r="I97" s="27" t="str">
        <x:v>CSA-IND-3357</x:v>
      </x:c>
      <x:c r="J97" s="27" t="n">
        <x:v>0</x:v>
      </x:c>
      <x:c r="K97" s="27" t="str">
        <x:v>max(V-C, TH+MTA-NICA, 0)</x:v>
      </x:c>
      <x:c r="L97" s="27" t="n">
        <x:v>6572488.502170928</x:v>
      </x:c>
      <x:c r="M97" s="27" t="n">
        <x:v>0.9441022028989489</x:v>
      </x:c>
      <x:c r="N97" s="27" t="n">
        <x:v>6205100.873427586</x:v>
      </x:c>
      <x:c r="O97" s="27" t="n">
        <x:v>8687141.22279862</x:v>
      </x:c>
      <x:c r="P97" s="27" t="str">
        <x:v>Sovereign</x:v>
      </x:c>
      <x:c r="Q97" s="27" t="str">
        <x:v>AA</x:v>
      </x:c>
      <x:c r="R97" s="27" t="n">
        <x:v>0.2</x:v>
      </x:c>
      <x:c r="S97" s="27" t="n">
        <x:v>1737428.244559724</x:v>
      </x:c>
      <x:c r="T97" s="27" t="n">
        <x:v>26087719.95000098</x:v>
      </x:c>
      <x:c r="U97" s="27" t="n">
        <x:v>8687141.22279862</x:v>
      </x:c>
      <x:c r="V97" s="45" t="b">
        <x:v>0</x:v>
      </x:c>
      <x:c r="W97" s="27" t="n">
        <x:v>1737428.244559724</x:v>
      </x:c>
    </x:row>
    <x:row r="98">
      <x:c r="A98" s="27" t="str">
        <x:v>IND_SOVEREIGN_001</x:v>
      </x:c>
      <x:c r="B98" s="27" t="n">
        <x:v>3390</x:v>
      </x:c>
      <x:c r="C98" s="27" t="n">
        <x:v>856744.5</x:v>
      </x:c>
      <x:c r="D98" s="27" t="str">
        <x:v>M</x:v>
      </x:c>
      <x:c r="E98" s="27" t="n">
        <x:v>51420000</x:v>
      </x:c>
      <x:c r="F98" s="27" t="n">
        <x:v>3428000</x:v>
      </x:c>
      <x:c r="G98" s="27" t="n">
        <x:v>342800</x:v>
      </x:c>
      <x:c r="H98" s="27" t="n">
        <x:v>0</x:v>
      </x:c>
      <x:c r="I98" s="27" t="str">
        <x:v>CSA-IND-3390</x:v>
      </x:c>
      <x:c r="J98" s="27" t="n">
        <x:v>3770800</x:v>
      </x:c>
      <x:c r="K98" s="27" t="str">
        <x:v>max(V-C, TH+MTA-NICA, 0)</x:v>
      </x:c>
      <x:c r="L98" s="27" t="n">
        <x:v>3541970.1424424965</x:v>
      </x:c>
      <x:c r="M98" s="27" t="n">
        <x:v>0.05051843616503841</x:v>
      </x:c>
      <x:c r="N98" s="27" t="n">
        <x:v>178934.79253945328</x:v>
      </x:c>
      <x:c r="O98" s="27" t="n">
        <x:v>5529628.709555234</x:v>
      </x:c>
      <x:c r="P98" s="27" t="str">
        <x:v>Sovereign</x:v>
      </x:c>
      <x:c r="Q98" s="27" t="str">
        <x:v>AA</x:v>
      </x:c>
      <x:c r="R98" s="27" t="n">
        <x:v>0.2</x:v>
      </x:c>
      <x:c r="S98" s="27" t="n">
        <x:v>1105925.741911047</x:v>
      </x:c>
      <x:c r="T98" s="27" t="n">
        <x:v>15981551.628808297</x:v>
      </x:c>
      <x:c r="U98" s="27" t="n">
        <x:v>5529628.709555234</x:v>
      </x:c>
      <x:c r="V98" s="45" t="b">
        <x:v>0</x:v>
      </x:c>
      <x:c r="W98" s="27" t="n">
        <x:v>1105925.741911047</x:v>
      </x:c>
    </x:row>
  </x:sheetData>
  <x:mergeCells>
    <x:mergeCell ref="A1:W1"/>
  </x:mergeCells>
  <x:pageMargins left="0.7" right="0.7" top="0.75" bottom="0.75" header="0.3" footer="0.3"/>
  <x:tableParts count="1">
    <x:tablePart xmlns:r="http://schemas.openxmlformats.org/officeDocument/2006/relationships" r:id="Rcf57269158cf4dd3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2.5" customHeight="1">
      <x:c r="A1" s="26" t="str">
        <x:v>Python_Cpty_Output</x:v>
      </x:c>
      <x:c r="B1" s="26" t="str">
        <x:v>Python_Cpty_Output</x:v>
      </x:c>
      <x:c r="C1" s="26" t="str">
        <x:v>Python_Cpty_Output</x:v>
      </x:c>
      <x:c r="D1" s="26" t="str">
        <x:v>Python_Cpty_Output</x:v>
      </x:c>
      <x:c r="E1" s="26" t="str">
        <x:v>Python_Cpty_Output</x:v>
      </x:c>
      <x:c r="F1" s="26" t="str">
        <x:v>Python_Cpty_Output</x:v>
      </x:c>
    </x:row>
    <x:row r="2">
      <x:c r="A2" s="27"/>
      <x:c r="B2" s="27"/>
      <x:c r="C2" s="27"/>
      <x:c r="D2" s="27"/>
      <x:c r="E2" s="27"/>
      <x:c r="F2" s="27"/>
    </x:row>
    <x:row r="3">
      <x:c r="A3" s="28" t="str">
        <x:v>Counterparty ID</x:v>
      </x:c>
      <x:c r="B3" s="28" t="str">
        <x:v>AddOn Aggregate</x:v>
      </x:c>
      <x:c r="C3" s="28" t="str">
        <x:v>PFE</x:v>
      </x:c>
      <x:c r="D3" s="28" t="str">
        <x:v>RC</x:v>
      </x:c>
      <x:c r="E3" s="28" t="str">
        <x:v>EAD</x:v>
      </x:c>
      <x:c r="F3" s="28" t="str">
        <x:v>RWA</x:v>
      </x:c>
    </x:row>
    <x:row r="4">
      <x:c r="A4" s="27" t="str">
        <x:v>IND_CORPORATE_002</x:v>
      </x:c>
      <x:c r="B4" s="27" t="n">
        <x:v>48301921.381667264</x:v>
      </x:c>
      <x:c r="C4" s="27" t="n">
        <x:v>17453885.527351283</x:v>
      </x:c>
      <x:c r="D4" s="27" t="n">
        <x:v>31831423</x:v>
      </x:c>
      <x:c r="E4" s="27" t="n">
        <x:v>68999431.93829179</x:v>
      </x:c>
      <x:c r="F4" s="27" t="n">
        <x:v>68999431.93829179</x:v>
      </x:c>
    </x:row>
    <x:row r="5">
      <x:c r="A5" s="27" t="str">
        <x:v>IND_HEDGE_FUND_001</x:v>
      </x:c>
      <x:c r="B5" s="27" t="n">
        <x:v>59203932.795781784</x:v>
      </x:c>
      <x:c r="C5" s="27" t="n">
        <x:v>40317955.98993011</x:v>
      </x:c>
      <x:c r="D5" s="27" t="n">
        <x:v>2096078</x:v>
      </x:c>
      <x:c r="E5" s="27" t="n">
        <x:v>59379647.585902154</x:v>
      </x:c>
      <x:c r="F5" s="27" t="n">
        <x:v>59379647.585902154</x:v>
      </x:c>
    </x:row>
    <x:row r="6">
      <x:c r="A6" s="27" t="str">
        <x:v>IND_INSURER_001</x:v>
      </x:c>
      <x:c r="B6" s="27" t="n">
        <x:v>73478271.40192276</x:v>
      </x:c>
      <x:c r="C6" s="27" t="n">
        <x:v>54303896.78938998</x:v>
      </x:c>
      <x:c r="D6" s="27" t="n">
        <x:v>10574930.6</x:v>
      </x:c>
      <x:c r="E6" s="27" t="n">
        <x:v>90830358.34514597</x:v>
      </x:c>
      <x:c r="F6" s="27" t="n">
        <x:v>45415179.172572985</x:v>
      </x:c>
    </x:row>
    <x:row r="7">
      <x:c r="A7" s="27" t="str">
        <x:v>IND_BANK_002</x:v>
      </x:c>
      <x:c r="B7" s="27" t="n">
        <x:v>49624635.687242515</x:v>
      </x:c>
      <x:c r="C7" s="27" t="n">
        <x:v>24536569.6850603</x:v>
      </x:c>
      <x:c r="D7" s="27" t="n">
        <x:v>32341540</x:v>
      </x:c>
      <x:c r="E7" s="27" t="n">
        <x:v>79629353.55908442</x:v>
      </x:c>
      <x:c r="F7" s="27" t="n">
        <x:v>39814676.77954221</x:v>
      </x:c>
    </x:row>
    <x:row r="8">
      <x:c r="A8" s="27" t="str">
        <x:v>IND_CLEARING_MEMBER_001</x:v>
      </x:c>
      <x:c r="B8" s="27" t="n">
        <x:v>60402868.065780304</x:v>
      </x:c>
      <x:c r="C8" s="27" t="n">
        <x:v>41175265.97456634</x:v>
      </x:c>
      <x:c r="D8" s="27" t="n">
        <x:v>3365869.5</x:v>
      </x:c>
      <x:c r="E8" s="27" t="n">
        <x:v>62357589.66439287</x:v>
      </x:c>
      <x:c r="F8" s="27" t="n">
        <x:v>31178794.832196437</x:v>
      </x:c>
    </x:row>
    <x:row r="9">
      <x:c r="A9" s="27" t="str">
        <x:v>IND_PENSION_001</x:v>
      </x:c>
      <x:c r="B9" s="27" t="n">
        <x:v>50318116.88545453</x:v>
      </x:c>
      <x:c r="C9" s="27" t="n">
        <x:v>34457036.55205743</x:v>
      </x:c>
      <x:c r="D9" s="27" t="n">
        <x:v>6576560</x:v>
      </x:c>
      <x:c r="E9" s="27" t="n">
        <x:v>57447035.1728804</x:v>
      </x:c>
      <x:c r="F9" s="27" t="n">
        <x:v>28723517.5864402</x:v>
      </x:c>
    </x:row>
    <x:row r="10">
      <x:c r="A10" s="27" t="str">
        <x:v>IND_REGIONAL_BANK_001</x:v>
      </x:c>
      <x:c r="B10" s="27" t="n">
        <x:v>45057053.46665393</x:v>
      </x:c>
      <x:c r="C10" s="27" t="n">
        <x:v>31901091.54038011</x:v>
      </x:c>
      <x:c r="D10" s="27" t="n">
        <x:v>5116131.4</x:v>
      </x:c>
      <x:c r="E10" s="27" t="n">
        <x:v>51824112.116532154</x:v>
      </x:c>
      <x:c r="F10" s="27" t="n">
        <x:v>25912056.058266077</x:v>
      </x:c>
    </x:row>
    <x:row r="11">
      <x:c r="A11" s="27" t="str">
        <x:v>IND_CORPORATE_001</x:v>
      </x:c>
      <x:c r="B11" s="27" t="n">
        <x:v>20195998.61294936</x:v>
      </x:c>
      <x:c r="C11" s="27" t="n">
        <x:v>14414099.75685473</x:v>
      </x:c>
      <x:c r="D11" s="27" t="n">
        <x:v>1499189</x:v>
      </x:c>
      <x:c r="E11" s="27" t="n">
        <x:v>22278604.25959662</x:v>
      </x:c>
      <x:c r="F11" s="27" t="n">
        <x:v>22278604.25959662</x:v>
      </x:c>
    </x:row>
    <x:row r="12">
      <x:c r="A12" s="27" t="str">
        <x:v>IND_ASSET_MANAGER_001</x:v>
      </x:c>
      <x:c r="B12" s="27" t="n">
        <x:v>38901255.724997856</x:v>
      </x:c>
      <x:c r="C12" s="27" t="n">
        <x:v>27000148.584319394</x:v>
      </x:c>
      <x:c r="D12" s="27" t="n">
        <x:v>1570720</x:v>
      </x:c>
      <x:c r="E12" s="27" t="n">
        <x:v>39999216.01804715</x:v>
      </x:c>
      <x:c r="F12" s="27" t="n">
        <x:v>19999608.009023573</x:v>
      </x:c>
    </x:row>
    <x:row r="13">
      <x:c r="A13" s="27" t="str">
        <x:v>IND_SOVEREIGN_001</x:v>
      </x:c>
      <x:c r="B13" s="27" t="n">
        <x:v>60410858.6506249</x:v>
      </x:c>
      <x:c r="C13" s="27" t="n">
        <x:v>34108277.84275328</x:v>
      </x:c>
      <x:c r="D13" s="27" t="n">
        <x:v>18025527.4</x:v>
      </x:c>
      <x:c r="E13" s="27" t="n">
        <x:v>72987327.33985458</x:v>
      </x:c>
      <x:c r="F13" s="27" t="n">
        <x:v>14597465.467970919</x:v>
      </x:c>
    </x:row>
    <x:row r="14">
      <x:c r="A14" s="27" t="str">
        <x:v>IND_BANK_001</x:v>
      </x:c>
      <x:c r="B14" s="27" t="n">
        <x:v>39001450.52990981</x:v>
      </x:c>
      <x:c r="C14" s="27" t="n">
        <x:v>19454055.854570013</x:v>
      </x:c>
      <x:c r="D14" s="27" t="n">
        <x:v>950250</x:v>
      </x:c>
      <x:c r="E14" s="27" t="n">
        <x:v>28566028.196398016</x:v>
      </x:c>
      <x:c r="F14" s="27" t="n">
        <x:v>14283014.098199008</x:v>
      </x:c>
    </x:row>
    <x:row r="15">
      <x:c r="A15" s="27" t="str">
        <x:v>IND_BROKER_001</x:v>
      </x:c>
      <x:c r="B15" s="27" t="n">
        <x:v>23142038.807315674</x:v>
      </x:c>
      <x:c r="C15" s="27" t="n">
        <x:v>15739613.45117406</x:v>
      </x:c>
      <x:c r="D15" s="27" t="n">
        <x:v>259800</x:v>
      </x:c>
      <x:c r="E15" s="27" t="n">
        <x:v>22399178.831643682</x:v>
      </x:c>
      <x:c r="F15" s="27" t="n">
        <x:v>11199589.415821841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1e056b27f324f20"/>
  </x:tableParts>
</x:worksheet>
</file>